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40" windowWidth="25600" windowHeight="1392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42" i="20" l="1"/>
  <c r="S16" i="20"/>
  <c r="S15" i="20"/>
  <c r="S14" i="20"/>
  <c r="H40" i="20"/>
  <c r="H39" i="20"/>
  <c r="S39" i="20"/>
  <c r="H38" i="20"/>
  <c r="H35" i="20"/>
  <c r="H34" i="20"/>
  <c r="H33" i="20"/>
  <c r="S36" i="20"/>
  <c r="H30" i="20"/>
  <c r="H29" i="20"/>
  <c r="H28" i="20"/>
  <c r="H27" i="20"/>
  <c r="S3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2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S9" i="20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H8" i="20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S8" i="20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60" i="14"/>
  <c r="AZ14" i="14"/>
  <c r="AY259" i="14"/>
  <c r="AY181" i="14"/>
  <c r="AY179" i="14"/>
  <c r="AY177" i="14"/>
  <c r="AY175" i="14"/>
  <c r="AX259" i="14"/>
  <c r="AY14" i="14"/>
  <c r="AX181" i="14"/>
  <c r="AX179" i="14"/>
  <c r="AX177" i="14"/>
  <c r="AX260" i="14"/>
  <c r="AX175" i="14"/>
  <c r="AW259" i="14"/>
  <c r="AX14" i="14"/>
  <c r="AW181" i="14"/>
  <c r="AW179" i="14"/>
  <c r="AW177" i="14"/>
  <c r="AW175" i="14"/>
  <c r="AV259" i="14"/>
  <c r="AW14" i="14"/>
  <c r="AV181" i="14"/>
  <c r="AV179" i="14"/>
  <c r="AV177" i="14"/>
  <c r="AV175" i="14"/>
  <c r="AU260" i="14"/>
  <c r="AV14" i="14"/>
  <c r="AU259" i="14"/>
  <c r="AU181" i="14"/>
  <c r="AU179" i="14"/>
  <c r="AU177" i="14"/>
  <c r="AU175" i="14"/>
  <c r="AT259" i="14"/>
  <c r="AU14" i="14"/>
  <c r="AT181" i="14"/>
  <c r="AT179" i="14"/>
  <c r="AT260" i="14"/>
  <c r="AT177" i="14"/>
  <c r="AT175" i="14"/>
  <c r="AS259" i="14"/>
  <c r="AT14" i="14"/>
  <c r="AS181" i="14"/>
  <c r="AS179" i="14"/>
  <c r="AS177" i="14"/>
  <c r="AS260" i="14"/>
  <c r="AS175" i="14"/>
  <c r="AR259" i="14"/>
  <c r="AS14" i="14"/>
  <c r="AR181" i="14"/>
  <c r="AR179" i="14"/>
  <c r="AR177" i="14"/>
  <c r="AR175" i="14"/>
  <c r="AR14" i="14"/>
  <c r="AQ259" i="14"/>
  <c r="AQ181" i="14"/>
  <c r="AQ260" i="14"/>
  <c r="AQ179" i="14"/>
  <c r="AQ177" i="14"/>
  <c r="AQ175" i="14"/>
  <c r="AP259" i="14"/>
  <c r="AQ14" i="14"/>
  <c r="AP181" i="14"/>
  <c r="AP179" i="14"/>
  <c r="AP260" i="14"/>
  <c r="AP177" i="14"/>
  <c r="AP175" i="14"/>
  <c r="AO259" i="14"/>
  <c r="AP14" i="14"/>
  <c r="AO181" i="14"/>
  <c r="AO179" i="14"/>
  <c r="AO177" i="14"/>
  <c r="AO175" i="14"/>
  <c r="AN259" i="14"/>
  <c r="AO14" i="14"/>
  <c r="AN181" i="14"/>
  <c r="AN179" i="14"/>
  <c r="AN177" i="14"/>
  <c r="AN175" i="14"/>
  <c r="AM260" i="14"/>
  <c r="AN14" i="14"/>
  <c r="AM259" i="14"/>
  <c r="AM181" i="14"/>
  <c r="AM179" i="14"/>
  <c r="AM177" i="14"/>
  <c r="AM175" i="14"/>
  <c r="AL259" i="14"/>
  <c r="AM14" i="14"/>
  <c r="AL181" i="14"/>
  <c r="AL179" i="14"/>
  <c r="AL177" i="14"/>
  <c r="AL175" i="14"/>
  <c r="AK259" i="14"/>
  <c r="AL14" i="14"/>
  <c r="AK181" i="14"/>
  <c r="AK179" i="14"/>
  <c r="AK260" i="14"/>
  <c r="AK177" i="14"/>
  <c r="AK175" i="14"/>
  <c r="AJ259" i="14"/>
  <c r="AK14" i="14"/>
  <c r="AJ181" i="14"/>
  <c r="AJ179" i="14"/>
  <c r="AJ177" i="14"/>
  <c r="AJ175" i="14"/>
  <c r="AJ14" i="14"/>
  <c r="AI259" i="14"/>
  <c r="AI181" i="14"/>
  <c r="AI179" i="14"/>
  <c r="AI260" i="14"/>
  <c r="AI177" i="14"/>
  <c r="AI175" i="14"/>
  <c r="AH259" i="14"/>
  <c r="AI14" i="14"/>
  <c r="AH181" i="14"/>
  <c r="AH179" i="14"/>
  <c r="AH177" i="14"/>
  <c r="AH260" i="14"/>
  <c r="AH175" i="14"/>
  <c r="AH14" i="14"/>
  <c r="AG259" i="14"/>
  <c r="AG181" i="14"/>
  <c r="AG179" i="14"/>
  <c r="AG177" i="14"/>
  <c r="AG175" i="14"/>
  <c r="AG260" i="14"/>
  <c r="AF259" i="14"/>
  <c r="AG14" i="14"/>
  <c r="AF181" i="14"/>
  <c r="AF179" i="14"/>
  <c r="AF177" i="14"/>
  <c r="AF175" i="14"/>
  <c r="AF14" i="14"/>
  <c r="AE259" i="14"/>
  <c r="AE181" i="14"/>
  <c r="AE179" i="14"/>
  <c r="AE177" i="14"/>
  <c r="AE175" i="14"/>
  <c r="AE260" i="14"/>
  <c r="AD259" i="14"/>
  <c r="AE14" i="14"/>
  <c r="AD181" i="14"/>
  <c r="AD179" i="14"/>
  <c r="AD260" i="14"/>
  <c r="AD177" i="14"/>
  <c r="AD175" i="14"/>
  <c r="AC259" i="14"/>
  <c r="AD14" i="14"/>
  <c r="AC181" i="14"/>
  <c r="AC179" i="14"/>
  <c r="AC260" i="14"/>
  <c r="AC177" i="14"/>
  <c r="AC175" i="14"/>
  <c r="AC14" i="14"/>
  <c r="AB259" i="14"/>
  <c r="AB181" i="14"/>
  <c r="AB179" i="14"/>
  <c r="AB177" i="14"/>
  <c r="AB175" i="14"/>
  <c r="AA260" i="14"/>
  <c r="AB14" i="14"/>
  <c r="AA259" i="14"/>
  <c r="AA181" i="14"/>
  <c r="AA179" i="14"/>
  <c r="AA177" i="14"/>
  <c r="AA175" i="14"/>
  <c r="Z259" i="14"/>
  <c r="AA14" i="14"/>
  <c r="Z181" i="14"/>
  <c r="Z179" i="14"/>
  <c r="Z177" i="14"/>
  <c r="Z260" i="14"/>
  <c r="Z175" i="14"/>
  <c r="Z14" i="14"/>
  <c r="Y259" i="14"/>
  <c r="Y181" i="14"/>
  <c r="Y179" i="14"/>
  <c r="Y177" i="14"/>
  <c r="Y175" i="14"/>
  <c r="Y260" i="14"/>
  <c r="X259" i="14"/>
  <c r="Y14" i="14"/>
  <c r="X181" i="14"/>
  <c r="X179" i="14"/>
  <c r="X177" i="14"/>
  <c r="X175" i="14"/>
  <c r="X14" i="14"/>
  <c r="W259" i="14"/>
  <c r="W181" i="14"/>
  <c r="W179" i="14"/>
  <c r="W177" i="14"/>
  <c r="W175" i="14"/>
  <c r="V259" i="14"/>
  <c r="W14" i="14"/>
  <c r="V181" i="14"/>
  <c r="V179" i="14"/>
  <c r="V260" i="14"/>
  <c r="V177" i="14"/>
  <c r="V175" i="14"/>
  <c r="U259" i="14"/>
  <c r="V14" i="14"/>
  <c r="U181" i="14"/>
  <c r="U179" i="14"/>
  <c r="U177" i="14"/>
  <c r="U260" i="14"/>
  <c r="U175" i="14"/>
  <c r="U14" i="14"/>
  <c r="T259" i="14"/>
  <c r="T181" i="14"/>
  <c r="T179" i="14"/>
  <c r="T177" i="14"/>
  <c r="T175" i="14"/>
  <c r="S260" i="14"/>
  <c r="T14" i="14"/>
  <c r="S259" i="14"/>
  <c r="S181" i="14"/>
  <c r="S179" i="14"/>
  <c r="S177" i="14"/>
  <c r="S175" i="14"/>
  <c r="R259" i="14"/>
  <c r="S14" i="14"/>
  <c r="R181" i="14"/>
  <c r="R179" i="14"/>
  <c r="R177" i="14"/>
  <c r="R260" i="14"/>
  <c r="R175" i="14"/>
  <c r="Q259" i="14"/>
  <c r="R14" i="14"/>
  <c r="Q181" i="14"/>
  <c r="Q179" i="14"/>
  <c r="Q177" i="14"/>
  <c r="Q175" i="14"/>
  <c r="P259" i="14"/>
  <c r="Q14" i="14"/>
  <c r="P181" i="14"/>
  <c r="P179" i="14"/>
  <c r="P177" i="14"/>
  <c r="P175" i="14"/>
  <c r="O260" i="14"/>
  <c r="P14" i="14"/>
  <c r="O259" i="14"/>
  <c r="O181" i="14"/>
  <c r="O179" i="14"/>
  <c r="O177" i="14"/>
  <c r="O175" i="14"/>
  <c r="N259" i="14"/>
  <c r="O14" i="14"/>
  <c r="N181" i="14"/>
  <c r="N179" i="14"/>
  <c r="N260" i="14"/>
  <c r="N177" i="14"/>
  <c r="N175" i="14"/>
  <c r="M259" i="14"/>
  <c r="N14" i="14"/>
  <c r="M181" i="14"/>
  <c r="M179" i="14"/>
  <c r="M177" i="14"/>
  <c r="M260" i="14"/>
  <c r="M175" i="14"/>
  <c r="L259" i="14"/>
  <c r="M14" i="14"/>
  <c r="L181" i="14"/>
  <c r="L179" i="14"/>
  <c r="L177" i="14"/>
  <c r="L175" i="14"/>
  <c r="K260" i="14"/>
  <c r="L14" i="14"/>
  <c r="K259" i="14"/>
  <c r="K181" i="14"/>
  <c r="K179" i="14"/>
  <c r="K177" i="14"/>
  <c r="K175" i="14"/>
  <c r="J259" i="14"/>
  <c r="K14" i="14"/>
  <c r="J181" i="14"/>
  <c r="J179" i="14"/>
  <c r="J260" i="14"/>
  <c r="J177" i="14"/>
  <c r="J175" i="14"/>
  <c r="J14" i="14"/>
  <c r="I259" i="14"/>
  <c r="I181" i="14"/>
  <c r="I179" i="14"/>
  <c r="I177" i="14"/>
  <c r="I175" i="14"/>
  <c r="I260" i="14"/>
  <c r="H259" i="14"/>
  <c r="I14" i="14"/>
  <c r="H181" i="14"/>
  <c r="H179" i="14"/>
  <c r="H177" i="14"/>
  <c r="H175" i="14"/>
  <c r="H14" i="14"/>
  <c r="G259" i="14"/>
  <c r="G181" i="14"/>
  <c r="G179" i="14"/>
  <c r="G177" i="14"/>
  <c r="G175" i="14"/>
  <c r="G260" i="14"/>
  <c r="F259" i="14"/>
  <c r="G14" i="14"/>
  <c r="F181" i="14"/>
  <c r="F179" i="14"/>
  <c r="F260" i="14"/>
  <c r="F177" i="14"/>
  <c r="F175" i="14"/>
  <c r="E259" i="14"/>
  <c r="F14" i="14"/>
  <c r="E181" i="14"/>
  <c r="E179" i="14"/>
  <c r="E260" i="14"/>
  <c r="E177" i="14"/>
  <c r="E175" i="14"/>
  <c r="D259" i="14"/>
  <c r="E14" i="14"/>
  <c r="D181" i="14"/>
  <c r="D179" i="14"/>
  <c r="D177" i="14"/>
  <c r="D175" i="14"/>
  <c r="AZ14" i="15"/>
  <c r="AY259" i="15"/>
  <c r="AY181" i="15"/>
  <c r="AY179" i="15"/>
  <c r="AY260" i="15"/>
  <c r="AY177" i="15"/>
  <c r="AY175" i="15"/>
  <c r="AX259" i="15"/>
  <c r="AY14" i="15"/>
  <c r="AX181" i="15"/>
  <c r="AX179" i="15"/>
  <c r="AX177" i="15"/>
  <c r="AX260" i="15"/>
  <c r="AX175" i="15"/>
  <c r="AX14" i="15"/>
  <c r="AW259" i="15"/>
  <c r="AW181" i="15"/>
  <c r="AW179" i="15"/>
  <c r="AW177" i="15"/>
  <c r="AW175" i="15"/>
  <c r="AW260" i="15"/>
  <c r="AV259" i="15"/>
  <c r="AW14" i="15"/>
  <c r="AV181" i="15"/>
  <c r="AV179" i="15"/>
  <c r="AV177" i="15"/>
  <c r="AV175" i="15"/>
  <c r="AV14" i="15"/>
  <c r="AU259" i="15"/>
  <c r="AU181" i="15"/>
  <c r="AU179" i="15"/>
  <c r="AU177" i="15"/>
  <c r="AU175" i="15"/>
  <c r="AU260" i="15"/>
  <c r="AT259" i="15"/>
  <c r="AU14" i="15"/>
  <c r="AT181" i="15"/>
  <c r="AT179" i="15"/>
  <c r="AT260" i="15"/>
  <c r="AT177" i="15"/>
  <c r="AT175" i="15"/>
  <c r="AS260" i="15"/>
  <c r="AS259" i="15"/>
  <c r="AT14" i="15"/>
  <c r="AS181" i="15"/>
  <c r="AS179" i="15"/>
  <c r="AS177" i="15"/>
  <c r="AS175" i="15"/>
  <c r="AS14" i="15"/>
  <c r="AR259" i="15"/>
  <c r="AR181" i="15"/>
  <c r="AR179" i="15"/>
  <c r="AR177" i="15"/>
  <c r="AR175" i="15"/>
  <c r="AQ260" i="15"/>
  <c r="AR14" i="15"/>
  <c r="AQ259" i="15"/>
  <c r="AQ181" i="15"/>
  <c r="AQ179" i="15"/>
  <c r="AQ177" i="15"/>
  <c r="AQ175" i="15"/>
  <c r="AP259" i="15"/>
  <c r="AQ14" i="15"/>
  <c r="AP181" i="15"/>
  <c r="AP179" i="15"/>
  <c r="AP177" i="15"/>
  <c r="AP260" i="15"/>
  <c r="AP175" i="15"/>
  <c r="AP14" i="15"/>
  <c r="AO259" i="15"/>
  <c r="AO181" i="15"/>
  <c r="AO179" i="15"/>
  <c r="AO177" i="15"/>
  <c r="AO175" i="15"/>
  <c r="AO260" i="15"/>
  <c r="AN259" i="15"/>
  <c r="AO14" i="15"/>
  <c r="AN181" i="15"/>
  <c r="AN179" i="15"/>
  <c r="AN177" i="15"/>
  <c r="AN175" i="15"/>
  <c r="AN14" i="15"/>
  <c r="AM259" i="15"/>
  <c r="AM181" i="15"/>
  <c r="AM179" i="15"/>
  <c r="AM177" i="15"/>
  <c r="AM175" i="15"/>
  <c r="AM260" i="15"/>
  <c r="AL259" i="15"/>
  <c r="AM14" i="15"/>
  <c r="AL181" i="15"/>
  <c r="AL179" i="15"/>
  <c r="AL260" i="15"/>
  <c r="AL177" i="15"/>
  <c r="AL175" i="15"/>
  <c r="AK259" i="15"/>
  <c r="AL14" i="15"/>
  <c r="AK181" i="15"/>
  <c r="AK179" i="15"/>
  <c r="AK260" i="15"/>
  <c r="AK177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260" i="15"/>
  <c r="AI177" i="15"/>
  <c r="AI175" i="15"/>
  <c r="AH259" i="15"/>
  <c r="AI14" i="15"/>
  <c r="AH181" i="15"/>
  <c r="AH179" i="15"/>
  <c r="AH177" i="15"/>
  <c r="AH260" i="15"/>
  <c r="AH175" i="15"/>
  <c r="AG259" i="15"/>
  <c r="AH14" i="15"/>
  <c r="AG181" i="15"/>
  <c r="AG179" i="15"/>
  <c r="AG177" i="15"/>
  <c r="AG175" i="15"/>
  <c r="AF259" i="15"/>
  <c r="AG14" i="15"/>
  <c r="AF181" i="15"/>
  <c r="AF179" i="15"/>
  <c r="AF177" i="15"/>
  <c r="AF175" i="15"/>
  <c r="AE260" i="15"/>
  <c r="AF14" i="15"/>
  <c r="AE259" i="15"/>
  <c r="AE181" i="15"/>
  <c r="AE179" i="15"/>
  <c r="AE177" i="15"/>
  <c r="AE175" i="15"/>
  <c r="AD259" i="15"/>
  <c r="AE14" i="15"/>
  <c r="AD181" i="15"/>
  <c r="AD179" i="15"/>
  <c r="AD260" i="15"/>
  <c r="AD177" i="15"/>
  <c r="AD175" i="15"/>
  <c r="AC259" i="15"/>
  <c r="AD14" i="15"/>
  <c r="AC181" i="15"/>
  <c r="AC179" i="15"/>
  <c r="AC177" i="15"/>
  <c r="AC260" i="15"/>
  <c r="AC175" i="15"/>
  <c r="AB259" i="15"/>
  <c r="AC14" i="15"/>
  <c r="AB181" i="15"/>
  <c r="AB179" i="15"/>
  <c r="AB177" i="15"/>
  <c r="AB175" i="15"/>
  <c r="AB14" i="15"/>
  <c r="AA259" i="15"/>
  <c r="AA181" i="15"/>
  <c r="AA260" i="15"/>
  <c r="AA179" i="15"/>
  <c r="AA177" i="15"/>
  <c r="AA175" i="15"/>
  <c r="Z259" i="15"/>
  <c r="AA14" i="15"/>
  <c r="Z181" i="15"/>
  <c r="Z179" i="15"/>
  <c r="Z260" i="15"/>
  <c r="Z177" i="15"/>
  <c r="Z175" i="15"/>
  <c r="Z14" i="15"/>
  <c r="Y259" i="15"/>
  <c r="Y181" i="15"/>
  <c r="Y179" i="15"/>
  <c r="Y177" i="15"/>
  <c r="Y175" i="15"/>
  <c r="Y260" i="15"/>
  <c r="X259" i="15"/>
  <c r="Y14" i="15"/>
  <c r="X181" i="15"/>
  <c r="X179" i="15"/>
  <c r="X177" i="15"/>
  <c r="X175" i="15"/>
  <c r="X14" i="15"/>
  <c r="W259" i="15"/>
  <c r="W181" i="15"/>
  <c r="W179" i="15"/>
  <c r="W177" i="15"/>
  <c r="W175" i="15"/>
  <c r="W260" i="15"/>
  <c r="V259" i="15"/>
  <c r="W14" i="15"/>
  <c r="V181" i="15"/>
  <c r="V179" i="15"/>
  <c r="V260" i="15"/>
  <c r="V177" i="15"/>
  <c r="V175" i="15"/>
  <c r="U259" i="15"/>
  <c r="V14" i="15"/>
  <c r="U181" i="15"/>
  <c r="U179" i="15"/>
  <c r="U260" i="15"/>
  <c r="U177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R259" i="15"/>
  <c r="S14" i="15"/>
  <c r="R181" i="15"/>
  <c r="R179" i="15"/>
  <c r="R260" i="15"/>
  <c r="R177" i="15"/>
  <c r="R175" i="15"/>
  <c r="R14" i="15"/>
  <c r="Q259" i="15"/>
  <c r="Q181" i="15"/>
  <c r="Q179" i="15"/>
  <c r="Q177" i="15"/>
  <c r="Q175" i="15"/>
  <c r="Q260" i="15"/>
  <c r="P259" i="15"/>
  <c r="Q14" i="15"/>
  <c r="P181" i="15"/>
  <c r="P179" i="15"/>
  <c r="P177" i="15"/>
  <c r="P175" i="15"/>
  <c r="P14" i="15"/>
  <c r="O259" i="15"/>
  <c r="O181" i="15"/>
  <c r="O179" i="15"/>
  <c r="O177" i="15"/>
  <c r="O175" i="15"/>
  <c r="O260" i="15"/>
  <c r="N259" i="15"/>
  <c r="O14" i="15"/>
  <c r="N181" i="15"/>
  <c r="N179" i="15"/>
  <c r="N260" i="15"/>
  <c r="N177" i="15"/>
  <c r="N175" i="15"/>
  <c r="M259" i="15"/>
  <c r="N14" i="15"/>
  <c r="M181" i="15"/>
  <c r="M179" i="15"/>
  <c r="M260" i="15"/>
  <c r="M177" i="15"/>
  <c r="M175" i="15"/>
  <c r="M14" i="15"/>
  <c r="L259" i="15"/>
  <c r="L181" i="15"/>
  <c r="L179" i="15"/>
  <c r="L177" i="15"/>
  <c r="L175" i="15"/>
  <c r="L260" i="15"/>
  <c r="L14" i="15"/>
  <c r="K259" i="15"/>
  <c r="K181" i="15"/>
  <c r="K179" i="15"/>
  <c r="K177" i="15"/>
  <c r="K175" i="15"/>
  <c r="J259" i="15"/>
  <c r="K14" i="15"/>
  <c r="J181" i="15"/>
  <c r="J179" i="15"/>
  <c r="J260" i="15"/>
  <c r="J177" i="15"/>
  <c r="J175" i="15"/>
  <c r="J14" i="15"/>
  <c r="I259" i="15"/>
  <c r="I181" i="15"/>
  <c r="I179" i="15"/>
  <c r="I177" i="15"/>
  <c r="I175" i="15"/>
  <c r="I260" i="15"/>
  <c r="H259" i="15"/>
  <c r="I14" i="15"/>
  <c r="H181" i="15"/>
  <c r="H179" i="15"/>
  <c r="H177" i="15"/>
  <c r="H175" i="15"/>
  <c r="H14" i="15"/>
  <c r="G259" i="15"/>
  <c r="G181" i="15"/>
  <c r="G179" i="15"/>
  <c r="G177" i="15"/>
  <c r="G175" i="15"/>
  <c r="F259" i="15"/>
  <c r="G14" i="15"/>
  <c r="F181" i="15"/>
  <c r="F179" i="15"/>
  <c r="F260" i="15"/>
  <c r="F177" i="15"/>
  <c r="F175" i="15"/>
  <c r="E259" i="15"/>
  <c r="F14" i="15"/>
  <c r="E181" i="15"/>
  <c r="E179" i="15"/>
  <c r="E177" i="15"/>
  <c r="E260" i="15"/>
  <c r="E175" i="15"/>
  <c r="E14" i="15"/>
  <c r="D181" i="15"/>
  <c r="D179" i="15"/>
  <c r="D177" i="15"/>
  <c r="D175" i="15"/>
  <c r="D260" i="15"/>
  <c r="AZ14" i="16"/>
  <c r="AY259" i="16"/>
  <c r="AY181" i="16"/>
  <c r="AY179" i="16"/>
  <c r="AY260" i="16"/>
  <c r="AY177" i="16"/>
  <c r="AY175" i="16"/>
  <c r="AX259" i="16"/>
  <c r="AY14" i="16"/>
  <c r="AX181" i="16"/>
  <c r="AX179" i="16"/>
  <c r="AX177" i="16"/>
  <c r="AX260" i="16"/>
  <c r="AX175" i="16"/>
  <c r="AW259" i="16"/>
  <c r="AX14" i="16"/>
  <c r="AW181" i="16"/>
  <c r="AW179" i="16"/>
  <c r="AW177" i="16"/>
  <c r="AW175" i="16"/>
  <c r="AV259" i="16"/>
  <c r="AW14" i="16"/>
  <c r="AV181" i="16"/>
  <c r="AV179" i="16"/>
  <c r="AV177" i="16"/>
  <c r="AV175" i="16"/>
  <c r="AV14" i="16"/>
  <c r="AU259" i="16"/>
  <c r="AU181" i="16"/>
  <c r="AU260" i="16"/>
  <c r="AU179" i="16"/>
  <c r="AU177" i="16"/>
  <c r="AU175" i="16"/>
  <c r="AT259" i="16"/>
  <c r="AU14" i="16"/>
  <c r="AT181" i="16"/>
  <c r="AT179" i="16"/>
  <c r="AT260" i="16"/>
  <c r="AT177" i="16"/>
  <c r="AT175" i="16"/>
  <c r="AS259" i="16"/>
  <c r="AT14" i="16"/>
  <c r="AS181" i="16"/>
  <c r="AS179" i="16"/>
  <c r="AS177" i="16"/>
  <c r="AS260" i="16"/>
  <c r="AS175" i="16"/>
  <c r="AR259" i="16"/>
  <c r="AS14" i="16"/>
  <c r="AR181" i="16"/>
  <c r="AR179" i="16"/>
  <c r="AR177" i="16"/>
  <c r="AR175" i="16"/>
  <c r="AR14" i="16"/>
  <c r="AQ259" i="16"/>
  <c r="AQ181" i="16"/>
  <c r="AQ260" i="16"/>
  <c r="AQ179" i="16"/>
  <c r="AQ177" i="16"/>
  <c r="AQ175" i="16"/>
  <c r="AP259" i="16"/>
  <c r="AQ14" i="16"/>
  <c r="AP181" i="16"/>
  <c r="AP179" i="16"/>
  <c r="AP260" i="16"/>
  <c r="AP177" i="16"/>
  <c r="AP175" i="16"/>
  <c r="AP14" i="16"/>
  <c r="AO259" i="16"/>
  <c r="AO181" i="16"/>
  <c r="AO179" i="16"/>
  <c r="AO177" i="16"/>
  <c r="AO175" i="16"/>
  <c r="AO260" i="16"/>
  <c r="AN259" i="16"/>
  <c r="AO14" i="16"/>
  <c r="AN181" i="16"/>
  <c r="AN179" i="16"/>
  <c r="AN177" i="16"/>
  <c r="AN175" i="16"/>
  <c r="AN14" i="16"/>
  <c r="AM259" i="16"/>
  <c r="AM181" i="16"/>
  <c r="AM179" i="16"/>
  <c r="AM177" i="16"/>
  <c r="AM175" i="16"/>
  <c r="AM260" i="16"/>
  <c r="AL259" i="16"/>
  <c r="AM14" i="16"/>
  <c r="AL181" i="16"/>
  <c r="AL179" i="16"/>
  <c r="AL260" i="16"/>
  <c r="AL177" i="16"/>
  <c r="AL175" i="16"/>
  <c r="AK259" i="16"/>
  <c r="AL14" i="16"/>
  <c r="AK181" i="16"/>
  <c r="AK179" i="16"/>
  <c r="AK260" i="16"/>
  <c r="AK177" i="16"/>
  <c r="AK175" i="16"/>
  <c r="AK14" i="16"/>
  <c r="AJ259" i="16"/>
  <c r="AJ181" i="16"/>
  <c r="AJ179" i="16"/>
  <c r="AJ177" i="16"/>
  <c r="AJ175" i="16"/>
  <c r="AJ260" i="16"/>
  <c r="AJ14" i="16"/>
  <c r="AI259" i="16"/>
  <c r="AI181" i="16"/>
  <c r="AI179" i="16"/>
  <c r="AI260" i="16"/>
  <c r="AI177" i="16"/>
  <c r="AI175" i="16"/>
  <c r="AH259" i="16"/>
  <c r="AI14" i="16"/>
  <c r="AH181" i="16"/>
  <c r="AH179" i="16"/>
  <c r="AH177" i="16"/>
  <c r="AH260" i="16"/>
  <c r="AH175" i="16"/>
  <c r="AG259" i="16"/>
  <c r="AH14" i="16"/>
  <c r="AG181" i="16"/>
  <c r="AG179" i="16"/>
  <c r="AG177" i="16"/>
  <c r="AG175" i="16"/>
  <c r="AF259" i="16"/>
  <c r="AG14" i="16"/>
  <c r="AF181" i="16"/>
  <c r="AF179" i="16"/>
  <c r="AF177" i="16"/>
  <c r="AF175" i="16"/>
  <c r="AE260" i="16"/>
  <c r="AF14" i="16"/>
  <c r="AE259" i="16"/>
  <c r="AE181" i="16"/>
  <c r="AE179" i="16"/>
  <c r="AE177" i="16"/>
  <c r="AE175" i="16"/>
  <c r="AD259" i="16"/>
  <c r="AE14" i="16"/>
  <c r="AD181" i="16"/>
  <c r="AD179" i="16"/>
  <c r="AD260" i="16"/>
  <c r="AD177" i="16"/>
  <c r="AD175" i="16"/>
  <c r="AC259" i="16"/>
  <c r="AD14" i="16"/>
  <c r="AC181" i="16"/>
  <c r="AC179" i="16"/>
  <c r="AC177" i="16"/>
  <c r="AC260" i="16"/>
  <c r="AC175" i="16"/>
  <c r="AB259" i="16"/>
  <c r="AC14" i="16"/>
  <c r="AB181" i="16"/>
  <c r="AB179" i="16"/>
  <c r="AB177" i="16"/>
  <c r="AB175" i="16"/>
  <c r="AB14" i="16"/>
  <c r="AA259" i="16"/>
  <c r="AA181" i="16"/>
  <c r="AA260" i="16"/>
  <c r="AA179" i="16"/>
  <c r="AA177" i="16"/>
  <c r="AA175" i="16"/>
  <c r="Z259" i="16"/>
  <c r="AA14" i="16"/>
  <c r="Z181" i="16"/>
  <c r="Z179" i="16"/>
  <c r="Z260" i="16"/>
  <c r="Z177" i="16"/>
  <c r="Z175" i="16"/>
  <c r="Z14" i="16"/>
  <c r="Y259" i="16"/>
  <c r="Y181" i="16"/>
  <c r="Y179" i="16"/>
  <c r="Y177" i="16"/>
  <c r="Y175" i="16"/>
  <c r="Y260" i="16"/>
  <c r="X259" i="16"/>
  <c r="Y14" i="16"/>
  <c r="X181" i="16"/>
  <c r="X179" i="16"/>
  <c r="X177" i="16"/>
  <c r="X175" i="16"/>
  <c r="X14" i="16"/>
  <c r="W259" i="16"/>
  <c r="W181" i="16"/>
  <c r="W179" i="16"/>
  <c r="W177" i="16"/>
  <c r="W175" i="16"/>
  <c r="V259" i="16"/>
  <c r="W14" i="16"/>
  <c r="V181" i="16"/>
  <c r="V179" i="16"/>
  <c r="V260" i="16"/>
  <c r="V177" i="16"/>
  <c r="V175" i="16"/>
  <c r="U259" i="16"/>
  <c r="V14" i="16"/>
  <c r="U181" i="16"/>
  <c r="U179" i="16"/>
  <c r="U177" i="16"/>
  <c r="U260" i="16"/>
  <c r="U175" i="16"/>
  <c r="U14" i="16"/>
  <c r="T259" i="16"/>
  <c r="T181" i="16"/>
  <c r="T179" i="16"/>
  <c r="T177" i="16"/>
  <c r="T175" i="16"/>
  <c r="S260" i="16"/>
  <c r="T14" i="16"/>
  <c r="S259" i="16"/>
  <c r="S181" i="16"/>
  <c r="S179" i="16"/>
  <c r="S177" i="16"/>
  <c r="S175" i="16"/>
  <c r="R259" i="16"/>
  <c r="S14" i="16"/>
  <c r="R181" i="16"/>
  <c r="R179" i="16"/>
  <c r="R177" i="16"/>
  <c r="R260" i="16"/>
  <c r="R175" i="16"/>
  <c r="Q259" i="16"/>
  <c r="R14" i="16"/>
  <c r="Q181" i="16"/>
  <c r="Q179" i="16"/>
  <c r="Q177" i="16"/>
  <c r="Q175" i="16"/>
  <c r="P259" i="16"/>
  <c r="Q14" i="16"/>
  <c r="P181" i="16"/>
  <c r="P179" i="16"/>
  <c r="P177" i="16"/>
  <c r="P175" i="16"/>
  <c r="P14" i="16"/>
  <c r="O259" i="16"/>
  <c r="O181" i="16"/>
  <c r="O260" i="16"/>
  <c r="O179" i="16"/>
  <c r="O177" i="16"/>
  <c r="O175" i="16"/>
  <c r="N259" i="16"/>
  <c r="O14" i="16"/>
  <c r="N181" i="16"/>
  <c r="N179" i="16"/>
  <c r="N260" i="16"/>
  <c r="N177" i="16"/>
  <c r="N175" i="16"/>
  <c r="M259" i="16"/>
  <c r="N14" i="16"/>
  <c r="M181" i="16"/>
  <c r="M179" i="16"/>
  <c r="M177" i="16"/>
  <c r="M260" i="16"/>
  <c r="M175" i="16"/>
  <c r="L259" i="16"/>
  <c r="M14" i="16"/>
  <c r="L181" i="16"/>
  <c r="L179" i="16"/>
  <c r="L177" i="16"/>
  <c r="L175" i="16"/>
  <c r="K260" i="16"/>
  <c r="L14" i="16"/>
  <c r="K259" i="16"/>
  <c r="K181" i="16"/>
  <c r="K179" i="16"/>
  <c r="K177" i="16"/>
  <c r="K175" i="16"/>
  <c r="J259" i="16"/>
  <c r="K14" i="16"/>
  <c r="J181" i="16"/>
  <c r="J179" i="16"/>
  <c r="J260" i="16"/>
  <c r="J177" i="16"/>
  <c r="J175" i="16"/>
  <c r="I259" i="16"/>
  <c r="J14" i="16"/>
  <c r="I181" i="16"/>
  <c r="I179" i="16"/>
  <c r="I177" i="16"/>
  <c r="I175" i="16"/>
  <c r="H259" i="16"/>
  <c r="I14" i="16"/>
  <c r="H181" i="16"/>
  <c r="H179" i="16"/>
  <c r="H177" i="16"/>
  <c r="H175" i="16"/>
  <c r="G260" i="16"/>
  <c r="H14" i="16"/>
  <c r="G259" i="16"/>
  <c r="G181" i="16"/>
  <c r="G179" i="16"/>
  <c r="G177" i="16"/>
  <c r="G175" i="16"/>
  <c r="F259" i="16"/>
  <c r="G14" i="16"/>
  <c r="F181" i="16"/>
  <c r="F179" i="16"/>
  <c r="F177" i="16"/>
  <c r="F175" i="16"/>
  <c r="E259" i="16"/>
  <c r="F14" i="16"/>
  <c r="E181" i="16"/>
  <c r="E179" i="16"/>
  <c r="E260" i="16"/>
  <c r="E177" i="16"/>
  <c r="E175" i="16"/>
  <c r="E14" i="16"/>
  <c r="D181" i="16"/>
  <c r="D179" i="16"/>
  <c r="D177" i="16"/>
  <c r="D175" i="16"/>
  <c r="D260" i="16"/>
  <c r="AY14" i="17"/>
  <c r="AY15" i="17"/>
  <c r="AY16" i="17"/>
  <c r="AY10" i="17"/>
  <c r="AY13" i="17"/>
  <c r="AY17" i="17"/>
  <c r="AY29" i="17"/>
  <c r="AX14" i="17"/>
  <c r="AX15" i="17"/>
  <c r="AX16" i="17"/>
  <c r="AX17" i="17"/>
  <c r="AX29" i="17"/>
  <c r="AW14" i="17"/>
  <c r="AW15" i="17"/>
  <c r="AW16" i="17"/>
  <c r="AW17" i="17"/>
  <c r="AW29" i="17"/>
  <c r="AV14" i="17"/>
  <c r="AV10" i="17"/>
  <c r="AV13" i="17"/>
  <c r="AV15" i="17"/>
  <c r="AV16" i="17"/>
  <c r="AV17" i="17"/>
  <c r="AV29" i="17"/>
  <c r="AU14" i="17"/>
  <c r="AU15" i="17"/>
  <c r="AU16" i="17"/>
  <c r="AU17" i="17"/>
  <c r="AU29" i="17"/>
  <c r="AT14" i="17"/>
  <c r="AT15" i="17"/>
  <c r="AT16" i="17"/>
  <c r="AT17" i="17"/>
  <c r="AT29" i="17"/>
  <c r="AS14" i="17"/>
  <c r="AS10" i="17"/>
  <c r="AS15" i="17"/>
  <c r="AS16" i="17"/>
  <c r="AS13" i="17"/>
  <c r="AS17" i="17"/>
  <c r="AS29" i="17"/>
  <c r="AR14" i="17"/>
  <c r="AR15" i="17"/>
  <c r="AR16" i="17"/>
  <c r="AR17" i="17"/>
  <c r="AR29" i="17"/>
  <c r="AQ14" i="17"/>
  <c r="AQ15" i="17"/>
  <c r="AQ10" i="17"/>
  <c r="AQ13" i="17"/>
  <c r="AQ16" i="17"/>
  <c r="AQ17" i="17"/>
  <c r="AQ29" i="17"/>
  <c r="AP14" i="17"/>
  <c r="AP15" i="17"/>
  <c r="AP16" i="17"/>
  <c r="AP10" i="17"/>
  <c r="AP13" i="17"/>
  <c r="AP17" i="17"/>
  <c r="AP29" i="17"/>
  <c r="AO14" i="17"/>
  <c r="AO15" i="17"/>
  <c r="AO10" i="17"/>
  <c r="AO13" i="17"/>
  <c r="AO16" i="17"/>
  <c r="AO17" i="17"/>
  <c r="AO29" i="17"/>
  <c r="AN14" i="17"/>
  <c r="AN15" i="17"/>
  <c r="AN16" i="17"/>
  <c r="AN10" i="17"/>
  <c r="AN13" i="17"/>
  <c r="AN17" i="17"/>
  <c r="AN29" i="17"/>
  <c r="AM14" i="17"/>
  <c r="AM15" i="17"/>
  <c r="AM10" i="17"/>
  <c r="AM13" i="17"/>
  <c r="AM16" i="17"/>
  <c r="AM17" i="17"/>
  <c r="AM29" i="17"/>
  <c r="AL14" i="17"/>
  <c r="AL15" i="17"/>
  <c r="AL16" i="17"/>
  <c r="AL10" i="17"/>
  <c r="AL13" i="17"/>
  <c r="AL17" i="17"/>
  <c r="AL29" i="17"/>
  <c r="AK14" i="17"/>
  <c r="AK15" i="17"/>
  <c r="AK10" i="17"/>
  <c r="AK13" i="17"/>
  <c r="AK16" i="17"/>
  <c r="AK17" i="17"/>
  <c r="AK29" i="17"/>
  <c r="AJ14" i="17"/>
  <c r="AJ15" i="17"/>
  <c r="AJ16" i="17"/>
  <c r="AJ10" i="17"/>
  <c r="AJ13" i="17"/>
  <c r="AJ17" i="17"/>
  <c r="AJ29" i="17"/>
  <c r="AI14" i="17"/>
  <c r="AI15" i="17"/>
  <c r="AI10" i="17"/>
  <c r="AI13" i="17"/>
  <c r="AI16" i="17"/>
  <c r="AI17" i="17"/>
  <c r="AI29" i="17"/>
  <c r="AH14" i="17"/>
  <c r="AH15" i="17"/>
  <c r="AH16" i="17"/>
  <c r="AH10" i="17"/>
  <c r="AH13" i="17"/>
  <c r="AH17" i="17"/>
  <c r="AH29" i="17"/>
  <c r="AG14" i="17"/>
  <c r="AG15" i="17"/>
  <c r="AG10" i="17"/>
  <c r="AG13" i="17"/>
  <c r="AG16" i="17"/>
  <c r="AG17" i="17"/>
  <c r="AG29" i="17"/>
  <c r="AF14" i="17"/>
  <c r="AF15" i="17"/>
  <c r="AF16" i="17"/>
  <c r="AF10" i="17"/>
  <c r="AF13" i="17"/>
  <c r="AF17" i="17"/>
  <c r="AF29" i="17"/>
  <c r="AE14" i="17"/>
  <c r="AE15" i="17"/>
  <c r="AE10" i="17"/>
  <c r="AE13" i="17"/>
  <c r="AE16" i="17"/>
  <c r="AE17" i="17"/>
  <c r="AE29" i="17"/>
  <c r="AD14" i="17"/>
  <c r="AD15" i="17"/>
  <c r="AD16" i="17"/>
  <c r="AD10" i="17"/>
  <c r="AD13" i="17"/>
  <c r="AD17" i="17"/>
  <c r="AD29" i="17"/>
  <c r="AC14" i="17"/>
  <c r="AC15" i="17"/>
  <c r="AC10" i="17"/>
  <c r="AC13" i="17"/>
  <c r="AC16" i="17"/>
  <c r="AC17" i="17"/>
  <c r="AC29" i="17"/>
  <c r="AB14" i="17"/>
  <c r="AB15" i="17"/>
  <c r="AB16" i="17"/>
  <c r="AB10" i="17"/>
  <c r="AB13" i="17"/>
  <c r="AB17" i="17"/>
  <c r="AB29" i="17"/>
  <c r="AA14" i="17"/>
  <c r="AA15" i="17"/>
  <c r="AA16" i="17"/>
  <c r="AA10" i="17"/>
  <c r="AA13" i="17"/>
  <c r="AA17" i="17"/>
  <c r="AA29" i="17"/>
  <c r="Z14" i="17"/>
  <c r="Z15" i="17"/>
  <c r="Z16" i="17"/>
  <c r="Z10" i="17"/>
  <c r="Z13" i="17"/>
  <c r="Z17" i="17"/>
  <c r="Z29" i="17"/>
  <c r="Y14" i="17"/>
  <c r="Y15" i="17"/>
  <c r="Y16" i="17"/>
  <c r="Y10" i="17"/>
  <c r="Y13" i="17"/>
  <c r="Y17" i="17"/>
  <c r="Y29" i="17"/>
  <c r="X14" i="17"/>
  <c r="X15" i="17"/>
  <c r="X16" i="17"/>
  <c r="X10" i="17"/>
  <c r="X13" i="17"/>
  <c r="Y21" i="17"/>
  <c r="X17" i="17"/>
  <c r="X29" i="17"/>
  <c r="W14" i="17"/>
  <c r="W15" i="17"/>
  <c r="W16" i="17"/>
  <c r="W10" i="17"/>
  <c r="W13" i="17"/>
  <c r="W17" i="17"/>
  <c r="W29" i="17"/>
  <c r="V14" i="17"/>
  <c r="V15" i="17"/>
  <c r="V16" i="17"/>
  <c r="V10" i="17"/>
  <c r="V13" i="17"/>
  <c r="V17" i="17"/>
  <c r="V29" i="17"/>
  <c r="U14" i="17"/>
  <c r="U15" i="17"/>
  <c r="U16" i="17"/>
  <c r="U10" i="17"/>
  <c r="U13" i="17"/>
  <c r="U17" i="17"/>
  <c r="U29" i="17"/>
  <c r="T14" i="17"/>
  <c r="T15" i="17"/>
  <c r="T16" i="17"/>
  <c r="T10" i="17"/>
  <c r="T13" i="17"/>
  <c r="U21" i="17"/>
  <c r="T17" i="17"/>
  <c r="T29" i="17"/>
  <c r="S14" i="17"/>
  <c r="S15" i="17"/>
  <c r="S16" i="17"/>
  <c r="S10" i="17"/>
  <c r="S13" i="17"/>
  <c r="S17" i="17"/>
  <c r="S29" i="17"/>
  <c r="R14" i="17"/>
  <c r="R15" i="17"/>
  <c r="R16" i="17"/>
  <c r="R10" i="17"/>
  <c r="R13" i="17"/>
  <c r="R17" i="17"/>
  <c r="R29" i="17"/>
  <c r="Q15" i="17"/>
  <c r="Q21" i="17"/>
  <c r="Q22" i="17"/>
  <c r="Q56" i="17"/>
  <c r="Q24" i="17"/>
  <c r="Q29" i="17"/>
  <c r="Q34" i="17"/>
  <c r="Q40" i="17"/>
  <c r="Q45" i="17"/>
  <c r="Q51" i="17"/>
  <c r="Q62" i="17"/>
  <c r="P14" i="17"/>
  <c r="P15" i="17"/>
  <c r="Q16" i="17"/>
  <c r="P16" i="17"/>
  <c r="Q17" i="17"/>
  <c r="P10" i="17"/>
  <c r="P13" i="17"/>
  <c r="Q14" i="17"/>
  <c r="Q10" i="17"/>
  <c r="Q13" i="17"/>
  <c r="P17" i="17"/>
  <c r="P29" i="17"/>
  <c r="O14" i="17"/>
  <c r="O15" i="17"/>
  <c r="O10" i="17"/>
  <c r="O13" i="17"/>
  <c r="O16" i="17"/>
  <c r="O17" i="17"/>
  <c r="O21" i="17"/>
  <c r="O29" i="17"/>
  <c r="N14" i="17"/>
  <c r="N15" i="17"/>
  <c r="N16" i="17"/>
  <c r="N10" i="17"/>
  <c r="N13" i="17"/>
  <c r="N17" i="17"/>
  <c r="N29" i="17"/>
  <c r="M16" i="17"/>
  <c r="M21" i="17"/>
  <c r="M23" i="17"/>
  <c r="M22" i="17"/>
  <c r="M29" i="17"/>
  <c r="M33" i="17"/>
  <c r="M39" i="17"/>
  <c r="M44" i="17"/>
  <c r="M55" i="17"/>
  <c r="L15" i="17"/>
  <c r="L17" i="17"/>
  <c r="L21" i="17"/>
  <c r="L22" i="17"/>
  <c r="L56" i="17"/>
  <c r="L24" i="17"/>
  <c r="L29" i="17"/>
  <c r="L34" i="17"/>
  <c r="L40" i="17"/>
  <c r="L45" i="17"/>
  <c r="L51" i="17"/>
  <c r="L62" i="17"/>
  <c r="K14" i="17"/>
  <c r="K15" i="17"/>
  <c r="K16" i="17"/>
  <c r="K17" i="17"/>
  <c r="K29" i="17"/>
  <c r="J14" i="17"/>
  <c r="J15" i="17"/>
  <c r="J16" i="17"/>
  <c r="J10" i="17"/>
  <c r="J13" i="17"/>
  <c r="J17" i="17"/>
  <c r="J29" i="17"/>
  <c r="I14" i="17"/>
  <c r="I15" i="17"/>
  <c r="I10" i="17"/>
  <c r="I13" i="17"/>
  <c r="I16" i="17"/>
  <c r="I17" i="17"/>
  <c r="I21" i="17"/>
  <c r="I33" i="17"/>
  <c r="I29" i="17"/>
  <c r="H14" i="17"/>
  <c r="H15" i="17"/>
  <c r="H16" i="17"/>
  <c r="H10" i="17"/>
  <c r="H13" i="17"/>
  <c r="H17" i="17"/>
  <c r="H29" i="17"/>
  <c r="G14" i="17"/>
  <c r="G10" i="17"/>
  <c r="G13" i="17"/>
  <c r="G15" i="17"/>
  <c r="G16" i="17"/>
  <c r="G17" i="17"/>
  <c r="G29" i="17"/>
  <c r="F14" i="17"/>
  <c r="F15" i="17"/>
  <c r="F16" i="17"/>
  <c r="F17" i="17"/>
  <c r="F29" i="17"/>
  <c r="E14" i="17"/>
  <c r="E10" i="17"/>
  <c r="E13" i="17"/>
  <c r="E15" i="17"/>
  <c r="E16" i="17"/>
  <c r="E17" i="17"/>
  <c r="E29" i="17"/>
  <c r="D14" i="17"/>
  <c r="D15" i="17"/>
  <c r="D16" i="17"/>
  <c r="D17" i="17"/>
  <c r="D27" i="17"/>
  <c r="D29" i="17"/>
  <c r="D30" i="17"/>
  <c r="AY14" i="18"/>
  <c r="AY15" i="18"/>
  <c r="AY16" i="18"/>
  <c r="AY10" i="18"/>
  <c r="AY13" i="18"/>
  <c r="AY17" i="18"/>
  <c r="AY29" i="18"/>
  <c r="AX14" i="18"/>
  <c r="AX15" i="18"/>
  <c r="AX16" i="18"/>
  <c r="AX17" i="18"/>
  <c r="AX29" i="18"/>
  <c r="AW14" i="18"/>
  <c r="AW15" i="18"/>
  <c r="AW16" i="18"/>
  <c r="AW10" i="18"/>
  <c r="AW13" i="18"/>
  <c r="AW17" i="18"/>
  <c r="AW29" i="18"/>
  <c r="AV14" i="18"/>
  <c r="AV15" i="18"/>
  <c r="AV16" i="18"/>
  <c r="AV17" i="18"/>
  <c r="AV29" i="18"/>
  <c r="AU14" i="18"/>
  <c r="AU15" i="18"/>
  <c r="AU16" i="18"/>
  <c r="AU10" i="18"/>
  <c r="AU13" i="18"/>
  <c r="AU17" i="18"/>
  <c r="AU29" i="18"/>
  <c r="AT14" i="18"/>
  <c r="AT10" i="18"/>
  <c r="AT13" i="18"/>
  <c r="AT15" i="18"/>
  <c r="AT16" i="18"/>
  <c r="AT17" i="18"/>
  <c r="AT29" i="18"/>
  <c r="AS14" i="18"/>
  <c r="AS15" i="18"/>
  <c r="AS16" i="18"/>
  <c r="AS10" i="18"/>
  <c r="AS13" i="18"/>
  <c r="AS17" i="18"/>
  <c r="AS29" i="18"/>
  <c r="AR14" i="18"/>
  <c r="AR15" i="18"/>
  <c r="AR16" i="18"/>
  <c r="AR17" i="18"/>
  <c r="AR29" i="18"/>
  <c r="AQ14" i="18"/>
  <c r="AQ15" i="18"/>
  <c r="AQ16" i="18"/>
  <c r="AQ10" i="18"/>
  <c r="AQ13" i="18"/>
  <c r="AQ17" i="18"/>
  <c r="AQ29" i="18"/>
  <c r="AP14" i="18"/>
  <c r="AP15" i="18"/>
  <c r="AP16" i="18"/>
  <c r="AP17" i="18"/>
  <c r="AP29" i="18"/>
  <c r="AO14" i="18"/>
  <c r="AO15" i="18"/>
  <c r="AO16" i="18"/>
  <c r="AO10" i="18"/>
  <c r="AO13" i="18"/>
  <c r="AO17" i="18"/>
  <c r="AO29" i="18"/>
  <c r="AN15" i="18"/>
  <c r="AN17" i="18"/>
  <c r="AN21" i="18"/>
  <c r="AN22" i="18"/>
  <c r="AN34" i="18"/>
  <c r="AN23" i="18"/>
  <c r="AN24" i="18"/>
  <c r="AN29" i="18"/>
  <c r="AN33" i="18"/>
  <c r="AN35" i="18"/>
  <c r="AN39" i="18"/>
  <c r="AN40" i="18"/>
  <c r="AN44" i="18"/>
  <c r="AN45" i="18"/>
  <c r="AN51" i="18"/>
  <c r="AN46" i="18"/>
  <c r="AN50" i="18"/>
  <c r="AN55" i="18"/>
  <c r="AN61" i="18"/>
  <c r="AN56" i="18"/>
  <c r="AN62" i="18"/>
  <c r="AN57" i="18"/>
  <c r="AM14" i="18"/>
  <c r="AM10" i="18"/>
  <c r="AM13" i="18"/>
  <c r="AN14" i="18"/>
  <c r="AN10" i="18"/>
  <c r="AN13" i="18"/>
  <c r="AM15" i="18"/>
  <c r="AN16" i="18"/>
  <c r="AM16" i="18"/>
  <c r="AM17" i="18"/>
  <c r="AM29" i="18"/>
  <c r="AL14" i="18"/>
  <c r="AL10" i="18"/>
  <c r="AL13" i="18"/>
  <c r="AL15" i="18"/>
  <c r="AL16" i="18"/>
  <c r="AL17" i="18"/>
  <c r="AL29" i="18"/>
  <c r="AK14" i="18"/>
  <c r="AK15" i="18"/>
  <c r="AK16" i="18"/>
  <c r="AK17" i="18"/>
  <c r="AK29" i="18"/>
  <c r="AJ14" i="18"/>
  <c r="AJ10" i="18"/>
  <c r="AJ13" i="18"/>
  <c r="AJ15" i="18"/>
  <c r="AJ16" i="18"/>
  <c r="AJ17" i="18"/>
  <c r="AJ29" i="18"/>
  <c r="AI14" i="18"/>
  <c r="AI15" i="18"/>
  <c r="AI16" i="18"/>
  <c r="AI17" i="18"/>
  <c r="AI29" i="18"/>
  <c r="AH14" i="18"/>
  <c r="AH10" i="18"/>
  <c r="AH13" i="18"/>
  <c r="AH15" i="18"/>
  <c r="AH16" i="18"/>
  <c r="AH17" i="18"/>
  <c r="AH29" i="18"/>
  <c r="AG14" i="18"/>
  <c r="AG15" i="18"/>
  <c r="AG16" i="18"/>
  <c r="AG17" i="18"/>
  <c r="AG29" i="18"/>
  <c r="AF14" i="18"/>
  <c r="AF15" i="18"/>
  <c r="AF16" i="18"/>
  <c r="AF10" i="18"/>
  <c r="AF13" i="18"/>
  <c r="AF17" i="18"/>
  <c r="AF29" i="18"/>
  <c r="AE14" i="18"/>
  <c r="AE10" i="18"/>
  <c r="AE13" i="18"/>
  <c r="AE15" i="18"/>
  <c r="AE16" i="18"/>
  <c r="AE17" i="18"/>
  <c r="AE29" i="18"/>
  <c r="AD14" i="18"/>
  <c r="AD10" i="18"/>
  <c r="AD13" i="18"/>
  <c r="AD15" i="18"/>
  <c r="AD16" i="18"/>
  <c r="AD17" i="18"/>
  <c r="AD29" i="18"/>
  <c r="AC14" i="18"/>
  <c r="AC15" i="18"/>
  <c r="AC16" i="18"/>
  <c r="AC17" i="18"/>
  <c r="AC29" i="18"/>
  <c r="AB14" i="18"/>
  <c r="AB10" i="18"/>
  <c r="AB13" i="18"/>
  <c r="AB15" i="18"/>
  <c r="AB16" i="18"/>
  <c r="AB17" i="18"/>
  <c r="AB29" i="18"/>
  <c r="AA14" i="18"/>
  <c r="AA15" i="18"/>
  <c r="AA16" i="18"/>
  <c r="AA17" i="18"/>
  <c r="AA29" i="18"/>
  <c r="Z14" i="18"/>
  <c r="Z10" i="18"/>
  <c r="Z13" i="18"/>
  <c r="Z15" i="18"/>
  <c r="Z16" i="18"/>
  <c r="Z17" i="18"/>
  <c r="Z29" i="18"/>
  <c r="Y14" i="18"/>
  <c r="Y15" i="18"/>
  <c r="Y16" i="18"/>
  <c r="Y17" i="18"/>
  <c r="Y29" i="18"/>
  <c r="X14" i="18"/>
  <c r="X15" i="18"/>
  <c r="X16" i="18"/>
  <c r="X10" i="18"/>
  <c r="X13" i="18"/>
  <c r="X17" i="18"/>
  <c r="X29" i="18"/>
  <c r="W14" i="18"/>
  <c r="W10" i="18"/>
  <c r="W13" i="18"/>
  <c r="W15" i="18"/>
  <c r="W16" i="18"/>
  <c r="W17" i="18"/>
  <c r="W29" i="18"/>
  <c r="V14" i="18"/>
  <c r="V10" i="18"/>
  <c r="V13" i="18"/>
  <c r="V15" i="18"/>
  <c r="V16" i="18"/>
  <c r="V17" i="18"/>
  <c r="V29" i="18"/>
  <c r="U14" i="18"/>
  <c r="U15" i="18"/>
  <c r="U16" i="18"/>
  <c r="U17" i="18"/>
  <c r="U29" i="18"/>
  <c r="T17" i="18"/>
  <c r="T21" i="18"/>
  <c r="T22" i="18"/>
  <c r="T34" i="18"/>
  <c r="T23" i="18"/>
  <c r="T24" i="18"/>
  <c r="T29" i="18"/>
  <c r="T33" i="18"/>
  <c r="T39" i="18"/>
  <c r="T35" i="18"/>
  <c r="T40" i="18"/>
  <c r="T44" i="18"/>
  <c r="T45" i="18"/>
  <c r="T50" i="18"/>
  <c r="T55" i="18"/>
  <c r="T56" i="18"/>
  <c r="T62" i="18"/>
  <c r="S14" i="18"/>
  <c r="T15" i="18"/>
  <c r="S15" i="18"/>
  <c r="T16" i="18"/>
  <c r="S16" i="18"/>
  <c r="S17" i="18"/>
  <c r="S29" i="18"/>
  <c r="R14" i="18"/>
  <c r="R15" i="18"/>
  <c r="R16" i="18"/>
  <c r="R10" i="18"/>
  <c r="R13" i="18"/>
  <c r="R17" i="18"/>
  <c r="R29" i="18"/>
  <c r="Q14" i="18"/>
  <c r="Q10" i="18"/>
  <c r="Q13" i="18"/>
  <c r="Q15" i="18"/>
  <c r="Q16" i="18"/>
  <c r="Q17" i="18"/>
  <c r="Q29" i="18"/>
  <c r="P14" i="18"/>
  <c r="P10" i="18"/>
  <c r="P13" i="18"/>
  <c r="P15" i="18"/>
  <c r="P16" i="18"/>
  <c r="P17" i="18"/>
  <c r="P29" i="18"/>
  <c r="O14" i="18"/>
  <c r="O10" i="18"/>
  <c r="O13" i="18"/>
  <c r="O15" i="18"/>
  <c r="O16" i="18"/>
  <c r="O17" i="18"/>
  <c r="O29" i="18"/>
  <c r="N14" i="18"/>
  <c r="N15" i="18"/>
  <c r="N16" i="18"/>
  <c r="N10" i="18"/>
  <c r="N13" i="18"/>
  <c r="N17" i="18"/>
  <c r="N29" i="18"/>
  <c r="M14" i="18"/>
  <c r="M10" i="18"/>
  <c r="M13" i="18"/>
  <c r="M15" i="18"/>
  <c r="M16" i="18"/>
  <c r="M17" i="18"/>
  <c r="M29" i="18"/>
  <c r="L14" i="18"/>
  <c r="L10" i="18"/>
  <c r="L13" i="18"/>
  <c r="L15" i="18"/>
  <c r="L16" i="18"/>
  <c r="L17" i="18"/>
  <c r="L29" i="18"/>
  <c r="K14" i="18"/>
  <c r="K10" i="18"/>
  <c r="K13" i="18"/>
  <c r="K15" i="18"/>
  <c r="K16" i="18"/>
  <c r="K17" i="18"/>
  <c r="K29" i="18"/>
  <c r="J14" i="18"/>
  <c r="J15" i="18"/>
  <c r="J16" i="18"/>
  <c r="J10" i="18"/>
  <c r="J13" i="18"/>
  <c r="J17" i="18"/>
  <c r="J29" i="18"/>
  <c r="I14" i="18"/>
  <c r="I10" i="18"/>
  <c r="I13" i="18"/>
  <c r="I15" i="18"/>
  <c r="I16" i="18"/>
  <c r="I17" i="18"/>
  <c r="I29" i="18"/>
  <c r="H14" i="18"/>
  <c r="H10" i="18"/>
  <c r="H13" i="18"/>
  <c r="H15" i="18"/>
  <c r="H16" i="18"/>
  <c r="H17" i="18"/>
  <c r="H29" i="18"/>
  <c r="G14" i="18"/>
  <c r="G10" i="18"/>
  <c r="G13" i="18"/>
  <c r="G15" i="18"/>
  <c r="G16" i="18"/>
  <c r="G17" i="18"/>
  <c r="G29" i="18"/>
  <c r="F14" i="18"/>
  <c r="F15" i="18"/>
  <c r="F16" i="18"/>
  <c r="F10" i="18"/>
  <c r="F13" i="18"/>
  <c r="F17" i="18"/>
  <c r="F29" i="18"/>
  <c r="E14" i="18"/>
  <c r="E10" i="18"/>
  <c r="E13" i="18"/>
  <c r="E15" i="18"/>
  <c r="E16" i="18"/>
  <c r="E17" i="18"/>
  <c r="E29" i="18"/>
  <c r="D14" i="18"/>
  <c r="D10" i="18"/>
  <c r="D15" i="18"/>
  <c r="D16" i="18"/>
  <c r="D17" i="18"/>
  <c r="D21" i="18"/>
  <c r="D22" i="18"/>
  <c r="D23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D29" i="18"/>
  <c r="D30" i="18"/>
  <c r="D44" i="18"/>
  <c r="D50" i="18"/>
  <c r="D55" i="18"/>
  <c r="B21" i="17"/>
  <c r="D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8"/>
  <c r="F21" i="18"/>
  <c r="F22" i="18"/>
  <c r="AG21" i="18"/>
  <c r="AG22" i="18"/>
  <c r="J21" i="18"/>
  <c r="J22" i="18"/>
  <c r="AO21" i="18"/>
  <c r="AO22" i="18"/>
  <c r="I21" i="18"/>
  <c r="I22" i="18"/>
  <c r="K21" i="18"/>
  <c r="K22" i="18"/>
  <c r="L21" i="18"/>
  <c r="L22" i="18"/>
  <c r="AA21" i="18"/>
  <c r="AA22" i="18"/>
  <c r="AE21" i="18"/>
  <c r="AE22" i="18"/>
  <c r="M21" i="18"/>
  <c r="M22" i="18"/>
  <c r="O21" i="18"/>
  <c r="O22" i="18"/>
  <c r="P21" i="18"/>
  <c r="P22" i="18"/>
  <c r="AI21" i="18"/>
  <c r="AI22" i="18"/>
  <c r="AM21" i="18"/>
  <c r="AM22" i="18"/>
  <c r="AU21" i="18"/>
  <c r="AU22" i="18"/>
  <c r="F21" i="17"/>
  <c r="F22" i="17"/>
  <c r="N21" i="18"/>
  <c r="N22" i="18"/>
  <c r="Q21" i="18"/>
  <c r="Q22" i="18"/>
  <c r="S21" i="18"/>
  <c r="S22" i="18"/>
  <c r="AC21" i="18"/>
  <c r="AC22" i="18"/>
  <c r="D13" i="18"/>
  <c r="G21" i="18"/>
  <c r="G22" i="18"/>
  <c r="H21" i="18"/>
  <c r="H22" i="18"/>
  <c r="R21" i="18"/>
  <c r="R22" i="18"/>
  <c r="W21" i="18"/>
  <c r="W22" i="18"/>
  <c r="Y21" i="18"/>
  <c r="Y22" i="18"/>
  <c r="AK21" i="18"/>
  <c r="AK22" i="18"/>
  <c r="H21" i="17"/>
  <c r="I39" i="17"/>
  <c r="R21" i="17"/>
  <c r="D57" i="18"/>
  <c r="D61" i="18"/>
  <c r="AT21" i="18"/>
  <c r="AT22" i="18"/>
  <c r="D44" i="17"/>
  <c r="D23" i="17"/>
  <c r="D55" i="17"/>
  <c r="D33" i="17"/>
  <c r="M30" i="18"/>
  <c r="T51" i="18"/>
  <c r="T46" i="18"/>
  <c r="U10" i="18"/>
  <c r="U13" i="18"/>
  <c r="AK10" i="18"/>
  <c r="AK13" i="18"/>
  <c r="F10" i="17"/>
  <c r="F13" i="17"/>
  <c r="I44" i="17"/>
  <c r="O22" i="17"/>
  <c r="AB21" i="17"/>
  <c r="D24" i="18"/>
  <c r="D34" i="18"/>
  <c r="D40" i="18"/>
  <c r="AP21" i="18"/>
  <c r="AP22" i="18"/>
  <c r="AX21" i="18"/>
  <c r="AX22" i="18"/>
  <c r="AX10" i="18"/>
  <c r="AX13" i="18"/>
  <c r="D10" i="17"/>
  <c r="I22" i="17"/>
  <c r="L16" i="17"/>
  <c r="M17" i="17"/>
  <c r="AZ17" i="17"/>
  <c r="K10" i="17"/>
  <c r="K13" i="17"/>
  <c r="L14" i="17"/>
  <c r="AO21" i="17"/>
  <c r="BA14" i="16"/>
  <c r="D259" i="16"/>
  <c r="AZ259" i="16"/>
  <c r="U27" i="18"/>
  <c r="T30" i="18"/>
  <c r="H30" i="18"/>
  <c r="L30" i="18"/>
  <c r="P30" i="18"/>
  <c r="X21" i="18"/>
  <c r="X22" i="18"/>
  <c r="AF21" i="18"/>
  <c r="AF22" i="18"/>
  <c r="I23" i="17"/>
  <c r="I55" i="17"/>
  <c r="O23" i="17"/>
  <c r="O33" i="17"/>
  <c r="O44" i="17"/>
  <c r="O55" i="17"/>
  <c r="S22" i="17"/>
  <c r="U23" i="17"/>
  <c r="U33" i="17"/>
  <c r="U55" i="17"/>
  <c r="W22" i="17"/>
  <c r="Y23" i="17"/>
  <c r="Y33" i="17"/>
  <c r="Y55" i="17"/>
  <c r="AA22" i="17"/>
  <c r="AC22" i="17"/>
  <c r="E30" i="18"/>
  <c r="I30" i="18"/>
  <c r="Q30" i="18"/>
  <c r="S10" i="18"/>
  <c r="S13" i="18"/>
  <c r="T14" i="18"/>
  <c r="T10" i="18"/>
  <c r="T13" i="18"/>
  <c r="AC10" i="18"/>
  <c r="AC13" i="18"/>
  <c r="AR21" i="18"/>
  <c r="AR22" i="18"/>
  <c r="AR10" i="18"/>
  <c r="AR13" i="18"/>
  <c r="E27" i="17"/>
  <c r="K22" i="17"/>
  <c r="M50" i="17"/>
  <c r="T21" i="17"/>
  <c r="U44" i="17"/>
  <c r="X21" i="17"/>
  <c r="Y44" i="17"/>
  <c r="AG21" i="17"/>
  <c r="AM22" i="17"/>
  <c r="AM21" i="17"/>
  <c r="D45" i="18"/>
  <c r="F30" i="18"/>
  <c r="J30" i="18"/>
  <c r="N30" i="18"/>
  <c r="R30" i="18"/>
  <c r="AA10" i="18"/>
  <c r="AA13" i="18"/>
  <c r="AI10" i="18"/>
  <c r="AI13" i="18"/>
  <c r="AP10" i="18"/>
  <c r="AP13" i="18"/>
  <c r="D56" i="18"/>
  <c r="D62" i="18"/>
  <c r="G30" i="18"/>
  <c r="K30" i="18"/>
  <c r="O30" i="18"/>
  <c r="S30" i="18"/>
  <c r="T57" i="18"/>
  <c r="T61" i="18"/>
  <c r="Y10" i="18"/>
  <c r="Y13" i="18"/>
  <c r="AG10" i="18"/>
  <c r="AG13" i="18"/>
  <c r="AV21" i="18"/>
  <c r="AV22" i="18"/>
  <c r="AV10" i="18"/>
  <c r="AV13" i="18"/>
  <c r="J22" i="17"/>
  <c r="J21" i="17"/>
  <c r="K21" i="17"/>
  <c r="M61" i="17"/>
  <c r="P21" i="17"/>
  <c r="S21" i="17"/>
  <c r="U22" i="17"/>
  <c r="W21" i="17"/>
  <c r="AA21" i="17"/>
  <c r="AC21" i="17"/>
  <c r="AE22" i="17"/>
  <c r="AE21" i="17"/>
  <c r="AI21" i="17"/>
  <c r="M56" i="17"/>
  <c r="M62" i="17"/>
  <c r="M24" i="17"/>
  <c r="M34" i="17"/>
  <c r="M45" i="17"/>
  <c r="M51" i="17"/>
  <c r="Q23" i="17"/>
  <c r="Q33" i="17"/>
  <c r="Q44" i="17"/>
  <c r="Q55" i="17"/>
  <c r="V21" i="17"/>
  <c r="Z22" i="17"/>
  <c r="Z21" i="17"/>
  <c r="AF21" i="17"/>
  <c r="AL21" i="17"/>
  <c r="AL22" i="17"/>
  <c r="AQ21" i="17"/>
  <c r="AK22" i="17"/>
  <c r="AN21" i="17"/>
  <c r="D33" i="18"/>
  <c r="AZ17" i="18"/>
  <c r="L23" i="17"/>
  <c r="L33" i="17"/>
  <c r="L44" i="17"/>
  <c r="L55" i="17"/>
  <c r="AD21" i="17"/>
  <c r="AJ21" i="17"/>
  <c r="AJ22" i="17"/>
  <c r="AK21" i="17"/>
  <c r="AT21" i="17"/>
  <c r="BA14" i="15"/>
  <c r="D259" i="15"/>
  <c r="AZ259" i="15"/>
  <c r="AR21" i="17"/>
  <c r="AW22" i="17"/>
  <c r="AW21" i="17"/>
  <c r="AR260" i="15"/>
  <c r="AZ259" i="14"/>
  <c r="W260" i="14"/>
  <c r="AB260" i="14"/>
  <c r="S31" i="20"/>
  <c r="T32" i="20"/>
  <c r="S7" i="20"/>
  <c r="T11" i="20"/>
  <c r="H7" i="20"/>
  <c r="AH21" i="17"/>
  <c r="AP21" i="17"/>
  <c r="AT10" i="17"/>
  <c r="AT13" i="17"/>
  <c r="K260" i="15"/>
  <c r="AZ260" i="15"/>
  <c r="AJ260" i="14"/>
  <c r="AR10" i="17"/>
  <c r="AR13" i="17"/>
  <c r="AW10" i="17"/>
  <c r="AW13" i="17"/>
  <c r="W260" i="16"/>
  <c r="T260" i="14"/>
  <c r="AU10" i="17"/>
  <c r="AU13" i="17"/>
  <c r="AX10" i="17"/>
  <c r="AX13" i="17"/>
  <c r="F260" i="16"/>
  <c r="AZ260" i="16"/>
  <c r="I260" i="16"/>
  <c r="T260" i="16"/>
  <c r="AB260" i="16"/>
  <c r="AG260" i="16"/>
  <c r="G260" i="15"/>
  <c r="S260" i="15"/>
  <c r="D260" i="14"/>
  <c r="BA14" i="14"/>
  <c r="AL260" i="14"/>
  <c r="AO260" i="14"/>
  <c r="L260" i="16"/>
  <c r="Q260" i="16"/>
  <c r="AR260" i="16"/>
  <c r="AW260" i="16"/>
  <c r="AB260" i="15"/>
  <c r="AG260" i="15"/>
  <c r="L260" i="14"/>
  <c r="Q260" i="14"/>
  <c r="AR260" i="14"/>
  <c r="AW260" i="14"/>
  <c r="H260" i="16"/>
  <c r="P260" i="16"/>
  <c r="X260" i="16"/>
  <c r="AF260" i="16"/>
  <c r="AN260" i="16"/>
  <c r="AV260" i="16"/>
  <c r="H260" i="15"/>
  <c r="P260" i="15"/>
  <c r="X260" i="15"/>
  <c r="AF260" i="15"/>
  <c r="AN260" i="15"/>
  <c r="AV260" i="15"/>
  <c r="H260" i="14"/>
  <c r="P260" i="14"/>
  <c r="X260" i="14"/>
  <c r="AF260" i="14"/>
  <c r="AN260" i="14"/>
  <c r="AV260" i="14"/>
  <c r="S40" i="20"/>
  <c r="T43" i="20"/>
  <c r="H9" i="20"/>
  <c r="S10" i="20"/>
  <c r="B22" i="17"/>
  <c r="AN23" i="17"/>
  <c r="AN33" i="17"/>
  <c r="AN55" i="17"/>
  <c r="AN44" i="17"/>
  <c r="W23" i="17"/>
  <c r="W33" i="17"/>
  <c r="W44" i="17"/>
  <c r="W55" i="17"/>
  <c r="J56" i="17"/>
  <c r="J62" i="17"/>
  <c r="J45" i="17"/>
  <c r="J51" i="17"/>
  <c r="J34" i="17"/>
  <c r="J40" i="17"/>
  <c r="J24" i="17"/>
  <c r="M46" i="17"/>
  <c r="V21" i="18"/>
  <c r="V22" i="18"/>
  <c r="F33" i="18"/>
  <c r="F44" i="18"/>
  <c r="F55" i="18"/>
  <c r="F23" i="18"/>
  <c r="T45" i="20"/>
  <c r="AR23" i="17"/>
  <c r="AR44" i="17"/>
  <c r="AR55" i="17"/>
  <c r="AR33" i="17"/>
  <c r="AJ23" i="17"/>
  <c r="AJ44" i="17"/>
  <c r="AJ55" i="17"/>
  <c r="AJ33" i="17"/>
  <c r="L46" i="17"/>
  <c r="L50" i="17"/>
  <c r="AL23" i="17"/>
  <c r="AL33" i="17"/>
  <c r="AL44" i="17"/>
  <c r="AL55" i="17"/>
  <c r="Q46" i="17"/>
  <c r="Q50" i="17"/>
  <c r="AI23" i="17"/>
  <c r="AI33" i="17"/>
  <c r="AI44" i="17"/>
  <c r="AI55" i="17"/>
  <c r="AG23" i="17"/>
  <c r="AG33" i="17"/>
  <c r="AG44" i="17"/>
  <c r="AG55" i="17"/>
  <c r="AR44" i="18"/>
  <c r="AR55" i="18"/>
  <c r="AR23" i="18"/>
  <c r="AR33" i="18"/>
  <c r="W56" i="17"/>
  <c r="W62" i="17"/>
  <c r="W24" i="17"/>
  <c r="W45" i="17"/>
  <c r="W51" i="17"/>
  <c r="W34" i="17"/>
  <c r="W40" i="17"/>
  <c r="AO23" i="17"/>
  <c r="AO33" i="17"/>
  <c r="AO44" i="17"/>
  <c r="AO55" i="17"/>
  <c r="R23" i="17"/>
  <c r="R33" i="17"/>
  <c r="R55" i="17"/>
  <c r="R44" i="17"/>
  <c r="AO34" i="18"/>
  <c r="AO40" i="18"/>
  <c r="AO24" i="18"/>
  <c r="AO56" i="18"/>
  <c r="AO62" i="18"/>
  <c r="AO45" i="18"/>
  <c r="AO51" i="18"/>
  <c r="X22" i="17"/>
  <c r="AR22" i="17"/>
  <c r="AH22" i="17"/>
  <c r="AB22" i="17"/>
  <c r="T22" i="17"/>
  <c r="AP22" i="17"/>
  <c r="D22" i="17"/>
  <c r="AV22" i="17"/>
  <c r="AV21" i="17"/>
  <c r="AS22" i="17"/>
  <c r="AS21" i="17"/>
  <c r="AP23" i="17"/>
  <c r="AP33" i="17"/>
  <c r="AP55" i="17"/>
  <c r="AP44" i="17"/>
  <c r="AT22" i="17"/>
  <c r="AD22" i="17"/>
  <c r="L39" i="17"/>
  <c r="L35" i="17"/>
  <c r="D35" i="18"/>
  <c r="D39" i="18"/>
  <c r="AQ23" i="17"/>
  <c r="AQ33" i="17"/>
  <c r="AQ44" i="17"/>
  <c r="AQ55" i="17"/>
  <c r="AF22" i="17"/>
  <c r="V23" i="17"/>
  <c r="V33" i="17"/>
  <c r="V55" i="17"/>
  <c r="V44" i="17"/>
  <c r="Q39" i="17"/>
  <c r="Q35" i="17"/>
  <c r="AI22" i="17"/>
  <c r="AA23" i="17"/>
  <c r="AA33" i="17"/>
  <c r="AA44" i="17"/>
  <c r="AA55" i="17"/>
  <c r="S23" i="17"/>
  <c r="S33" i="17"/>
  <c r="S44" i="17"/>
  <c r="S55" i="17"/>
  <c r="K23" i="17"/>
  <c r="K55" i="17"/>
  <c r="K33" i="17"/>
  <c r="K44" i="17"/>
  <c r="AW21" i="18"/>
  <c r="AW22" i="18"/>
  <c r="Z21" i="18"/>
  <c r="Z22" i="18"/>
  <c r="AQ21" i="18"/>
  <c r="AQ22" i="18"/>
  <c r="D51" i="18"/>
  <c r="D46" i="18"/>
  <c r="AG22" i="17"/>
  <c r="T23" i="17"/>
  <c r="T33" i="17"/>
  <c r="T55" i="17"/>
  <c r="T44" i="17"/>
  <c r="F27" i="17"/>
  <c r="E30" i="17"/>
  <c r="AD21" i="18"/>
  <c r="AD22" i="18"/>
  <c r="Y61" i="17"/>
  <c r="U61" i="17"/>
  <c r="O57" i="17"/>
  <c r="O61" i="17"/>
  <c r="M57" i="17"/>
  <c r="AF44" i="18"/>
  <c r="AF55" i="18"/>
  <c r="AF33" i="18"/>
  <c r="AF23" i="18"/>
  <c r="AO22" i="17"/>
  <c r="AZ10" i="17"/>
  <c r="D13" i="17"/>
  <c r="AP34" i="18"/>
  <c r="AP40" i="18"/>
  <c r="AP45" i="18"/>
  <c r="AP51" i="18"/>
  <c r="AP56" i="18"/>
  <c r="AP62" i="18"/>
  <c r="AP24" i="18"/>
  <c r="G21" i="17"/>
  <c r="G22" i="17"/>
  <c r="AT44" i="18"/>
  <c r="AT55" i="18"/>
  <c r="AT23" i="18"/>
  <c r="AT33" i="18"/>
  <c r="R22" i="17"/>
  <c r="H22" i="17"/>
  <c r="Y44" i="18"/>
  <c r="Y23" i="18"/>
  <c r="Y33" i="18"/>
  <c r="Y55" i="18"/>
  <c r="R33" i="18"/>
  <c r="R44" i="18"/>
  <c r="R55" i="18"/>
  <c r="R23" i="18"/>
  <c r="G33" i="18"/>
  <c r="G44" i="18"/>
  <c r="G55" i="18"/>
  <c r="G23" i="18"/>
  <c r="AC44" i="18"/>
  <c r="AC23" i="18"/>
  <c r="AC33" i="18"/>
  <c r="AC55" i="18"/>
  <c r="Q33" i="18"/>
  <c r="Q44" i="18"/>
  <c r="Q23" i="18"/>
  <c r="Q55" i="18"/>
  <c r="F44" i="17"/>
  <c r="F23" i="17"/>
  <c r="F33" i="17"/>
  <c r="F55" i="17"/>
  <c r="AM44" i="18"/>
  <c r="AM23" i="18"/>
  <c r="AM33" i="18"/>
  <c r="AM55" i="18"/>
  <c r="P33" i="18"/>
  <c r="P44" i="18"/>
  <c r="P55" i="18"/>
  <c r="P23" i="18"/>
  <c r="M33" i="18"/>
  <c r="M44" i="18"/>
  <c r="M23" i="18"/>
  <c r="M55" i="18"/>
  <c r="AA44" i="18"/>
  <c r="AA23" i="18"/>
  <c r="AA33" i="18"/>
  <c r="AA55" i="18"/>
  <c r="K33" i="18"/>
  <c r="K44" i="18"/>
  <c r="K23" i="18"/>
  <c r="K55" i="18"/>
  <c r="AO44" i="18"/>
  <c r="AO23" i="18"/>
  <c r="AO55" i="18"/>
  <c r="AO33" i="18"/>
  <c r="AG44" i="18"/>
  <c r="AG23" i="18"/>
  <c r="AG33" i="18"/>
  <c r="AG55" i="18"/>
  <c r="AW45" i="17"/>
  <c r="AW51" i="17"/>
  <c r="AW34" i="17"/>
  <c r="AW40" i="17"/>
  <c r="AW56" i="17"/>
  <c r="AW62" i="17"/>
  <c r="AW24" i="17"/>
  <c r="AJ56" i="17"/>
  <c r="AJ62" i="17"/>
  <c r="AJ24" i="17"/>
  <c r="AJ45" i="17"/>
  <c r="AJ51" i="17"/>
  <c r="AJ34" i="17"/>
  <c r="AJ40" i="17"/>
  <c r="L61" i="17"/>
  <c r="L57" i="17"/>
  <c r="AL56" i="17"/>
  <c r="AL62" i="17"/>
  <c r="AL34" i="17"/>
  <c r="AL40" i="17"/>
  <c r="AL45" i="17"/>
  <c r="AL51" i="17"/>
  <c r="AL24" i="17"/>
  <c r="Z23" i="17"/>
  <c r="Z33" i="17"/>
  <c r="Z55" i="17"/>
  <c r="Z44" i="17"/>
  <c r="Q57" i="17"/>
  <c r="Q61" i="17"/>
  <c r="AE56" i="17"/>
  <c r="AE62" i="17"/>
  <c r="AE24" i="17"/>
  <c r="AE34" i="17"/>
  <c r="AE40" i="17"/>
  <c r="AE45" i="17"/>
  <c r="AE51" i="17"/>
  <c r="P23" i="17"/>
  <c r="P33" i="17"/>
  <c r="P44" i="17"/>
  <c r="P55" i="17"/>
  <c r="AV44" i="18"/>
  <c r="AV55" i="18"/>
  <c r="AV23" i="18"/>
  <c r="AV33" i="18"/>
  <c r="AB21" i="18"/>
  <c r="AB22" i="18"/>
  <c r="AM56" i="17"/>
  <c r="AM62" i="17"/>
  <c r="AM24" i="17"/>
  <c r="AM34" i="17"/>
  <c r="AM40" i="17"/>
  <c r="AM45" i="17"/>
  <c r="AM51" i="17"/>
  <c r="X23" i="17"/>
  <c r="X33" i="17"/>
  <c r="X55" i="17"/>
  <c r="X44" i="17"/>
  <c r="AR34" i="18"/>
  <c r="AR40" i="18"/>
  <c r="AR45" i="18"/>
  <c r="AR51" i="18"/>
  <c r="AR56" i="18"/>
  <c r="AR62" i="18"/>
  <c r="AR24" i="18"/>
  <c r="AC56" i="17"/>
  <c r="AC62" i="17"/>
  <c r="AC24" i="17"/>
  <c r="AC34" i="17"/>
  <c r="AC40" i="17"/>
  <c r="AC45" i="17"/>
  <c r="AC51" i="17"/>
  <c r="O39" i="17"/>
  <c r="X44" i="18"/>
  <c r="X55" i="18"/>
  <c r="X33" i="18"/>
  <c r="X23" i="18"/>
  <c r="AX34" i="18"/>
  <c r="AX40" i="18"/>
  <c r="AX45" i="18"/>
  <c r="AX51" i="18"/>
  <c r="AX56" i="18"/>
  <c r="AX62" i="18"/>
  <c r="AX24" i="18"/>
  <c r="O56" i="17"/>
  <c r="O62" i="17"/>
  <c r="O45" i="17"/>
  <c r="O51" i="17"/>
  <c r="O24" i="17"/>
  <c r="O34" i="17"/>
  <c r="O40" i="17"/>
  <c r="D39" i="17"/>
  <c r="AK44" i="18"/>
  <c r="AK23" i="18"/>
  <c r="AK33" i="18"/>
  <c r="AK55" i="18"/>
  <c r="W44" i="18"/>
  <c r="W23" i="18"/>
  <c r="W33" i="18"/>
  <c r="W55" i="18"/>
  <c r="H33" i="18"/>
  <c r="H44" i="18"/>
  <c r="H55" i="18"/>
  <c r="H23" i="18"/>
  <c r="AZ10" i="18"/>
  <c r="S33" i="18"/>
  <c r="S44" i="18"/>
  <c r="S55" i="18"/>
  <c r="S23" i="18"/>
  <c r="N33" i="18"/>
  <c r="N44" i="18"/>
  <c r="N55" i="18"/>
  <c r="N23" i="18"/>
  <c r="AU44" i="18"/>
  <c r="AU23" i="18"/>
  <c r="AU55" i="18"/>
  <c r="AU33" i="18"/>
  <c r="AI44" i="18"/>
  <c r="AI23" i="18"/>
  <c r="AI33" i="18"/>
  <c r="AI55" i="18"/>
  <c r="O33" i="18"/>
  <c r="O44" i="18"/>
  <c r="O23" i="18"/>
  <c r="O55" i="18"/>
  <c r="AE44" i="18"/>
  <c r="AE23" i="18"/>
  <c r="AE33" i="18"/>
  <c r="AE55" i="18"/>
  <c r="L33" i="18"/>
  <c r="L44" i="18"/>
  <c r="L55" i="18"/>
  <c r="L23" i="18"/>
  <c r="I33" i="18"/>
  <c r="I44" i="18"/>
  <c r="I23" i="18"/>
  <c r="I55" i="18"/>
  <c r="J33" i="18"/>
  <c r="J44" i="18"/>
  <c r="J55" i="18"/>
  <c r="J23" i="18"/>
  <c r="AZ260" i="14"/>
  <c r="AY21" i="17"/>
  <c r="AY22" i="17"/>
  <c r="AX22" i="17"/>
  <c r="AX21" i="17"/>
  <c r="AU22" i="17"/>
  <c r="AU21" i="17"/>
  <c r="AT55" i="17"/>
  <c r="AT33" i="17"/>
  <c r="AT44" i="17"/>
  <c r="AT23" i="17"/>
  <c r="AK56" i="17"/>
  <c r="AK62" i="17"/>
  <c r="AK24" i="17"/>
  <c r="AK34" i="17"/>
  <c r="AK40" i="17"/>
  <c r="AK45" i="17"/>
  <c r="AK51" i="17"/>
  <c r="Z56" i="17"/>
  <c r="Z62" i="17"/>
  <c r="Z24" i="17"/>
  <c r="Z34" i="17"/>
  <c r="Z40" i="17"/>
  <c r="Z45" i="17"/>
  <c r="Z51" i="17"/>
  <c r="M35" i="17"/>
  <c r="M40" i="17"/>
  <c r="AC23" i="17"/>
  <c r="AC33" i="17"/>
  <c r="AC55" i="17"/>
  <c r="AC44" i="17"/>
  <c r="U56" i="17"/>
  <c r="U62" i="17"/>
  <c r="U24" i="17"/>
  <c r="U34" i="17"/>
  <c r="U40" i="17"/>
  <c r="U45" i="17"/>
  <c r="U51" i="17"/>
  <c r="AH21" i="18"/>
  <c r="AH22" i="18"/>
  <c r="U50" i="17"/>
  <c r="K56" i="17"/>
  <c r="K62" i="17"/>
  <c r="K34" i="17"/>
  <c r="K40" i="17"/>
  <c r="K24" i="17"/>
  <c r="K45" i="17"/>
  <c r="K51" i="17"/>
  <c r="AA56" i="17"/>
  <c r="AA62" i="17"/>
  <c r="AA24" i="17"/>
  <c r="AA45" i="17"/>
  <c r="AA51" i="17"/>
  <c r="AA34" i="17"/>
  <c r="AA40" i="17"/>
  <c r="S56" i="17"/>
  <c r="S62" i="17"/>
  <c r="S24" i="17"/>
  <c r="S45" i="17"/>
  <c r="S51" i="17"/>
  <c r="S34" i="17"/>
  <c r="S40" i="17"/>
  <c r="AF34" i="18"/>
  <c r="AF40" i="18"/>
  <c r="AF56" i="18"/>
  <c r="AF62" i="18"/>
  <c r="AF45" i="18"/>
  <c r="AF51" i="18"/>
  <c r="AF24" i="18"/>
  <c r="V27" i="18"/>
  <c r="U30" i="18"/>
  <c r="I56" i="17"/>
  <c r="I62" i="17"/>
  <c r="I34" i="17"/>
  <c r="I24" i="17"/>
  <c r="I45" i="17"/>
  <c r="I51" i="17"/>
  <c r="AX44" i="18"/>
  <c r="AX55" i="18"/>
  <c r="AX23" i="18"/>
  <c r="AX33" i="18"/>
  <c r="I50" i="17"/>
  <c r="D61" i="17"/>
  <c r="AT34" i="18"/>
  <c r="AT40" i="18"/>
  <c r="AT45" i="18"/>
  <c r="AT51" i="18"/>
  <c r="AT56" i="18"/>
  <c r="AT62" i="18"/>
  <c r="AT24" i="18"/>
  <c r="H23" i="17"/>
  <c r="H33" i="17"/>
  <c r="H44" i="17"/>
  <c r="H55" i="17"/>
  <c r="Y34" i="18"/>
  <c r="Y40" i="18"/>
  <c r="Y45" i="18"/>
  <c r="Y51" i="18"/>
  <c r="Y56" i="18"/>
  <c r="Y62" i="18"/>
  <c r="Y24" i="18"/>
  <c r="R24" i="18"/>
  <c r="R34" i="18"/>
  <c r="R40" i="18"/>
  <c r="R45" i="18"/>
  <c r="R51" i="18"/>
  <c r="R56" i="18"/>
  <c r="R62" i="18"/>
  <c r="G24" i="18"/>
  <c r="G34" i="18"/>
  <c r="G40" i="18"/>
  <c r="G56" i="18"/>
  <c r="G62" i="18"/>
  <c r="G45" i="18"/>
  <c r="G51" i="18"/>
  <c r="AC34" i="18"/>
  <c r="AC40" i="18"/>
  <c r="AC45" i="18"/>
  <c r="AC51" i="18"/>
  <c r="AC56" i="18"/>
  <c r="AC62" i="18"/>
  <c r="AC24" i="18"/>
  <c r="Q24" i="18"/>
  <c r="Q34" i="18"/>
  <c r="Q40" i="18"/>
  <c r="Q56" i="18"/>
  <c r="Q62" i="18"/>
  <c r="Q45" i="18"/>
  <c r="Q51" i="18"/>
  <c r="F34" i="17"/>
  <c r="F40" i="17"/>
  <c r="F45" i="17"/>
  <c r="F51" i="17"/>
  <c r="F56" i="17"/>
  <c r="F62" i="17"/>
  <c r="F24" i="17"/>
  <c r="AM34" i="18"/>
  <c r="AM40" i="18"/>
  <c r="AM45" i="18"/>
  <c r="AM51" i="18"/>
  <c r="AM56" i="18"/>
  <c r="AM62" i="18"/>
  <c r="AM24" i="18"/>
  <c r="P24" i="18"/>
  <c r="P34" i="18"/>
  <c r="P40" i="18"/>
  <c r="P56" i="18"/>
  <c r="P62" i="18"/>
  <c r="P45" i="18"/>
  <c r="P51" i="18"/>
  <c r="M24" i="18"/>
  <c r="M34" i="18"/>
  <c r="M40" i="18"/>
  <c r="M56" i="18"/>
  <c r="M62" i="18"/>
  <c r="M45" i="18"/>
  <c r="M51" i="18"/>
  <c r="AA34" i="18"/>
  <c r="AA40" i="18"/>
  <c r="AA45" i="18"/>
  <c r="AA51" i="18"/>
  <c r="AA56" i="18"/>
  <c r="AA62" i="18"/>
  <c r="AA24" i="18"/>
  <c r="K24" i="18"/>
  <c r="K34" i="18"/>
  <c r="K40" i="18"/>
  <c r="K56" i="18"/>
  <c r="K62" i="18"/>
  <c r="K45" i="18"/>
  <c r="K51" i="18"/>
  <c r="AG34" i="18"/>
  <c r="AG40" i="18"/>
  <c r="AG45" i="18"/>
  <c r="AG51" i="18"/>
  <c r="AG56" i="18"/>
  <c r="AG62" i="18"/>
  <c r="AG24" i="18"/>
  <c r="AH23" i="17"/>
  <c r="AH33" i="17"/>
  <c r="AH44" i="17"/>
  <c r="AH55" i="17"/>
  <c r="AW55" i="17"/>
  <c r="AW23" i="17"/>
  <c r="AW33" i="17"/>
  <c r="AW44" i="17"/>
  <c r="AK23" i="17"/>
  <c r="AK33" i="17"/>
  <c r="AK44" i="17"/>
  <c r="AK55" i="17"/>
  <c r="AD23" i="17"/>
  <c r="AD44" i="17"/>
  <c r="AD55" i="17"/>
  <c r="AD33" i="17"/>
  <c r="AN22" i="17"/>
  <c r="AQ22" i="17"/>
  <c r="AF23" i="17"/>
  <c r="AF33" i="17"/>
  <c r="AF55" i="17"/>
  <c r="AF44" i="17"/>
  <c r="V22" i="17"/>
  <c r="AE23" i="17"/>
  <c r="AE33" i="17"/>
  <c r="AE44" i="17"/>
  <c r="AE55" i="17"/>
  <c r="Y22" i="17"/>
  <c r="P22" i="17"/>
  <c r="J23" i="17"/>
  <c r="J33" i="17"/>
  <c r="J44" i="17"/>
  <c r="J55" i="17"/>
  <c r="AV34" i="18"/>
  <c r="AV40" i="18"/>
  <c r="AV45" i="18"/>
  <c r="AV51" i="18"/>
  <c r="AV56" i="18"/>
  <c r="AV62" i="18"/>
  <c r="AV24" i="18"/>
  <c r="AJ21" i="18"/>
  <c r="AJ22" i="18"/>
  <c r="AM23" i="17"/>
  <c r="AM33" i="17"/>
  <c r="AM44" i="17"/>
  <c r="AM55" i="17"/>
  <c r="Y50" i="17"/>
  <c r="AS21" i="18"/>
  <c r="AS22" i="18"/>
  <c r="U21" i="18"/>
  <c r="U22" i="18"/>
  <c r="Y39" i="17"/>
  <c r="U39" i="17"/>
  <c r="U35" i="17"/>
  <c r="O50" i="17"/>
  <c r="I61" i="17"/>
  <c r="I57" i="17"/>
  <c r="X34" i="18"/>
  <c r="X40" i="18"/>
  <c r="X24" i="18"/>
  <c r="X45" i="18"/>
  <c r="X51" i="18"/>
  <c r="X56" i="18"/>
  <c r="X62" i="18"/>
  <c r="M15" i="17"/>
  <c r="L10" i="17"/>
  <c r="L13" i="17"/>
  <c r="M14" i="17"/>
  <c r="M10" i="17"/>
  <c r="M13" i="17"/>
  <c r="AY21" i="18"/>
  <c r="AY22" i="18"/>
  <c r="AP44" i="18"/>
  <c r="AP55" i="18"/>
  <c r="AP23" i="18"/>
  <c r="AP33" i="18"/>
  <c r="AB23" i="17"/>
  <c r="AB33" i="17"/>
  <c r="AB55" i="17"/>
  <c r="AB44" i="17"/>
  <c r="AL21" i="18"/>
  <c r="AL22" i="18"/>
  <c r="D50" i="17"/>
  <c r="AK34" i="18"/>
  <c r="AK40" i="18"/>
  <c r="AK45" i="18"/>
  <c r="AK51" i="18"/>
  <c r="AK56" i="18"/>
  <c r="AK62" i="18"/>
  <c r="AK24" i="18"/>
  <c r="W34" i="18"/>
  <c r="W40" i="18"/>
  <c r="W45" i="18"/>
  <c r="W51" i="18"/>
  <c r="W56" i="18"/>
  <c r="W62" i="18"/>
  <c r="W24" i="18"/>
  <c r="H24" i="18"/>
  <c r="H34" i="18"/>
  <c r="H40" i="18"/>
  <c r="H56" i="18"/>
  <c r="H62" i="18"/>
  <c r="H45" i="18"/>
  <c r="H51" i="18"/>
  <c r="E21" i="18"/>
  <c r="E22" i="18"/>
  <c r="S24" i="18"/>
  <c r="S34" i="18"/>
  <c r="S40" i="18"/>
  <c r="S56" i="18"/>
  <c r="S62" i="18"/>
  <c r="S45" i="18"/>
  <c r="S51" i="18"/>
  <c r="N24" i="18"/>
  <c r="N34" i="18"/>
  <c r="N40" i="18"/>
  <c r="N45" i="18"/>
  <c r="N51" i="18"/>
  <c r="N56" i="18"/>
  <c r="N62" i="18"/>
  <c r="AU34" i="18"/>
  <c r="AU40" i="18"/>
  <c r="AU24" i="18"/>
  <c r="AU45" i="18"/>
  <c r="AU51" i="18"/>
  <c r="AU56" i="18"/>
  <c r="AU62" i="18"/>
  <c r="AI34" i="18"/>
  <c r="AI40" i="18"/>
  <c r="AI45" i="18"/>
  <c r="AI51" i="18"/>
  <c r="AI56" i="18"/>
  <c r="AI62" i="18"/>
  <c r="AI24" i="18"/>
  <c r="O24" i="18"/>
  <c r="O34" i="18"/>
  <c r="O40" i="18"/>
  <c r="O56" i="18"/>
  <c r="O62" i="18"/>
  <c r="O45" i="18"/>
  <c r="O51" i="18"/>
  <c r="AE34" i="18"/>
  <c r="AE40" i="18"/>
  <c r="AE45" i="18"/>
  <c r="AE51" i="18"/>
  <c r="AE56" i="18"/>
  <c r="AE62" i="18"/>
  <c r="AE24" i="18"/>
  <c r="L24" i="18"/>
  <c r="L34" i="18"/>
  <c r="L40" i="18"/>
  <c r="L56" i="18"/>
  <c r="L62" i="18"/>
  <c r="L45" i="18"/>
  <c r="L51" i="18"/>
  <c r="I24" i="18"/>
  <c r="I34" i="18"/>
  <c r="I40" i="18"/>
  <c r="I56" i="18"/>
  <c r="I62" i="18"/>
  <c r="I45" i="18"/>
  <c r="I51" i="18"/>
  <c r="J24" i="18"/>
  <c r="J34" i="18"/>
  <c r="J40" i="18"/>
  <c r="J45" i="18"/>
  <c r="J51" i="18"/>
  <c r="J56" i="18"/>
  <c r="J62" i="18"/>
  <c r="F24" i="18"/>
  <c r="F34" i="18"/>
  <c r="F40" i="18"/>
  <c r="F45" i="18"/>
  <c r="F51" i="18"/>
  <c r="F56" i="18"/>
  <c r="F62" i="18"/>
  <c r="AY44" i="18"/>
  <c r="AY33" i="18"/>
  <c r="AY23" i="18"/>
  <c r="AY55" i="18"/>
  <c r="J46" i="17"/>
  <c r="J50" i="17"/>
  <c r="AF39" i="17"/>
  <c r="AW50" i="17"/>
  <c r="AW46" i="17"/>
  <c r="AH34" i="18"/>
  <c r="AH40" i="18"/>
  <c r="AH24" i="18"/>
  <c r="AH45" i="18"/>
  <c r="AH51" i="18"/>
  <c r="AH56" i="18"/>
  <c r="AH62" i="18"/>
  <c r="AU55" i="17"/>
  <c r="AU23" i="17"/>
  <c r="AU44" i="17"/>
  <c r="AU33" i="17"/>
  <c r="J57" i="18"/>
  <c r="J61" i="18"/>
  <c r="AE35" i="18"/>
  <c r="AE39" i="18"/>
  <c r="AU61" i="18"/>
  <c r="AU57" i="18"/>
  <c r="AK61" i="18"/>
  <c r="AK57" i="18"/>
  <c r="X61" i="18"/>
  <c r="X57" i="18"/>
  <c r="AV61" i="18"/>
  <c r="AV57" i="18"/>
  <c r="M50" i="18"/>
  <c r="M46" i="18"/>
  <c r="R50" i="18"/>
  <c r="R46" i="18"/>
  <c r="AT39" i="18"/>
  <c r="AT35" i="18"/>
  <c r="AF61" i="18"/>
  <c r="AF57" i="18"/>
  <c r="G27" i="17"/>
  <c r="F30" i="17"/>
  <c r="AQ34" i="18"/>
  <c r="AQ40" i="18"/>
  <c r="AQ24" i="18"/>
  <c r="AQ56" i="18"/>
  <c r="AQ62" i="18"/>
  <c r="AQ45" i="18"/>
  <c r="AQ51" i="18"/>
  <c r="S39" i="17"/>
  <c r="S35" i="17"/>
  <c r="AZ22" i="17"/>
  <c r="D34" i="17"/>
  <c r="D24" i="17"/>
  <c r="D45" i="17"/>
  <c r="D56" i="17"/>
  <c r="AO61" i="17"/>
  <c r="AR39" i="18"/>
  <c r="AR35" i="18"/>
  <c r="AI61" i="17"/>
  <c r="AL39" i="17"/>
  <c r="AL35" i="17"/>
  <c r="AJ39" i="17"/>
  <c r="AJ35" i="17"/>
  <c r="AR39" i="17"/>
  <c r="AR35" i="17"/>
  <c r="F39" i="18"/>
  <c r="F35" i="18"/>
  <c r="W57" i="17"/>
  <c r="W61" i="17"/>
  <c r="AN50" i="17"/>
  <c r="E24" i="18"/>
  <c r="E34" i="18"/>
  <c r="E40" i="18"/>
  <c r="E56" i="18"/>
  <c r="E62" i="18"/>
  <c r="E45" i="18"/>
  <c r="E51" i="18"/>
  <c r="AZ22" i="18"/>
  <c r="AL34" i="18"/>
  <c r="AL40" i="18"/>
  <c r="AL56" i="18"/>
  <c r="AL62" i="18"/>
  <c r="AL24" i="18"/>
  <c r="AL45" i="18"/>
  <c r="AL51" i="18"/>
  <c r="AB39" i="17"/>
  <c r="AP61" i="18"/>
  <c r="AP57" i="18"/>
  <c r="AS34" i="18"/>
  <c r="AS40" i="18"/>
  <c r="AS24" i="18"/>
  <c r="AS45" i="18"/>
  <c r="AS51" i="18"/>
  <c r="AS56" i="18"/>
  <c r="AS62" i="18"/>
  <c r="AE57" i="17"/>
  <c r="AE61" i="17"/>
  <c r="AD61" i="17"/>
  <c r="H46" i="17"/>
  <c r="H50" i="17"/>
  <c r="AH44" i="18"/>
  <c r="AH55" i="18"/>
  <c r="AH33" i="18"/>
  <c r="AH23" i="18"/>
  <c r="AU45" i="17"/>
  <c r="AU51" i="17"/>
  <c r="AU56" i="17"/>
  <c r="AU62" i="17"/>
  <c r="AU24" i="17"/>
  <c r="AU34" i="17"/>
  <c r="AU40" i="17"/>
  <c r="J50" i="18"/>
  <c r="J46" i="18"/>
  <c r="S50" i="18"/>
  <c r="S46" i="18"/>
  <c r="W35" i="18"/>
  <c r="W39" i="18"/>
  <c r="AV46" i="18"/>
  <c r="AV50" i="18"/>
  <c r="Z57" i="17"/>
  <c r="Z61" i="17"/>
  <c r="AG46" i="18"/>
  <c r="AG50" i="18"/>
  <c r="K35" i="18"/>
  <c r="K39" i="18"/>
  <c r="M39" i="18"/>
  <c r="M35" i="18"/>
  <c r="AM46" i="18"/>
  <c r="AM50" i="18"/>
  <c r="AC46" i="18"/>
  <c r="AC50" i="18"/>
  <c r="Y46" i="18"/>
  <c r="Y50" i="18"/>
  <c r="T50" i="17"/>
  <c r="AW44" i="18"/>
  <c r="AW23" i="18"/>
  <c r="AW55" i="18"/>
  <c r="AW33" i="18"/>
  <c r="V46" i="17"/>
  <c r="V50" i="17"/>
  <c r="AP56" i="17"/>
  <c r="AP62" i="17"/>
  <c r="AP45" i="17"/>
  <c r="AP51" i="17"/>
  <c r="AP24" i="17"/>
  <c r="AP34" i="17"/>
  <c r="AP40" i="17"/>
  <c r="W46" i="17"/>
  <c r="W50" i="17"/>
  <c r="AP50" i="18"/>
  <c r="AP46" i="18"/>
  <c r="AJ44" i="18"/>
  <c r="AJ55" i="18"/>
  <c r="AJ23" i="18"/>
  <c r="AJ33" i="18"/>
  <c r="AF46" i="17"/>
  <c r="AF50" i="17"/>
  <c r="AD50" i="17"/>
  <c r="AK39" i="17"/>
  <c r="AK35" i="17"/>
  <c r="H39" i="17"/>
  <c r="AX61" i="18"/>
  <c r="AX57" i="18"/>
  <c r="I40" i="17"/>
  <c r="I35" i="17"/>
  <c r="AC46" i="17"/>
  <c r="AC50" i="17"/>
  <c r="AT39" i="17"/>
  <c r="AX55" i="17"/>
  <c r="AX33" i="17"/>
  <c r="AX44" i="17"/>
  <c r="AX23" i="17"/>
  <c r="J39" i="18"/>
  <c r="J35" i="18"/>
  <c r="I39" i="18"/>
  <c r="I35" i="18"/>
  <c r="L35" i="18"/>
  <c r="L39" i="18"/>
  <c r="AE46" i="18"/>
  <c r="AE50" i="18"/>
  <c r="O35" i="18"/>
  <c r="O39" i="18"/>
  <c r="AI46" i="18"/>
  <c r="AI50" i="18"/>
  <c r="AU46" i="18"/>
  <c r="AU50" i="18"/>
  <c r="N39" i="18"/>
  <c r="N35" i="18"/>
  <c r="S35" i="18"/>
  <c r="S39" i="18"/>
  <c r="H50" i="18"/>
  <c r="H46" i="18"/>
  <c r="O35" i="17"/>
  <c r="X39" i="17"/>
  <c r="X35" i="17"/>
  <c r="AV39" i="18"/>
  <c r="AV35" i="18"/>
  <c r="P61" i="17"/>
  <c r="Z39" i="17"/>
  <c r="Z35" i="17"/>
  <c r="AG61" i="18"/>
  <c r="AG57" i="18"/>
  <c r="AO35" i="18"/>
  <c r="AO39" i="18"/>
  <c r="K57" i="18"/>
  <c r="K61" i="18"/>
  <c r="AA61" i="18"/>
  <c r="AA57" i="18"/>
  <c r="M57" i="18"/>
  <c r="M61" i="18"/>
  <c r="AM61" i="18"/>
  <c r="AM57" i="18"/>
  <c r="F61" i="17"/>
  <c r="F57" i="17"/>
  <c r="Q57" i="18"/>
  <c r="Q61" i="18"/>
  <c r="AC61" i="18"/>
  <c r="AC57" i="18"/>
  <c r="Y61" i="18"/>
  <c r="Y57" i="18"/>
  <c r="H45" i="17"/>
  <c r="H51" i="17"/>
  <c r="H56" i="17"/>
  <c r="H62" i="17"/>
  <c r="H34" i="17"/>
  <c r="H40" i="17"/>
  <c r="H24" i="17"/>
  <c r="AT61" i="18"/>
  <c r="AT57" i="18"/>
  <c r="G44" i="17"/>
  <c r="G55" i="17"/>
  <c r="G33" i="17"/>
  <c r="G23" i="17"/>
  <c r="U57" i="17"/>
  <c r="AD44" i="18"/>
  <c r="AD55" i="18"/>
  <c r="AD33" i="18"/>
  <c r="AD23" i="18"/>
  <c r="T57" i="17"/>
  <c r="T61" i="17"/>
  <c r="Z34" i="18"/>
  <c r="Z40" i="18"/>
  <c r="Z24" i="18"/>
  <c r="Z45" i="18"/>
  <c r="Z51" i="18"/>
  <c r="Z56" i="18"/>
  <c r="Z62" i="18"/>
  <c r="K46" i="17"/>
  <c r="K50" i="17"/>
  <c r="S57" i="17"/>
  <c r="S61" i="17"/>
  <c r="AA57" i="17"/>
  <c r="AA61" i="17"/>
  <c r="AI56" i="17"/>
  <c r="AI62" i="17"/>
  <c r="AI24" i="17"/>
  <c r="AI34" i="17"/>
  <c r="AI40" i="17"/>
  <c r="AI45" i="17"/>
  <c r="AI51" i="17"/>
  <c r="V57" i="17"/>
  <c r="V61" i="17"/>
  <c r="AQ61" i="17"/>
  <c r="AD56" i="17"/>
  <c r="AD62" i="17"/>
  <c r="AD34" i="17"/>
  <c r="AD40" i="17"/>
  <c r="AD24" i="17"/>
  <c r="AD45" i="17"/>
  <c r="AD51" i="17"/>
  <c r="AP39" i="17"/>
  <c r="AV55" i="17"/>
  <c r="AV33" i="17"/>
  <c r="AV44" i="17"/>
  <c r="AV23" i="17"/>
  <c r="T56" i="17"/>
  <c r="T62" i="17"/>
  <c r="T24" i="17"/>
  <c r="T45" i="17"/>
  <c r="T51" i="17"/>
  <c r="T34" i="17"/>
  <c r="T40" i="17"/>
  <c r="X56" i="17"/>
  <c r="X62" i="17"/>
  <c r="X24" i="17"/>
  <c r="X45" i="17"/>
  <c r="X51" i="17"/>
  <c r="X34" i="17"/>
  <c r="X40" i="17"/>
  <c r="AO39" i="17"/>
  <c r="AR61" i="18"/>
  <c r="AR57" i="18"/>
  <c r="AG39" i="17"/>
  <c r="AG35" i="17"/>
  <c r="AI39" i="17"/>
  <c r="AL61" i="17"/>
  <c r="AL57" i="17"/>
  <c r="AJ46" i="17"/>
  <c r="AJ50" i="17"/>
  <c r="AR50" i="17"/>
  <c r="F57" i="18"/>
  <c r="F61" i="18"/>
  <c r="V44" i="18"/>
  <c r="V55" i="18"/>
  <c r="V33" i="18"/>
  <c r="V23" i="18"/>
  <c r="W39" i="17"/>
  <c r="W35" i="17"/>
  <c r="AN39" i="17"/>
  <c r="AB57" i="17"/>
  <c r="AB61" i="17"/>
  <c r="U44" i="18"/>
  <c r="U23" i="18"/>
  <c r="U33" i="18"/>
  <c r="U55" i="18"/>
  <c r="Y56" i="17"/>
  <c r="Y24" i="17"/>
  <c r="Y34" i="17"/>
  <c r="Y45" i="17"/>
  <c r="AD39" i="17"/>
  <c r="AD35" i="17"/>
  <c r="AK57" i="17"/>
  <c r="AK61" i="17"/>
  <c r="AH61" i="17"/>
  <c r="H61" i="17"/>
  <c r="H57" i="17"/>
  <c r="AX35" i="18"/>
  <c r="AX39" i="18"/>
  <c r="AC39" i="17"/>
  <c r="AC35" i="17"/>
  <c r="AY24" i="17"/>
  <c r="AY45" i="17"/>
  <c r="AY51" i="17"/>
  <c r="AY34" i="17"/>
  <c r="AY40" i="17"/>
  <c r="AY56" i="17"/>
  <c r="AY62" i="17"/>
  <c r="L57" i="18"/>
  <c r="L61" i="18"/>
  <c r="AI35" i="18"/>
  <c r="AI39" i="18"/>
  <c r="N57" i="18"/>
  <c r="N61" i="18"/>
  <c r="S57" i="18"/>
  <c r="S61" i="18"/>
  <c r="W61" i="18"/>
  <c r="W57" i="18"/>
  <c r="X50" i="17"/>
  <c r="AB34" i="18"/>
  <c r="AB40" i="18"/>
  <c r="AB24" i="18"/>
  <c r="AB45" i="18"/>
  <c r="AB51" i="18"/>
  <c r="AB56" i="18"/>
  <c r="AB62" i="18"/>
  <c r="P39" i="17"/>
  <c r="Z46" i="17"/>
  <c r="Z50" i="17"/>
  <c r="K50" i="18"/>
  <c r="K46" i="18"/>
  <c r="P50" i="18"/>
  <c r="P46" i="18"/>
  <c r="Q50" i="18"/>
  <c r="Q46" i="18"/>
  <c r="G50" i="18"/>
  <c r="G46" i="18"/>
  <c r="AW34" i="18"/>
  <c r="AW40" i="18"/>
  <c r="AW24" i="18"/>
  <c r="AW56" i="18"/>
  <c r="AW62" i="18"/>
  <c r="AW45" i="18"/>
  <c r="AW51" i="18"/>
  <c r="K61" i="17"/>
  <c r="K57" i="17"/>
  <c r="AA39" i="17"/>
  <c r="AA35" i="17"/>
  <c r="AQ39" i="17"/>
  <c r="AP46" i="17"/>
  <c r="AP50" i="17"/>
  <c r="AS55" i="17"/>
  <c r="AS23" i="17"/>
  <c r="AS44" i="17"/>
  <c r="AS33" i="17"/>
  <c r="AH56" i="17"/>
  <c r="AH62" i="17"/>
  <c r="AH45" i="17"/>
  <c r="AH51" i="17"/>
  <c r="AH24" i="17"/>
  <c r="AH34" i="17"/>
  <c r="AH40" i="17"/>
  <c r="R57" i="17"/>
  <c r="R61" i="17"/>
  <c r="AG61" i="17"/>
  <c r="N21" i="17"/>
  <c r="N22" i="17"/>
  <c r="AM57" i="17"/>
  <c r="AM61" i="17"/>
  <c r="AJ34" i="18"/>
  <c r="AJ40" i="18"/>
  <c r="AJ24" i="18"/>
  <c r="AJ45" i="18"/>
  <c r="AJ51" i="18"/>
  <c r="AJ56" i="18"/>
  <c r="AJ62" i="18"/>
  <c r="J39" i="17"/>
  <c r="J35" i="17"/>
  <c r="V56" i="17"/>
  <c r="V62" i="17"/>
  <c r="V24" i="17"/>
  <c r="V34" i="17"/>
  <c r="V40" i="17"/>
  <c r="V45" i="17"/>
  <c r="V51" i="17"/>
  <c r="AK46" i="17"/>
  <c r="AK50" i="17"/>
  <c r="AW35" i="17"/>
  <c r="AW39" i="17"/>
  <c r="AH46" i="17"/>
  <c r="AH50" i="17"/>
  <c r="W27" i="18"/>
  <c r="V30" i="18"/>
  <c r="AT46" i="17"/>
  <c r="AT50" i="17"/>
  <c r="AY33" i="17"/>
  <c r="AY55" i="17"/>
  <c r="AY23" i="17"/>
  <c r="AY44" i="17"/>
  <c r="I50" i="18"/>
  <c r="I46" i="18"/>
  <c r="L50" i="18"/>
  <c r="L46" i="18"/>
  <c r="O50" i="18"/>
  <c r="O46" i="18"/>
  <c r="N50" i="18"/>
  <c r="N46" i="18"/>
  <c r="H57" i="18"/>
  <c r="H61" i="18"/>
  <c r="AK35" i="18"/>
  <c r="AK39" i="18"/>
  <c r="X50" i="18"/>
  <c r="X46" i="18"/>
  <c r="X57" i="17"/>
  <c r="X61" i="17"/>
  <c r="AB44" i="18"/>
  <c r="AB55" i="18"/>
  <c r="AB23" i="18"/>
  <c r="AB33" i="18"/>
  <c r="AO46" i="18"/>
  <c r="AO50" i="18"/>
  <c r="AA46" i="18"/>
  <c r="AA50" i="18"/>
  <c r="P35" i="18"/>
  <c r="P39" i="18"/>
  <c r="F46" i="17"/>
  <c r="F50" i="17"/>
  <c r="Q39" i="18"/>
  <c r="Q35" i="18"/>
  <c r="G35" i="18"/>
  <c r="G39" i="18"/>
  <c r="R39" i="18"/>
  <c r="R35" i="18"/>
  <c r="G34" i="17"/>
  <c r="G40" i="17"/>
  <c r="G56" i="17"/>
  <c r="G62" i="17"/>
  <c r="G45" i="17"/>
  <c r="G51" i="17"/>
  <c r="G24" i="17"/>
  <c r="AO56" i="17"/>
  <c r="AO62" i="17"/>
  <c r="AO24" i="17"/>
  <c r="AO34" i="17"/>
  <c r="AO40" i="17"/>
  <c r="AO45" i="17"/>
  <c r="AO51" i="17"/>
  <c r="AF50" i="18"/>
  <c r="AF46" i="18"/>
  <c r="AD34" i="18"/>
  <c r="AD40" i="18"/>
  <c r="AD56" i="18"/>
  <c r="AD62" i="18"/>
  <c r="AD45" i="18"/>
  <c r="AD51" i="18"/>
  <c r="AD24" i="18"/>
  <c r="AG56" i="17"/>
  <c r="AG62" i="17"/>
  <c r="AG24" i="17"/>
  <c r="AG34" i="17"/>
  <c r="AG40" i="17"/>
  <c r="AG45" i="17"/>
  <c r="AG51" i="17"/>
  <c r="AQ44" i="18"/>
  <c r="AQ33" i="18"/>
  <c r="AQ55" i="18"/>
  <c r="AQ23" i="18"/>
  <c r="AF56" i="17"/>
  <c r="AF62" i="17"/>
  <c r="AF34" i="17"/>
  <c r="AF40" i="17"/>
  <c r="AF24" i="17"/>
  <c r="AF45" i="17"/>
  <c r="AF51" i="17"/>
  <c r="AP61" i="17"/>
  <c r="AS45" i="17"/>
  <c r="AS51" i="17"/>
  <c r="AS24" i="17"/>
  <c r="AS56" i="17"/>
  <c r="AS62" i="17"/>
  <c r="AS34" i="17"/>
  <c r="AS40" i="17"/>
  <c r="AR56" i="17"/>
  <c r="AR62" i="17"/>
  <c r="AR24" i="17"/>
  <c r="AR45" i="17"/>
  <c r="AR51" i="17"/>
  <c r="AR34" i="17"/>
  <c r="AR40" i="17"/>
  <c r="R39" i="17"/>
  <c r="AO46" i="17"/>
  <c r="AO50" i="17"/>
  <c r="AG50" i="17"/>
  <c r="AI46" i="17"/>
  <c r="AI50" i="17"/>
  <c r="AJ61" i="17"/>
  <c r="AJ57" i="17"/>
  <c r="AR61" i="17"/>
  <c r="V34" i="18"/>
  <c r="V40" i="18"/>
  <c r="V56" i="18"/>
  <c r="V62" i="18"/>
  <c r="V24" i="18"/>
  <c r="V45" i="18"/>
  <c r="V51" i="18"/>
  <c r="AN61" i="17"/>
  <c r="E33" i="18"/>
  <c r="E44" i="18"/>
  <c r="E23" i="18"/>
  <c r="E55" i="18"/>
  <c r="AZ21" i="18"/>
  <c r="AL44" i="18"/>
  <c r="AL55" i="18"/>
  <c r="AL33" i="18"/>
  <c r="AL23" i="18"/>
  <c r="O46" i="17"/>
  <c r="AS44" i="18"/>
  <c r="AS55" i="18"/>
  <c r="AS33" i="18"/>
  <c r="AS23" i="18"/>
  <c r="AM46" i="17"/>
  <c r="AM50" i="17"/>
  <c r="AE46" i="17"/>
  <c r="AE50" i="17"/>
  <c r="AQ56" i="17"/>
  <c r="AQ62" i="17"/>
  <c r="AQ24" i="17"/>
  <c r="AQ34" i="17"/>
  <c r="AQ40" i="17"/>
  <c r="AQ45" i="17"/>
  <c r="AQ51" i="17"/>
  <c r="AH39" i="17"/>
  <c r="AH35" i="17"/>
  <c r="AB46" i="17"/>
  <c r="AB50" i="17"/>
  <c r="AP35" i="18"/>
  <c r="AP39" i="18"/>
  <c r="AY34" i="18"/>
  <c r="AY40" i="18"/>
  <c r="AY24" i="18"/>
  <c r="AY56" i="18"/>
  <c r="AY62" i="18"/>
  <c r="AY45" i="18"/>
  <c r="AY51" i="18"/>
  <c r="U34" i="18"/>
  <c r="U40" i="18"/>
  <c r="U45" i="18"/>
  <c r="U51" i="18"/>
  <c r="U56" i="18"/>
  <c r="U62" i="18"/>
  <c r="U24" i="18"/>
  <c r="AM39" i="17"/>
  <c r="AM35" i="17"/>
  <c r="J61" i="17"/>
  <c r="J57" i="17"/>
  <c r="P56" i="17"/>
  <c r="P62" i="17"/>
  <c r="P45" i="17"/>
  <c r="P51" i="17"/>
  <c r="P34" i="17"/>
  <c r="P40" i="17"/>
  <c r="P24" i="17"/>
  <c r="AE39" i="17"/>
  <c r="AE35" i="17"/>
  <c r="AF61" i="17"/>
  <c r="AN56" i="17"/>
  <c r="AN62" i="17"/>
  <c r="AN34" i="17"/>
  <c r="AN40" i="17"/>
  <c r="AN24" i="17"/>
  <c r="AN45" i="17"/>
  <c r="AN51" i="17"/>
  <c r="AW61" i="17"/>
  <c r="AW57" i="17"/>
  <c r="I46" i="17"/>
  <c r="AX50" i="18"/>
  <c r="AX46" i="18"/>
  <c r="U46" i="17"/>
  <c r="AC57" i="17"/>
  <c r="AC61" i="17"/>
  <c r="AT57" i="17"/>
  <c r="AT61" i="17"/>
  <c r="AX45" i="17"/>
  <c r="AX51" i="17"/>
  <c r="AX24" i="17"/>
  <c r="AX56" i="17"/>
  <c r="AX62" i="17"/>
  <c r="AX34" i="17"/>
  <c r="AX40" i="17"/>
  <c r="I57" i="18"/>
  <c r="I61" i="18"/>
  <c r="AE61" i="18"/>
  <c r="AE57" i="18"/>
  <c r="O57" i="18"/>
  <c r="O61" i="18"/>
  <c r="AI61" i="18"/>
  <c r="AI57" i="18"/>
  <c r="AU35" i="18"/>
  <c r="AU39" i="18"/>
  <c r="H35" i="18"/>
  <c r="H39" i="18"/>
  <c r="W46" i="18"/>
  <c r="W50" i="18"/>
  <c r="AK46" i="18"/>
  <c r="AK50" i="18"/>
  <c r="X39" i="18"/>
  <c r="X35" i="18"/>
  <c r="P46" i="17"/>
  <c r="P50" i="17"/>
  <c r="AG35" i="18"/>
  <c r="AG39" i="18"/>
  <c r="AO61" i="18"/>
  <c r="AO57" i="18"/>
  <c r="AA35" i="18"/>
  <c r="AA39" i="18"/>
  <c r="P57" i="18"/>
  <c r="P61" i="18"/>
  <c r="AM35" i="18"/>
  <c r="AM39" i="18"/>
  <c r="F35" i="17"/>
  <c r="F39" i="17"/>
  <c r="AC35" i="18"/>
  <c r="AC39" i="18"/>
  <c r="G57" i="18"/>
  <c r="G61" i="18"/>
  <c r="R57" i="18"/>
  <c r="R61" i="18"/>
  <c r="Y35" i="18"/>
  <c r="Y39" i="18"/>
  <c r="R56" i="17"/>
  <c r="R62" i="17"/>
  <c r="R24" i="17"/>
  <c r="R34" i="17"/>
  <c r="R40" i="17"/>
  <c r="R45" i="17"/>
  <c r="R51" i="17"/>
  <c r="AT46" i="18"/>
  <c r="AT50" i="18"/>
  <c r="E21" i="17"/>
  <c r="E22" i="17"/>
  <c r="AF39" i="18"/>
  <c r="AF35" i="18"/>
  <c r="T39" i="17"/>
  <c r="T35" i="17"/>
  <c r="Z44" i="18"/>
  <c r="Z55" i="18"/>
  <c r="Z33" i="18"/>
  <c r="Z23" i="18"/>
  <c r="K39" i="17"/>
  <c r="K35" i="17"/>
  <c r="S46" i="17"/>
  <c r="S50" i="17"/>
  <c r="AA46" i="17"/>
  <c r="AA50" i="17"/>
  <c r="V39" i="17"/>
  <c r="AQ46" i="17"/>
  <c r="AQ50" i="17"/>
  <c r="AT45" i="17"/>
  <c r="AT51" i="17"/>
  <c r="AT24" i="17"/>
  <c r="AT56" i="17"/>
  <c r="AT62" i="17"/>
  <c r="AT34" i="17"/>
  <c r="AT40" i="17"/>
  <c r="AV45" i="17"/>
  <c r="AV51" i="17"/>
  <c r="AV24" i="17"/>
  <c r="AV56" i="17"/>
  <c r="AV62" i="17"/>
  <c r="AV34" i="17"/>
  <c r="AV40" i="17"/>
  <c r="AB56" i="17"/>
  <c r="AB62" i="17"/>
  <c r="AB24" i="17"/>
  <c r="AB45" i="17"/>
  <c r="AB51" i="17"/>
  <c r="AB34" i="17"/>
  <c r="AB40" i="17"/>
  <c r="R46" i="17"/>
  <c r="R50" i="17"/>
  <c r="AR50" i="18"/>
  <c r="AR46" i="18"/>
  <c r="AL46" i="17"/>
  <c r="AL50" i="17"/>
  <c r="F50" i="18"/>
  <c r="F46" i="18"/>
  <c r="Z61" i="18"/>
  <c r="Z57" i="18"/>
  <c r="E44" i="17"/>
  <c r="E55" i="17"/>
  <c r="E23" i="17"/>
  <c r="E33" i="17"/>
  <c r="AZ21" i="17"/>
  <c r="AS35" i="18"/>
  <c r="AS39" i="18"/>
  <c r="E39" i="18"/>
  <c r="E35" i="18"/>
  <c r="AQ46" i="18"/>
  <c r="AQ50" i="18"/>
  <c r="AB50" i="18"/>
  <c r="AB46" i="18"/>
  <c r="AY35" i="17"/>
  <c r="AY39" i="17"/>
  <c r="X27" i="18"/>
  <c r="W30" i="18"/>
  <c r="N23" i="17"/>
  <c r="N33" i="17"/>
  <c r="N55" i="17"/>
  <c r="N44" i="17"/>
  <c r="AS61" i="17"/>
  <c r="AS57" i="17"/>
  <c r="Y62" i="17"/>
  <c r="Y57" i="17"/>
  <c r="U46" i="18"/>
  <c r="U50" i="18"/>
  <c r="V39" i="18"/>
  <c r="V35" i="18"/>
  <c r="AV50" i="17"/>
  <c r="AV46" i="17"/>
  <c r="AD50" i="18"/>
  <c r="AD46" i="18"/>
  <c r="G61" i="17"/>
  <c r="G57" i="17"/>
  <c r="AX61" i="17"/>
  <c r="AX57" i="17"/>
  <c r="AJ50" i="18"/>
  <c r="AJ46" i="18"/>
  <c r="AW61" i="18"/>
  <c r="AW57" i="18"/>
  <c r="T46" i="17"/>
  <c r="AH39" i="18"/>
  <c r="AH35" i="18"/>
  <c r="D62" i="17"/>
  <c r="D57" i="17"/>
  <c r="G30" i="17"/>
  <c r="H27" i="17"/>
  <c r="AU61" i="17"/>
  <c r="AU57" i="17"/>
  <c r="Z50" i="18"/>
  <c r="Z46" i="18"/>
  <c r="AF57" i="17"/>
  <c r="AS61" i="18"/>
  <c r="AS57" i="18"/>
  <c r="AL39" i="18"/>
  <c r="AL35" i="18"/>
  <c r="E57" i="18"/>
  <c r="E61" i="18"/>
  <c r="AN57" i="17"/>
  <c r="R35" i="17"/>
  <c r="AB39" i="18"/>
  <c r="AB35" i="18"/>
  <c r="AY50" i="17"/>
  <c r="AY46" i="17"/>
  <c r="AS35" i="17"/>
  <c r="AS39" i="17"/>
  <c r="Y51" i="17"/>
  <c r="Y46" i="17"/>
  <c r="U61" i="18"/>
  <c r="U57" i="18"/>
  <c r="V61" i="18"/>
  <c r="V57" i="18"/>
  <c r="AO35" i="17"/>
  <c r="AV35" i="17"/>
  <c r="AV39" i="17"/>
  <c r="G50" i="17"/>
  <c r="G46" i="17"/>
  <c r="H35" i="17"/>
  <c r="AJ39" i="18"/>
  <c r="AJ35" i="18"/>
  <c r="AH61" i="18"/>
  <c r="AH57" i="18"/>
  <c r="AD57" i="17"/>
  <c r="AZ24" i="18"/>
  <c r="D51" i="17"/>
  <c r="D46" i="17"/>
  <c r="AU35" i="17"/>
  <c r="AU39" i="17"/>
  <c r="AY35" i="18"/>
  <c r="AY39" i="18"/>
  <c r="V35" i="17"/>
  <c r="AS46" i="18"/>
  <c r="AS50" i="18"/>
  <c r="AL61" i="18"/>
  <c r="AL57" i="18"/>
  <c r="AZ23" i="18"/>
  <c r="AG46" i="17"/>
  <c r="AQ61" i="18"/>
  <c r="AQ57" i="18"/>
  <c r="AG57" i="17"/>
  <c r="AS50" i="17"/>
  <c r="AS46" i="17"/>
  <c r="X46" i="17"/>
  <c r="Y40" i="17"/>
  <c r="Y35" i="17"/>
  <c r="U35" i="18"/>
  <c r="U39" i="18"/>
  <c r="V50" i="18"/>
  <c r="V46" i="18"/>
  <c r="AR46" i="17"/>
  <c r="AV57" i="17"/>
  <c r="AV61" i="17"/>
  <c r="AQ57" i="17"/>
  <c r="AD39" i="18"/>
  <c r="AD35" i="18"/>
  <c r="P57" i="17"/>
  <c r="AX46" i="17"/>
  <c r="AX50" i="17"/>
  <c r="AT35" i="17"/>
  <c r="AD46" i="17"/>
  <c r="AW46" i="18"/>
  <c r="AW50" i="18"/>
  <c r="AH50" i="18"/>
  <c r="AH46" i="18"/>
  <c r="AU50" i="17"/>
  <c r="AU46" i="17"/>
  <c r="AY46" i="18"/>
  <c r="AY50" i="18"/>
  <c r="Z39" i="18"/>
  <c r="Z35" i="18"/>
  <c r="E34" i="17"/>
  <c r="E40" i="17"/>
  <c r="E24" i="17"/>
  <c r="AZ24" i="17"/>
  <c r="E45" i="17"/>
  <c r="E51" i="17"/>
  <c r="E56" i="17"/>
  <c r="E62" i="17"/>
  <c r="AL50" i="18"/>
  <c r="AL46" i="18"/>
  <c r="E50" i="18"/>
  <c r="E46" i="18"/>
  <c r="AR57" i="17"/>
  <c r="AP57" i="17"/>
  <c r="AQ35" i="18"/>
  <c r="AQ39" i="18"/>
  <c r="AB61" i="18"/>
  <c r="AB57" i="18"/>
  <c r="AY61" i="17"/>
  <c r="AY57" i="17"/>
  <c r="N56" i="17"/>
  <c r="N62" i="17"/>
  <c r="N45" i="17"/>
  <c r="N51" i="17"/>
  <c r="N34" i="17"/>
  <c r="N40" i="17"/>
  <c r="N24" i="17"/>
  <c r="AQ35" i="17"/>
  <c r="P35" i="17"/>
  <c r="AH57" i="17"/>
  <c r="AN35" i="17"/>
  <c r="AI35" i="17"/>
  <c r="AP35" i="17"/>
  <c r="AD61" i="18"/>
  <c r="AD57" i="18"/>
  <c r="G39" i="17"/>
  <c r="G35" i="17"/>
  <c r="AX35" i="17"/>
  <c r="AX39" i="17"/>
  <c r="AJ61" i="18"/>
  <c r="AJ57" i="18"/>
  <c r="AW35" i="18"/>
  <c r="AW39" i="18"/>
  <c r="AB35" i="17"/>
  <c r="AN46" i="17"/>
  <c r="AI57" i="17"/>
  <c r="AO57" i="17"/>
  <c r="D40" i="17"/>
  <c r="D35" i="17"/>
  <c r="AF35" i="17"/>
  <c r="AY61" i="18"/>
  <c r="AY57" i="18"/>
  <c r="E61" i="17"/>
  <c r="E57" i="17"/>
  <c r="N46" i="17"/>
  <c r="N50" i="17"/>
  <c r="E50" i="17"/>
  <c r="E46" i="17"/>
  <c r="H30" i="17"/>
  <c r="I27" i="17"/>
  <c r="N61" i="17"/>
  <c r="N57" i="17"/>
  <c r="Y27" i="18"/>
  <c r="X30" i="18"/>
  <c r="E39" i="17"/>
  <c r="E35" i="17"/>
  <c r="N39" i="17"/>
  <c r="N35" i="17"/>
  <c r="AZ23" i="17"/>
  <c r="I30" i="17"/>
  <c r="J27" i="17"/>
  <c r="Z27" i="18"/>
  <c r="Y30" i="18"/>
  <c r="AA27" i="18"/>
  <c r="Z30" i="18"/>
  <c r="J30" i="17"/>
  <c r="K27" i="17"/>
  <c r="K30" i="17"/>
  <c r="L27" i="17"/>
  <c r="AB27" i="18"/>
  <c r="AA30" i="18"/>
  <c r="AC27" i="18"/>
  <c r="AB30" i="18"/>
  <c r="L30" i="17"/>
  <c r="M27" i="17"/>
  <c r="M30" i="17"/>
  <c r="N27" i="17"/>
  <c r="AD27" i="18"/>
  <c r="AC30" i="18"/>
  <c r="AE27" i="18"/>
  <c r="AD30" i="18"/>
  <c r="N30" i="17"/>
  <c r="O27" i="17"/>
  <c r="O30" i="17"/>
  <c r="P27" i="17"/>
  <c r="AF27" i="18"/>
  <c r="AE30" i="18"/>
  <c r="AG27" i="18"/>
  <c r="AF30" i="18"/>
  <c r="P30" i="17"/>
  <c r="Q27" i="17"/>
  <c r="Q30" i="17"/>
  <c r="R27" i="17"/>
  <c r="AH27" i="18"/>
  <c r="AG30" i="18"/>
  <c r="AI27" i="18"/>
  <c r="AH30" i="18"/>
  <c r="R30" i="17"/>
  <c r="S27" i="17"/>
  <c r="S30" i="17"/>
  <c r="T27" i="17"/>
  <c r="AJ27" i="18"/>
  <c r="AI30" i="18"/>
  <c r="AK27" i="18"/>
  <c r="AJ30" i="18"/>
  <c r="T30" i="17"/>
  <c r="U27" i="17"/>
  <c r="U30" i="17"/>
  <c r="V27" i="17"/>
  <c r="AL27" i="18"/>
  <c r="AK30" i="18"/>
  <c r="AM27" i="18"/>
  <c r="AL30" i="18"/>
  <c r="V30" i="17"/>
  <c r="W27" i="17"/>
  <c r="W30" i="17"/>
  <c r="X27" i="17"/>
  <c r="AN27" i="18"/>
  <c r="AM30" i="18"/>
  <c r="AO27" i="18"/>
  <c r="AN30" i="18"/>
  <c r="X30" i="17"/>
  <c r="Y27" i="17"/>
  <c r="Y30" i="17"/>
  <c r="Z27" i="17"/>
  <c r="AP27" i="18"/>
  <c r="AO30" i="18"/>
  <c r="AQ27" i="18"/>
  <c r="AP30" i="18"/>
  <c r="Z30" i="17"/>
  <c r="AA27" i="17"/>
  <c r="AA30" i="17"/>
  <c r="AB27" i="17"/>
  <c r="AR27" i="18"/>
  <c r="AQ30" i="18"/>
  <c r="AS27" i="18"/>
  <c r="AR30" i="18"/>
  <c r="AB30" i="17"/>
  <c r="AC27" i="17"/>
  <c r="AD27" i="17"/>
  <c r="AC30" i="17"/>
  <c r="AT27" i="18"/>
  <c r="AS30" i="18"/>
  <c r="AU27" i="18"/>
  <c r="AT30" i="18"/>
  <c r="AD30" i="17"/>
  <c r="AE27" i="17"/>
  <c r="AE30" i="17"/>
  <c r="AF27" i="17"/>
  <c r="AV27" i="18"/>
  <c r="AU30" i="18"/>
  <c r="AW27" i="18"/>
  <c r="AV30" i="18"/>
  <c r="AF30" i="17"/>
  <c r="AG27" i="17"/>
  <c r="AG30" i="17"/>
  <c r="AH27" i="17"/>
  <c r="AX27" i="18"/>
  <c r="AW30" i="18"/>
  <c r="AY27" i="18"/>
  <c r="AY30" i="18"/>
  <c r="AX30" i="18"/>
  <c r="AH30" i="17"/>
  <c r="AI27" i="17"/>
  <c r="AI30" i="17"/>
  <c r="AJ27" i="17"/>
  <c r="AZ30" i="18"/>
  <c r="AJ30" i="17"/>
  <c r="AK27" i="17"/>
  <c r="AK30" i="17"/>
  <c r="AL27" i="17"/>
  <c r="AL30" i="17"/>
  <c r="AM27" i="17"/>
  <c r="AM30" i="17"/>
  <c r="AN27" i="17"/>
  <c r="AN30" i="17"/>
  <c r="AO27" i="17"/>
  <c r="AO30" i="17"/>
  <c r="AP27" i="17"/>
  <c r="AP30" i="17"/>
  <c r="AQ27" i="17"/>
  <c r="AQ30" i="17"/>
  <c r="AR27" i="17"/>
  <c r="AR30" i="17"/>
  <c r="AS27" i="17"/>
  <c r="AT27" i="17"/>
  <c r="AS30" i="17"/>
  <c r="AT30" i="17"/>
  <c r="AU27" i="17"/>
  <c r="AV27" i="17"/>
  <c r="AU30" i="17"/>
  <c r="AW27" i="17"/>
  <c r="AV30" i="17"/>
  <c r="AW30" i="17"/>
  <c r="AX27" i="17"/>
  <c r="AY27" i="17"/>
  <c r="AY30" i="17"/>
  <c r="AX30" i="17"/>
  <c r="AZ30" i="17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6" i="5"/>
  <c r="G16" i="5"/>
</calcChain>
</file>

<file path=xl/sharedStrings.xml><?xml version="1.0" encoding="utf-8"?>
<sst xmlns="http://schemas.openxmlformats.org/spreadsheetml/2006/main" count="2632" uniqueCount="414">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</sst>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2023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1600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5500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>
      <c r="B7" s="36" t="s">
        <v>105</v>
      </c>
      <c r="C7" s="88">
        <v>1.3101709645350013E-19</v>
      </c>
      <c r="D7" s="89">
        <v>1.3101709645350013E-19</v>
      </c>
      <c r="E7" s="89">
        <v>1.3101709645350013E-19</v>
      </c>
      <c r="F7" s="89">
        <v>1.3101709645350013E-19</v>
      </c>
      <c r="G7" s="89">
        <v>1.3101709645350013E-19</v>
      </c>
      <c r="H7" s="89">
        <v>1.3101709645350013E-19</v>
      </c>
      <c r="I7" s="89">
        <v>1.3101709645350013E-19</v>
      </c>
      <c r="J7" s="89">
        <v>1.3101709645350013E-19</v>
      </c>
      <c r="K7" s="89">
        <v>1.3101709645350013E-19</v>
      </c>
      <c r="L7" s="89">
        <v>1.3101709645350013E-19</v>
      </c>
      <c r="M7" s="89">
        <v>1.3101709645350013E-19</v>
      </c>
      <c r="N7" s="89">
        <v>1.3101709645350013E-19</v>
      </c>
    </row>
    <row r="8" spans="2:14">
      <c r="B8" s="36" t="s">
        <v>106</v>
      </c>
      <c r="C8" s="88">
        <v>197.99012119334859</v>
      </c>
      <c r="D8" s="89">
        <v>197.99012119334859</v>
      </c>
      <c r="E8" s="89">
        <v>197.99012119334859</v>
      </c>
      <c r="F8" s="89">
        <v>197.99012119334859</v>
      </c>
      <c r="G8" s="89">
        <v>197.99012119334859</v>
      </c>
      <c r="H8" s="89">
        <v>197.99012119334859</v>
      </c>
      <c r="I8" s="89">
        <v>197.99012119334859</v>
      </c>
      <c r="J8" s="89">
        <v>197.99012119334859</v>
      </c>
      <c r="K8" s="89">
        <v>197.99012119334859</v>
      </c>
      <c r="L8" s="89">
        <v>197.99012119334859</v>
      </c>
      <c r="M8" s="89">
        <v>197.99012119334859</v>
      </c>
      <c r="N8" s="89">
        <v>197.99012119334859</v>
      </c>
    </row>
    <row r="9" spans="2:14">
      <c r="B9" s="36" t="s">
        <v>107</v>
      </c>
      <c r="C9" s="88">
        <v>816.76566747576919</v>
      </c>
      <c r="D9" s="89">
        <v>816.76566747576919</v>
      </c>
      <c r="E9" s="89">
        <v>816.76566747576919</v>
      </c>
      <c r="F9" s="89">
        <v>816.76566747576919</v>
      </c>
      <c r="G9" s="89">
        <v>816.76566747576919</v>
      </c>
      <c r="H9" s="89">
        <v>816.76566747576919</v>
      </c>
      <c r="I9" s="89">
        <v>816.76566747576919</v>
      </c>
      <c r="J9" s="89">
        <v>816.76566747576919</v>
      </c>
      <c r="K9" s="89">
        <v>816.76566747576919</v>
      </c>
      <c r="L9" s="89">
        <v>816.76566747576919</v>
      </c>
      <c r="M9" s="89">
        <v>816.76566747576919</v>
      </c>
      <c r="N9" s="89">
        <v>816.76566747576919</v>
      </c>
    </row>
    <row r="10" spans="2:14">
      <c r="B10" s="36" t="s">
        <v>108</v>
      </c>
      <c r="C10" s="88">
        <v>2619.7133471398329</v>
      </c>
      <c r="D10" s="89">
        <v>2619.7133471398329</v>
      </c>
      <c r="E10" s="89">
        <v>2619.7133471398329</v>
      </c>
      <c r="F10" s="89">
        <v>2619.7133471398329</v>
      </c>
      <c r="G10" s="89">
        <v>2619.7133471398329</v>
      </c>
      <c r="H10" s="89">
        <v>2619.7133471398329</v>
      </c>
      <c r="I10" s="89">
        <v>2619.7133471398329</v>
      </c>
      <c r="J10" s="89">
        <v>2619.7133471398329</v>
      </c>
      <c r="K10" s="89">
        <v>2619.7133471398329</v>
      </c>
      <c r="L10" s="89">
        <v>2619.7133471398329</v>
      </c>
      <c r="M10" s="89">
        <v>2619.7133471398329</v>
      </c>
      <c r="N10" s="89">
        <v>2619.7133471398329</v>
      </c>
    </row>
    <row r="11" spans="2:14">
      <c r="B11" s="37" t="s">
        <v>109</v>
      </c>
      <c r="C11" s="88">
        <v>1.9128530131756781E-19</v>
      </c>
      <c r="D11" s="89">
        <v>1.9128530131756781E-19</v>
      </c>
      <c r="E11" s="89">
        <v>1.9128530131756781E-19</v>
      </c>
      <c r="F11" s="89">
        <v>1.9128530131756781E-19</v>
      </c>
      <c r="G11" s="89">
        <v>1.9128530131756781E-19</v>
      </c>
      <c r="H11" s="89">
        <v>1.9128530131756781E-19</v>
      </c>
      <c r="I11" s="89">
        <v>1.9128530131756781E-19</v>
      </c>
      <c r="J11" s="89">
        <v>1.9128530131756781E-19</v>
      </c>
      <c r="K11" s="89">
        <v>1.9128530131756781E-19</v>
      </c>
      <c r="L11" s="89">
        <v>1.9128530131756781E-19</v>
      </c>
      <c r="M11" s="89">
        <v>1.9128530131756781E-19</v>
      </c>
      <c r="N11" s="89">
        <v>1.9128530131756781E-19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0.55584249395254615</v>
      </c>
      <c r="E17" s="90">
        <v>1</v>
      </c>
      <c r="F17" s="90">
        <v>0.78428911396462442</v>
      </c>
      <c r="G17" s="90">
        <v>0.8</v>
      </c>
      <c r="H17" s="90">
        <v>1.0127357339767029</v>
      </c>
      <c r="I17" s="29" t="s">
        <v>110</v>
      </c>
    </row>
    <row r="18" spans="2:33">
      <c r="B18" s="36" t="s">
        <v>105</v>
      </c>
      <c r="C18" s="91">
        <v>1.2</v>
      </c>
      <c r="D18" s="91">
        <v>0.64000943962191537</v>
      </c>
      <c r="E18" s="91">
        <v>1</v>
      </c>
      <c r="F18" s="91">
        <v>0.76648315633285335</v>
      </c>
      <c r="G18" s="91">
        <v>0.8</v>
      </c>
      <c r="H18" s="91">
        <v>0.89295687304379134</v>
      </c>
      <c r="I18" s="29" t="s">
        <v>110</v>
      </c>
    </row>
    <row r="19" spans="2:33">
      <c r="B19" s="36" t="s">
        <v>106</v>
      </c>
      <c r="C19" s="91">
        <v>1.2</v>
      </c>
      <c r="D19" s="91">
        <v>0.68069998948176846</v>
      </c>
      <c r="E19" s="91">
        <v>1</v>
      </c>
      <c r="F19" s="91">
        <v>0.83925715749770058</v>
      </c>
      <c r="G19" s="91">
        <v>0.8</v>
      </c>
      <c r="H19" s="91">
        <v>0.99781432551363269</v>
      </c>
      <c r="I19" s="29" t="s">
        <v>110</v>
      </c>
    </row>
    <row r="20" spans="2:33">
      <c r="B20" s="36" t="s">
        <v>107</v>
      </c>
      <c r="C20" s="91">
        <v>1.2</v>
      </c>
      <c r="D20" s="91">
        <v>0.64364454136289284</v>
      </c>
      <c r="E20" s="91">
        <v>1</v>
      </c>
      <c r="F20" s="91">
        <v>0.81765334773265841</v>
      </c>
      <c r="G20" s="91">
        <v>0.8</v>
      </c>
      <c r="H20" s="91">
        <v>0.99166215410242375</v>
      </c>
    </row>
    <row r="21" spans="2:33">
      <c r="B21" s="36" t="s">
        <v>108</v>
      </c>
      <c r="C21" s="91">
        <v>1.2</v>
      </c>
      <c r="D21" s="91">
        <v>0.69988942167905177</v>
      </c>
      <c r="E21" s="91">
        <v>1</v>
      </c>
      <c r="F21" s="91">
        <v>0.72721555604565558</v>
      </c>
      <c r="G21" s="91">
        <v>0.8</v>
      </c>
      <c r="H21" s="91">
        <v>0.75454169041225938</v>
      </c>
    </row>
    <row r="22" spans="2:33">
      <c r="B22" s="37" t="s">
        <v>109</v>
      </c>
      <c r="C22" s="91">
        <v>1.2</v>
      </c>
      <c r="D22" s="91">
        <v>0.69858741821798043</v>
      </c>
      <c r="E22" s="91">
        <v>1</v>
      </c>
      <c r="F22" s="91">
        <v>0.76295515118090329</v>
      </c>
      <c r="G22" s="91">
        <v>0.8</v>
      </c>
      <c r="H22" s="91">
        <v>0.82732288414382604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2018</v>
      </c>
      <c r="E28" s="49"/>
      <c r="F28" s="45">
        <f>basic_info!$D$5-4</f>
        <v>2019</v>
      </c>
      <c r="G28" s="49"/>
      <c r="H28" s="45">
        <f>basic_info!$D$5-3</f>
        <v>2020</v>
      </c>
      <c r="I28" s="49"/>
      <c r="J28" s="45">
        <f>basic_info!$D$5-2</f>
        <v>2021</v>
      </c>
      <c r="K28" s="49"/>
      <c r="L28" s="45">
        <f>basic_info!$D$5-1</f>
        <v>2022</v>
      </c>
      <c r="N28" s="45">
        <f>basic_info!$D$5</f>
        <v>2023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2023</v>
      </c>
      <c r="D30" s="44">
        <v>0.76104814894497397</v>
      </c>
      <c r="E30" s="35">
        <v>0.76104814894497397</v>
      </c>
      <c r="F30" s="47">
        <v>0.79273633468025484</v>
      </c>
      <c r="G30" s="46">
        <v>0.79273633468025484</v>
      </c>
      <c r="H30" s="47">
        <v>0.69703697591794289</v>
      </c>
      <c r="I30" s="46">
        <v>0.69703697591794289</v>
      </c>
      <c r="J30" s="47">
        <v>0.95294777880413084</v>
      </c>
      <c r="K30" s="46">
        <v>0.95294777880413084</v>
      </c>
      <c r="L30" s="47">
        <v>0.78707912631273491</v>
      </c>
      <c r="M30" s="46">
        <v>0.78707912631273491</v>
      </c>
      <c r="N30" s="60"/>
      <c r="O30" s="71" t="s">
        <v>162</v>
      </c>
      <c r="P30" s="41">
        <f>M30+K30+I30+E30+G30</f>
        <v>3.9908483646600375</v>
      </c>
      <c r="Q30" s="70"/>
    </row>
    <row r="31" spans="2:33">
      <c r="B31" s="36"/>
      <c r="C31" s="47">
        <f>basic_info!$D$5+1</f>
        <v>2024</v>
      </c>
      <c r="D31" s="76"/>
      <c r="E31" s="75"/>
      <c r="F31" s="69">
        <v>0.74555828573405758</v>
      </c>
      <c r="G31" s="79">
        <v>0.74555828573405758</v>
      </c>
      <c r="H31" s="61">
        <v>0.64461704818677901</v>
      </c>
      <c r="I31" s="62">
        <v>0.64461704818677901</v>
      </c>
      <c r="J31" s="61">
        <v>0.87899184604331659</v>
      </c>
      <c r="K31" s="62">
        <v>0.87899184604331659</v>
      </c>
      <c r="L31" s="61">
        <v>0.79466405801506501</v>
      </c>
      <c r="M31" s="62">
        <v>0.79466405801506501</v>
      </c>
      <c r="N31" s="63">
        <v>0.76811972479298318</v>
      </c>
      <c r="O31" s="89">
        <v>0.76811972479298318</v>
      </c>
      <c r="P31" s="63">
        <f>O31+M31+K31+I31+G31</f>
        <v>3.8319509627722015</v>
      </c>
    </row>
    <row r="32" spans="2:33">
      <c r="B32" s="36"/>
      <c r="C32" s="47">
        <f>basic_info!$D$5+2</f>
        <v>2025</v>
      </c>
      <c r="D32" s="76"/>
      <c r="E32" s="75"/>
      <c r="F32" s="75"/>
      <c r="G32" s="75"/>
      <c r="H32" s="69">
        <v>0.64994232899248594</v>
      </c>
      <c r="I32" s="79">
        <v>0.64994232899248594</v>
      </c>
      <c r="J32" s="61">
        <v>0.79960135907517904</v>
      </c>
      <c r="K32" s="62">
        <v>0.79960135907517904</v>
      </c>
      <c r="L32" s="61">
        <v>0.80975882421710899</v>
      </c>
      <c r="M32" s="62">
        <v>0.80975882421710899</v>
      </c>
      <c r="N32" s="63">
        <v>0.72057475068865573</v>
      </c>
      <c r="O32" s="89">
        <v>0.72057475068865573</v>
      </c>
      <c r="P32" s="63">
        <f>O32+M32+K32+I32</f>
        <v>2.9798772629734298</v>
      </c>
    </row>
    <row r="33" spans="2:17">
      <c r="B33" s="36"/>
      <c r="C33" s="47">
        <f>basic_info!$D$5+3</f>
        <v>2026</v>
      </c>
      <c r="D33" s="76"/>
      <c r="E33" s="75"/>
      <c r="F33" s="75"/>
      <c r="G33" s="75"/>
      <c r="H33" s="75"/>
      <c r="I33" s="75"/>
      <c r="J33" s="69">
        <v>0.73880555482804788</v>
      </c>
      <c r="K33" s="79">
        <v>0.73880555482804788</v>
      </c>
      <c r="L33" s="61">
        <v>0.80660806339327296</v>
      </c>
      <c r="M33" s="62">
        <v>0.80660806339327296</v>
      </c>
      <c r="N33" s="63">
        <v>0.66770912421851791</v>
      </c>
      <c r="O33" s="89">
        <v>0.66770912421851791</v>
      </c>
      <c r="P33" s="63">
        <f>O33+M33+K33</f>
        <v>2.2131227424398388</v>
      </c>
    </row>
    <row r="34" spans="2:17">
      <c r="B34" s="36"/>
      <c r="C34" s="47">
        <f>basic_info!$D$5+4</f>
        <v>2027</v>
      </c>
      <c r="D34" s="76"/>
      <c r="E34" s="75"/>
      <c r="F34" s="75"/>
      <c r="G34" s="75"/>
      <c r="H34" s="75"/>
      <c r="I34" s="75"/>
      <c r="J34" s="75"/>
      <c r="K34" s="75"/>
      <c r="L34" s="69">
        <v>0.76512732076942924</v>
      </c>
      <c r="M34" s="79">
        <v>0.76512732076942924</v>
      </c>
      <c r="N34" s="63">
        <v>0.65019748550057865</v>
      </c>
      <c r="O34" s="89">
        <v>0.65019748550057865</v>
      </c>
      <c r="P34" s="63">
        <f>O34+M34</f>
        <v>1.4153248062700079</v>
      </c>
    </row>
    <row r="35" spans="2:17">
      <c r="B35" s="37"/>
      <c r="C35" s="72">
        <f>basic_info!$D$5+5</f>
        <v>2028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0.66023955697715286</v>
      </c>
      <c r="O35" s="89">
        <v>0.66023955697715286</v>
      </c>
      <c r="P35" s="65">
        <f>O35</f>
        <v>0.66023955697715286</v>
      </c>
    </row>
    <row r="36" spans="2:17">
      <c r="B36" s="41" t="s">
        <v>113</v>
      </c>
      <c r="C36" s="36">
        <f>basic_info!$D$5</f>
        <v>2023</v>
      </c>
      <c r="D36" s="44">
        <v>0.92028542885184295</v>
      </c>
      <c r="E36" s="35">
        <v>0.92028542885184295</v>
      </c>
      <c r="F36" s="73">
        <v>0.97101189850230707</v>
      </c>
      <c r="G36" s="74">
        <v>0.97101189850230707</v>
      </c>
      <c r="H36" s="73">
        <v>1.0883434339799747</v>
      </c>
      <c r="I36" s="74">
        <v>1.0883434339799747</v>
      </c>
      <c r="J36" s="73">
        <v>1.0379530990077617</v>
      </c>
      <c r="K36" s="74">
        <v>1.0379530990077617</v>
      </c>
      <c r="L36" s="66">
        <v>1.1107752080376758</v>
      </c>
      <c r="M36" s="67">
        <v>1.1107752080376758</v>
      </c>
      <c r="N36" s="68"/>
      <c r="O36" s="71" t="s">
        <v>162</v>
      </c>
      <c r="P36" s="41">
        <f>M36+K36+I36+E36+G36</f>
        <v>5.1283690683795617</v>
      </c>
      <c r="Q36" s="70"/>
    </row>
    <row r="37" spans="2:17">
      <c r="B37" s="36"/>
      <c r="C37" s="47">
        <f>basic_info!$D$5+1</f>
        <v>2024</v>
      </c>
      <c r="D37" s="76"/>
      <c r="E37" s="75"/>
      <c r="F37" s="69">
        <v>0.91845404595136637</v>
      </c>
      <c r="G37" s="79">
        <v>0.91845404595136637</v>
      </c>
      <c r="H37" s="61">
        <v>1.0508784733022103</v>
      </c>
      <c r="I37" s="62">
        <v>1.0508784733022103</v>
      </c>
      <c r="J37" s="61">
        <v>0.98950169448473901</v>
      </c>
      <c r="K37" s="62">
        <v>0.98950169448473901</v>
      </c>
      <c r="L37" s="61">
        <v>1.0747725428407104</v>
      </c>
      <c r="M37" s="62">
        <v>1.0747725428407104</v>
      </c>
      <c r="N37" s="61">
        <v>0.99252468488777346</v>
      </c>
      <c r="O37" s="89">
        <v>0.99252468488777346</v>
      </c>
      <c r="P37" s="63">
        <f>O37+M37+K37+I37+G37</f>
        <v>5.0261314414667986</v>
      </c>
    </row>
    <row r="38" spans="2:17">
      <c r="B38" s="36"/>
      <c r="C38" s="47">
        <f>basic_info!$D$5+2</f>
        <v>2025</v>
      </c>
      <c r="D38" s="76"/>
      <c r="E38" s="75"/>
      <c r="F38" s="75"/>
      <c r="G38" s="75"/>
      <c r="H38" s="69">
        <v>1.0247439911663534</v>
      </c>
      <c r="I38" s="79">
        <v>1.0247439911663534</v>
      </c>
      <c r="J38" s="61">
        <v>0.93453935364490526</v>
      </c>
      <c r="K38" s="62">
        <v>0.93453935364490526</v>
      </c>
      <c r="L38" s="61">
        <v>1.047211124819112</v>
      </c>
      <c r="M38" s="62">
        <v>1.047211124819112</v>
      </c>
      <c r="N38" s="61">
        <v>0.92187316482345938</v>
      </c>
      <c r="O38" s="89">
        <v>0.92187316482345938</v>
      </c>
      <c r="P38" s="63">
        <f>O38+M38+K38+I38</f>
        <v>3.9283676344538301</v>
      </c>
    </row>
    <row r="39" spans="2:17">
      <c r="B39" s="36"/>
      <c r="C39" s="47">
        <f>basic_info!$D$5+3</f>
        <v>2026</v>
      </c>
      <c r="D39" s="76"/>
      <c r="E39" s="75"/>
      <c r="F39" s="75"/>
      <c r="G39" s="75"/>
      <c r="H39" s="75"/>
      <c r="I39" s="75"/>
      <c r="J39" s="69">
        <v>0.93520843183994296</v>
      </c>
      <c r="K39" s="79">
        <v>0.93520843183994296</v>
      </c>
      <c r="L39" s="61">
        <v>1.0352907467437555</v>
      </c>
      <c r="M39" s="62">
        <v>1.0352907467437555</v>
      </c>
      <c r="N39" s="61">
        <v>0.88683645767326402</v>
      </c>
      <c r="O39" s="89">
        <v>0.88683645767326402</v>
      </c>
      <c r="P39" s="63">
        <f>O39+M39+K39</f>
        <v>2.8573356362569626</v>
      </c>
    </row>
    <row r="40" spans="2:17">
      <c r="B40" s="36"/>
      <c r="C40" s="47">
        <f>basic_info!$D$5+4</f>
        <v>2027</v>
      </c>
      <c r="D40" s="76"/>
      <c r="E40" s="75"/>
      <c r="F40" s="75"/>
      <c r="G40" s="75"/>
      <c r="H40" s="75"/>
      <c r="I40" s="75"/>
      <c r="J40" s="75"/>
      <c r="K40" s="75"/>
      <c r="L40" s="69">
        <v>1.0053375317752362</v>
      </c>
      <c r="M40" s="79">
        <v>1.0053375317752362</v>
      </c>
      <c r="N40" s="61">
        <v>0.87530734595100446</v>
      </c>
      <c r="O40" s="89">
        <v>0.87530734595100446</v>
      </c>
      <c r="P40" s="63">
        <f>O40+M40</f>
        <v>1.8806448777262408</v>
      </c>
    </row>
    <row r="41" spans="2:17">
      <c r="B41" s="37"/>
      <c r="C41" s="72">
        <f>basic_info!$D$5+5</f>
        <v>2028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0.87304416900873183</v>
      </c>
      <c r="O41" s="89">
        <v>0.87304416900873183</v>
      </c>
      <c r="P41" s="64">
        <f>O41</f>
        <v>0.87304416900873183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8.3333333333333357</v>
      </c>
      <c r="D47" s="92">
        <v>8.3333333333333357</v>
      </c>
      <c r="E47" s="92">
        <v>8.3333333333333357</v>
      </c>
      <c r="F47" s="92">
        <v>8.3333333333333357</v>
      </c>
      <c r="G47" s="92">
        <v>8.3333333333333357</v>
      </c>
      <c r="H47" s="92">
        <v>8.3333333333333357</v>
      </c>
      <c r="I47" s="92">
        <v>8.3333333333333357</v>
      </c>
      <c r="J47" s="92">
        <v>8.3333333333333357</v>
      </c>
      <c r="K47" s="92">
        <v>8.3333333333333357</v>
      </c>
      <c r="L47" s="92">
        <v>8.3333333333333357</v>
      </c>
      <c r="M47" s="92">
        <v>8.3333333333333357</v>
      </c>
      <c r="N47" s="92">
        <v>8.3333333333333357</v>
      </c>
      <c r="O47" s="33">
        <f>SUM(C47:N47)</f>
        <v>100.00000000000006</v>
      </c>
    </row>
    <row r="48" spans="2:17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7.3465966269171527E-17</v>
      </c>
      <c r="D6" s="93">
        <v>2.1058015352977366E-16</v>
      </c>
      <c r="E6" s="93">
        <v>5.3680249466011649E-17</v>
      </c>
      <c r="F6" s="93">
        <v>0</v>
      </c>
      <c r="G6" s="93">
        <v>100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84.887657360537176</v>
      </c>
      <c r="D7" s="93">
        <v>15.112342639462833</v>
      </c>
      <c r="E7" s="93">
        <v>0</v>
      </c>
      <c r="F7" s="93">
        <v>0</v>
      </c>
      <c r="G7" s="93">
        <v>0</v>
      </c>
      <c r="H7" s="97">
        <f>SUM($C$7:$G$7)</f>
        <v>100.00000000000001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8.9174826670296675E-20</v>
      </c>
      <c r="D8" s="93">
        <v>5.3911386242499517E-20</v>
      </c>
      <c r="E8" s="93">
        <v>99.999999999999986</v>
      </c>
      <c r="F8" s="93">
        <v>0</v>
      </c>
      <c r="G8" s="93">
        <v>3.2978407937741874E-20</v>
      </c>
      <c r="H8" s="97">
        <f>SUM($C$8:$G$8)</f>
        <v>99.999999999999986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73.460482472813794</v>
      </c>
      <c r="D9" s="93">
        <v>2.1257570049593086E-20</v>
      </c>
      <c r="E9" s="93">
        <v>0</v>
      </c>
      <c r="F9" s="93">
        <v>26.539517527186195</v>
      </c>
      <c r="G9" s="93">
        <v>4.1808346242894527E-21</v>
      </c>
      <c r="H9" s="97">
        <f>SUM($C$9:$G$9)</f>
        <v>99.999999999999986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2.8737244894896515E-22</v>
      </c>
      <c r="D10" s="93">
        <v>59.349202657093649</v>
      </c>
      <c r="E10" s="93">
        <v>1.6200129126736812E-21</v>
      </c>
      <c r="F10" s="93">
        <v>0</v>
      </c>
      <c r="G10" s="93">
        <v>40.650797342906344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13.562307508937263</v>
      </c>
      <c r="D11" s="94">
        <v>72.014719512678752</v>
      </c>
      <c r="E11" s="94">
        <v>0</v>
      </c>
      <c r="F11" s="94">
        <v>5.0639229054206929</v>
      </c>
      <c r="G11" s="94">
        <v>9.3590500729632993</v>
      </c>
      <c r="H11" s="96">
        <f>SUM($C$11:$G$11)</f>
        <v>100.00000000000001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44.086242302809019</v>
      </c>
      <c r="D19" s="44">
        <f>100-$C$19</f>
        <v>55.913757697190981</v>
      </c>
      <c r="E19" s="94">
        <v>42.721137772871003</v>
      </c>
      <c r="F19" s="33">
        <f>100-$E$19</f>
        <v>57.278862227128997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14.67225742361525</v>
      </c>
      <c r="D27" s="93">
        <v>42.531363671238822</v>
      </c>
      <c r="E27" s="93">
        <v>35.068071348510564</v>
      </c>
      <c r="F27" s="93">
        <v>8.5974728510866534</v>
      </c>
      <c r="G27" s="95">
        <v>6.9889550061368064</v>
      </c>
      <c r="N27" s="50"/>
      <c r="O27" s="50"/>
      <c r="P27" s="50"/>
    </row>
    <row r="28" spans="2:16">
      <c r="B28" s="45" t="s">
        <v>46</v>
      </c>
      <c r="C28" s="93">
        <v>17.767355578304123</v>
      </c>
      <c r="D28" s="93">
        <v>57.468636328761185</v>
      </c>
      <c r="E28" s="93">
        <v>64.931928651489429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67.560386998080631</v>
      </c>
      <c r="D29" s="93">
        <v>0</v>
      </c>
      <c r="E29" s="93">
        <v>0</v>
      </c>
      <c r="F29" s="93">
        <v>91.40252714891335</v>
      </c>
      <c r="G29" s="95">
        <v>93.011044993863194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39.835698678673715</v>
      </c>
      <c r="D37" s="93">
        <v>39.835698678673715</v>
      </c>
      <c r="E37" s="93">
        <v>39.835698678673715</v>
      </c>
      <c r="F37" s="93">
        <v>39.835698678673715</v>
      </c>
      <c r="G37" s="93">
        <v>39.835698678673715</v>
      </c>
      <c r="H37" s="93">
        <v>39.835698678673715</v>
      </c>
      <c r="I37" s="93">
        <v>39.835698678673715</v>
      </c>
      <c r="J37" s="93">
        <v>39.835698678673715</v>
      </c>
      <c r="K37" s="93">
        <v>39.835698678673715</v>
      </c>
      <c r="L37" s="93">
        <v>39.835698678673715</v>
      </c>
      <c r="M37" s="93">
        <v>39.835698678673715</v>
      </c>
      <c r="N37" s="95">
        <v>39.835698678673715</v>
      </c>
    </row>
    <row r="38" spans="2:14">
      <c r="B38" s="45" t="s">
        <v>46</v>
      </c>
      <c r="C38" s="93">
        <v>40.578519674343532</v>
      </c>
      <c r="D38" s="93">
        <v>40.578519674343532</v>
      </c>
      <c r="E38" s="93">
        <v>40.578519674343532</v>
      </c>
      <c r="F38" s="93">
        <v>40.578519674343532</v>
      </c>
      <c r="G38" s="93">
        <v>40.578519674343532</v>
      </c>
      <c r="H38" s="93">
        <v>40.578519674343532</v>
      </c>
      <c r="I38" s="93">
        <v>40.578519674343532</v>
      </c>
      <c r="J38" s="93">
        <v>40.578519674343532</v>
      </c>
      <c r="K38" s="93">
        <v>40.578519674343532</v>
      </c>
      <c r="L38" s="93">
        <v>40.578519674343532</v>
      </c>
      <c r="M38" s="93">
        <v>40.578519674343532</v>
      </c>
      <c r="N38" s="95">
        <v>40.578519674343532</v>
      </c>
    </row>
    <row r="39" spans="2:14">
      <c r="B39" s="45" t="s">
        <v>59</v>
      </c>
      <c r="C39" s="94">
        <v>43.330369181203565</v>
      </c>
      <c r="D39" s="94">
        <v>43.330369181203565</v>
      </c>
      <c r="E39" s="94">
        <v>43.330369181203565</v>
      </c>
      <c r="F39" s="94">
        <v>43.330369181203565</v>
      </c>
      <c r="G39" s="94">
        <v>43.330369181203565</v>
      </c>
      <c r="H39" s="94">
        <v>43.330369181203565</v>
      </c>
      <c r="I39" s="94">
        <v>43.330369181203565</v>
      </c>
      <c r="J39" s="94">
        <v>43.330369181203565</v>
      </c>
      <c r="K39" s="94">
        <v>43.330369181203565</v>
      </c>
      <c r="L39" s="94">
        <v>43.330369181203565</v>
      </c>
      <c r="M39" s="94">
        <v>43.330369181203565</v>
      </c>
      <c r="N39" s="89">
        <v>43.330369181203565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50991.276498108484</v>
      </c>
      <c r="L7" s="182"/>
      <c r="M7" s="182" t="s">
        <v>356</v>
      </c>
      <c r="S7" s="187">
        <f>SUM(ORA!$D$127:$O$127)</f>
        <v>222092128.70842648</v>
      </c>
    </row>
    <row r="8" spans="1:20">
      <c r="A8" s="182"/>
      <c r="B8" s="182" t="s">
        <v>357</v>
      </c>
      <c r="G8" s="185"/>
      <c r="H8" s="188">
        <f>SUM(POJ!$D$116:$O$116)</f>
        <v>46364.693177950277</v>
      </c>
      <c r="L8" s="182"/>
      <c r="M8" s="182" t="s">
        <v>357</v>
      </c>
      <c r="S8" s="189">
        <f>SUM(POJ!$D$127:$O$127)</f>
        <v>324552852.24565202</v>
      </c>
    </row>
    <row r="9" spans="1:20">
      <c r="A9" s="182"/>
      <c r="B9" s="182" t="s">
        <v>358</v>
      </c>
      <c r="G9" s="185"/>
      <c r="H9" s="188">
        <f>SUM(ROJ!$D$116:$O$116)</f>
        <v>29505.031076729279</v>
      </c>
      <c r="L9" s="182"/>
      <c r="M9" s="182" t="s">
        <v>358</v>
      </c>
      <c r="S9" s="189">
        <f>SUM(ROJ!$D$127:$O$127)</f>
        <v>224238236.18314251</v>
      </c>
    </row>
    <row r="10" spans="1:20">
      <c r="A10" s="182"/>
      <c r="B10" s="182" t="s">
        <v>359</v>
      </c>
      <c r="G10" s="185"/>
      <c r="H10" s="190">
        <f>SUM(FCOJ!$D$116:$O$116)</f>
        <v>32148.061672362914</v>
      </c>
      <c r="L10" s="182"/>
      <c r="M10" s="182" t="s">
        <v>359</v>
      </c>
      <c r="S10" s="191">
        <f>SUM(FCOJ!$D$127:$O$127)</f>
        <v>161040752.42090288</v>
      </c>
    </row>
    <row r="11" spans="1:20">
      <c r="A11" s="182"/>
      <c r="B11" s="182"/>
      <c r="G11" s="185"/>
      <c r="M11" s="182" t="s">
        <v>360</v>
      </c>
      <c r="T11" s="192">
        <f>SUM($S$7:$S$10)</f>
        <v>931923969.55812383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198287.39482035936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3.9908483646600375</v>
      </c>
      <c r="L14" s="182"/>
      <c r="M14" s="182" t="s">
        <v>365</v>
      </c>
      <c r="S14" s="187">
        <f>SUM(grove!$C$58:$AX$63)</f>
        <v>267616964.90141445</v>
      </c>
    </row>
    <row r="15" spans="1:20">
      <c r="A15" s="182"/>
      <c r="B15" s="182" t="s">
        <v>366</v>
      </c>
      <c r="G15" s="185"/>
      <c r="H15" s="190">
        <f>raw_materials!$P$36</f>
        <v>5.1283690683795617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6442.177494673263</v>
      </c>
    </row>
    <row r="16" spans="1:20">
      <c r="A16" s="182"/>
      <c r="B16" s="182" t="s">
        <v>368</v>
      </c>
      <c r="G16" s="185"/>
      <c r="H16" s="194">
        <v>48911.153996818306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10570.898012816713</v>
      </c>
    </row>
    <row r="17" spans="1:21">
      <c r="A17" s="182"/>
      <c r="B17" s="182" t="s">
        <v>370</v>
      </c>
      <c r="G17" s="185"/>
      <c r="H17" s="195">
        <v>64719.736156804145</v>
      </c>
      <c r="L17" s="182"/>
      <c r="M17" s="182" t="s">
        <v>371</v>
      </c>
      <c r="S17" s="189">
        <v>39066196.790097475</v>
      </c>
    </row>
    <row r="18" spans="1:21">
      <c r="A18" s="182"/>
      <c r="B18" s="182" t="s">
        <v>372</v>
      </c>
      <c r="G18" s="185"/>
      <c r="H18" s="196">
        <v>31390.880468443356</v>
      </c>
      <c r="L18" s="182"/>
      <c r="M18" s="182" t="s">
        <v>373</v>
      </c>
      <c r="S18" s="191">
        <v>1633.8093103098458</v>
      </c>
    </row>
    <row r="19" spans="1:21">
      <c r="A19" s="182"/>
      <c r="B19" s="182" t="s">
        <v>374</v>
      </c>
      <c r="G19" s="185"/>
      <c r="H19" s="195">
        <v>31930.12483443919</v>
      </c>
      <c r="L19" s="182"/>
      <c r="M19" s="182" t="s">
        <v>375</v>
      </c>
      <c r="S19" s="197" t="s">
        <v>376</v>
      </c>
      <c r="T19" s="198">
        <f>SUM($S$14:$S$18)</f>
        <v>306701808.57632971</v>
      </c>
      <c r="U19" s="100" t="s">
        <v>377</v>
      </c>
    </row>
    <row r="20" spans="1:21">
      <c r="A20" s="182"/>
      <c r="B20" s="182" t="s">
        <v>378</v>
      </c>
      <c r="G20" s="185"/>
      <c r="H20" s="190">
        <v>1701.6950646396144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97822307.993636534</v>
      </c>
    </row>
    <row r="23" spans="1:21">
      <c r="A23" s="182"/>
      <c r="B23" s="182" t="s">
        <v>382</v>
      </c>
      <c r="G23" s="185"/>
      <c r="H23" s="186">
        <f>SUM(raw_materials!$O$31:$O$35)</f>
        <v>3.4668406421778881</v>
      </c>
      <c r="L23" s="182"/>
      <c r="M23" s="182" t="s">
        <v>383</v>
      </c>
      <c r="S23" s="189">
        <v>64719736.156804144</v>
      </c>
    </row>
    <row r="24" spans="1:21">
      <c r="A24" s="182"/>
      <c r="B24" s="182" t="s">
        <v>384</v>
      </c>
      <c r="G24" s="185"/>
      <c r="H24" s="190">
        <f>SUM(raw_materials!$O$37:$O$41)</f>
        <v>4.5495858223442331</v>
      </c>
      <c r="L24" s="182"/>
      <c r="M24" s="182" t="s">
        <v>385</v>
      </c>
      <c r="S24" s="191">
        <v>20404072.304488186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182946116.45492887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15137568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32275102.598662082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10295570.877015546</v>
      </c>
    </row>
    <row r="31" spans="1:21">
      <c r="L31" s="182"/>
      <c r="M31" s="182" t="s">
        <v>396</v>
      </c>
      <c r="S31" s="191">
        <f>SUM(ORA!D138:O138)+SUM(POJ!D138:O138)+SUM(ROJ!D138:O138)+SUM(FCOJ!D138:O138)</f>
        <v>108607272.11490726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166315513.59058487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28415000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9180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54896680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221063850.93628037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0.70917558728369057</v>
      </c>
      <c r="D5" s="100">
        <v>0.70055651067296221</v>
      </c>
      <c r="E5" s="100">
        <v>0.60489195077040703</v>
      </c>
      <c r="F5" s="100">
        <v>0.55911663269337986</v>
      </c>
      <c r="G5" s="100">
        <v>0.71390931466806073</v>
      </c>
      <c r="H5" s="100">
        <v>0.59649401545633596</v>
      </c>
      <c r="I5" s="100">
        <v>0.60861599663823107</v>
      </c>
      <c r="J5" s="100">
        <v>0.58256450030711215</v>
      </c>
      <c r="K5" s="100">
        <v>0.59779706607240324</v>
      </c>
      <c r="L5" s="100">
        <v>0.64400555229978118</v>
      </c>
      <c r="M5" s="100">
        <v>0.60036854525001704</v>
      </c>
      <c r="N5" s="100">
        <v>0.56030369829215687</v>
      </c>
    </row>
    <row r="6" spans="2:14">
      <c r="B6" s="171" t="s">
        <v>105</v>
      </c>
      <c r="C6" s="100">
        <v>0.75354690331316765</v>
      </c>
      <c r="D6" s="100">
        <v>0.68256923656730162</v>
      </c>
      <c r="E6" s="100">
        <v>0.71125831302823139</v>
      </c>
      <c r="F6" s="100">
        <v>0.68249079599116791</v>
      </c>
      <c r="G6" s="100">
        <v>0.93386254530023005</v>
      </c>
      <c r="H6" s="100">
        <v>0.69977360187519133</v>
      </c>
      <c r="I6" s="100">
        <v>0.65720223370088271</v>
      </c>
      <c r="J6" s="100">
        <v>0.70418935067134425</v>
      </c>
      <c r="K6" s="100">
        <v>0.68392411683475474</v>
      </c>
      <c r="L6" s="100">
        <v>0.68745798107170841</v>
      </c>
      <c r="M6" s="100">
        <v>0.76939780010785752</v>
      </c>
      <c r="N6" s="100">
        <v>0.78285678563428263</v>
      </c>
    </row>
    <row r="7" spans="2:14">
      <c r="B7" s="171" t="s">
        <v>106</v>
      </c>
      <c r="C7" s="100">
        <v>0.82456769423397025</v>
      </c>
      <c r="D7" s="100">
        <v>0.84389959314781882</v>
      </c>
      <c r="E7" s="100">
        <v>0.8164298612916755</v>
      </c>
      <c r="F7" s="100">
        <v>0.76211213390421972</v>
      </c>
      <c r="G7" s="100">
        <v>0.75018275637131737</v>
      </c>
      <c r="H7" s="100">
        <v>0.75176640159868147</v>
      </c>
      <c r="I7" s="100">
        <v>0.76019484796978676</v>
      </c>
      <c r="J7" s="100">
        <v>0.73019767175203243</v>
      </c>
      <c r="K7" s="100">
        <v>0.7082278495099863</v>
      </c>
      <c r="L7" s="100">
        <v>0.70209940651912994</v>
      </c>
      <c r="M7" s="100">
        <v>0.710180520719492</v>
      </c>
      <c r="N7" s="100">
        <v>0.84985613841787067</v>
      </c>
    </row>
    <row r="8" spans="2:14">
      <c r="B8" s="171" t="s">
        <v>107</v>
      </c>
      <c r="C8" s="100">
        <v>0.7610934281966073</v>
      </c>
      <c r="D8" s="100">
        <v>0.68769922558433128</v>
      </c>
      <c r="E8" s="100">
        <v>0.93106218541963737</v>
      </c>
      <c r="F8" s="100">
        <v>0.69920518037789281</v>
      </c>
      <c r="G8" s="100">
        <v>0.68122997486198456</v>
      </c>
      <c r="H8" s="100">
        <v>0.69974454234006755</v>
      </c>
      <c r="I8" s="100">
        <v>0.68558595423405977</v>
      </c>
      <c r="J8" s="100">
        <v>0.67534274626323232</v>
      </c>
      <c r="K8" s="100">
        <v>0.71201930830730487</v>
      </c>
      <c r="L8" s="100">
        <v>0.71556428939639638</v>
      </c>
      <c r="M8" s="100">
        <v>0.68093000364120948</v>
      </c>
      <c r="N8" s="100">
        <v>0.71566187835663841</v>
      </c>
    </row>
    <row r="9" spans="2:14">
      <c r="B9" s="171" t="s">
        <v>108</v>
      </c>
      <c r="C9" s="100">
        <v>2.0258374369144438</v>
      </c>
      <c r="D9" s="100">
        <v>2.0702067470550536</v>
      </c>
      <c r="E9" s="100">
        <v>2.0567216193675995</v>
      </c>
      <c r="F9" s="100">
        <v>2.0320585942268372</v>
      </c>
      <c r="G9" s="100">
        <v>2.0201528942584992</v>
      </c>
      <c r="H9" s="100">
        <v>2.0573043203353882</v>
      </c>
      <c r="I9" s="100">
        <v>2.0102970635890962</v>
      </c>
      <c r="J9" s="100">
        <v>2.0517277693748475</v>
      </c>
      <c r="K9" s="100">
        <v>2.0449588453769683</v>
      </c>
      <c r="L9" s="100">
        <v>2.0564460372924804</v>
      </c>
      <c r="M9" s="100">
        <v>2.0171932017803194</v>
      </c>
      <c r="N9" s="100">
        <v>2.0430754876136779</v>
      </c>
    </row>
    <row r="10" spans="2:14">
      <c r="B10" s="171" t="s">
        <v>109</v>
      </c>
      <c r="C10" s="100">
        <v>0.64980729222297673</v>
      </c>
      <c r="D10" s="100">
        <v>0.66022589206695559</v>
      </c>
      <c r="E10" s="100">
        <v>0.6158780515193939</v>
      </c>
      <c r="F10" s="100">
        <v>0.6819476962089539</v>
      </c>
      <c r="G10" s="100">
        <v>0.60341039299964905</v>
      </c>
      <c r="H10" s="100">
        <v>0.62375741004943852</v>
      </c>
      <c r="I10" s="100">
        <v>0.67726103663444526</v>
      </c>
      <c r="J10" s="100">
        <v>0.66686612367630005</v>
      </c>
      <c r="K10" s="100">
        <v>0.66645296216011052</v>
      </c>
      <c r="L10" s="100">
        <v>0.60623614788055424</v>
      </c>
      <c r="M10" s="100">
        <v>0.64000548720359807</v>
      </c>
      <c r="N10" s="100">
        <v>0.67309077978134157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0.31678731201491739</v>
      </c>
      <c r="D14" s="101">
        <v>0.31796318647612121</v>
      </c>
      <c r="E14" s="101">
        <v>0.3191357522414488</v>
      </c>
      <c r="F14" s="101">
        <v>0.32030170992508961</v>
      </c>
      <c r="G14" s="101">
        <v>0.32145777873516745</v>
      </c>
      <c r="H14" s="100">
        <v>0.32260070570528948</v>
      </c>
      <c r="I14" s="100">
        <v>0.32372727484779912</v>
      </c>
      <c r="J14" s="100">
        <v>0.32483431620297792</v>
      </c>
      <c r="K14" s="100">
        <v>0.32591871475873269</v>
      </c>
      <c r="L14" s="100">
        <v>0.32697741921567047</v>
      </c>
      <c r="M14" s="100">
        <v>0.32800745057289765</v>
      </c>
      <c r="N14" s="100">
        <v>0.32900591051038386</v>
      </c>
    </row>
    <row r="15" spans="2:14">
      <c r="B15" s="170" t="s">
        <v>318</v>
      </c>
      <c r="C15" s="100">
        <v>1.0387959191469371</v>
      </c>
      <c r="D15" s="100">
        <v>1.0415501185405716</v>
      </c>
      <c r="E15" s="100">
        <v>1.0442965681203642</v>
      </c>
      <c r="F15" s="100">
        <v>1.0470275398790323</v>
      </c>
      <c r="G15" s="100">
        <v>1.0497353493610553</v>
      </c>
      <c r="H15" s="100">
        <v>1.0524123772853253</v>
      </c>
      <c r="I15" s="100">
        <v>1.0550510909844144</v>
      </c>
      <c r="J15" s="100">
        <v>1.0576440656001231</v>
      </c>
      <c r="K15" s="100">
        <v>1.0601840049756752</v>
      </c>
      <c r="L15" s="100">
        <v>1.0626637621857702</v>
      </c>
      <c r="M15" s="100">
        <v>1.0650763596467228</v>
      </c>
      <c r="N15" s="100">
        <v>1.0674150087501124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0.70917558728369057</v>
      </c>
      <c r="D19" s="100">
        <f t="shared" ref="D19:N20" si="0">D5</f>
        <v>0.70055651067296221</v>
      </c>
      <c r="E19" s="100">
        <f t="shared" si="0"/>
        <v>0.60489195077040703</v>
      </c>
      <c r="F19" s="100">
        <f t="shared" si="0"/>
        <v>0.55911663269337986</v>
      </c>
      <c r="G19" s="100">
        <f t="shared" si="0"/>
        <v>0.71390931466806073</v>
      </c>
      <c r="H19" s="100">
        <f t="shared" si="0"/>
        <v>0.59649401545633596</v>
      </c>
      <c r="I19" s="100">
        <f t="shared" si="0"/>
        <v>0.60861599663823107</v>
      </c>
      <c r="J19" s="100">
        <f t="shared" si="0"/>
        <v>0.58256450030711215</v>
      </c>
      <c r="K19" s="100">
        <f t="shared" si="0"/>
        <v>0.59779706607240324</v>
      </c>
      <c r="L19" s="100">
        <f t="shared" si="0"/>
        <v>0.64400555229978118</v>
      </c>
      <c r="M19" s="100">
        <f t="shared" si="0"/>
        <v>0.60036854525001704</v>
      </c>
      <c r="N19" s="100">
        <f t="shared" si="0"/>
        <v>0.56030369829215687</v>
      </c>
    </row>
    <row r="20" spans="2:14">
      <c r="B20" s="173" t="s">
        <v>105</v>
      </c>
      <c r="C20" s="100">
        <f>C6</f>
        <v>0.75354690331316765</v>
      </c>
      <c r="D20" s="100">
        <f t="shared" si="0"/>
        <v>0.68256923656730162</v>
      </c>
      <c r="E20" s="100">
        <f t="shared" si="0"/>
        <v>0.71125831302823139</v>
      </c>
      <c r="F20" s="100">
        <f t="shared" si="0"/>
        <v>0.68249079599116791</v>
      </c>
      <c r="G20" s="100">
        <f t="shared" si="0"/>
        <v>0.93386254530023005</v>
      </c>
      <c r="H20" s="100">
        <f t="shared" si="0"/>
        <v>0.69977360187519133</v>
      </c>
      <c r="I20" s="100">
        <f t="shared" si="0"/>
        <v>0.65720223370088271</v>
      </c>
      <c r="J20" s="100">
        <f t="shared" si="0"/>
        <v>0.70418935067134425</v>
      </c>
      <c r="K20" s="100">
        <f t="shared" si="0"/>
        <v>0.68392411683475474</v>
      </c>
      <c r="L20" s="100">
        <f t="shared" si="0"/>
        <v>0.68745798107170841</v>
      </c>
      <c r="M20" s="100">
        <f t="shared" si="0"/>
        <v>0.76939780010785752</v>
      </c>
      <c r="N20" s="100">
        <f t="shared" si="0"/>
        <v>0.78285678563428263</v>
      </c>
    </row>
    <row r="21" spans="2:14">
      <c r="B21" s="173" t="s">
        <v>106</v>
      </c>
      <c r="C21" s="100">
        <f t="shared" ref="C21:N22" si="1">C7</f>
        <v>0.82456769423397025</v>
      </c>
      <c r="D21" s="100">
        <f t="shared" si="1"/>
        <v>0.84389959314781882</v>
      </c>
      <c r="E21" s="100">
        <f t="shared" si="1"/>
        <v>0.8164298612916755</v>
      </c>
      <c r="F21" s="100">
        <f t="shared" si="1"/>
        <v>0.76211213390421972</v>
      </c>
      <c r="G21" s="100">
        <f t="shared" si="1"/>
        <v>0.75018275637131737</v>
      </c>
      <c r="H21" s="100">
        <f t="shared" si="1"/>
        <v>0.75176640159868147</v>
      </c>
      <c r="I21" s="100">
        <f t="shared" si="1"/>
        <v>0.76019484796978676</v>
      </c>
      <c r="J21" s="100">
        <f t="shared" si="1"/>
        <v>0.73019767175203243</v>
      </c>
      <c r="K21" s="100">
        <f t="shared" si="1"/>
        <v>0.7082278495099863</v>
      </c>
      <c r="L21" s="100">
        <f t="shared" si="1"/>
        <v>0.70209940651912994</v>
      </c>
      <c r="M21" s="100">
        <f t="shared" si="1"/>
        <v>0.710180520719492</v>
      </c>
      <c r="N21" s="100">
        <f t="shared" si="1"/>
        <v>0.84985613841787067</v>
      </c>
    </row>
    <row r="22" spans="2:14">
      <c r="B22" s="173" t="s">
        <v>107</v>
      </c>
      <c r="C22" s="100">
        <f t="shared" si="1"/>
        <v>0.7610934281966073</v>
      </c>
      <c r="D22" s="100">
        <f t="shared" si="1"/>
        <v>0.68769922558433128</v>
      </c>
      <c r="E22" s="100">
        <f t="shared" si="1"/>
        <v>0.93106218541963737</v>
      </c>
      <c r="F22" s="100">
        <f t="shared" si="1"/>
        <v>0.69920518037789281</v>
      </c>
      <c r="G22" s="100">
        <f t="shared" si="1"/>
        <v>0.68122997486198456</v>
      </c>
      <c r="H22" s="100">
        <f t="shared" si="1"/>
        <v>0.69974454234006755</v>
      </c>
      <c r="I22" s="100">
        <f t="shared" si="1"/>
        <v>0.68558595423405977</v>
      </c>
      <c r="J22" s="100">
        <f t="shared" si="1"/>
        <v>0.67534274626323232</v>
      </c>
      <c r="K22" s="100">
        <f t="shared" si="1"/>
        <v>0.71201930830730487</v>
      </c>
      <c r="L22" s="100">
        <f t="shared" si="1"/>
        <v>0.71556428939639638</v>
      </c>
      <c r="M22" s="100">
        <f t="shared" si="1"/>
        <v>0.68093000364120948</v>
      </c>
      <c r="N22" s="100">
        <f t="shared" si="1"/>
        <v>0.71566187835663841</v>
      </c>
    </row>
    <row r="23" spans="2:14">
      <c r="B23" s="173" t="s">
        <v>108</v>
      </c>
      <c r="C23" s="100">
        <f>C9*C14</f>
        <v>0.64175959621931644</v>
      </c>
      <c r="D23" s="100">
        <f t="shared" ref="D23:N24" si="2">D9*D14</f>
        <v>0.65824953395799024</v>
      </c>
      <c r="E23" s="100">
        <f t="shared" si="2"/>
        <v>0.65637340114812959</v>
      </c>
      <c r="F23" s="100">
        <f t="shared" si="2"/>
        <v>0.65087184239882978</v>
      </c>
      <c r="G23" s="100">
        <f t="shared" si="2"/>
        <v>0.64939386209375682</v>
      </c>
      <c r="H23" s="100">
        <f t="shared" si="2"/>
        <v>0.66368782559073713</v>
      </c>
      <c r="I23" s="100">
        <f t="shared" si="2"/>
        <v>0.6507879900302308</v>
      </c>
      <c r="J23" s="100">
        <f t="shared" si="2"/>
        <v>0.66647158699953979</v>
      </c>
      <c r="K23" s="100">
        <f t="shared" si="2"/>
        <v>0.66649035861976347</v>
      </c>
      <c r="L23" s="100">
        <f t="shared" si="2"/>
        <v>0.67241141803018767</v>
      </c>
      <c r="M23" s="100">
        <f t="shared" si="2"/>
        <v>0.66165439942894322</v>
      </c>
      <c r="N23" s="100">
        <f t="shared" si="2"/>
        <v>0.67218391104378461</v>
      </c>
    </row>
    <row r="24" spans="2:14">
      <c r="B24" s="173" t="s">
        <v>109</v>
      </c>
      <c r="C24" s="100">
        <f>C10*C15</f>
        <v>0.67501716339314954</v>
      </c>
      <c r="D24" s="100">
        <f t="shared" si="2"/>
        <v>0.68765835614589221</v>
      </c>
      <c r="E24" s="100">
        <f t="shared" si="2"/>
        <v>0.64315933558235994</v>
      </c>
      <c r="F24" s="100">
        <f t="shared" si="2"/>
        <v>0.71401801868783465</v>
      </c>
      <c r="G24" s="100">
        <f t="shared" si="2"/>
        <v>0.63342121970357823</v>
      </c>
      <c r="H24" s="100">
        <f t="shared" si="2"/>
        <v>0.65645001875946707</v>
      </c>
      <c r="I24" s="100">
        <f t="shared" si="2"/>
        <v>0.71454499558240692</v>
      </c>
      <c r="J24" s="100">
        <f t="shared" si="2"/>
        <v>0.70530699825599652</v>
      </c>
      <c r="K24" s="100">
        <f t="shared" si="2"/>
        <v>0.70656277055080807</v>
      </c>
      <c r="L24" s="100">
        <f t="shared" si="2"/>
        <v>0.64422518567975873</v>
      </c>
      <c r="M24" s="100">
        <f t="shared" si="2"/>
        <v>0.68165471446473547</v>
      </c>
      <c r="N24" s="100">
        <f t="shared" si="2"/>
        <v>0.71846720058992075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0</v>
      </c>
      <c r="H29" s="100">
        <f>IF(H20&lt;=raw_materials!$D18,raw_materials!$C18,IF(H20&lt;=raw_materials!$F18,raw_materials!$E18,IF(H20&lt;=raw_materials!$H18,raw_materials!$G18,0)))</f>
        <v>1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0.8</v>
      </c>
      <c r="N29" s="100">
        <f>IF(N20&lt;=raw_materials!$D18,raw_materials!$C18,IF(N20&lt;=raw_materials!$F18,raw_materials!$E18,IF(N20&lt;=raw_materials!$H18,raw_materials!$G18,0)))</f>
        <v>0.8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0.8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0.8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0.8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1.2</v>
      </c>
      <c r="D32" s="100">
        <f>IF(D23&lt;=raw_materials!$D21,raw_materials!$C21,IF(D23&lt;=raw_materials!$F21,raw_materials!$E21,IF(D23&lt;=raw_materials!$H21,raw_materials!$G21,0)))</f>
        <v>1.2</v>
      </c>
      <c r="E32" s="100">
        <f>IF(E23&lt;=raw_materials!$D21,raw_materials!$C21,IF(E23&lt;=raw_materials!$F21,raw_materials!$E21,IF(E23&lt;=raw_materials!$H21,raw_materials!$G21,0)))</f>
        <v>1.2</v>
      </c>
      <c r="F32" s="100">
        <f>IF(F23&lt;=raw_materials!$D21,raw_materials!$C21,IF(F23&lt;=raw_materials!$F21,raw_materials!$E21,IF(F23&lt;=raw_materials!$H21,raw_materials!$G21,0)))</f>
        <v>1.2</v>
      </c>
      <c r="G32" s="100">
        <f>IF(G23&lt;=raw_materials!$D21,raw_materials!$C21,IF(G23&lt;=raw_materials!$F21,raw_materials!$E21,IF(G23&lt;=raw_materials!$H21,raw_materials!$G21,0)))</f>
        <v>1.2</v>
      </c>
      <c r="H32" s="100">
        <f>IF(H23&lt;=raw_materials!$D21,raw_materials!$C21,IF(H23&lt;=raw_materials!$F21,raw_materials!$E21,IF(H23&lt;=raw_materials!$H21,raw_materials!$G21,0)))</f>
        <v>1.2</v>
      </c>
      <c r="I32" s="100">
        <f>IF(I23&lt;=raw_materials!$D21,raw_materials!$C21,IF(I23&lt;=raw_materials!$F21,raw_materials!$E21,IF(I23&lt;=raw_materials!$H21,raw_materials!$G21,0)))</f>
        <v>1.2</v>
      </c>
      <c r="J32" s="100">
        <f>IF(J23&lt;=raw_materials!$D21,raw_materials!$C21,IF(J23&lt;=raw_materials!$F21,raw_materials!$E21,IF(J23&lt;=raw_materials!$H21,raw_materials!$G21,0)))</f>
        <v>1.2</v>
      </c>
      <c r="K32" s="100">
        <f>IF(K23&lt;=raw_materials!$D21,raw_materials!$C21,IF(K23&lt;=raw_materials!$F21,raw_materials!$E21,IF(K23&lt;=raw_materials!$H21,raw_materials!$G21,0)))</f>
        <v>1.2</v>
      </c>
      <c r="L32" s="100">
        <f>IF(L23&lt;=raw_materials!$D21,raw_materials!$C21,IF(L23&lt;=raw_materials!$F21,raw_materials!$E21,IF(L23&lt;=raw_materials!$H21,raw_materials!$G21,0)))</f>
        <v>1.2</v>
      </c>
      <c r="M32" s="100">
        <f>IF(M23&lt;=raw_materials!$D21,raw_materials!$C21,IF(M23&lt;=raw_materials!$F21,raw_materials!$E21,IF(M23&lt;=raw_materials!$H21,raw_materials!$G21,0)))</f>
        <v>1.2</v>
      </c>
      <c r="N32" s="100">
        <f>IF(N23&lt;=raw_materials!$D21,raw_materials!$C21,IF(N23&lt;=raw_materials!$F21,raw_materials!$E21,IF(N23&lt;=raw_materials!$H21,raw_materials!$G21,0)))</f>
        <v>1.2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1.2</v>
      </c>
      <c r="E33" s="100">
        <f>IF(E24&lt;=raw_materials!$D22,raw_materials!$C22,IF(E24&lt;=raw_materials!$F22,raw_materials!$E22,IF(E24&lt;=raw_materials!$H22,raw_materials!$G22,0)))</f>
        <v>1.2</v>
      </c>
      <c r="F33" s="100">
        <f>IF(F24&lt;=raw_materials!$D22,raw_materials!$C22,IF(F24&lt;=raw_materials!$F22,raw_materials!$E22,IF(F24&lt;=raw_materials!$H22,raw_materials!$G22,0)))</f>
        <v>1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1.2</v>
      </c>
      <c r="I33" s="100">
        <f>IF(I24&lt;=raw_materials!$D22,raw_materials!$C22,IF(I24&lt;=raw_materials!$F22,raw_materials!$E22,IF(I24&lt;=raw_materials!$H22,raw_materials!$G22,0)))</f>
        <v>1</v>
      </c>
      <c r="J33" s="100">
        <f>IF(J24&lt;=raw_materials!$D22,raw_materials!$C22,IF(J24&lt;=raw_materials!$F22,raw_materials!$E22,IF(J24&lt;=raw_materials!$H22,raw_materials!$G22,0)))</f>
        <v>1</v>
      </c>
      <c r="K33" s="100">
        <f>IF(K24&lt;=raw_materials!$D22,raw_materials!$C22,IF(K24&lt;=raw_materials!$F22,raw_materials!$E22,IF(K24&lt;=raw_materials!$H22,raw_materials!$G22,0)))</f>
        <v>1</v>
      </c>
      <c r="L33" s="100">
        <f>IF(L24&lt;=raw_materials!$D22,raw_materials!$C22,IF(L24&lt;=raw_materials!$F22,raw_materials!$E22,IF(L24&lt;=raw_materials!$H22,raw_materials!$G22,0)))</f>
        <v>1.2</v>
      </c>
      <c r="M33" s="100">
        <f>IF(M24&lt;=raw_materials!$D22,raw_materials!$C22,IF(M24&lt;=raw_materials!$F22,raw_materials!$E22,IF(M24&lt;=raw_materials!$H22,raw_materials!$G22,0)))</f>
        <v>1.2</v>
      </c>
      <c r="N33" s="100">
        <f>IF(N24&lt;=raw_materials!$D22,raw_materials!$C22,IF(N24&lt;=raw_materials!$F22,raw_materials!$E22,IF(N24&lt;=raw_materials!$H22,raw_materials!$G22,0)))</f>
        <v>1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17538.431759808052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26036.623097350748</v>
      </c>
      <c r="V38" s="100">
        <v>18263.171289864724</v>
      </c>
      <c r="W38" s="100">
        <v>18300.598049515342</v>
      </c>
      <c r="X38" s="100">
        <v>26197.014871775551</v>
      </c>
      <c r="Y38" s="100">
        <v>26250.146217950878</v>
      </c>
      <c r="Z38" s="100">
        <v>26303.096964916222</v>
      </c>
      <c r="AA38" s="100">
        <v>26355.858567616488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26971.178763785614</v>
      </c>
      <c r="AN38" s="100">
        <v>18914.503514580269</v>
      </c>
      <c r="AO38" s="100">
        <v>18948.968387818528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10546.123036103019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1555.7370056884831</v>
      </c>
      <c r="T39" s="100">
        <v>1558.9713203584963</v>
      </c>
      <c r="U39" s="100">
        <v>15621.973858410449</v>
      </c>
      <c r="V39" s="100">
        <v>15654.14681988405</v>
      </c>
      <c r="W39" s="100">
        <v>15686.226899584581</v>
      </c>
      <c r="X39" s="100">
        <v>15718.208923065331</v>
      </c>
      <c r="Y39" s="100">
        <v>15750.087730770527</v>
      </c>
      <c r="Z39" s="100">
        <v>15781.858178949733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11430.615907002672</v>
      </c>
      <c r="AS39" s="100">
        <v>11450.749251873776</v>
      </c>
      <c r="AT39" s="100">
        <v>11470.738023705875</v>
      </c>
      <c r="AU39" s="100">
        <v>16415.112854627889</v>
      </c>
      <c r="AV39" s="100">
        <v>16443.241393938872</v>
      </c>
      <c r="AW39" s="100">
        <v>6588.4598752333914</v>
      </c>
      <c r="AX39" s="100">
        <v>6599.5332954460591</v>
      </c>
    </row>
    <row r="40" spans="2:50">
      <c r="B40" s="170" t="s">
        <v>106</v>
      </c>
      <c r="C40" s="100">
        <v>2004.3922011209206</v>
      </c>
      <c r="D40" s="100">
        <v>5021.9633505252477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5076.851116761226</v>
      </c>
      <c r="J40" s="100">
        <v>2035.1244162539758</v>
      </c>
      <c r="K40" s="100">
        <v>5098.7609771294274</v>
      </c>
      <c r="L40" s="100">
        <v>2043.8796663361352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5164.1523845089887</v>
      </c>
      <c r="R40" s="100">
        <v>5174.9832106410449</v>
      </c>
      <c r="S40" s="100">
        <v>5185.7900189616103</v>
      </c>
      <c r="T40" s="100">
        <v>5196.5710678616542</v>
      </c>
      <c r="U40" s="100">
        <v>5207.3246194701496</v>
      </c>
      <c r="V40" s="100">
        <v>5218.0489399613498</v>
      </c>
      <c r="W40" s="100">
        <v>3660.1196099030685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5462.2562017647024</v>
      </c>
      <c r="AU40" s="100">
        <v>5471.7042848759638</v>
      </c>
      <c r="AV40" s="100">
        <v>548.10804646462907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2109.224607220604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1226.3277998016811</v>
      </c>
      <c r="M41" s="100">
        <v>307.23743085781445</v>
      </c>
      <c r="N41" s="100">
        <v>3078.9199589629461</v>
      </c>
      <c r="O41" s="100">
        <v>3085.4553972537178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3212.4152616178967</v>
      </c>
      <c r="AJ41" s="100">
        <v>3218.496876125284</v>
      </c>
      <c r="AK41" s="100">
        <v>3224.5457628873069</v>
      </c>
      <c r="AL41" s="100">
        <v>3230.5609451524278</v>
      </c>
      <c r="AM41" s="100">
        <v>3236.5414516542737</v>
      </c>
      <c r="AN41" s="100">
        <v>3242.486316785189</v>
      </c>
      <c r="AO41" s="100">
        <v>2273.8762065382234</v>
      </c>
      <c r="AP41" s="100">
        <v>3254.2652898321776</v>
      </c>
      <c r="AQ41" s="100">
        <v>3260.0974963756835</v>
      </c>
      <c r="AR41" s="100">
        <v>3265.8902591436208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0</v>
      </c>
      <c r="D48" s="100">
        <v>0</v>
      </c>
      <c r="E48" s="100">
        <v>0</v>
      </c>
      <c r="F48" s="100">
        <v>0</v>
      </c>
      <c r="G48" s="100">
        <v>0</v>
      </c>
      <c r="H48" s="100">
        <v>0</v>
      </c>
      <c r="I48" s="100">
        <v>0</v>
      </c>
      <c r="J48" s="100">
        <v>0</v>
      </c>
      <c r="K48" s="100">
        <v>0</v>
      </c>
      <c r="L48" s="100">
        <v>0</v>
      </c>
      <c r="M48" s="100">
        <v>0</v>
      </c>
      <c r="N48" s="100">
        <v>0</v>
      </c>
      <c r="O48" s="100">
        <v>0</v>
      </c>
      <c r="P48" s="100">
        <v>0</v>
      </c>
      <c r="Q48" s="100">
        <v>0</v>
      </c>
      <c r="R48" s="100">
        <v>0</v>
      </c>
      <c r="S48" s="100">
        <v>0</v>
      </c>
      <c r="T48" s="100">
        <v>0</v>
      </c>
      <c r="U48" s="100">
        <v>0</v>
      </c>
      <c r="V48" s="100">
        <v>0</v>
      </c>
      <c r="W48" s="100">
        <v>0</v>
      </c>
      <c r="X48" s="100">
        <v>0</v>
      </c>
      <c r="Y48" s="100">
        <v>0</v>
      </c>
      <c r="Z48" s="100">
        <v>0</v>
      </c>
      <c r="AA48" s="100">
        <v>0</v>
      </c>
      <c r="AB48" s="100">
        <v>0</v>
      </c>
      <c r="AC48" s="100">
        <v>0</v>
      </c>
      <c r="AD48" s="100">
        <v>0</v>
      </c>
      <c r="AE48" s="100">
        <v>0</v>
      </c>
      <c r="AF48" s="100">
        <v>0</v>
      </c>
      <c r="AG48" s="100">
        <v>0</v>
      </c>
      <c r="AH48" s="100">
        <v>0</v>
      </c>
      <c r="AI48" s="100">
        <v>0</v>
      </c>
      <c r="AJ48" s="100">
        <v>0</v>
      </c>
      <c r="AK48" s="100">
        <v>0</v>
      </c>
      <c r="AL48" s="100">
        <v>0</v>
      </c>
      <c r="AM48" s="100">
        <v>0</v>
      </c>
      <c r="AN48" s="100">
        <v>0</v>
      </c>
      <c r="AO48" s="100">
        <v>0</v>
      </c>
      <c r="AP48" s="100">
        <v>0</v>
      </c>
      <c r="AQ48" s="100">
        <v>0</v>
      </c>
      <c r="AR48" s="100">
        <v>0</v>
      </c>
      <c r="AS48" s="100">
        <v>0</v>
      </c>
      <c r="AT48" s="100">
        <v>0</v>
      </c>
      <c r="AU48" s="100">
        <v>0</v>
      </c>
      <c r="AV48" s="100">
        <v>0</v>
      </c>
      <c r="AW48" s="100">
        <v>0</v>
      </c>
      <c r="AX48" s="100">
        <v>0</v>
      </c>
    </row>
    <row r="49" spans="2:51">
      <c r="B49" s="99" t="s">
        <v>105</v>
      </c>
      <c r="C49" s="100">
        <v>1.3101709645350013E-19</v>
      </c>
      <c r="D49" s="100">
        <v>1.3101709645350013E-19</v>
      </c>
      <c r="E49" s="100">
        <v>1.3101709645350013E-19</v>
      </c>
      <c r="F49" s="100">
        <v>1.3101709645350013E-19</v>
      </c>
      <c r="G49" s="100">
        <v>1.3101709645350013E-19</v>
      </c>
      <c r="H49" s="100">
        <v>1.3101709645350013E-19</v>
      </c>
      <c r="I49" s="100">
        <v>1.3101709645350013E-19</v>
      </c>
      <c r="J49" s="100">
        <v>1.3101709645350013E-19</v>
      </c>
      <c r="K49" s="100">
        <v>1.3101709645350013E-19</v>
      </c>
      <c r="L49" s="100">
        <v>1.3101709645350013E-19</v>
      </c>
      <c r="M49" s="100">
        <v>1.3101709645350013E-19</v>
      </c>
      <c r="N49" s="100">
        <v>1.3101709645350013E-19</v>
      </c>
      <c r="O49" s="100">
        <v>1.3101709645350013E-19</v>
      </c>
      <c r="P49" s="100">
        <v>1.3101709645350013E-19</v>
      </c>
      <c r="Q49" s="100">
        <v>1.3101709645350013E-19</v>
      </c>
      <c r="R49" s="100">
        <v>1.3101709645350013E-19</v>
      </c>
      <c r="S49" s="100">
        <v>0</v>
      </c>
      <c r="T49" s="100">
        <v>0</v>
      </c>
      <c r="U49" s="100">
        <v>0</v>
      </c>
      <c r="V49" s="100">
        <v>0</v>
      </c>
      <c r="W49" s="100">
        <v>1.3101709645350013E-19</v>
      </c>
      <c r="X49" s="100">
        <v>1.3101709645350013E-19</v>
      </c>
      <c r="Y49" s="100">
        <v>1.3101709645350013E-19</v>
      </c>
      <c r="Z49" s="100">
        <v>1.3101709645350013E-19</v>
      </c>
      <c r="AA49" s="100">
        <v>1.3101709645350013E-19</v>
      </c>
      <c r="AB49" s="100">
        <v>1.3101709645350013E-19</v>
      </c>
      <c r="AC49" s="100">
        <v>1.3101709645350013E-19</v>
      </c>
      <c r="AD49" s="100">
        <v>1.3101709645350013E-19</v>
      </c>
      <c r="AE49" s="100">
        <v>1.3101709645350013E-19</v>
      </c>
      <c r="AF49" s="100">
        <v>1.3101709645350013E-19</v>
      </c>
      <c r="AG49" s="100">
        <v>1.3101709645350013E-19</v>
      </c>
      <c r="AH49" s="100">
        <v>1.3101709645350013E-19</v>
      </c>
      <c r="AI49" s="100">
        <v>1.3101709645350013E-19</v>
      </c>
      <c r="AJ49" s="100">
        <v>1.3101709645350013E-19</v>
      </c>
      <c r="AK49" s="100">
        <v>1.3101709645350013E-19</v>
      </c>
      <c r="AL49" s="100">
        <v>1.3101709645350013E-19</v>
      </c>
      <c r="AM49" s="100">
        <v>1.3101709645350013E-19</v>
      </c>
      <c r="AN49" s="100">
        <v>1.3101709645350013E-19</v>
      </c>
      <c r="AO49" s="100">
        <v>1.3101709645350013E-19</v>
      </c>
      <c r="AP49" s="100">
        <v>1.3101709645350013E-19</v>
      </c>
      <c r="AQ49" s="100">
        <v>1.0481367716280011E-19</v>
      </c>
      <c r="AR49" s="100">
        <v>1.0481367716280011E-19</v>
      </c>
      <c r="AS49" s="100">
        <v>1.0481367716280011E-19</v>
      </c>
      <c r="AT49" s="100">
        <v>1.0481367716280011E-19</v>
      </c>
      <c r="AU49" s="100">
        <v>1.0481367716280011E-19</v>
      </c>
      <c r="AV49" s="100">
        <v>1.0481367716280011E-19</v>
      </c>
      <c r="AW49" s="100">
        <v>1.0481367716280011E-19</v>
      </c>
      <c r="AX49" s="100">
        <v>1.0481367716280011E-19</v>
      </c>
    </row>
    <row r="50" spans="2:51">
      <c r="B50" s="99" t="s">
        <v>106</v>
      </c>
      <c r="C50" s="100">
        <v>197.99012119334859</v>
      </c>
      <c r="D50" s="100">
        <v>197.99012119334859</v>
      </c>
      <c r="E50" s="100">
        <v>197.99012119334859</v>
      </c>
      <c r="F50" s="100">
        <v>197.99012119334859</v>
      </c>
      <c r="G50" s="100">
        <v>158.39209695467889</v>
      </c>
      <c r="H50" s="100">
        <v>158.39209695467889</v>
      </c>
      <c r="I50" s="100">
        <v>158.39209695467889</v>
      </c>
      <c r="J50" s="100">
        <v>158.39209695467889</v>
      </c>
      <c r="K50" s="100">
        <v>197.99012119334859</v>
      </c>
      <c r="L50" s="100">
        <v>197.99012119334859</v>
      </c>
      <c r="M50" s="100">
        <v>197.99012119334859</v>
      </c>
      <c r="N50" s="100">
        <v>197.99012119334859</v>
      </c>
      <c r="O50" s="100">
        <v>197.99012119334859</v>
      </c>
      <c r="P50" s="100">
        <v>197.99012119334859</v>
      </c>
      <c r="Q50" s="100">
        <v>197.99012119334859</v>
      </c>
      <c r="R50" s="100">
        <v>197.99012119334859</v>
      </c>
      <c r="S50" s="100">
        <v>197.99012119334859</v>
      </c>
      <c r="T50" s="100">
        <v>197.99012119334859</v>
      </c>
      <c r="U50" s="100">
        <v>197.99012119334859</v>
      </c>
      <c r="V50" s="100">
        <v>197.99012119334859</v>
      </c>
      <c r="W50" s="100">
        <v>197.99012119334859</v>
      </c>
      <c r="X50" s="100">
        <v>197.99012119334859</v>
      </c>
      <c r="Y50" s="100">
        <v>197.99012119334859</v>
      </c>
      <c r="Z50" s="100">
        <v>197.99012119334859</v>
      </c>
      <c r="AA50" s="100">
        <v>197.99012119334859</v>
      </c>
      <c r="AB50" s="100">
        <v>197.99012119334859</v>
      </c>
      <c r="AC50" s="100">
        <v>197.99012119334859</v>
      </c>
      <c r="AD50" s="100">
        <v>197.99012119334859</v>
      </c>
      <c r="AE50" s="100">
        <v>197.99012119334859</v>
      </c>
      <c r="AF50" s="100">
        <v>197.99012119334859</v>
      </c>
      <c r="AG50" s="100">
        <v>197.99012119334859</v>
      </c>
      <c r="AH50" s="100">
        <v>197.99012119334859</v>
      </c>
      <c r="AI50" s="100">
        <v>197.99012119334859</v>
      </c>
      <c r="AJ50" s="100">
        <v>197.99012119334859</v>
      </c>
      <c r="AK50" s="100">
        <v>197.99012119334859</v>
      </c>
      <c r="AL50" s="100">
        <v>197.99012119334859</v>
      </c>
      <c r="AM50" s="100">
        <v>197.99012119334859</v>
      </c>
      <c r="AN50" s="100">
        <v>197.99012119334859</v>
      </c>
      <c r="AO50" s="100">
        <v>197.99012119334859</v>
      </c>
      <c r="AP50" s="100">
        <v>197.99012119334859</v>
      </c>
      <c r="AQ50" s="100">
        <v>197.99012119334859</v>
      </c>
      <c r="AR50" s="100">
        <v>197.99012119334859</v>
      </c>
      <c r="AS50" s="100">
        <v>197.99012119334859</v>
      </c>
      <c r="AT50" s="100">
        <v>197.99012119334859</v>
      </c>
      <c r="AU50" s="100">
        <v>158.39209695467889</v>
      </c>
      <c r="AV50" s="100">
        <v>158.39209695467889</v>
      </c>
      <c r="AW50" s="100">
        <v>158.39209695467889</v>
      </c>
      <c r="AX50" s="100">
        <v>158.39209695467889</v>
      </c>
      <c r="AY50" s="112"/>
    </row>
    <row r="51" spans="2:51">
      <c r="B51" s="99" t="s">
        <v>107</v>
      </c>
      <c r="C51" s="100">
        <v>816.76566747576919</v>
      </c>
      <c r="D51" s="100">
        <v>816.76566747576919</v>
      </c>
      <c r="E51" s="100">
        <v>816.76566747576919</v>
      </c>
      <c r="F51" s="100">
        <v>816.76566747576919</v>
      </c>
      <c r="G51" s="100">
        <v>816.76566747576919</v>
      </c>
      <c r="H51" s="100">
        <v>816.76566747576919</v>
      </c>
      <c r="I51" s="100">
        <v>816.76566747576919</v>
      </c>
      <c r="J51" s="100">
        <v>816.76566747576919</v>
      </c>
      <c r="K51" s="100">
        <v>653.41253398061542</v>
      </c>
      <c r="L51" s="100">
        <v>653.41253398061542</v>
      </c>
      <c r="M51" s="100">
        <v>307.23743085781445</v>
      </c>
      <c r="N51" s="100">
        <v>653.41253398061542</v>
      </c>
      <c r="O51" s="100">
        <v>816.76566747576919</v>
      </c>
      <c r="P51" s="100">
        <v>816.76566747576919</v>
      </c>
      <c r="Q51" s="100">
        <v>816.76566747576919</v>
      </c>
      <c r="R51" s="100">
        <v>816.76566747576919</v>
      </c>
      <c r="S51" s="100">
        <v>816.76566747576919</v>
      </c>
      <c r="T51" s="100">
        <v>816.76566747576919</v>
      </c>
      <c r="U51" s="100">
        <v>816.76566747576919</v>
      </c>
      <c r="V51" s="100">
        <v>816.76566747576919</v>
      </c>
      <c r="W51" s="100">
        <v>816.76566747576919</v>
      </c>
      <c r="X51" s="100">
        <v>816.76566747576919</v>
      </c>
      <c r="Y51" s="100">
        <v>816.76566747576919</v>
      </c>
      <c r="Z51" s="100">
        <v>816.76566747576919</v>
      </c>
      <c r="AA51" s="100">
        <v>816.76566747576919</v>
      </c>
      <c r="AB51" s="100">
        <v>816.76566747576919</v>
      </c>
      <c r="AC51" s="100">
        <v>816.76566747576919</v>
      </c>
      <c r="AD51" s="100">
        <v>816.76566747576919</v>
      </c>
      <c r="AE51" s="100">
        <v>816.76566747576919</v>
      </c>
      <c r="AF51" s="100">
        <v>816.76566747576919</v>
      </c>
      <c r="AG51" s="100">
        <v>816.76566747576919</v>
      </c>
      <c r="AH51" s="100">
        <v>816.76566747576919</v>
      </c>
      <c r="AI51" s="100">
        <v>816.76566747576919</v>
      </c>
      <c r="AJ51" s="100">
        <v>816.76566747576919</v>
      </c>
      <c r="AK51" s="100">
        <v>816.76566747576919</v>
      </c>
      <c r="AL51" s="100">
        <v>816.76566747576919</v>
      </c>
      <c r="AM51" s="100">
        <v>816.76566747576919</v>
      </c>
      <c r="AN51" s="100">
        <v>816.76566747576919</v>
      </c>
      <c r="AO51" s="100">
        <v>816.76566747576919</v>
      </c>
      <c r="AP51" s="100">
        <v>816.76566747576919</v>
      </c>
      <c r="AQ51" s="100">
        <v>816.76566747576919</v>
      </c>
      <c r="AR51" s="100">
        <v>816.76566747576919</v>
      </c>
      <c r="AS51" s="100">
        <v>816.76566747576919</v>
      </c>
      <c r="AT51" s="100">
        <v>816.76566747576919</v>
      </c>
      <c r="AU51" s="100">
        <v>816.76566747576919</v>
      </c>
      <c r="AV51" s="100">
        <v>816.76566747576919</v>
      </c>
      <c r="AW51" s="100">
        <v>816.76566747576919</v>
      </c>
      <c r="AX51" s="100">
        <v>816.76566747576919</v>
      </c>
      <c r="AY51" s="111"/>
    </row>
    <row r="52" spans="2:51">
      <c r="B52" s="99" t="s">
        <v>108</v>
      </c>
      <c r="C52" s="100">
        <v>3143.6560165677993</v>
      </c>
      <c r="D52" s="100">
        <v>3143.6560165677993</v>
      </c>
      <c r="E52" s="100">
        <v>3143.6560165677993</v>
      </c>
      <c r="F52" s="100">
        <v>3143.6560165677993</v>
      </c>
      <c r="G52" s="100">
        <v>3143.6560165677993</v>
      </c>
      <c r="H52" s="100">
        <v>3143.6560165677993</v>
      </c>
      <c r="I52" s="100">
        <v>3143.6560165677993</v>
      </c>
      <c r="J52" s="100">
        <v>3143.6560165677993</v>
      </c>
      <c r="K52" s="100">
        <v>3143.6560165677993</v>
      </c>
      <c r="L52" s="100">
        <v>3143.6560165677993</v>
      </c>
      <c r="M52" s="100">
        <v>3143.6560165677993</v>
      </c>
      <c r="N52" s="100">
        <v>3143.6560165677993</v>
      </c>
      <c r="O52" s="100">
        <v>3143.6560165677993</v>
      </c>
      <c r="P52" s="100">
        <v>3143.6560165677993</v>
      </c>
      <c r="Q52" s="100">
        <v>3143.6560165677993</v>
      </c>
      <c r="R52" s="100">
        <v>3143.6560165677993</v>
      </c>
      <c r="S52" s="100">
        <v>3143.6560165677993</v>
      </c>
      <c r="T52" s="100">
        <v>3143.6560165677993</v>
      </c>
      <c r="U52" s="100">
        <v>3143.6560165677993</v>
      </c>
      <c r="V52" s="100">
        <v>3143.6560165677993</v>
      </c>
      <c r="W52" s="100">
        <v>3143.6560165677993</v>
      </c>
      <c r="X52" s="100">
        <v>3143.6560165677993</v>
      </c>
      <c r="Y52" s="100">
        <v>3143.6560165677993</v>
      </c>
      <c r="Z52" s="100">
        <v>3143.6560165677993</v>
      </c>
      <c r="AA52" s="100">
        <v>3143.6560165677993</v>
      </c>
      <c r="AB52" s="100">
        <v>3143.6560165677993</v>
      </c>
      <c r="AC52" s="100">
        <v>3143.6560165677993</v>
      </c>
      <c r="AD52" s="100">
        <v>3143.6560165677993</v>
      </c>
      <c r="AE52" s="100">
        <v>3143.6560165677993</v>
      </c>
      <c r="AF52" s="100">
        <v>3143.6560165677993</v>
      </c>
      <c r="AG52" s="100">
        <v>3143.6560165677993</v>
      </c>
      <c r="AH52" s="100">
        <v>3143.6560165677993</v>
      </c>
      <c r="AI52" s="100">
        <v>3143.6560165677993</v>
      </c>
      <c r="AJ52" s="100">
        <v>3143.6560165677993</v>
      </c>
      <c r="AK52" s="100">
        <v>3143.6560165677993</v>
      </c>
      <c r="AL52" s="100">
        <v>3143.6560165677993</v>
      </c>
      <c r="AM52" s="100">
        <v>3143.6560165677993</v>
      </c>
      <c r="AN52" s="100">
        <v>3143.6560165677993</v>
      </c>
      <c r="AO52" s="100">
        <v>3143.6560165677993</v>
      </c>
      <c r="AP52" s="100">
        <v>3143.6560165677993</v>
      </c>
      <c r="AQ52" s="100">
        <v>3143.6560165677993</v>
      </c>
      <c r="AR52" s="100">
        <v>3143.6560165677993</v>
      </c>
      <c r="AS52" s="100">
        <v>3143.6560165677993</v>
      </c>
      <c r="AT52" s="100">
        <v>3143.6560165677993</v>
      </c>
      <c r="AU52" s="100">
        <v>3143.6560165677993</v>
      </c>
      <c r="AV52" s="100">
        <v>3143.6560165677993</v>
      </c>
      <c r="AW52" s="100">
        <v>3143.6560165677993</v>
      </c>
      <c r="AX52" s="100">
        <v>3143.6560165677993</v>
      </c>
    </row>
    <row r="53" spans="2:51">
      <c r="B53" s="99" t="s">
        <v>109</v>
      </c>
      <c r="C53" s="100">
        <v>2.2954236158108136E-19</v>
      </c>
      <c r="D53" s="100">
        <v>2.2954236158108136E-19</v>
      </c>
      <c r="E53" s="100">
        <v>2.2954236158108136E-19</v>
      </c>
      <c r="F53" s="100">
        <v>2.2954236158108136E-19</v>
      </c>
      <c r="G53" s="100">
        <v>2.2954236158108136E-19</v>
      </c>
      <c r="H53" s="100">
        <v>2.2954236158108136E-19</v>
      </c>
      <c r="I53" s="100">
        <v>2.2954236158108136E-19</v>
      </c>
      <c r="J53" s="100">
        <v>2.2954236158108136E-19</v>
      </c>
      <c r="K53" s="100">
        <v>2.2954236158108136E-19</v>
      </c>
      <c r="L53" s="100">
        <v>2.2954236158108136E-19</v>
      </c>
      <c r="M53" s="100">
        <v>2.2954236158108136E-19</v>
      </c>
      <c r="N53" s="100">
        <v>2.2954236158108136E-19</v>
      </c>
      <c r="O53" s="100">
        <v>1.9128530131756781E-19</v>
      </c>
      <c r="P53" s="100">
        <v>1.9128530131756781E-19</v>
      </c>
      <c r="Q53" s="100">
        <v>1.9128530131756781E-19</v>
      </c>
      <c r="R53" s="100">
        <v>1.9128530131756781E-19</v>
      </c>
      <c r="S53" s="100">
        <v>2.2954236158108136E-19</v>
      </c>
      <c r="T53" s="100">
        <v>2.2954236158108136E-19</v>
      </c>
      <c r="U53" s="100">
        <v>2.2954236158108136E-19</v>
      </c>
      <c r="V53" s="100">
        <v>2.2954236158108136E-19</v>
      </c>
      <c r="W53" s="100">
        <v>2.2954236158108136E-19</v>
      </c>
      <c r="X53" s="100">
        <v>2.2954236158108136E-19</v>
      </c>
      <c r="Y53" s="100">
        <v>2.2954236158108136E-19</v>
      </c>
      <c r="Z53" s="100">
        <v>2.2954236158108136E-19</v>
      </c>
      <c r="AA53" s="100">
        <v>1.9128530131756781E-19</v>
      </c>
      <c r="AB53" s="100">
        <v>1.9128530131756781E-19</v>
      </c>
      <c r="AC53" s="100">
        <v>1.9128530131756781E-19</v>
      </c>
      <c r="AD53" s="100">
        <v>1.9128530131756781E-19</v>
      </c>
      <c r="AE53" s="100">
        <v>1.9128530131756781E-19</v>
      </c>
      <c r="AF53" s="100">
        <v>1.9128530131756781E-19</v>
      </c>
      <c r="AG53" s="100">
        <v>1.9128530131756781E-19</v>
      </c>
      <c r="AH53" s="100">
        <v>1.9128530131756781E-19</v>
      </c>
      <c r="AI53" s="100">
        <v>1.9128530131756781E-19</v>
      </c>
      <c r="AJ53" s="100">
        <v>1.9128530131756781E-19</v>
      </c>
      <c r="AK53" s="100">
        <v>1.9128530131756781E-19</v>
      </c>
      <c r="AL53" s="100">
        <v>1.9128530131756781E-19</v>
      </c>
      <c r="AM53" s="100">
        <v>2.2954236158108136E-19</v>
      </c>
      <c r="AN53" s="100">
        <v>2.2954236158108136E-19</v>
      </c>
      <c r="AO53" s="100">
        <v>2.2954236158108136E-19</v>
      </c>
      <c r="AP53" s="100">
        <v>2.2954236158108136E-19</v>
      </c>
      <c r="AQ53" s="100">
        <v>2.2954236158108136E-19</v>
      </c>
      <c r="AR53" s="100">
        <v>2.2954236158108136E-19</v>
      </c>
      <c r="AS53" s="100">
        <v>2.2954236158108136E-19</v>
      </c>
      <c r="AT53" s="100">
        <v>2.2954236158108136E-19</v>
      </c>
      <c r="AU53" s="100">
        <v>1.9128530131756781E-19</v>
      </c>
      <c r="AV53" s="100">
        <v>1.9128530131756781E-19</v>
      </c>
      <c r="AW53" s="100">
        <v>1.9128530131756781E-19</v>
      </c>
      <c r="AX53" s="100">
        <v>1.9128530131756781E-19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0</v>
      </c>
      <c r="D58" s="100">
        <v>0</v>
      </c>
      <c r="E58" s="100">
        <v>0</v>
      </c>
      <c r="F58" s="100">
        <v>0</v>
      </c>
      <c r="G58" s="100">
        <v>0</v>
      </c>
      <c r="H58" s="100">
        <v>0</v>
      </c>
      <c r="I58" s="100">
        <v>0</v>
      </c>
      <c r="J58" s="100">
        <v>0</v>
      </c>
      <c r="K58" s="100">
        <v>0</v>
      </c>
      <c r="L58" s="100">
        <v>0</v>
      </c>
      <c r="M58" s="100">
        <v>0</v>
      </c>
      <c r="N58" s="100">
        <v>0</v>
      </c>
      <c r="O58" s="100">
        <v>0</v>
      </c>
      <c r="P58" s="100">
        <v>0</v>
      </c>
      <c r="Q58" s="100">
        <v>0</v>
      </c>
      <c r="R58" s="100">
        <v>0</v>
      </c>
      <c r="S58" s="100">
        <v>0</v>
      </c>
      <c r="T58" s="100">
        <v>0</v>
      </c>
      <c r="U58" s="100">
        <v>0</v>
      </c>
      <c r="V58" s="100">
        <v>0</v>
      </c>
      <c r="W58" s="100">
        <v>0</v>
      </c>
      <c r="X58" s="100">
        <v>0</v>
      </c>
      <c r="Y58" s="100">
        <v>0</v>
      </c>
      <c r="Z58" s="100">
        <v>0</v>
      </c>
      <c r="AA58" s="100">
        <v>0</v>
      </c>
      <c r="AB58" s="100">
        <v>0</v>
      </c>
      <c r="AC58" s="100">
        <v>0</v>
      </c>
      <c r="AD58" s="100">
        <v>0</v>
      </c>
      <c r="AE58" s="100">
        <v>0</v>
      </c>
      <c r="AF58" s="100">
        <v>0</v>
      </c>
      <c r="AG58" s="100">
        <v>0</v>
      </c>
      <c r="AH58" s="100">
        <v>0</v>
      </c>
      <c r="AI58" s="100">
        <v>0</v>
      </c>
      <c r="AJ58" s="100">
        <v>0</v>
      </c>
      <c r="AK58" s="100">
        <v>0</v>
      </c>
      <c r="AL58" s="100">
        <v>0</v>
      </c>
      <c r="AM58" s="100">
        <v>0</v>
      </c>
      <c r="AN58" s="100">
        <v>0</v>
      </c>
      <c r="AO58" s="100">
        <v>0</v>
      </c>
      <c r="AP58" s="100">
        <v>0</v>
      </c>
      <c r="AQ58" s="100">
        <v>0</v>
      </c>
      <c r="AR58" s="100">
        <v>0</v>
      </c>
      <c r="AS58" s="100">
        <v>0</v>
      </c>
      <c r="AT58" s="100">
        <v>0</v>
      </c>
      <c r="AU58" s="100">
        <v>0</v>
      </c>
      <c r="AV58" s="100">
        <v>0</v>
      </c>
      <c r="AW58" s="100">
        <v>0</v>
      </c>
      <c r="AX58" s="100">
        <v>0</v>
      </c>
    </row>
    <row r="59" spans="2:51">
      <c r="B59" s="105" t="s">
        <v>105</v>
      </c>
      <c r="C59" s="100">
        <v>1.9745505462723525E-16</v>
      </c>
      <c r="D59" s="100">
        <v>1.9745505462723525E-16</v>
      </c>
      <c r="E59" s="100">
        <v>1.9745505462723525E-16</v>
      </c>
      <c r="F59" s="100">
        <v>1.9745505462723525E-16</v>
      </c>
      <c r="G59" s="100">
        <v>1.7885647900706022E-16</v>
      </c>
      <c r="H59" s="100">
        <v>1.7885647900706022E-16</v>
      </c>
      <c r="I59" s="100">
        <v>1.7885647900706022E-16</v>
      </c>
      <c r="J59" s="100">
        <v>1.7885647900706022E-16</v>
      </c>
      <c r="K59" s="100">
        <v>1.8637399800274717E-16</v>
      </c>
      <c r="L59" s="100">
        <v>1.8637399800274717E-16</v>
      </c>
      <c r="M59" s="100">
        <v>1.8637399800274717E-16</v>
      </c>
      <c r="N59" s="100">
        <v>1.8637399800274717E-16</v>
      </c>
      <c r="O59" s="100">
        <v>1.7883592489400185E-16</v>
      </c>
      <c r="P59" s="100">
        <v>1.7883592489400185E-16</v>
      </c>
      <c r="Q59" s="100">
        <v>1.7883592489400185E-16</v>
      </c>
      <c r="R59" s="100">
        <v>1.7883592489400185E-16</v>
      </c>
      <c r="S59" s="100">
        <v>0</v>
      </c>
      <c r="T59" s="100">
        <v>0</v>
      </c>
      <c r="U59" s="100">
        <v>0</v>
      </c>
      <c r="V59" s="100">
        <v>0</v>
      </c>
      <c r="W59" s="100">
        <v>1.8336461098499031E-16</v>
      </c>
      <c r="X59" s="100">
        <v>1.8336461098499031E-16</v>
      </c>
      <c r="Y59" s="100">
        <v>1.8336461098499031E-16</v>
      </c>
      <c r="Z59" s="100">
        <v>1.8336461098499031E-16</v>
      </c>
      <c r="AA59" s="100">
        <v>1.7220945688448858E-16</v>
      </c>
      <c r="AB59" s="100">
        <v>1.7220945688448858E-16</v>
      </c>
      <c r="AC59" s="100">
        <v>1.7220945688448858E-16</v>
      </c>
      <c r="AD59" s="100">
        <v>1.7220945688448858E-16</v>
      </c>
      <c r="AE59" s="100">
        <v>1.8452168815687028E-16</v>
      </c>
      <c r="AF59" s="100">
        <v>1.8452168815687028E-16</v>
      </c>
      <c r="AG59" s="100">
        <v>1.8452168815687028E-16</v>
      </c>
      <c r="AH59" s="100">
        <v>1.8452168815687028E-16</v>
      </c>
      <c r="AI59" s="100">
        <v>1.7921150396442791E-16</v>
      </c>
      <c r="AJ59" s="100">
        <v>1.7921150396442791E-16</v>
      </c>
      <c r="AK59" s="100">
        <v>1.7921150396442791E-16</v>
      </c>
      <c r="AL59" s="100">
        <v>1.7921150396442791E-16</v>
      </c>
      <c r="AM59" s="100">
        <v>1.8013749722760097E-16</v>
      </c>
      <c r="AN59" s="100">
        <v>1.8013749722760097E-16</v>
      </c>
      <c r="AO59" s="100">
        <v>1.8013749722760097E-16</v>
      </c>
      <c r="AP59" s="100">
        <v>1.8013749722760097E-16</v>
      </c>
      <c r="AQ59" s="100">
        <v>1.6128682526054718E-16</v>
      </c>
      <c r="AR59" s="100">
        <v>1.6128682526054718E-16</v>
      </c>
      <c r="AS59" s="100">
        <v>1.6128682526054718E-16</v>
      </c>
      <c r="AT59" s="100">
        <v>1.6128682526054718E-16</v>
      </c>
      <c r="AU59" s="100">
        <v>1.6410819678835825E-16</v>
      </c>
      <c r="AV59" s="100">
        <v>1.6410819678835825E-16</v>
      </c>
      <c r="AW59" s="100">
        <v>1.6410819678835825E-16</v>
      </c>
      <c r="AX59" s="100">
        <v>1.6410819678835825E-16</v>
      </c>
    </row>
    <row r="60" spans="2:51">
      <c r="B60" s="105" t="s">
        <v>106</v>
      </c>
      <c r="C60" s="100">
        <v>326512.51542700751</v>
      </c>
      <c r="D60" s="100">
        <v>326512.51542700751</v>
      </c>
      <c r="E60" s="100">
        <v>326512.51542700751</v>
      </c>
      <c r="F60" s="100">
        <v>326512.51542700751</v>
      </c>
      <c r="G60" s="100">
        <v>267334.05235576682</v>
      </c>
      <c r="H60" s="100">
        <v>267334.05235576682</v>
      </c>
      <c r="I60" s="100">
        <v>267334.05235576682</v>
      </c>
      <c r="J60" s="100">
        <v>267334.05235576682</v>
      </c>
      <c r="K60" s="100">
        <v>323290.09436601523</v>
      </c>
      <c r="L60" s="100">
        <v>323290.09436601523</v>
      </c>
      <c r="M60" s="100">
        <v>323290.09436601523</v>
      </c>
      <c r="N60" s="100">
        <v>323290.09436601523</v>
      </c>
      <c r="O60" s="100">
        <v>301781.34750923596</v>
      </c>
      <c r="P60" s="100">
        <v>301781.34750923596</v>
      </c>
      <c r="Q60" s="100">
        <v>301781.34750923596</v>
      </c>
      <c r="R60" s="100">
        <v>301781.34750923596</v>
      </c>
      <c r="S60" s="100">
        <v>297057.54970223486</v>
      </c>
      <c r="T60" s="100">
        <v>297057.54970223486</v>
      </c>
      <c r="U60" s="100">
        <v>297057.54970223486</v>
      </c>
      <c r="V60" s="100">
        <v>297057.54970223486</v>
      </c>
      <c r="W60" s="100">
        <v>297684.641923221</v>
      </c>
      <c r="X60" s="100">
        <v>297684.641923221</v>
      </c>
      <c r="Y60" s="100">
        <v>297684.641923221</v>
      </c>
      <c r="Z60" s="100">
        <v>297684.641923221</v>
      </c>
      <c r="AA60" s="100">
        <v>301022.14016019454</v>
      </c>
      <c r="AB60" s="100">
        <v>301022.14016019454</v>
      </c>
      <c r="AC60" s="100">
        <v>301022.14016019454</v>
      </c>
      <c r="AD60" s="100">
        <v>301022.14016019454</v>
      </c>
      <c r="AE60" s="100">
        <v>289143.85105057177</v>
      </c>
      <c r="AF60" s="100">
        <v>289143.85105057177</v>
      </c>
      <c r="AG60" s="100">
        <v>289143.85105057177</v>
      </c>
      <c r="AH60" s="100">
        <v>289143.85105057177</v>
      </c>
      <c r="AI60" s="100">
        <v>280444.23551397363</v>
      </c>
      <c r="AJ60" s="100">
        <v>280444.23551397363</v>
      </c>
      <c r="AK60" s="100">
        <v>280444.23551397363</v>
      </c>
      <c r="AL60" s="100">
        <v>280444.23551397363</v>
      </c>
      <c r="AM60" s="100">
        <v>278017.49317300128</v>
      </c>
      <c r="AN60" s="100">
        <v>278017.49317300128</v>
      </c>
      <c r="AO60" s="100">
        <v>278017.49317300128</v>
      </c>
      <c r="AP60" s="100">
        <v>278017.49317300128</v>
      </c>
      <c r="AQ60" s="100">
        <v>281217.45473281527</v>
      </c>
      <c r="AR60" s="100">
        <v>281217.45473281527</v>
      </c>
      <c r="AS60" s="100">
        <v>281217.45473281527</v>
      </c>
      <c r="AT60" s="100">
        <v>281217.45473281527</v>
      </c>
      <c r="AU60" s="100">
        <v>269220.99174762476</v>
      </c>
      <c r="AV60" s="100">
        <v>269220.99174762476</v>
      </c>
      <c r="AW60" s="100">
        <v>269220.99174762476</v>
      </c>
      <c r="AX60" s="100">
        <v>269220.99174762476</v>
      </c>
    </row>
    <row r="61" spans="2:51">
      <c r="B61" s="105" t="s">
        <v>107</v>
      </c>
      <c r="C61" s="100">
        <v>1243269.9637848467</v>
      </c>
      <c r="D61" s="100">
        <v>1243269.9637848467</v>
      </c>
      <c r="E61" s="100">
        <v>1243269.9637848467</v>
      </c>
      <c r="F61" s="100">
        <v>1243269.9637848467</v>
      </c>
      <c r="G61" s="100">
        <v>1123378.2340139118</v>
      </c>
      <c r="H61" s="100">
        <v>1123378.2340139118</v>
      </c>
      <c r="I61" s="100">
        <v>1123378.2340139118</v>
      </c>
      <c r="J61" s="100">
        <v>1123378.2340139118</v>
      </c>
      <c r="K61" s="100">
        <v>1216735.4037371497</v>
      </c>
      <c r="L61" s="100">
        <v>1216735.4037371497</v>
      </c>
      <c r="M61" s="100">
        <v>572114.30763438286</v>
      </c>
      <c r="N61" s="100">
        <v>1216735.4037371497</v>
      </c>
      <c r="O61" s="100">
        <v>1142173.5717077304</v>
      </c>
      <c r="P61" s="100">
        <v>1142173.5717077304</v>
      </c>
      <c r="Q61" s="100">
        <v>1142173.5717077304</v>
      </c>
      <c r="R61" s="100">
        <v>1142173.5717077304</v>
      </c>
      <c r="S61" s="100">
        <v>1112810.5102453006</v>
      </c>
      <c r="T61" s="100">
        <v>1112810.5102453006</v>
      </c>
      <c r="U61" s="100">
        <v>1112810.5102453006</v>
      </c>
      <c r="V61" s="100">
        <v>1112810.5102453006</v>
      </c>
      <c r="W61" s="100">
        <v>1143054.6363738237</v>
      </c>
      <c r="X61" s="100">
        <v>1143054.6363738237</v>
      </c>
      <c r="Y61" s="100">
        <v>1143054.6363738237</v>
      </c>
      <c r="Z61" s="100">
        <v>1143054.6363738237</v>
      </c>
      <c r="AA61" s="100">
        <v>1119926.139043988</v>
      </c>
      <c r="AB61" s="100">
        <v>1119926.139043988</v>
      </c>
      <c r="AC61" s="100">
        <v>1119926.139043988</v>
      </c>
      <c r="AD61" s="100">
        <v>1119926.139043988</v>
      </c>
      <c r="AE61" s="100">
        <v>1103193.5378532161</v>
      </c>
      <c r="AF61" s="100">
        <v>1103193.5378532161</v>
      </c>
      <c r="AG61" s="100">
        <v>1103193.5378532161</v>
      </c>
      <c r="AH61" s="100">
        <v>1103193.5378532161</v>
      </c>
      <c r="AI61" s="100">
        <v>1163105.8512105029</v>
      </c>
      <c r="AJ61" s="100">
        <v>1163105.8512105029</v>
      </c>
      <c r="AK61" s="100">
        <v>1163105.8512105029</v>
      </c>
      <c r="AL61" s="100">
        <v>1163105.8512105029</v>
      </c>
      <c r="AM61" s="100">
        <v>1168896.6889013443</v>
      </c>
      <c r="AN61" s="100">
        <v>1168896.6889013443</v>
      </c>
      <c r="AO61" s="100">
        <v>1168896.6889013443</v>
      </c>
      <c r="AP61" s="100">
        <v>1168896.6889013443</v>
      </c>
      <c r="AQ61" s="100">
        <v>1112320.4978565809</v>
      </c>
      <c r="AR61" s="100">
        <v>1112320.4978565809</v>
      </c>
      <c r="AS61" s="100">
        <v>1112320.4978565809</v>
      </c>
      <c r="AT61" s="100">
        <v>1112320.4978565809</v>
      </c>
      <c r="AU61" s="100">
        <v>1169056.1035258449</v>
      </c>
      <c r="AV61" s="100">
        <v>1169056.1035258449</v>
      </c>
      <c r="AW61" s="100">
        <v>1169056.1035258449</v>
      </c>
      <c r="AX61" s="100">
        <v>1169056.1035258449</v>
      </c>
    </row>
    <row r="62" spans="2:51">
      <c r="B62" s="105" t="s">
        <v>108</v>
      </c>
      <c r="C62" s="100">
        <v>4034942.831689951</v>
      </c>
      <c r="D62" s="100">
        <v>4034942.831689951</v>
      </c>
      <c r="E62" s="100">
        <v>4034942.831689951</v>
      </c>
      <c r="F62" s="100">
        <v>4034942.831689951</v>
      </c>
      <c r="G62" s="100">
        <v>4138620.2156599718</v>
      </c>
      <c r="H62" s="100">
        <v>4138620.2156599718</v>
      </c>
      <c r="I62" s="100">
        <v>4138620.2156599718</v>
      </c>
      <c r="J62" s="100">
        <v>4138620.2156599718</v>
      </c>
      <c r="K62" s="100">
        <v>4126824.383268774</v>
      </c>
      <c r="L62" s="100">
        <v>4126824.383268774</v>
      </c>
      <c r="M62" s="100">
        <v>4126824.383268774</v>
      </c>
      <c r="N62" s="100">
        <v>4126824.383268774</v>
      </c>
      <c r="O62" s="100">
        <v>4092234.3667432992</v>
      </c>
      <c r="P62" s="100">
        <v>4092234.3667432992</v>
      </c>
      <c r="Q62" s="100">
        <v>4092234.3667432992</v>
      </c>
      <c r="R62" s="100">
        <v>4092234.3667432992</v>
      </c>
      <c r="S62" s="100">
        <v>4082941.8433864769</v>
      </c>
      <c r="T62" s="100">
        <v>4082941.8433864769</v>
      </c>
      <c r="U62" s="100">
        <v>4082941.8433864769</v>
      </c>
      <c r="V62" s="100">
        <v>4082941.8433864769</v>
      </c>
      <c r="W62" s="100">
        <v>4172812.4520822419</v>
      </c>
      <c r="X62" s="100">
        <v>4172812.4520822419</v>
      </c>
      <c r="Y62" s="100">
        <v>4172812.4520822419</v>
      </c>
      <c r="Z62" s="100">
        <v>4172812.4520822419</v>
      </c>
      <c r="AA62" s="100">
        <v>4091707.1607372002</v>
      </c>
      <c r="AB62" s="100">
        <v>4091707.1607372002</v>
      </c>
      <c r="AC62" s="100">
        <v>4091707.1607372002</v>
      </c>
      <c r="AD62" s="100">
        <v>4091707.1607372002</v>
      </c>
      <c r="AE62" s="100">
        <v>4190314.8286851854</v>
      </c>
      <c r="AF62" s="100">
        <v>4190314.8286851854</v>
      </c>
      <c r="AG62" s="100">
        <v>4190314.8286851854</v>
      </c>
      <c r="AH62" s="100">
        <v>4190314.8286851854</v>
      </c>
      <c r="AI62" s="100">
        <v>4190432.8517188998</v>
      </c>
      <c r="AJ62" s="100">
        <v>4190432.8517188998</v>
      </c>
      <c r="AK62" s="100">
        <v>4190432.8517188998</v>
      </c>
      <c r="AL62" s="100">
        <v>4190432.8517188998</v>
      </c>
      <c r="AM62" s="100">
        <v>4227660.3997989707</v>
      </c>
      <c r="AN62" s="100">
        <v>4227660.3997989707</v>
      </c>
      <c r="AO62" s="100">
        <v>4227660.3997989707</v>
      </c>
      <c r="AP62" s="100">
        <v>4227660.3997989707</v>
      </c>
      <c r="AQ62" s="100">
        <v>4160027.667306703</v>
      </c>
      <c r="AR62" s="100">
        <v>4160027.667306703</v>
      </c>
      <c r="AS62" s="100">
        <v>4160027.667306703</v>
      </c>
      <c r="AT62" s="100">
        <v>4160027.667306703</v>
      </c>
      <c r="AU62" s="100">
        <v>4226229.9923857357</v>
      </c>
      <c r="AV62" s="100">
        <v>4226229.9923857357</v>
      </c>
      <c r="AW62" s="100">
        <v>4226229.9923857357</v>
      </c>
      <c r="AX62" s="100">
        <v>4226229.9923857357</v>
      </c>
    </row>
    <row r="63" spans="2:51">
      <c r="B63" s="105" t="s">
        <v>109</v>
      </c>
      <c r="C63" s="100">
        <v>3.0989006758605243E-16</v>
      </c>
      <c r="D63" s="100">
        <v>3.0989006758605243E-16</v>
      </c>
      <c r="E63" s="100">
        <v>3.0989006758605243E-16</v>
      </c>
      <c r="F63" s="100">
        <v>3.0989006758605243E-16</v>
      </c>
      <c r="G63" s="100">
        <v>3.1569344606138482E-16</v>
      </c>
      <c r="H63" s="100">
        <v>3.1569344606138482E-16</v>
      </c>
      <c r="I63" s="100">
        <v>3.1569344606138482E-16</v>
      </c>
      <c r="J63" s="100">
        <v>3.1569344606138482E-16</v>
      </c>
      <c r="K63" s="100">
        <v>2.9526462552498821E-16</v>
      </c>
      <c r="L63" s="100">
        <v>2.9526462552498821E-16</v>
      </c>
      <c r="M63" s="100">
        <v>2.9526462552498821E-16</v>
      </c>
      <c r="N63" s="100">
        <v>2.9526462552498821E-16</v>
      </c>
      <c r="O63" s="100">
        <v>2.7316230370175042E-16</v>
      </c>
      <c r="P63" s="100">
        <v>2.7316230370175042E-16</v>
      </c>
      <c r="Q63" s="100">
        <v>2.7316230370175042E-16</v>
      </c>
      <c r="R63" s="100">
        <v>2.7316230370175042E-16</v>
      </c>
      <c r="S63" s="100">
        <v>2.9079400529265665E-16</v>
      </c>
      <c r="T63" s="100">
        <v>2.9079400529265665E-16</v>
      </c>
      <c r="U63" s="100">
        <v>2.9079400529265665E-16</v>
      </c>
      <c r="V63" s="100">
        <v>2.9079400529265665E-16</v>
      </c>
      <c r="W63" s="100">
        <v>3.0136617513198644E-16</v>
      </c>
      <c r="X63" s="100">
        <v>3.0136617513198644E-16</v>
      </c>
      <c r="Y63" s="100">
        <v>3.0136617513198644E-16</v>
      </c>
      <c r="Z63" s="100">
        <v>3.0136617513198644E-16</v>
      </c>
      <c r="AA63" s="100">
        <v>2.7336390956988173E-16</v>
      </c>
      <c r="AB63" s="100">
        <v>2.7336390956988173E-16</v>
      </c>
      <c r="AC63" s="100">
        <v>2.7336390956988173E-16</v>
      </c>
      <c r="AD63" s="100">
        <v>2.7336390956988173E-16</v>
      </c>
      <c r="AE63" s="100">
        <v>2.698297233655751E-16</v>
      </c>
      <c r="AF63" s="100">
        <v>2.698297233655751E-16</v>
      </c>
      <c r="AG63" s="100">
        <v>2.698297233655751E-16</v>
      </c>
      <c r="AH63" s="100">
        <v>2.698297233655751E-16</v>
      </c>
      <c r="AI63" s="100">
        <v>2.7031014492917367E-16</v>
      </c>
      <c r="AJ63" s="100">
        <v>2.7031014492917367E-16</v>
      </c>
      <c r="AK63" s="100">
        <v>2.7031014492917367E-16</v>
      </c>
      <c r="AL63" s="100">
        <v>2.7031014492917367E-16</v>
      </c>
      <c r="AM63" s="100">
        <v>2.957539410218849E-16</v>
      </c>
      <c r="AN63" s="100">
        <v>2.957539410218849E-16</v>
      </c>
      <c r="AO63" s="100">
        <v>2.957539410218849E-16</v>
      </c>
      <c r="AP63" s="100">
        <v>2.957539410218849E-16</v>
      </c>
      <c r="AQ63" s="100">
        <v>3.1293726588222616E-16</v>
      </c>
      <c r="AR63" s="100">
        <v>3.1293726588222616E-16</v>
      </c>
      <c r="AS63" s="100">
        <v>3.1293726588222616E-16</v>
      </c>
      <c r="AT63" s="100">
        <v>3.1293726588222616E-16</v>
      </c>
      <c r="AU63" s="100">
        <v>2.7486442990326488E-16</v>
      </c>
      <c r="AV63" s="100">
        <v>2.7486442990326488E-16</v>
      </c>
      <c r="AW63" s="100">
        <v>2.7486442990326488E-16</v>
      </c>
      <c r="AX63" s="100">
        <v>2.7486442990326488E-16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0.33257069705500319</v>
      </c>
      <c r="D67" s="100">
        <v>0.33257069705500319</v>
      </c>
      <c r="E67" s="100">
        <v>0.33257069705500319</v>
      </c>
      <c r="F67" s="100">
        <v>0.33257069705500319</v>
      </c>
      <c r="G67" s="100">
        <v>0.33257069705500319</v>
      </c>
      <c r="H67" s="100">
        <v>0.33257069705500319</v>
      </c>
      <c r="I67" s="100">
        <v>0.33257069705500319</v>
      </c>
      <c r="J67" s="100">
        <v>0.33257069705500319</v>
      </c>
      <c r="K67" s="100">
        <v>0.33257069705500319</v>
      </c>
      <c r="L67" s="100">
        <v>0.33257069705500319</v>
      </c>
      <c r="M67" s="100">
        <v>0.33257069705500319</v>
      </c>
      <c r="N67" s="100">
        <v>0.33257069705500319</v>
      </c>
    </row>
    <row r="68" spans="1:14">
      <c r="B68" s="99" t="s">
        <v>330</v>
      </c>
      <c r="C68" s="100">
        <v>0.42736408903163009</v>
      </c>
      <c r="D68" s="100">
        <v>0.42736408903163009</v>
      </c>
      <c r="E68" s="100">
        <v>0.42736408903163009</v>
      </c>
      <c r="F68" s="100">
        <v>0.42736408903163009</v>
      </c>
      <c r="G68" s="100">
        <v>0.42736408903163009</v>
      </c>
      <c r="H68" s="100">
        <v>0.42736408903163009</v>
      </c>
      <c r="I68" s="100">
        <v>0.42736408903163009</v>
      </c>
      <c r="J68" s="100">
        <v>0.42736408903163009</v>
      </c>
      <c r="K68" s="100">
        <v>0.42736408903163009</v>
      </c>
      <c r="L68" s="100">
        <v>0.42736408903163009</v>
      </c>
      <c r="M68" s="100">
        <v>0.42736408903163009</v>
      </c>
      <c r="N68" s="100">
        <v>0.42736408903163009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20.264665559725504</v>
      </c>
      <c r="D72" s="100">
        <v>43.282358093917303</v>
      </c>
      <c r="E72" s="100">
        <v>72.603752205511057</v>
      </c>
    </row>
    <row r="73" spans="1:14">
      <c r="B73" s="105" t="s">
        <v>93</v>
      </c>
      <c r="C73" s="100">
        <v>20.264665559725504</v>
      </c>
      <c r="D73" s="100">
        <v>43.282358093917303</v>
      </c>
      <c r="E73" s="100">
        <v>72.603752205511057</v>
      </c>
    </row>
    <row r="74" spans="1:14">
      <c r="B74" s="105" t="s">
        <v>94</v>
      </c>
      <c r="C74" s="100">
        <v>20.264665559725504</v>
      </c>
      <c r="D74" s="100">
        <v>43.282358093917303</v>
      </c>
      <c r="E74" s="100">
        <v>72.603752205511057</v>
      </c>
    </row>
    <row r="75" spans="1:14">
      <c r="B75" s="105" t="s">
        <v>95</v>
      </c>
      <c r="C75" s="100">
        <v>20.264665559725504</v>
      </c>
      <c r="D75" s="100">
        <v>43.282358093917303</v>
      </c>
      <c r="E75" s="100">
        <v>72.603752205511057</v>
      </c>
    </row>
    <row r="76" spans="1:14">
      <c r="B76" s="105" t="s">
        <v>96</v>
      </c>
      <c r="C76" s="100">
        <v>20.264665559725504</v>
      </c>
      <c r="D76" s="100">
        <v>43.282358093917303</v>
      </c>
      <c r="E76" s="100">
        <v>72.603752205511057</v>
      </c>
    </row>
    <row r="77" spans="1:14">
      <c r="B77" s="105" t="s">
        <v>97</v>
      </c>
      <c r="C77" s="100">
        <v>20.264665559725504</v>
      </c>
      <c r="D77" s="100">
        <v>43.282358093917303</v>
      </c>
      <c r="E77" s="100">
        <v>72.603752205511057</v>
      </c>
    </row>
    <row r="78" spans="1:14">
      <c r="B78" s="105" t="s">
        <v>98</v>
      </c>
      <c r="C78" s="100">
        <v>20.264665559725504</v>
      </c>
      <c r="D78" s="100">
        <v>43.282358093917303</v>
      </c>
      <c r="E78" s="100">
        <v>72.603752205511057</v>
      </c>
    </row>
    <row r="79" spans="1:14">
      <c r="B79" s="105" t="s">
        <v>99</v>
      </c>
      <c r="C79" s="100">
        <v>20.264665559725504</v>
      </c>
      <c r="D79" s="100">
        <v>43.282358093917303</v>
      </c>
      <c r="E79" s="100">
        <v>72.603752205511057</v>
      </c>
    </row>
    <row r="80" spans="1:14">
      <c r="B80" s="105" t="s">
        <v>100</v>
      </c>
      <c r="C80" s="100">
        <v>20.264665559725504</v>
      </c>
      <c r="D80" s="100">
        <v>43.282358093917303</v>
      </c>
      <c r="E80" s="100">
        <v>72.603752205511057</v>
      </c>
    </row>
    <row r="81" spans="2:50">
      <c r="B81" s="105" t="s">
        <v>101</v>
      </c>
      <c r="C81" s="100">
        <v>20.264665559725504</v>
      </c>
      <c r="D81" s="100">
        <v>43.282358093917303</v>
      </c>
      <c r="E81" s="100">
        <v>72.603752205511057</v>
      </c>
    </row>
    <row r="82" spans="2:50">
      <c r="B82" s="105" t="s">
        <v>102</v>
      </c>
      <c r="C82" s="100">
        <v>20.264665559725504</v>
      </c>
      <c r="D82" s="100">
        <v>43.282358093917303</v>
      </c>
      <c r="E82" s="100">
        <v>72.603752205511057</v>
      </c>
    </row>
    <row r="83" spans="2:50">
      <c r="B83" s="105" t="s">
        <v>103</v>
      </c>
      <c r="C83" s="100">
        <v>20.264665559725504</v>
      </c>
      <c r="D83" s="100">
        <v>43.282358093917303</v>
      </c>
      <c r="E83" s="100">
        <v>72.603752205511057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8.3142674263750799E-2</v>
      </c>
      <c r="D88" s="100">
        <f>D48+$C$67/4</f>
        <v>8.3142674263750799E-2</v>
      </c>
      <c r="E88" s="100">
        <f>E48+$C$67/4</f>
        <v>8.3142674263750799E-2</v>
      </c>
      <c r="F88" s="100">
        <f>F48+$C$67/4</f>
        <v>8.3142674263750799E-2</v>
      </c>
      <c r="G88" s="100">
        <f>G48+$D$67/4</f>
        <v>8.3142674263750799E-2</v>
      </c>
      <c r="H88" s="100">
        <f>H48+$D$67/4</f>
        <v>8.3142674263750799E-2</v>
      </c>
      <c r="I88" s="100">
        <f>I48+$D$67/4</f>
        <v>8.3142674263750799E-2</v>
      </c>
      <c r="J88" s="100">
        <f>J48+$D$67/4</f>
        <v>8.3142674263750799E-2</v>
      </c>
      <c r="K88" s="100">
        <f>K48+$E$67/4</f>
        <v>8.3142674263750799E-2</v>
      </c>
      <c r="L88" s="100">
        <f>L48+$E$67/4</f>
        <v>8.3142674263750799E-2</v>
      </c>
      <c r="M88" s="100">
        <f>M48+$E$67/4</f>
        <v>8.3142674263750799E-2</v>
      </c>
      <c r="N88" s="100">
        <f>N48+$E$67/4</f>
        <v>8.3142674263750799E-2</v>
      </c>
      <c r="O88" s="100">
        <f>O48+$F$67/4</f>
        <v>8.3142674263750799E-2</v>
      </c>
      <c r="P88" s="100">
        <f>P48+$F$67/4</f>
        <v>8.3142674263750799E-2</v>
      </c>
      <c r="Q88" s="100">
        <f>Q48+$F$67/4</f>
        <v>8.3142674263750799E-2</v>
      </c>
      <c r="R88" s="100">
        <f>R48+$F$67/4</f>
        <v>8.3142674263750799E-2</v>
      </c>
      <c r="S88" s="100">
        <f>S48+$G$67/4</f>
        <v>8.3142674263750799E-2</v>
      </c>
      <c r="T88" s="100">
        <f>T48+$G$67/4</f>
        <v>8.3142674263750799E-2</v>
      </c>
      <c r="U88" s="100">
        <f>U48+$G$67/4</f>
        <v>8.3142674263750799E-2</v>
      </c>
      <c r="V88" s="100">
        <f>V48+$G$67/4</f>
        <v>8.3142674263750799E-2</v>
      </c>
      <c r="W88" s="100">
        <f>W48+$H$67/4</f>
        <v>8.3142674263750799E-2</v>
      </c>
      <c r="X88" s="100">
        <f>X48+$H$67/4</f>
        <v>8.3142674263750799E-2</v>
      </c>
      <c r="Y88" s="100">
        <f>Y48+$H$67/4</f>
        <v>8.3142674263750799E-2</v>
      </c>
      <c r="Z88" s="100">
        <f>Z48+$H$67/4</f>
        <v>8.3142674263750799E-2</v>
      </c>
      <c r="AA88" s="100">
        <f>AA48+$I$67/4</f>
        <v>8.3142674263750799E-2</v>
      </c>
      <c r="AB88" s="100">
        <f>AB48+$I$67/4</f>
        <v>8.3142674263750799E-2</v>
      </c>
      <c r="AC88" s="100">
        <f>AC48+$I$67/4</f>
        <v>8.3142674263750799E-2</v>
      </c>
      <c r="AD88" s="100">
        <f>AD48+$I$67/4</f>
        <v>8.3142674263750799E-2</v>
      </c>
      <c r="AE88" s="100">
        <f>AE48+$J$67/4</f>
        <v>8.3142674263750799E-2</v>
      </c>
      <c r="AF88" s="100">
        <f>AF48+$J$67/4</f>
        <v>8.3142674263750799E-2</v>
      </c>
      <c r="AG88" s="100">
        <f>AG48+$J$67/4</f>
        <v>8.3142674263750799E-2</v>
      </c>
      <c r="AH88" s="100">
        <f>AH48+$J$67/4</f>
        <v>8.3142674263750799E-2</v>
      </c>
      <c r="AI88" s="100">
        <f>AI48+$K$67/4</f>
        <v>8.3142674263750799E-2</v>
      </c>
      <c r="AJ88" s="100">
        <f>AJ48+$K$67/4</f>
        <v>8.3142674263750799E-2</v>
      </c>
      <c r="AK88" s="100">
        <f>AK48+$K$67/4</f>
        <v>8.3142674263750799E-2</v>
      </c>
      <c r="AL88" s="100">
        <f>AL48+$K$67/4</f>
        <v>8.3142674263750799E-2</v>
      </c>
      <c r="AM88" s="100">
        <f>AM48+$L$67/4</f>
        <v>8.3142674263750799E-2</v>
      </c>
      <c r="AN88" s="100">
        <f>AN48+$L$67/4</f>
        <v>8.3142674263750799E-2</v>
      </c>
      <c r="AO88" s="100">
        <f>AO48+$L$67/4</f>
        <v>8.3142674263750799E-2</v>
      </c>
      <c r="AP88" s="100">
        <f>AP48+$L$67/4</f>
        <v>8.3142674263750799E-2</v>
      </c>
      <c r="AQ88" s="100">
        <f>AQ48+$M$67/4</f>
        <v>8.3142674263750799E-2</v>
      </c>
      <c r="AR88" s="100">
        <f>AR48+$M$67/4</f>
        <v>8.3142674263750799E-2</v>
      </c>
      <c r="AS88" s="100">
        <f>AS48+$M$67/4</f>
        <v>8.3142674263750799E-2</v>
      </c>
      <c r="AT88" s="100">
        <f>AT48+$M$67/4</f>
        <v>8.3142674263750799E-2</v>
      </c>
      <c r="AU88" s="100">
        <f>AU48+$N$67/4</f>
        <v>8.3142674263750799E-2</v>
      </c>
      <c r="AV88" s="100">
        <f>AV48+$N$67/4</f>
        <v>8.3142674263750799E-2</v>
      </c>
      <c r="AW88" s="100">
        <f>AW48+$N$67/4</f>
        <v>8.3142674263750799E-2</v>
      </c>
      <c r="AX88" s="100">
        <f>AX48+$N$67/4</f>
        <v>8.3142674263750799E-2</v>
      </c>
    </row>
    <row r="89" spans="2:50">
      <c r="B89" s="99" t="s">
        <v>105</v>
      </c>
      <c r="C89" s="100">
        <f>C49</f>
        <v>1.3101709645350013E-19</v>
      </c>
      <c r="D89" s="100">
        <f t="shared" ref="D89:AX93" si="3">D49</f>
        <v>1.3101709645350013E-19</v>
      </c>
      <c r="E89" s="100">
        <f t="shared" si="3"/>
        <v>1.3101709645350013E-19</v>
      </c>
      <c r="F89" s="100">
        <f t="shared" si="3"/>
        <v>1.3101709645350013E-19</v>
      </c>
      <c r="G89" s="100">
        <f t="shared" si="3"/>
        <v>1.3101709645350013E-19</v>
      </c>
      <c r="H89" s="100">
        <f t="shared" si="3"/>
        <v>1.3101709645350013E-19</v>
      </c>
      <c r="I89" s="100">
        <f t="shared" si="3"/>
        <v>1.3101709645350013E-19</v>
      </c>
      <c r="J89" s="100">
        <f t="shared" si="3"/>
        <v>1.3101709645350013E-19</v>
      </c>
      <c r="K89" s="100">
        <f t="shared" si="3"/>
        <v>1.3101709645350013E-19</v>
      </c>
      <c r="L89" s="100">
        <f t="shared" si="3"/>
        <v>1.3101709645350013E-19</v>
      </c>
      <c r="M89" s="100">
        <f t="shared" si="3"/>
        <v>1.3101709645350013E-19</v>
      </c>
      <c r="N89" s="100">
        <f t="shared" si="3"/>
        <v>1.3101709645350013E-19</v>
      </c>
      <c r="O89" s="100">
        <f t="shared" si="3"/>
        <v>1.3101709645350013E-19</v>
      </c>
      <c r="P89" s="100">
        <f t="shared" si="3"/>
        <v>1.3101709645350013E-19</v>
      </c>
      <c r="Q89" s="100">
        <f t="shared" si="3"/>
        <v>1.3101709645350013E-19</v>
      </c>
      <c r="R89" s="100">
        <f t="shared" si="3"/>
        <v>1.3101709645350013E-19</v>
      </c>
      <c r="S89" s="100">
        <f t="shared" si="3"/>
        <v>0</v>
      </c>
      <c r="T89" s="100">
        <f t="shared" si="3"/>
        <v>0</v>
      </c>
      <c r="U89" s="100">
        <f t="shared" si="3"/>
        <v>0</v>
      </c>
      <c r="V89" s="100">
        <f t="shared" si="3"/>
        <v>0</v>
      </c>
      <c r="W89" s="100">
        <f t="shared" si="3"/>
        <v>1.3101709645350013E-19</v>
      </c>
      <c r="X89" s="100">
        <f t="shared" si="3"/>
        <v>1.3101709645350013E-19</v>
      </c>
      <c r="Y89" s="100">
        <f t="shared" si="3"/>
        <v>1.3101709645350013E-19</v>
      </c>
      <c r="Z89" s="100">
        <f t="shared" si="3"/>
        <v>1.3101709645350013E-19</v>
      </c>
      <c r="AA89" s="100">
        <f t="shared" si="3"/>
        <v>1.3101709645350013E-19</v>
      </c>
      <c r="AB89" s="100">
        <f t="shared" si="3"/>
        <v>1.3101709645350013E-19</v>
      </c>
      <c r="AC89" s="100">
        <f t="shared" si="3"/>
        <v>1.3101709645350013E-19</v>
      </c>
      <c r="AD89" s="100">
        <f t="shared" si="3"/>
        <v>1.3101709645350013E-19</v>
      </c>
      <c r="AE89" s="100">
        <f t="shared" si="3"/>
        <v>1.3101709645350013E-19</v>
      </c>
      <c r="AF89" s="100">
        <f t="shared" si="3"/>
        <v>1.3101709645350013E-19</v>
      </c>
      <c r="AG89" s="100">
        <f t="shared" si="3"/>
        <v>1.3101709645350013E-19</v>
      </c>
      <c r="AH89" s="100">
        <f t="shared" si="3"/>
        <v>1.3101709645350013E-19</v>
      </c>
      <c r="AI89" s="100">
        <f t="shared" si="3"/>
        <v>1.3101709645350013E-19</v>
      </c>
      <c r="AJ89" s="100">
        <f t="shared" si="3"/>
        <v>1.3101709645350013E-19</v>
      </c>
      <c r="AK89" s="100">
        <f t="shared" si="3"/>
        <v>1.3101709645350013E-19</v>
      </c>
      <c r="AL89" s="100">
        <f t="shared" si="3"/>
        <v>1.3101709645350013E-19</v>
      </c>
      <c r="AM89" s="100">
        <f t="shared" si="3"/>
        <v>1.3101709645350013E-19</v>
      </c>
      <c r="AN89" s="100">
        <f t="shared" si="3"/>
        <v>1.3101709645350013E-19</v>
      </c>
      <c r="AO89" s="100">
        <f t="shared" si="3"/>
        <v>1.3101709645350013E-19</v>
      </c>
      <c r="AP89" s="100">
        <f t="shared" si="3"/>
        <v>1.3101709645350013E-19</v>
      </c>
      <c r="AQ89" s="100">
        <f t="shared" si="3"/>
        <v>1.0481367716280011E-19</v>
      </c>
      <c r="AR89" s="100">
        <f t="shared" si="3"/>
        <v>1.0481367716280011E-19</v>
      </c>
      <c r="AS89" s="100">
        <f t="shared" si="3"/>
        <v>1.0481367716280011E-19</v>
      </c>
      <c r="AT89" s="100">
        <f t="shared" si="3"/>
        <v>1.0481367716280011E-19</v>
      </c>
      <c r="AU89" s="100">
        <f t="shared" si="3"/>
        <v>1.0481367716280011E-19</v>
      </c>
      <c r="AV89" s="100">
        <f t="shared" si="3"/>
        <v>1.0481367716280011E-19</v>
      </c>
      <c r="AW89" s="100">
        <f t="shared" si="3"/>
        <v>1.0481367716280011E-19</v>
      </c>
      <c r="AX89" s="100">
        <f t="shared" si="3"/>
        <v>1.0481367716280011E-19</v>
      </c>
    </row>
    <row r="90" spans="2:50">
      <c r="B90" s="99" t="s">
        <v>106</v>
      </c>
      <c r="C90" s="100">
        <f t="shared" ref="C90:R93" si="4">C50</f>
        <v>197.99012119334859</v>
      </c>
      <c r="D90" s="100">
        <f t="shared" si="4"/>
        <v>197.99012119334859</v>
      </c>
      <c r="E90" s="100">
        <f t="shared" si="4"/>
        <v>197.99012119334859</v>
      </c>
      <c r="F90" s="100">
        <f t="shared" si="4"/>
        <v>197.99012119334859</v>
      </c>
      <c r="G90" s="100">
        <f t="shared" si="4"/>
        <v>158.39209695467889</v>
      </c>
      <c r="H90" s="100">
        <f t="shared" si="4"/>
        <v>158.39209695467889</v>
      </c>
      <c r="I90" s="100">
        <f t="shared" si="4"/>
        <v>158.39209695467889</v>
      </c>
      <c r="J90" s="100">
        <f t="shared" si="4"/>
        <v>158.39209695467889</v>
      </c>
      <c r="K90" s="100">
        <f t="shared" si="4"/>
        <v>197.99012119334859</v>
      </c>
      <c r="L90" s="100">
        <f t="shared" si="4"/>
        <v>197.99012119334859</v>
      </c>
      <c r="M90" s="100">
        <f t="shared" si="4"/>
        <v>197.99012119334859</v>
      </c>
      <c r="N90" s="100">
        <f t="shared" si="4"/>
        <v>197.99012119334859</v>
      </c>
      <c r="O90" s="100">
        <f t="shared" si="4"/>
        <v>197.99012119334859</v>
      </c>
      <c r="P90" s="100">
        <f t="shared" si="4"/>
        <v>197.99012119334859</v>
      </c>
      <c r="Q90" s="100">
        <f t="shared" si="4"/>
        <v>197.99012119334859</v>
      </c>
      <c r="R90" s="100">
        <f t="shared" si="4"/>
        <v>197.99012119334859</v>
      </c>
      <c r="S90" s="100">
        <f t="shared" si="3"/>
        <v>197.99012119334859</v>
      </c>
      <c r="T90" s="100">
        <f t="shared" si="3"/>
        <v>197.99012119334859</v>
      </c>
      <c r="U90" s="100">
        <f t="shared" si="3"/>
        <v>197.99012119334859</v>
      </c>
      <c r="V90" s="100">
        <f t="shared" si="3"/>
        <v>197.99012119334859</v>
      </c>
      <c r="W90" s="100">
        <f t="shared" si="3"/>
        <v>197.99012119334859</v>
      </c>
      <c r="X90" s="100">
        <f t="shared" si="3"/>
        <v>197.99012119334859</v>
      </c>
      <c r="Y90" s="100">
        <f t="shared" si="3"/>
        <v>197.99012119334859</v>
      </c>
      <c r="Z90" s="100">
        <f t="shared" si="3"/>
        <v>197.99012119334859</v>
      </c>
      <c r="AA90" s="100">
        <f t="shared" si="3"/>
        <v>197.99012119334859</v>
      </c>
      <c r="AB90" s="100">
        <f t="shared" si="3"/>
        <v>197.99012119334859</v>
      </c>
      <c r="AC90" s="100">
        <f t="shared" si="3"/>
        <v>197.99012119334859</v>
      </c>
      <c r="AD90" s="100">
        <f t="shared" si="3"/>
        <v>197.99012119334859</v>
      </c>
      <c r="AE90" s="100">
        <f t="shared" si="3"/>
        <v>197.99012119334859</v>
      </c>
      <c r="AF90" s="100">
        <f t="shared" si="3"/>
        <v>197.99012119334859</v>
      </c>
      <c r="AG90" s="100">
        <f t="shared" si="3"/>
        <v>197.99012119334859</v>
      </c>
      <c r="AH90" s="100">
        <f t="shared" si="3"/>
        <v>197.99012119334859</v>
      </c>
      <c r="AI90" s="100">
        <f t="shared" si="3"/>
        <v>197.99012119334859</v>
      </c>
      <c r="AJ90" s="100">
        <f t="shared" si="3"/>
        <v>197.99012119334859</v>
      </c>
      <c r="AK90" s="100">
        <f t="shared" si="3"/>
        <v>197.99012119334859</v>
      </c>
      <c r="AL90" s="100">
        <f t="shared" si="3"/>
        <v>197.99012119334859</v>
      </c>
      <c r="AM90" s="100">
        <f t="shared" si="3"/>
        <v>197.99012119334859</v>
      </c>
      <c r="AN90" s="100">
        <f t="shared" si="3"/>
        <v>197.99012119334859</v>
      </c>
      <c r="AO90" s="100">
        <f t="shared" si="3"/>
        <v>197.99012119334859</v>
      </c>
      <c r="AP90" s="100">
        <f t="shared" si="3"/>
        <v>197.99012119334859</v>
      </c>
      <c r="AQ90" s="100">
        <f t="shared" si="3"/>
        <v>197.99012119334859</v>
      </c>
      <c r="AR90" s="100">
        <f t="shared" si="3"/>
        <v>197.99012119334859</v>
      </c>
      <c r="AS90" s="100">
        <f t="shared" si="3"/>
        <v>197.99012119334859</v>
      </c>
      <c r="AT90" s="100">
        <f t="shared" si="3"/>
        <v>197.99012119334859</v>
      </c>
      <c r="AU90" s="100">
        <f t="shared" si="3"/>
        <v>158.39209695467889</v>
      </c>
      <c r="AV90" s="100">
        <f t="shared" si="3"/>
        <v>158.39209695467889</v>
      </c>
      <c r="AW90" s="100">
        <f t="shared" si="3"/>
        <v>158.39209695467889</v>
      </c>
      <c r="AX90" s="100">
        <f t="shared" si="3"/>
        <v>158.39209695467889</v>
      </c>
    </row>
    <row r="91" spans="2:50">
      <c r="B91" s="99" t="s">
        <v>107</v>
      </c>
      <c r="C91" s="100">
        <f t="shared" si="4"/>
        <v>816.76566747576919</v>
      </c>
      <c r="D91" s="100">
        <f t="shared" si="3"/>
        <v>816.76566747576919</v>
      </c>
      <c r="E91" s="100">
        <f t="shared" si="3"/>
        <v>816.76566747576919</v>
      </c>
      <c r="F91" s="100">
        <f t="shared" si="3"/>
        <v>816.76566747576919</v>
      </c>
      <c r="G91" s="100">
        <f t="shared" si="3"/>
        <v>816.76566747576919</v>
      </c>
      <c r="H91" s="100">
        <f t="shared" si="3"/>
        <v>816.76566747576919</v>
      </c>
      <c r="I91" s="100">
        <f t="shared" si="3"/>
        <v>816.76566747576919</v>
      </c>
      <c r="J91" s="100">
        <f t="shared" si="3"/>
        <v>816.76566747576919</v>
      </c>
      <c r="K91" s="100">
        <f t="shared" si="3"/>
        <v>653.41253398061542</v>
      </c>
      <c r="L91" s="100">
        <f t="shared" si="3"/>
        <v>653.41253398061542</v>
      </c>
      <c r="M91" s="100">
        <f t="shared" si="3"/>
        <v>307.23743085781445</v>
      </c>
      <c r="N91" s="100">
        <f t="shared" si="3"/>
        <v>653.41253398061542</v>
      </c>
      <c r="O91" s="100">
        <f t="shared" si="3"/>
        <v>816.76566747576919</v>
      </c>
      <c r="P91" s="100">
        <f t="shared" si="3"/>
        <v>816.76566747576919</v>
      </c>
      <c r="Q91" s="100">
        <f t="shared" si="3"/>
        <v>816.76566747576919</v>
      </c>
      <c r="R91" s="100">
        <f t="shared" si="3"/>
        <v>816.76566747576919</v>
      </c>
      <c r="S91" s="100">
        <f t="shared" si="3"/>
        <v>816.76566747576919</v>
      </c>
      <c r="T91" s="100">
        <f t="shared" si="3"/>
        <v>816.76566747576919</v>
      </c>
      <c r="U91" s="100">
        <f t="shared" si="3"/>
        <v>816.76566747576919</v>
      </c>
      <c r="V91" s="100">
        <f t="shared" si="3"/>
        <v>816.76566747576919</v>
      </c>
      <c r="W91" s="100">
        <f t="shared" si="3"/>
        <v>816.76566747576919</v>
      </c>
      <c r="X91" s="100">
        <f t="shared" si="3"/>
        <v>816.76566747576919</v>
      </c>
      <c r="Y91" s="100">
        <f t="shared" si="3"/>
        <v>816.76566747576919</v>
      </c>
      <c r="Z91" s="100">
        <f t="shared" si="3"/>
        <v>816.76566747576919</v>
      </c>
      <c r="AA91" s="100">
        <f t="shared" si="3"/>
        <v>816.76566747576919</v>
      </c>
      <c r="AB91" s="100">
        <f t="shared" si="3"/>
        <v>816.76566747576919</v>
      </c>
      <c r="AC91" s="100">
        <f t="shared" si="3"/>
        <v>816.76566747576919</v>
      </c>
      <c r="AD91" s="100">
        <f t="shared" si="3"/>
        <v>816.76566747576919</v>
      </c>
      <c r="AE91" s="100">
        <f t="shared" si="3"/>
        <v>816.76566747576919</v>
      </c>
      <c r="AF91" s="100">
        <f t="shared" si="3"/>
        <v>816.76566747576919</v>
      </c>
      <c r="AG91" s="100">
        <f t="shared" si="3"/>
        <v>816.76566747576919</v>
      </c>
      <c r="AH91" s="100">
        <f t="shared" si="3"/>
        <v>816.76566747576919</v>
      </c>
      <c r="AI91" s="100">
        <f t="shared" si="3"/>
        <v>816.76566747576919</v>
      </c>
      <c r="AJ91" s="100">
        <f t="shared" si="3"/>
        <v>816.76566747576919</v>
      </c>
      <c r="AK91" s="100">
        <f t="shared" si="3"/>
        <v>816.76566747576919</v>
      </c>
      <c r="AL91" s="100">
        <f t="shared" si="3"/>
        <v>816.76566747576919</v>
      </c>
      <c r="AM91" s="100">
        <f t="shared" si="3"/>
        <v>816.76566747576919</v>
      </c>
      <c r="AN91" s="100">
        <f t="shared" si="3"/>
        <v>816.76566747576919</v>
      </c>
      <c r="AO91" s="100">
        <f t="shared" si="3"/>
        <v>816.76566747576919</v>
      </c>
      <c r="AP91" s="100">
        <f t="shared" si="3"/>
        <v>816.76566747576919</v>
      </c>
      <c r="AQ91" s="100">
        <f t="shared" si="3"/>
        <v>816.76566747576919</v>
      </c>
      <c r="AR91" s="100">
        <f t="shared" si="3"/>
        <v>816.76566747576919</v>
      </c>
      <c r="AS91" s="100">
        <f t="shared" si="3"/>
        <v>816.76566747576919</v>
      </c>
      <c r="AT91" s="100">
        <f t="shared" si="3"/>
        <v>816.76566747576919</v>
      </c>
      <c r="AU91" s="100">
        <f t="shared" si="3"/>
        <v>816.76566747576919</v>
      </c>
      <c r="AV91" s="100">
        <f t="shared" si="3"/>
        <v>816.76566747576919</v>
      </c>
      <c r="AW91" s="100">
        <f t="shared" si="3"/>
        <v>816.76566747576919</v>
      </c>
      <c r="AX91" s="100">
        <f t="shared" si="3"/>
        <v>816.76566747576919</v>
      </c>
    </row>
    <row r="92" spans="2:50">
      <c r="B92" s="99" t="s">
        <v>108</v>
      </c>
      <c r="C92" s="100">
        <f t="shared" si="4"/>
        <v>3143.6560165677993</v>
      </c>
      <c r="D92" s="100">
        <f t="shared" si="4"/>
        <v>3143.6560165677993</v>
      </c>
      <c r="E92" s="100">
        <f t="shared" si="4"/>
        <v>3143.6560165677993</v>
      </c>
      <c r="F92" s="100">
        <f t="shared" si="4"/>
        <v>3143.6560165677993</v>
      </c>
      <c r="G92" s="100">
        <f t="shared" si="4"/>
        <v>3143.6560165677993</v>
      </c>
      <c r="H92" s="100">
        <f t="shared" si="4"/>
        <v>3143.6560165677993</v>
      </c>
      <c r="I92" s="100">
        <f t="shared" si="4"/>
        <v>3143.6560165677993</v>
      </c>
      <c r="J92" s="100">
        <f t="shared" si="4"/>
        <v>3143.6560165677993</v>
      </c>
      <c r="K92" s="100">
        <f t="shared" si="4"/>
        <v>3143.6560165677993</v>
      </c>
      <c r="L92" s="100">
        <f t="shared" si="4"/>
        <v>3143.6560165677993</v>
      </c>
      <c r="M92" s="100">
        <f t="shared" si="4"/>
        <v>3143.6560165677993</v>
      </c>
      <c r="N92" s="100">
        <f t="shared" si="4"/>
        <v>3143.6560165677993</v>
      </c>
      <c r="O92" s="100">
        <f t="shared" si="4"/>
        <v>3143.6560165677993</v>
      </c>
      <c r="P92" s="100">
        <f t="shared" si="4"/>
        <v>3143.6560165677993</v>
      </c>
      <c r="Q92" s="100">
        <f t="shared" si="4"/>
        <v>3143.6560165677993</v>
      </c>
      <c r="R92" s="100">
        <f t="shared" si="4"/>
        <v>3143.6560165677993</v>
      </c>
      <c r="S92" s="100">
        <f t="shared" si="3"/>
        <v>3143.6560165677993</v>
      </c>
      <c r="T92" s="100">
        <f t="shared" si="3"/>
        <v>3143.6560165677993</v>
      </c>
      <c r="U92" s="100">
        <f t="shared" si="3"/>
        <v>3143.6560165677993</v>
      </c>
      <c r="V92" s="100">
        <f t="shared" si="3"/>
        <v>3143.6560165677993</v>
      </c>
      <c r="W92" s="100">
        <f t="shared" si="3"/>
        <v>3143.6560165677993</v>
      </c>
      <c r="X92" s="100">
        <f t="shared" si="3"/>
        <v>3143.6560165677993</v>
      </c>
      <c r="Y92" s="100">
        <f t="shared" si="3"/>
        <v>3143.6560165677993</v>
      </c>
      <c r="Z92" s="100">
        <f t="shared" si="3"/>
        <v>3143.6560165677993</v>
      </c>
      <c r="AA92" s="100">
        <f t="shared" si="3"/>
        <v>3143.6560165677993</v>
      </c>
      <c r="AB92" s="100">
        <f t="shared" si="3"/>
        <v>3143.6560165677993</v>
      </c>
      <c r="AC92" s="100">
        <f t="shared" si="3"/>
        <v>3143.6560165677993</v>
      </c>
      <c r="AD92" s="100">
        <f t="shared" si="3"/>
        <v>3143.6560165677993</v>
      </c>
      <c r="AE92" s="100">
        <f t="shared" si="3"/>
        <v>3143.6560165677993</v>
      </c>
      <c r="AF92" s="100">
        <f t="shared" si="3"/>
        <v>3143.6560165677993</v>
      </c>
      <c r="AG92" s="100">
        <f t="shared" si="3"/>
        <v>3143.6560165677993</v>
      </c>
      <c r="AH92" s="100">
        <f t="shared" si="3"/>
        <v>3143.6560165677993</v>
      </c>
      <c r="AI92" s="100">
        <f t="shared" si="3"/>
        <v>3143.6560165677993</v>
      </c>
      <c r="AJ92" s="100">
        <f t="shared" si="3"/>
        <v>3143.6560165677993</v>
      </c>
      <c r="AK92" s="100">
        <f t="shared" si="3"/>
        <v>3143.6560165677993</v>
      </c>
      <c r="AL92" s="100">
        <f t="shared" si="3"/>
        <v>3143.6560165677993</v>
      </c>
      <c r="AM92" s="100">
        <f t="shared" si="3"/>
        <v>3143.6560165677993</v>
      </c>
      <c r="AN92" s="100">
        <f t="shared" si="3"/>
        <v>3143.6560165677993</v>
      </c>
      <c r="AO92" s="100">
        <f t="shared" si="3"/>
        <v>3143.6560165677993</v>
      </c>
      <c r="AP92" s="100">
        <f t="shared" si="3"/>
        <v>3143.6560165677993</v>
      </c>
      <c r="AQ92" s="100">
        <f t="shared" si="3"/>
        <v>3143.6560165677993</v>
      </c>
      <c r="AR92" s="100">
        <f t="shared" si="3"/>
        <v>3143.6560165677993</v>
      </c>
      <c r="AS92" s="100">
        <f t="shared" si="3"/>
        <v>3143.6560165677993</v>
      </c>
      <c r="AT92" s="100">
        <f t="shared" si="3"/>
        <v>3143.6560165677993</v>
      </c>
      <c r="AU92" s="100">
        <f t="shared" si="3"/>
        <v>3143.6560165677993</v>
      </c>
      <c r="AV92" s="100">
        <f t="shared" si="3"/>
        <v>3143.6560165677993</v>
      </c>
      <c r="AW92" s="100">
        <f t="shared" si="3"/>
        <v>3143.6560165677993</v>
      </c>
      <c r="AX92" s="100">
        <f t="shared" si="3"/>
        <v>3143.6560165677993</v>
      </c>
    </row>
    <row r="93" spans="2:50">
      <c r="B93" s="99" t="s">
        <v>109</v>
      </c>
      <c r="C93" s="100">
        <f t="shared" si="4"/>
        <v>2.2954236158108136E-19</v>
      </c>
      <c r="D93" s="100">
        <f t="shared" si="4"/>
        <v>2.2954236158108136E-19</v>
      </c>
      <c r="E93" s="100">
        <f t="shared" si="4"/>
        <v>2.2954236158108136E-19</v>
      </c>
      <c r="F93" s="100">
        <f t="shared" si="4"/>
        <v>2.2954236158108136E-19</v>
      </c>
      <c r="G93" s="100">
        <f t="shared" si="4"/>
        <v>2.2954236158108136E-19</v>
      </c>
      <c r="H93" s="100">
        <f t="shared" si="4"/>
        <v>2.2954236158108136E-19</v>
      </c>
      <c r="I93" s="100">
        <f t="shared" si="4"/>
        <v>2.2954236158108136E-19</v>
      </c>
      <c r="J93" s="100">
        <f t="shared" si="4"/>
        <v>2.2954236158108136E-19</v>
      </c>
      <c r="K93" s="100">
        <f t="shared" si="4"/>
        <v>2.2954236158108136E-19</v>
      </c>
      <c r="L93" s="100">
        <f t="shared" si="4"/>
        <v>2.2954236158108136E-19</v>
      </c>
      <c r="M93" s="100">
        <f t="shared" si="4"/>
        <v>2.2954236158108136E-19</v>
      </c>
      <c r="N93" s="100">
        <f t="shared" si="4"/>
        <v>2.2954236158108136E-19</v>
      </c>
      <c r="O93" s="100">
        <f t="shared" si="4"/>
        <v>1.9128530131756781E-19</v>
      </c>
      <c r="P93" s="100">
        <f t="shared" si="4"/>
        <v>1.9128530131756781E-19</v>
      </c>
      <c r="Q93" s="100">
        <f t="shared" si="4"/>
        <v>1.9128530131756781E-19</v>
      </c>
      <c r="R93" s="100">
        <f t="shared" si="4"/>
        <v>1.9128530131756781E-19</v>
      </c>
      <c r="S93" s="100">
        <f t="shared" si="3"/>
        <v>2.2954236158108136E-19</v>
      </c>
      <c r="T93" s="100">
        <f t="shared" si="3"/>
        <v>2.2954236158108136E-19</v>
      </c>
      <c r="U93" s="100">
        <f t="shared" si="3"/>
        <v>2.2954236158108136E-19</v>
      </c>
      <c r="V93" s="100">
        <f t="shared" si="3"/>
        <v>2.2954236158108136E-19</v>
      </c>
      <c r="W93" s="100">
        <f t="shared" si="3"/>
        <v>2.2954236158108136E-19</v>
      </c>
      <c r="X93" s="100">
        <f t="shared" si="3"/>
        <v>2.2954236158108136E-19</v>
      </c>
      <c r="Y93" s="100">
        <f t="shared" si="3"/>
        <v>2.2954236158108136E-19</v>
      </c>
      <c r="Z93" s="100">
        <f t="shared" si="3"/>
        <v>2.2954236158108136E-19</v>
      </c>
      <c r="AA93" s="100">
        <f t="shared" si="3"/>
        <v>1.9128530131756781E-19</v>
      </c>
      <c r="AB93" s="100">
        <f t="shared" si="3"/>
        <v>1.9128530131756781E-19</v>
      </c>
      <c r="AC93" s="100">
        <f t="shared" si="3"/>
        <v>1.9128530131756781E-19</v>
      </c>
      <c r="AD93" s="100">
        <f t="shared" si="3"/>
        <v>1.9128530131756781E-19</v>
      </c>
      <c r="AE93" s="100">
        <f t="shared" si="3"/>
        <v>1.9128530131756781E-19</v>
      </c>
      <c r="AF93" s="100">
        <f t="shared" si="3"/>
        <v>1.9128530131756781E-19</v>
      </c>
      <c r="AG93" s="100">
        <f t="shared" si="3"/>
        <v>1.9128530131756781E-19</v>
      </c>
      <c r="AH93" s="100">
        <f t="shared" si="3"/>
        <v>1.9128530131756781E-19</v>
      </c>
      <c r="AI93" s="100">
        <f t="shared" si="3"/>
        <v>1.9128530131756781E-19</v>
      </c>
      <c r="AJ93" s="100">
        <f t="shared" si="3"/>
        <v>1.9128530131756781E-19</v>
      </c>
      <c r="AK93" s="100">
        <f t="shared" si="3"/>
        <v>1.9128530131756781E-19</v>
      </c>
      <c r="AL93" s="100">
        <f t="shared" si="3"/>
        <v>1.9128530131756781E-19</v>
      </c>
      <c r="AM93" s="100">
        <f t="shared" si="3"/>
        <v>2.2954236158108136E-19</v>
      </c>
      <c r="AN93" s="100">
        <f t="shared" si="3"/>
        <v>2.2954236158108136E-19</v>
      </c>
      <c r="AO93" s="100">
        <f t="shared" si="3"/>
        <v>2.2954236158108136E-19</v>
      </c>
      <c r="AP93" s="100">
        <f t="shared" si="3"/>
        <v>2.2954236158108136E-19</v>
      </c>
      <c r="AQ93" s="100">
        <f t="shared" si="3"/>
        <v>2.2954236158108136E-19</v>
      </c>
      <c r="AR93" s="100">
        <f t="shared" si="3"/>
        <v>2.2954236158108136E-19</v>
      </c>
      <c r="AS93" s="100">
        <f t="shared" si="3"/>
        <v>2.2954236158108136E-19</v>
      </c>
      <c r="AT93" s="100">
        <f t="shared" si="3"/>
        <v>2.2954236158108136E-19</v>
      </c>
      <c r="AU93" s="100">
        <f t="shared" si="3"/>
        <v>1.9128530131756781E-19</v>
      </c>
      <c r="AV93" s="100">
        <f t="shared" si="3"/>
        <v>1.9128530131756781E-19</v>
      </c>
      <c r="AW93" s="100">
        <f t="shared" si="3"/>
        <v>1.9128530131756781E-19</v>
      </c>
      <c r="AX93" s="100">
        <f t="shared" si="3"/>
        <v>1.9128530131756781E-19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3.4790840088047203E-17</v>
      </c>
      <c r="D98" s="100">
        <v>3.4790840088047203E-17</v>
      </c>
      <c r="E98" s="100">
        <v>3.4790840088047203E-17</v>
      </c>
      <c r="F98" s="100">
        <v>3.4790840088047203E-17</v>
      </c>
      <c r="G98" s="100">
        <v>3.4790840088047203E-17</v>
      </c>
      <c r="H98" s="100">
        <v>3.4790840088047203E-17</v>
      </c>
      <c r="I98" s="100">
        <v>3.4790840088047203E-17</v>
      </c>
      <c r="J98" s="100">
        <v>3.4790840088047203E-17</v>
      </c>
      <c r="K98" s="100">
        <v>3.4790840088047203E-17</v>
      </c>
      <c r="L98" s="100">
        <v>3.4790840088047203E-17</v>
      </c>
      <c r="M98" s="100">
        <v>3.4790840088047203E-17</v>
      </c>
      <c r="N98" s="100">
        <v>3.4790840088047203E-17</v>
      </c>
      <c r="O98" s="100">
        <v>3.4790840088047203E-17</v>
      </c>
      <c r="P98" s="100">
        <v>3.4790840088047203E-17</v>
      </c>
      <c r="Q98" s="100">
        <v>3.4790840088047203E-17</v>
      </c>
      <c r="R98" s="100">
        <v>3.4790840088047203E-17</v>
      </c>
      <c r="S98" s="100">
        <v>3.4790840088047203E-17</v>
      </c>
      <c r="T98" s="100">
        <v>3.4790840088047203E-17</v>
      </c>
      <c r="U98" s="100">
        <v>3.4790840088047203E-17</v>
      </c>
      <c r="V98" s="100">
        <v>3.4790840088047203E-17</v>
      </c>
      <c r="W98" s="100">
        <v>3.4790840088047203E-17</v>
      </c>
      <c r="X98" s="100">
        <v>3.4790840088047203E-17</v>
      </c>
      <c r="Y98" s="100">
        <v>3.4790840088047203E-17</v>
      </c>
      <c r="Z98" s="100">
        <v>3.4790840088047203E-17</v>
      </c>
      <c r="AA98" s="100">
        <v>3.4790840088047203E-17</v>
      </c>
      <c r="AB98" s="100">
        <v>3.4790840088047203E-17</v>
      </c>
      <c r="AC98" s="100">
        <v>3.4790840088047203E-17</v>
      </c>
      <c r="AD98" s="100">
        <v>3.4790840088047203E-17</v>
      </c>
      <c r="AE98" s="100">
        <v>3.4790840088047203E-17</v>
      </c>
      <c r="AF98" s="100">
        <v>3.4790840088047203E-17</v>
      </c>
      <c r="AG98" s="100">
        <v>3.4790840088047203E-17</v>
      </c>
      <c r="AH98" s="100">
        <v>3.4790840088047203E-17</v>
      </c>
      <c r="AI98" s="100">
        <v>3.4790840088047203E-17</v>
      </c>
      <c r="AJ98" s="100">
        <v>3.4790840088047203E-17</v>
      </c>
      <c r="AK98" s="100">
        <v>3.4790840088047203E-17</v>
      </c>
      <c r="AL98" s="100">
        <v>3.4790840088047203E-17</v>
      </c>
      <c r="AM98" s="100">
        <v>3.4790840088047203E-17</v>
      </c>
      <c r="AN98" s="100">
        <v>3.4790840088047203E-17</v>
      </c>
      <c r="AO98" s="100">
        <v>3.4790840088047203E-17</v>
      </c>
      <c r="AP98" s="100">
        <v>3.4790840088047203E-17</v>
      </c>
      <c r="AQ98" s="100">
        <v>3.4790840088047203E-17</v>
      </c>
      <c r="AR98" s="100">
        <v>3.4790840088047203E-17</v>
      </c>
      <c r="AS98" s="100">
        <v>3.4790840088047203E-17</v>
      </c>
      <c r="AT98" s="100">
        <v>3.4790840088047203E-17</v>
      </c>
      <c r="AU98" s="100">
        <v>3.4790840088047203E-17</v>
      </c>
      <c r="AV98" s="100">
        <v>3.4790840088047203E-17</v>
      </c>
      <c r="AW98" s="100">
        <v>3.4790840088047203E-17</v>
      </c>
      <c r="AX98" s="100">
        <v>3.4790840088047203E-17</v>
      </c>
    </row>
    <row r="99" spans="1:50">
      <c r="B99" s="105" t="s">
        <v>12</v>
      </c>
      <c r="C99" s="100">
        <v>4.4719437061775952E-17</v>
      </c>
      <c r="D99" s="100">
        <v>4.4719437061775952E-17</v>
      </c>
      <c r="E99" s="100">
        <v>4.4719437061775952E-17</v>
      </c>
      <c r="F99" s="100">
        <v>4.4719437061775952E-17</v>
      </c>
      <c r="G99" s="100">
        <v>4.4719437061775952E-17</v>
      </c>
      <c r="H99" s="100">
        <v>4.4719437061775952E-17</v>
      </c>
      <c r="I99" s="100">
        <v>4.4719437061775952E-17</v>
      </c>
      <c r="J99" s="100">
        <v>4.4719437061775952E-17</v>
      </c>
      <c r="K99" s="100">
        <v>4.4719437061775952E-17</v>
      </c>
      <c r="L99" s="100">
        <v>4.4719437061775952E-17</v>
      </c>
      <c r="M99" s="100">
        <v>4.4719437061775952E-17</v>
      </c>
      <c r="N99" s="100">
        <v>4.4719437061775952E-17</v>
      </c>
      <c r="O99" s="100">
        <v>4.4719437061775952E-17</v>
      </c>
      <c r="P99" s="100">
        <v>4.4719437061775952E-17</v>
      </c>
      <c r="Q99" s="100">
        <v>4.4719437061775952E-17</v>
      </c>
      <c r="R99" s="100">
        <v>4.4719437061775952E-17</v>
      </c>
      <c r="S99" s="100">
        <v>4.4719437061775952E-17</v>
      </c>
      <c r="T99" s="100">
        <v>4.4719437061775952E-17</v>
      </c>
      <c r="U99" s="100">
        <v>4.4719437061775952E-17</v>
      </c>
      <c r="V99" s="100">
        <v>4.4719437061775952E-17</v>
      </c>
      <c r="W99" s="100">
        <v>4.4719437061775952E-17</v>
      </c>
      <c r="X99" s="100">
        <v>4.4719437061775952E-17</v>
      </c>
      <c r="Y99" s="100">
        <v>4.4719437061775952E-17</v>
      </c>
      <c r="Z99" s="100">
        <v>4.4719437061775952E-17</v>
      </c>
      <c r="AA99" s="100">
        <v>4.4719437061775952E-17</v>
      </c>
      <c r="AB99" s="100">
        <v>4.4719437061775952E-17</v>
      </c>
      <c r="AC99" s="100">
        <v>4.4719437061775952E-17</v>
      </c>
      <c r="AD99" s="100">
        <v>4.4719437061775952E-17</v>
      </c>
      <c r="AE99" s="100">
        <v>4.4719437061775952E-17</v>
      </c>
      <c r="AF99" s="100">
        <v>4.4719437061775952E-17</v>
      </c>
      <c r="AG99" s="100">
        <v>4.4719437061775952E-17</v>
      </c>
      <c r="AH99" s="100">
        <v>4.4719437061775952E-17</v>
      </c>
      <c r="AI99" s="100">
        <v>4.4719437061775952E-17</v>
      </c>
      <c r="AJ99" s="100">
        <v>4.4719437061775952E-17</v>
      </c>
      <c r="AK99" s="100">
        <v>4.4719437061775952E-17</v>
      </c>
      <c r="AL99" s="100">
        <v>4.4719437061775952E-17</v>
      </c>
      <c r="AM99" s="100">
        <v>4.4719437061775952E-17</v>
      </c>
      <c r="AN99" s="100">
        <v>4.4719437061775952E-17</v>
      </c>
      <c r="AO99" s="100">
        <v>4.4719437061775952E-17</v>
      </c>
      <c r="AP99" s="100">
        <v>4.4719437061775952E-17</v>
      </c>
      <c r="AQ99" s="100">
        <v>4.4719437061775952E-17</v>
      </c>
      <c r="AR99" s="100">
        <v>4.4719437061775952E-17</v>
      </c>
      <c r="AS99" s="100">
        <v>4.4719437061775952E-17</v>
      </c>
      <c r="AT99" s="100">
        <v>4.4719437061775952E-17</v>
      </c>
      <c r="AU99" s="100">
        <v>4.4719437061775952E-17</v>
      </c>
      <c r="AV99" s="100">
        <v>4.4719437061775952E-17</v>
      </c>
      <c r="AW99" s="100">
        <v>4.4719437061775952E-17</v>
      </c>
      <c r="AX99" s="100">
        <v>4.4719437061775952E-17</v>
      </c>
    </row>
    <row r="100" spans="1:50">
      <c r="B100" s="105" t="s">
        <v>22</v>
      </c>
      <c r="C100" s="100">
        <v>1.4423909586363201E-17</v>
      </c>
      <c r="D100" s="100">
        <v>1.4423909586363201E-17</v>
      </c>
      <c r="E100" s="100">
        <v>1.4423909586363201E-17</v>
      </c>
      <c r="F100" s="100">
        <v>1.4423909586363201E-17</v>
      </c>
      <c r="G100" s="100">
        <v>1.4423909586363201E-17</v>
      </c>
      <c r="H100" s="100">
        <v>1.4423909586363201E-17</v>
      </c>
      <c r="I100" s="100">
        <v>1.4423909586363201E-17</v>
      </c>
      <c r="J100" s="100">
        <v>1.4423909586363201E-17</v>
      </c>
      <c r="K100" s="100">
        <v>1.4423909586363201E-17</v>
      </c>
      <c r="L100" s="100">
        <v>1.4423909586363201E-17</v>
      </c>
      <c r="M100" s="100">
        <v>1.4423909586363201E-17</v>
      </c>
      <c r="N100" s="100">
        <v>1.4423909586363201E-17</v>
      </c>
      <c r="O100" s="100">
        <v>1.4423909586363201E-17</v>
      </c>
      <c r="P100" s="100">
        <v>1.4423909586363201E-17</v>
      </c>
      <c r="Q100" s="100">
        <v>1.4423909586363201E-17</v>
      </c>
      <c r="R100" s="100">
        <v>1.4423909586363201E-17</v>
      </c>
      <c r="S100" s="100">
        <v>1.4423909586363201E-17</v>
      </c>
      <c r="T100" s="100">
        <v>1.4423909586363201E-17</v>
      </c>
      <c r="U100" s="100">
        <v>1.4423909586363201E-17</v>
      </c>
      <c r="V100" s="100">
        <v>1.4423909586363201E-17</v>
      </c>
      <c r="W100" s="100">
        <v>1.4423909586363201E-17</v>
      </c>
      <c r="X100" s="100">
        <v>1.4423909586363201E-17</v>
      </c>
      <c r="Y100" s="100">
        <v>1.4423909586363201E-17</v>
      </c>
      <c r="Z100" s="100">
        <v>1.4423909586363201E-17</v>
      </c>
      <c r="AA100" s="100">
        <v>1.4423909586363201E-17</v>
      </c>
      <c r="AB100" s="100">
        <v>1.4423909586363201E-17</v>
      </c>
      <c r="AC100" s="100">
        <v>1.4423909586363201E-17</v>
      </c>
      <c r="AD100" s="100">
        <v>1.4423909586363201E-17</v>
      </c>
      <c r="AE100" s="100">
        <v>1.4423909586363201E-17</v>
      </c>
      <c r="AF100" s="100">
        <v>1.4423909586363201E-17</v>
      </c>
      <c r="AG100" s="100">
        <v>1.4423909586363201E-17</v>
      </c>
      <c r="AH100" s="100">
        <v>1.4423909586363201E-17</v>
      </c>
      <c r="AI100" s="100">
        <v>1.4423909586363201E-17</v>
      </c>
      <c r="AJ100" s="100">
        <v>1.4423909586363201E-17</v>
      </c>
      <c r="AK100" s="100">
        <v>1.4423909586363201E-17</v>
      </c>
      <c r="AL100" s="100">
        <v>1.4423909586363201E-17</v>
      </c>
      <c r="AM100" s="100">
        <v>1.4423909586363201E-17</v>
      </c>
      <c r="AN100" s="100">
        <v>1.4423909586363201E-17</v>
      </c>
      <c r="AO100" s="100">
        <v>1.4423909586363201E-17</v>
      </c>
      <c r="AP100" s="100">
        <v>1.4423909586363201E-17</v>
      </c>
      <c r="AQ100" s="100">
        <v>1.4423909586363201E-17</v>
      </c>
      <c r="AR100" s="100">
        <v>1.4423909586363201E-17</v>
      </c>
      <c r="AS100" s="100">
        <v>1.4423909586363201E-17</v>
      </c>
      <c r="AT100" s="100">
        <v>1.4423909586363201E-17</v>
      </c>
      <c r="AU100" s="100">
        <v>1.4423909586363201E-17</v>
      </c>
      <c r="AV100" s="100">
        <v>1.4423909586363201E-17</v>
      </c>
      <c r="AW100" s="100">
        <v>1.4423909586363201E-17</v>
      </c>
      <c r="AX100" s="100">
        <v>1.4423909586363201E-17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20.907056870362776</v>
      </c>
      <c r="D102" s="100">
        <v>20.907056870362776</v>
      </c>
      <c r="E102" s="100">
        <v>20.907056870362776</v>
      </c>
      <c r="F102" s="100">
        <v>20.907056870362776</v>
      </c>
      <c r="G102" s="100">
        <v>20.907056870362776</v>
      </c>
      <c r="H102" s="100">
        <v>20.907056870362776</v>
      </c>
      <c r="I102" s="100">
        <v>20.907056870362776</v>
      </c>
      <c r="J102" s="100">
        <v>20.907056870362776</v>
      </c>
      <c r="K102" s="100">
        <v>20.907056870362776</v>
      </c>
      <c r="L102" s="100">
        <v>20.907056870362776</v>
      </c>
      <c r="M102" s="100">
        <v>20.907056870362776</v>
      </c>
      <c r="N102" s="100">
        <v>20.907056870362776</v>
      </c>
      <c r="O102" s="100">
        <v>20.907056870362776</v>
      </c>
      <c r="P102" s="100">
        <v>20.907056870362776</v>
      </c>
      <c r="Q102" s="100">
        <v>20.907056870362776</v>
      </c>
      <c r="R102" s="100">
        <v>20.907056870362776</v>
      </c>
      <c r="S102" s="100">
        <v>20.907056870362776</v>
      </c>
      <c r="T102" s="100">
        <v>20.907056870362776</v>
      </c>
      <c r="U102" s="100">
        <v>20.907056870362776</v>
      </c>
      <c r="V102" s="100">
        <v>20.907056870362776</v>
      </c>
      <c r="W102" s="100">
        <v>20.907056870362776</v>
      </c>
      <c r="X102" s="100">
        <v>20.907056870362776</v>
      </c>
      <c r="Y102" s="100">
        <v>20.907056870362776</v>
      </c>
      <c r="Z102" s="100">
        <v>20.907056870362776</v>
      </c>
      <c r="AA102" s="100">
        <v>20.907056870362776</v>
      </c>
      <c r="AB102" s="100">
        <v>20.907056870362776</v>
      </c>
      <c r="AC102" s="100">
        <v>20.907056870362776</v>
      </c>
      <c r="AD102" s="100">
        <v>20.907056870362776</v>
      </c>
      <c r="AE102" s="100">
        <v>20.907056870362776</v>
      </c>
      <c r="AF102" s="100">
        <v>20.907056870362776</v>
      </c>
      <c r="AG102" s="100">
        <v>20.907056870362776</v>
      </c>
      <c r="AH102" s="100">
        <v>20.907056870362776</v>
      </c>
      <c r="AI102" s="100">
        <v>20.907056870362776</v>
      </c>
      <c r="AJ102" s="100">
        <v>20.907056870362776</v>
      </c>
      <c r="AK102" s="100">
        <v>20.907056870362776</v>
      </c>
      <c r="AL102" s="100">
        <v>20.907056870362776</v>
      </c>
      <c r="AM102" s="100">
        <v>20.907056870362776</v>
      </c>
      <c r="AN102" s="100">
        <v>20.907056870362776</v>
      </c>
      <c r="AO102" s="100">
        <v>20.907056870362776</v>
      </c>
      <c r="AP102" s="100">
        <v>20.907056870362776</v>
      </c>
      <c r="AQ102" s="100">
        <v>20.907056870362776</v>
      </c>
      <c r="AR102" s="100">
        <v>20.907056870362776</v>
      </c>
      <c r="AS102" s="100">
        <v>20.907056870362776</v>
      </c>
      <c r="AT102" s="100">
        <v>20.907056870362776</v>
      </c>
      <c r="AU102" s="100">
        <v>20.907056870362776</v>
      </c>
      <c r="AV102" s="100">
        <v>20.907056870362776</v>
      </c>
      <c r="AW102" s="100">
        <v>20.907056870362776</v>
      </c>
      <c r="AX102" s="100">
        <v>20.907056870362776</v>
      </c>
    </row>
    <row r="103" spans="1:50">
      <c r="B103" s="100" t="s">
        <v>278</v>
      </c>
      <c r="C103" s="105">
        <f>SUM(C$98:C$102)</f>
        <v>20.907056870362776</v>
      </c>
      <c r="D103" s="105">
        <f t="shared" ref="D103:AX103" si="5">SUM(D$98:D$102)</f>
        <v>20.907056870362776</v>
      </c>
      <c r="E103" s="105">
        <f t="shared" si="5"/>
        <v>20.907056870362776</v>
      </c>
      <c r="F103" s="105">
        <f t="shared" si="5"/>
        <v>20.907056870362776</v>
      </c>
      <c r="G103" s="105">
        <f t="shared" si="5"/>
        <v>20.907056870362776</v>
      </c>
      <c r="H103" s="105">
        <f t="shared" si="5"/>
        <v>20.907056870362776</v>
      </c>
      <c r="I103" s="105">
        <f t="shared" si="5"/>
        <v>20.907056870362776</v>
      </c>
      <c r="J103" s="105">
        <f t="shared" si="5"/>
        <v>20.907056870362776</v>
      </c>
      <c r="K103" s="105">
        <f t="shared" si="5"/>
        <v>20.907056870362776</v>
      </c>
      <c r="L103" s="105">
        <f t="shared" si="5"/>
        <v>20.907056870362776</v>
      </c>
      <c r="M103" s="105">
        <f t="shared" si="5"/>
        <v>20.907056870362776</v>
      </c>
      <c r="N103" s="105">
        <f t="shared" si="5"/>
        <v>20.907056870362776</v>
      </c>
      <c r="O103" s="105">
        <f t="shared" si="5"/>
        <v>20.907056870362776</v>
      </c>
      <c r="P103" s="105">
        <f t="shared" si="5"/>
        <v>20.907056870362776</v>
      </c>
      <c r="Q103" s="105">
        <f t="shared" si="5"/>
        <v>20.907056870362776</v>
      </c>
      <c r="R103" s="105">
        <f t="shared" si="5"/>
        <v>20.907056870362776</v>
      </c>
      <c r="S103" s="105">
        <f t="shared" si="5"/>
        <v>20.907056870362776</v>
      </c>
      <c r="T103" s="105">
        <f t="shared" si="5"/>
        <v>20.907056870362776</v>
      </c>
      <c r="U103" s="105">
        <f t="shared" si="5"/>
        <v>20.907056870362776</v>
      </c>
      <c r="V103" s="105">
        <f t="shared" si="5"/>
        <v>20.907056870362776</v>
      </c>
      <c r="W103" s="105">
        <f t="shared" si="5"/>
        <v>20.907056870362776</v>
      </c>
      <c r="X103" s="105">
        <f t="shared" si="5"/>
        <v>20.907056870362776</v>
      </c>
      <c r="Y103" s="105">
        <f t="shared" si="5"/>
        <v>20.907056870362776</v>
      </c>
      <c r="Z103" s="105">
        <f t="shared" si="5"/>
        <v>20.907056870362776</v>
      </c>
      <c r="AA103" s="105">
        <f t="shared" si="5"/>
        <v>20.907056870362776</v>
      </c>
      <c r="AB103" s="105">
        <f t="shared" si="5"/>
        <v>20.907056870362776</v>
      </c>
      <c r="AC103" s="105">
        <f t="shared" si="5"/>
        <v>20.907056870362776</v>
      </c>
      <c r="AD103" s="105">
        <f t="shared" si="5"/>
        <v>20.907056870362776</v>
      </c>
      <c r="AE103" s="105">
        <f t="shared" si="5"/>
        <v>20.907056870362776</v>
      </c>
      <c r="AF103" s="105">
        <f t="shared" si="5"/>
        <v>20.907056870362776</v>
      </c>
      <c r="AG103" s="105">
        <f t="shared" si="5"/>
        <v>20.907056870362776</v>
      </c>
      <c r="AH103" s="105">
        <f t="shared" si="5"/>
        <v>20.907056870362776</v>
      </c>
      <c r="AI103" s="105">
        <f t="shared" si="5"/>
        <v>20.907056870362776</v>
      </c>
      <c r="AJ103" s="105">
        <f t="shared" si="5"/>
        <v>20.907056870362776</v>
      </c>
      <c r="AK103" s="105">
        <f t="shared" si="5"/>
        <v>20.907056870362776</v>
      </c>
      <c r="AL103" s="105">
        <f t="shared" si="5"/>
        <v>20.907056870362776</v>
      </c>
      <c r="AM103" s="105">
        <f t="shared" si="5"/>
        <v>20.907056870362776</v>
      </c>
      <c r="AN103" s="105">
        <f t="shared" si="5"/>
        <v>20.907056870362776</v>
      </c>
      <c r="AO103" s="105">
        <f t="shared" si="5"/>
        <v>20.907056870362776</v>
      </c>
      <c r="AP103" s="105">
        <f t="shared" si="5"/>
        <v>20.907056870362776</v>
      </c>
      <c r="AQ103" s="105">
        <f t="shared" si="5"/>
        <v>20.907056870362776</v>
      </c>
      <c r="AR103" s="105">
        <f t="shared" si="5"/>
        <v>20.907056870362776</v>
      </c>
      <c r="AS103" s="105">
        <f t="shared" si="5"/>
        <v>20.907056870362776</v>
      </c>
      <c r="AT103" s="105">
        <f t="shared" si="5"/>
        <v>20.907056870362776</v>
      </c>
      <c r="AU103" s="105">
        <f t="shared" si="5"/>
        <v>20.907056870362776</v>
      </c>
      <c r="AV103" s="105">
        <f t="shared" si="5"/>
        <v>20.907056870362776</v>
      </c>
      <c r="AW103" s="105">
        <f t="shared" si="5"/>
        <v>20.907056870362776</v>
      </c>
      <c r="AX103" s="105">
        <f t="shared" si="5"/>
        <v>20.907056870362776</v>
      </c>
    </row>
    <row r="104" spans="1:50">
      <c r="A104" s="105" t="s">
        <v>105</v>
      </c>
      <c r="B104" s="105" t="s">
        <v>10</v>
      </c>
      <c r="C104" s="100">
        <v>8.5882032975928788E-18</v>
      </c>
      <c r="D104" s="100">
        <v>8.5882032975928788E-18</v>
      </c>
      <c r="E104" s="100">
        <v>8.5882032975928788E-18</v>
      </c>
      <c r="F104" s="100">
        <v>8.5882032975928788E-18</v>
      </c>
      <c r="G104" s="100">
        <v>8.5882032975928788E-18</v>
      </c>
      <c r="H104" s="100">
        <v>8.5882032975928788E-18</v>
      </c>
      <c r="I104" s="100">
        <v>8.5882032975928788E-18</v>
      </c>
      <c r="J104" s="100">
        <v>8.5882032975928788E-18</v>
      </c>
      <c r="K104" s="100">
        <v>8.5882032975928788E-18</v>
      </c>
      <c r="L104" s="100">
        <v>8.5882032975928788E-18</v>
      </c>
      <c r="M104" s="100">
        <v>8.5882032975928788E-18</v>
      </c>
      <c r="N104" s="100">
        <v>8.5882032975928788E-18</v>
      </c>
      <c r="O104" s="100">
        <v>8.5882032975928788E-18</v>
      </c>
      <c r="P104" s="100">
        <v>8.5882032975928788E-18</v>
      </c>
      <c r="Q104" s="100">
        <v>8.5882032975928788E-18</v>
      </c>
      <c r="R104" s="100">
        <v>8.5882032975928788E-18</v>
      </c>
      <c r="S104" s="100">
        <v>0</v>
      </c>
      <c r="T104" s="100">
        <v>0</v>
      </c>
      <c r="U104" s="100">
        <v>0</v>
      </c>
      <c r="V104" s="100">
        <v>0</v>
      </c>
      <c r="W104" s="100">
        <v>8.5882032975928788E-18</v>
      </c>
      <c r="X104" s="100">
        <v>8.5882032975928788E-18</v>
      </c>
      <c r="Y104" s="100">
        <v>8.5882032975928788E-18</v>
      </c>
      <c r="Z104" s="100">
        <v>8.5882032975928788E-18</v>
      </c>
      <c r="AA104" s="100">
        <v>8.5882032975928788E-18</v>
      </c>
      <c r="AB104" s="100">
        <v>8.5882032975928788E-18</v>
      </c>
      <c r="AC104" s="100">
        <v>8.5882032975928788E-18</v>
      </c>
      <c r="AD104" s="100">
        <v>8.5882032975928788E-18</v>
      </c>
      <c r="AE104" s="100">
        <v>8.5882032975928788E-18</v>
      </c>
      <c r="AF104" s="100">
        <v>8.5882032975928788E-18</v>
      </c>
      <c r="AG104" s="100">
        <v>8.5882032975928788E-18</v>
      </c>
      <c r="AH104" s="100">
        <v>8.5882032975928788E-18</v>
      </c>
      <c r="AI104" s="100">
        <v>8.5882032975928788E-18</v>
      </c>
      <c r="AJ104" s="100">
        <v>8.5882032975928788E-18</v>
      </c>
      <c r="AK104" s="100">
        <v>8.5882032975928788E-18</v>
      </c>
      <c r="AL104" s="100">
        <v>8.5882032975928788E-18</v>
      </c>
      <c r="AM104" s="100">
        <v>8.5882032975928788E-18</v>
      </c>
      <c r="AN104" s="100">
        <v>8.5882032975928788E-18</v>
      </c>
      <c r="AO104" s="100">
        <v>8.5882032975928788E-18</v>
      </c>
      <c r="AP104" s="100">
        <v>8.5882032975928788E-18</v>
      </c>
      <c r="AQ104" s="100">
        <v>6.8705626380743027E-18</v>
      </c>
      <c r="AR104" s="100">
        <v>6.8705626380743027E-18</v>
      </c>
      <c r="AS104" s="100">
        <v>6.8705626380743027E-18</v>
      </c>
      <c r="AT104" s="100">
        <v>6.8705626380743027E-18</v>
      </c>
      <c r="AU104" s="100">
        <v>6.8705626380743027E-18</v>
      </c>
      <c r="AV104" s="100">
        <v>6.8705626380743027E-18</v>
      </c>
      <c r="AW104" s="100">
        <v>6.8705626380743027E-18</v>
      </c>
      <c r="AX104" s="100">
        <v>6.8705626380743027E-18</v>
      </c>
    </row>
    <row r="105" spans="1:50">
      <c r="B105" s="105" t="s">
        <v>12</v>
      </c>
      <c r="C105" s="100">
        <v>9.539520770075847E-18</v>
      </c>
      <c r="D105" s="100">
        <v>9.539520770075847E-18</v>
      </c>
      <c r="E105" s="100">
        <v>9.539520770075847E-18</v>
      </c>
      <c r="F105" s="100">
        <v>9.539520770075847E-18</v>
      </c>
      <c r="G105" s="100">
        <v>9.539520770075847E-18</v>
      </c>
      <c r="H105" s="100">
        <v>9.539520770075847E-18</v>
      </c>
      <c r="I105" s="100">
        <v>9.539520770075847E-18</v>
      </c>
      <c r="J105" s="100">
        <v>9.539520770075847E-18</v>
      </c>
      <c r="K105" s="100">
        <v>9.539520770075847E-18</v>
      </c>
      <c r="L105" s="100">
        <v>9.539520770075847E-18</v>
      </c>
      <c r="M105" s="100">
        <v>9.539520770075847E-18</v>
      </c>
      <c r="N105" s="100">
        <v>9.539520770075847E-18</v>
      </c>
      <c r="O105" s="100">
        <v>9.539520770075847E-18</v>
      </c>
      <c r="P105" s="100">
        <v>9.539520770075847E-18</v>
      </c>
      <c r="Q105" s="100">
        <v>9.539520770075847E-18</v>
      </c>
      <c r="R105" s="100">
        <v>9.539520770075847E-18</v>
      </c>
      <c r="S105" s="100">
        <v>0</v>
      </c>
      <c r="T105" s="100">
        <v>0</v>
      </c>
      <c r="U105" s="100">
        <v>0</v>
      </c>
      <c r="V105" s="100">
        <v>0</v>
      </c>
      <c r="W105" s="100">
        <v>9.539520770075847E-18</v>
      </c>
      <c r="X105" s="100">
        <v>9.539520770075847E-18</v>
      </c>
      <c r="Y105" s="100">
        <v>9.539520770075847E-18</v>
      </c>
      <c r="Z105" s="100">
        <v>9.539520770075847E-18</v>
      </c>
      <c r="AA105" s="100">
        <v>9.539520770075847E-18</v>
      </c>
      <c r="AB105" s="100">
        <v>9.539520770075847E-18</v>
      </c>
      <c r="AC105" s="100">
        <v>9.539520770075847E-18</v>
      </c>
      <c r="AD105" s="100">
        <v>9.539520770075847E-18</v>
      </c>
      <c r="AE105" s="100">
        <v>9.539520770075847E-18</v>
      </c>
      <c r="AF105" s="100">
        <v>9.539520770075847E-18</v>
      </c>
      <c r="AG105" s="100">
        <v>9.539520770075847E-18</v>
      </c>
      <c r="AH105" s="100">
        <v>9.539520770075847E-18</v>
      </c>
      <c r="AI105" s="100">
        <v>9.539520770075847E-18</v>
      </c>
      <c r="AJ105" s="100">
        <v>9.539520770075847E-18</v>
      </c>
      <c r="AK105" s="100">
        <v>9.539520770075847E-18</v>
      </c>
      <c r="AL105" s="100">
        <v>9.539520770075847E-18</v>
      </c>
      <c r="AM105" s="100">
        <v>9.539520770075847E-18</v>
      </c>
      <c r="AN105" s="100">
        <v>9.539520770075847E-18</v>
      </c>
      <c r="AO105" s="100">
        <v>9.539520770075847E-18</v>
      </c>
      <c r="AP105" s="100">
        <v>9.539520770075847E-18</v>
      </c>
      <c r="AQ105" s="100">
        <v>7.6316166160606791E-18</v>
      </c>
      <c r="AR105" s="100">
        <v>7.6316166160606791E-18</v>
      </c>
      <c r="AS105" s="100">
        <v>7.6316166160606791E-18</v>
      </c>
      <c r="AT105" s="100">
        <v>7.6316166160606791E-18</v>
      </c>
      <c r="AU105" s="100">
        <v>7.6316166160606791E-18</v>
      </c>
      <c r="AV105" s="100">
        <v>7.6316166160606791E-18</v>
      </c>
      <c r="AW105" s="100">
        <v>7.6316166160606791E-18</v>
      </c>
      <c r="AX105" s="100">
        <v>7.6316166160606791E-18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0">
        <v>0</v>
      </c>
      <c r="L107" s="100">
        <v>0</v>
      </c>
      <c r="M107" s="100">
        <v>0</v>
      </c>
      <c r="N107" s="100">
        <v>0</v>
      </c>
      <c r="O107" s="100">
        <v>0</v>
      </c>
      <c r="P107" s="100">
        <v>0</v>
      </c>
      <c r="Q107" s="100">
        <v>0</v>
      </c>
      <c r="R107" s="100">
        <v>0</v>
      </c>
      <c r="S107" s="100">
        <v>0</v>
      </c>
      <c r="T107" s="100">
        <v>0</v>
      </c>
      <c r="U107" s="100">
        <v>0</v>
      </c>
      <c r="V107" s="100">
        <v>0</v>
      </c>
      <c r="W107" s="100">
        <v>0</v>
      </c>
      <c r="X107" s="100">
        <v>0</v>
      </c>
      <c r="Y107" s="100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>
        <v>0</v>
      </c>
      <c r="AH107" s="100">
        <v>0</v>
      </c>
      <c r="AI107" s="100">
        <v>0</v>
      </c>
      <c r="AJ107" s="100">
        <v>0</v>
      </c>
      <c r="AK107" s="100">
        <v>0</v>
      </c>
      <c r="AL107" s="100">
        <v>0</v>
      </c>
      <c r="AM107" s="100">
        <v>0</v>
      </c>
      <c r="AN107" s="100">
        <v>0</v>
      </c>
      <c r="AO107" s="100">
        <v>0</v>
      </c>
      <c r="AP107" s="100">
        <v>0</v>
      </c>
      <c r="AQ107" s="100">
        <v>0</v>
      </c>
      <c r="AR107" s="100">
        <v>0</v>
      </c>
      <c r="AS107" s="100">
        <v>0</v>
      </c>
      <c r="AT107" s="100">
        <v>0</v>
      </c>
      <c r="AU107" s="100">
        <v>0</v>
      </c>
      <c r="AV107" s="100">
        <v>0</v>
      </c>
      <c r="AW107" s="100">
        <v>0</v>
      </c>
      <c r="AX107" s="100">
        <v>0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1.8127724067668726E-17</v>
      </c>
      <c r="D109" s="105">
        <f t="shared" ref="D109:AX109" si="6">SUM(D$104:D$108)</f>
        <v>1.8127724067668726E-17</v>
      </c>
      <c r="E109" s="105">
        <f t="shared" si="6"/>
        <v>1.8127724067668726E-17</v>
      </c>
      <c r="F109" s="105">
        <f t="shared" si="6"/>
        <v>1.8127724067668726E-17</v>
      </c>
      <c r="G109" s="105">
        <f t="shared" si="6"/>
        <v>1.8127724067668726E-17</v>
      </c>
      <c r="H109" s="105">
        <f t="shared" si="6"/>
        <v>1.8127724067668726E-17</v>
      </c>
      <c r="I109" s="105">
        <f t="shared" si="6"/>
        <v>1.8127724067668726E-17</v>
      </c>
      <c r="J109" s="105">
        <f t="shared" si="6"/>
        <v>1.8127724067668726E-17</v>
      </c>
      <c r="K109" s="105">
        <f t="shared" si="6"/>
        <v>1.8127724067668726E-17</v>
      </c>
      <c r="L109" s="105">
        <f t="shared" si="6"/>
        <v>1.8127724067668726E-17</v>
      </c>
      <c r="M109" s="105">
        <f t="shared" si="6"/>
        <v>1.8127724067668726E-17</v>
      </c>
      <c r="N109" s="105">
        <f t="shared" si="6"/>
        <v>1.8127724067668726E-17</v>
      </c>
      <c r="O109" s="105">
        <f t="shared" si="6"/>
        <v>1.8127724067668726E-17</v>
      </c>
      <c r="P109" s="105">
        <f t="shared" si="6"/>
        <v>1.8127724067668726E-17</v>
      </c>
      <c r="Q109" s="105">
        <f t="shared" si="6"/>
        <v>1.8127724067668726E-17</v>
      </c>
      <c r="R109" s="105">
        <f t="shared" si="6"/>
        <v>1.8127724067668726E-17</v>
      </c>
      <c r="S109" s="105">
        <f t="shared" si="6"/>
        <v>0</v>
      </c>
      <c r="T109" s="105">
        <f t="shared" si="6"/>
        <v>0</v>
      </c>
      <c r="U109" s="105">
        <f t="shared" si="6"/>
        <v>0</v>
      </c>
      <c r="V109" s="105">
        <f t="shared" si="6"/>
        <v>0</v>
      </c>
      <c r="W109" s="105">
        <f t="shared" si="6"/>
        <v>1.8127724067668726E-17</v>
      </c>
      <c r="X109" s="105">
        <f t="shared" si="6"/>
        <v>1.8127724067668726E-17</v>
      </c>
      <c r="Y109" s="105">
        <f t="shared" si="6"/>
        <v>1.8127724067668726E-17</v>
      </c>
      <c r="Z109" s="105">
        <f t="shared" si="6"/>
        <v>1.8127724067668726E-17</v>
      </c>
      <c r="AA109" s="105">
        <f t="shared" si="6"/>
        <v>1.8127724067668726E-17</v>
      </c>
      <c r="AB109" s="105">
        <f t="shared" si="6"/>
        <v>1.8127724067668726E-17</v>
      </c>
      <c r="AC109" s="105">
        <f t="shared" si="6"/>
        <v>1.8127724067668726E-17</v>
      </c>
      <c r="AD109" s="105">
        <f t="shared" si="6"/>
        <v>1.8127724067668726E-17</v>
      </c>
      <c r="AE109" s="105">
        <f t="shared" si="6"/>
        <v>1.8127724067668726E-17</v>
      </c>
      <c r="AF109" s="105">
        <f t="shared" si="6"/>
        <v>1.8127724067668726E-17</v>
      </c>
      <c r="AG109" s="105">
        <f t="shared" si="6"/>
        <v>1.8127724067668726E-17</v>
      </c>
      <c r="AH109" s="105">
        <f t="shared" si="6"/>
        <v>1.8127724067668726E-17</v>
      </c>
      <c r="AI109" s="105">
        <f t="shared" si="6"/>
        <v>1.8127724067668726E-17</v>
      </c>
      <c r="AJ109" s="105">
        <f t="shared" si="6"/>
        <v>1.8127724067668726E-17</v>
      </c>
      <c r="AK109" s="105">
        <f t="shared" si="6"/>
        <v>1.8127724067668726E-17</v>
      </c>
      <c r="AL109" s="105">
        <f t="shared" si="6"/>
        <v>1.8127724067668726E-17</v>
      </c>
      <c r="AM109" s="105">
        <f t="shared" si="6"/>
        <v>1.8127724067668726E-17</v>
      </c>
      <c r="AN109" s="105">
        <f t="shared" si="6"/>
        <v>1.8127724067668726E-17</v>
      </c>
      <c r="AO109" s="105">
        <f t="shared" si="6"/>
        <v>1.8127724067668726E-17</v>
      </c>
      <c r="AP109" s="105">
        <f t="shared" si="6"/>
        <v>1.8127724067668726E-17</v>
      </c>
      <c r="AQ109" s="105">
        <f t="shared" si="6"/>
        <v>1.4502179254134982E-17</v>
      </c>
      <c r="AR109" s="105">
        <f t="shared" si="6"/>
        <v>1.4502179254134982E-17</v>
      </c>
      <c r="AS109" s="105">
        <f t="shared" si="6"/>
        <v>1.4502179254134982E-17</v>
      </c>
      <c r="AT109" s="105">
        <f t="shared" si="6"/>
        <v>1.4502179254134982E-17</v>
      </c>
      <c r="AU109" s="105">
        <f t="shared" si="6"/>
        <v>1.4502179254134982E-17</v>
      </c>
      <c r="AV109" s="105">
        <f t="shared" si="6"/>
        <v>1.4502179254134982E-17</v>
      </c>
      <c r="AW109" s="105">
        <f t="shared" si="6"/>
        <v>1.4502179254134982E-17</v>
      </c>
      <c r="AX109" s="105">
        <f t="shared" si="6"/>
        <v>1.4502179254134982E-17</v>
      </c>
    </row>
    <row r="110" spans="1:50">
      <c r="A110" s="105" t="s">
        <v>106</v>
      </c>
      <c r="B110" s="105" t="s">
        <v>10</v>
      </c>
      <c r="C110" s="100">
        <v>4.7038408493902753E-17</v>
      </c>
      <c r="D110" s="100">
        <v>4.7038408493902753E-17</v>
      </c>
      <c r="E110" s="100">
        <v>4.7038408493902753E-17</v>
      </c>
      <c r="F110" s="100">
        <v>4.7038408493902753E-17</v>
      </c>
      <c r="G110" s="100">
        <v>3.7630726795122206E-17</v>
      </c>
      <c r="H110" s="100">
        <v>3.7630726795122206E-17</v>
      </c>
      <c r="I110" s="100">
        <v>3.7630726795122206E-17</v>
      </c>
      <c r="J110" s="100">
        <v>3.7630726795122206E-17</v>
      </c>
      <c r="K110" s="100">
        <v>4.7038408493902753E-17</v>
      </c>
      <c r="L110" s="100">
        <v>4.7038408493902753E-17</v>
      </c>
      <c r="M110" s="100">
        <v>4.7038408493902753E-17</v>
      </c>
      <c r="N110" s="100">
        <v>4.7038408493902753E-17</v>
      </c>
      <c r="O110" s="100">
        <v>4.7038408493902753E-17</v>
      </c>
      <c r="P110" s="100">
        <v>4.7038408493902753E-17</v>
      </c>
      <c r="Q110" s="100">
        <v>4.7038408493902753E-17</v>
      </c>
      <c r="R110" s="100">
        <v>4.7038408493902753E-17</v>
      </c>
      <c r="S110" s="100">
        <v>4.7038408493902753E-17</v>
      </c>
      <c r="T110" s="100">
        <v>4.7038408493902753E-17</v>
      </c>
      <c r="U110" s="100">
        <v>4.7038408493902753E-17</v>
      </c>
      <c r="V110" s="100">
        <v>4.7038408493902753E-17</v>
      </c>
      <c r="W110" s="100">
        <v>4.7038408493902753E-17</v>
      </c>
      <c r="X110" s="100">
        <v>4.7038408493902753E-17</v>
      </c>
      <c r="Y110" s="100">
        <v>4.7038408493902753E-17</v>
      </c>
      <c r="Z110" s="100">
        <v>4.7038408493902753E-17</v>
      </c>
      <c r="AA110" s="100">
        <v>4.7038408493902753E-17</v>
      </c>
      <c r="AB110" s="100">
        <v>4.7038408493902753E-17</v>
      </c>
      <c r="AC110" s="100">
        <v>4.7038408493902753E-17</v>
      </c>
      <c r="AD110" s="100">
        <v>4.7038408493902753E-17</v>
      </c>
      <c r="AE110" s="100">
        <v>4.7038408493902753E-17</v>
      </c>
      <c r="AF110" s="100">
        <v>4.7038408493902753E-17</v>
      </c>
      <c r="AG110" s="100">
        <v>4.7038408493902753E-17</v>
      </c>
      <c r="AH110" s="100">
        <v>4.7038408493902753E-17</v>
      </c>
      <c r="AI110" s="100">
        <v>4.7038408493902753E-17</v>
      </c>
      <c r="AJ110" s="100">
        <v>4.7038408493902753E-17</v>
      </c>
      <c r="AK110" s="100">
        <v>4.7038408493902753E-17</v>
      </c>
      <c r="AL110" s="100">
        <v>4.7038408493902753E-17</v>
      </c>
      <c r="AM110" s="100">
        <v>4.7038408493902753E-17</v>
      </c>
      <c r="AN110" s="100">
        <v>4.7038408493902753E-17</v>
      </c>
      <c r="AO110" s="100">
        <v>4.7038408493902753E-17</v>
      </c>
      <c r="AP110" s="100">
        <v>4.7038408493902753E-17</v>
      </c>
      <c r="AQ110" s="100">
        <v>4.7038408493902753E-17</v>
      </c>
      <c r="AR110" s="100">
        <v>4.7038408493902753E-17</v>
      </c>
      <c r="AS110" s="100">
        <v>4.7038408493902753E-17</v>
      </c>
      <c r="AT110" s="100">
        <v>4.7038408493902753E-17</v>
      </c>
      <c r="AU110" s="100">
        <v>3.7630726795122206E-17</v>
      </c>
      <c r="AV110" s="100">
        <v>3.7630726795122206E-17</v>
      </c>
      <c r="AW110" s="100">
        <v>3.7630726795122206E-17</v>
      </c>
      <c r="AX110" s="100">
        <v>3.7630726795122206E-17</v>
      </c>
    </row>
    <row r="111" spans="1:50">
      <c r="B111" s="105" t="s">
        <v>12</v>
      </c>
      <c r="C111" s="100">
        <v>2.7098952909193895E-17</v>
      </c>
      <c r="D111" s="100">
        <v>2.7098952909193895E-17</v>
      </c>
      <c r="E111" s="100">
        <v>2.7098952909193895E-17</v>
      </c>
      <c r="F111" s="100">
        <v>2.7098952909193895E-17</v>
      </c>
      <c r="G111" s="100">
        <v>2.1679162327355121E-17</v>
      </c>
      <c r="H111" s="100">
        <v>2.1679162327355121E-17</v>
      </c>
      <c r="I111" s="100">
        <v>2.1679162327355121E-17</v>
      </c>
      <c r="J111" s="100">
        <v>2.1679162327355121E-17</v>
      </c>
      <c r="K111" s="100">
        <v>2.7098952909193895E-17</v>
      </c>
      <c r="L111" s="100">
        <v>2.7098952909193895E-17</v>
      </c>
      <c r="M111" s="100">
        <v>2.7098952909193895E-17</v>
      </c>
      <c r="N111" s="100">
        <v>2.7098952909193895E-17</v>
      </c>
      <c r="O111" s="100">
        <v>2.7098952909193895E-17</v>
      </c>
      <c r="P111" s="100">
        <v>2.7098952909193895E-17</v>
      </c>
      <c r="Q111" s="100">
        <v>2.7098952909193895E-17</v>
      </c>
      <c r="R111" s="100">
        <v>2.7098952909193895E-17</v>
      </c>
      <c r="S111" s="100">
        <v>2.7098952909193895E-17</v>
      </c>
      <c r="T111" s="100">
        <v>2.7098952909193895E-17</v>
      </c>
      <c r="U111" s="100">
        <v>2.7098952909193895E-17</v>
      </c>
      <c r="V111" s="100">
        <v>2.7098952909193895E-17</v>
      </c>
      <c r="W111" s="100">
        <v>2.7098952909193895E-17</v>
      </c>
      <c r="X111" s="100">
        <v>2.7098952909193895E-17</v>
      </c>
      <c r="Y111" s="100">
        <v>2.7098952909193895E-17</v>
      </c>
      <c r="Z111" s="100">
        <v>2.7098952909193895E-17</v>
      </c>
      <c r="AA111" s="100">
        <v>2.7098952909193895E-17</v>
      </c>
      <c r="AB111" s="100">
        <v>2.7098952909193895E-17</v>
      </c>
      <c r="AC111" s="100">
        <v>2.7098952909193895E-17</v>
      </c>
      <c r="AD111" s="100">
        <v>2.7098952909193895E-17</v>
      </c>
      <c r="AE111" s="100">
        <v>2.7098952909193895E-17</v>
      </c>
      <c r="AF111" s="100">
        <v>2.7098952909193895E-17</v>
      </c>
      <c r="AG111" s="100">
        <v>2.7098952909193895E-17</v>
      </c>
      <c r="AH111" s="100">
        <v>2.7098952909193895E-17</v>
      </c>
      <c r="AI111" s="100">
        <v>2.7098952909193895E-17</v>
      </c>
      <c r="AJ111" s="100">
        <v>2.7098952909193895E-17</v>
      </c>
      <c r="AK111" s="100">
        <v>2.7098952909193895E-17</v>
      </c>
      <c r="AL111" s="100">
        <v>2.7098952909193895E-17</v>
      </c>
      <c r="AM111" s="100">
        <v>2.7098952909193895E-17</v>
      </c>
      <c r="AN111" s="100">
        <v>2.7098952909193895E-17</v>
      </c>
      <c r="AO111" s="100">
        <v>2.7098952909193895E-17</v>
      </c>
      <c r="AP111" s="100">
        <v>2.7098952909193895E-17</v>
      </c>
      <c r="AQ111" s="100">
        <v>2.7098952909193895E-17</v>
      </c>
      <c r="AR111" s="100">
        <v>2.7098952909193895E-17</v>
      </c>
      <c r="AS111" s="100">
        <v>2.7098952909193895E-17</v>
      </c>
      <c r="AT111" s="100">
        <v>2.7098952909193895E-17</v>
      </c>
      <c r="AU111" s="100">
        <v>2.1679162327355121E-17</v>
      </c>
      <c r="AV111" s="100">
        <v>2.1679162327355121E-17</v>
      </c>
      <c r="AW111" s="100">
        <v>2.1679162327355121E-17</v>
      </c>
      <c r="AX111" s="100">
        <v>2.1679162327355121E-17</v>
      </c>
    </row>
    <row r="112" spans="1:50">
      <c r="B112" s="105" t="s">
        <v>22</v>
      </c>
      <c r="C112" s="100">
        <v>4181.5513596035207</v>
      </c>
      <c r="D112" s="100">
        <v>4181.5513596035207</v>
      </c>
      <c r="E112" s="100">
        <v>4181.5513596035207</v>
      </c>
      <c r="F112" s="100">
        <v>4181.5513596035207</v>
      </c>
      <c r="G112" s="100">
        <v>3345.2410876828176</v>
      </c>
      <c r="H112" s="100">
        <v>3345.2410876828176</v>
      </c>
      <c r="I112" s="100">
        <v>3345.2410876828176</v>
      </c>
      <c r="J112" s="100">
        <v>3345.2410876828176</v>
      </c>
      <c r="K112" s="100">
        <v>4181.5513596035207</v>
      </c>
      <c r="L112" s="100">
        <v>4181.5513596035207</v>
      </c>
      <c r="M112" s="100">
        <v>4181.5513596035207</v>
      </c>
      <c r="N112" s="100">
        <v>4181.5513596035207</v>
      </c>
      <c r="O112" s="100">
        <v>4181.5513596035207</v>
      </c>
      <c r="P112" s="100">
        <v>4181.5513596035207</v>
      </c>
      <c r="Q112" s="100">
        <v>4181.5513596035207</v>
      </c>
      <c r="R112" s="100">
        <v>4181.5513596035207</v>
      </c>
      <c r="S112" s="100">
        <v>4181.5513596035207</v>
      </c>
      <c r="T112" s="100">
        <v>4181.5513596035207</v>
      </c>
      <c r="U112" s="100">
        <v>4181.5513596035207</v>
      </c>
      <c r="V112" s="100">
        <v>4181.5513596035207</v>
      </c>
      <c r="W112" s="100">
        <v>4181.5513596035207</v>
      </c>
      <c r="X112" s="100">
        <v>4181.5513596035207</v>
      </c>
      <c r="Y112" s="100">
        <v>4181.5513596035207</v>
      </c>
      <c r="Z112" s="100">
        <v>4181.5513596035207</v>
      </c>
      <c r="AA112" s="100">
        <v>4181.5513596035207</v>
      </c>
      <c r="AB112" s="100">
        <v>4181.5513596035207</v>
      </c>
      <c r="AC112" s="100">
        <v>4181.5513596035207</v>
      </c>
      <c r="AD112" s="100">
        <v>4181.5513596035207</v>
      </c>
      <c r="AE112" s="100">
        <v>4181.5513596035207</v>
      </c>
      <c r="AF112" s="100">
        <v>4181.5513596035207</v>
      </c>
      <c r="AG112" s="100">
        <v>4181.5513596035207</v>
      </c>
      <c r="AH112" s="100">
        <v>4181.5513596035207</v>
      </c>
      <c r="AI112" s="100">
        <v>4181.5513596035207</v>
      </c>
      <c r="AJ112" s="100">
        <v>4181.5513596035207</v>
      </c>
      <c r="AK112" s="100">
        <v>4181.5513596035207</v>
      </c>
      <c r="AL112" s="100">
        <v>4181.5513596035207</v>
      </c>
      <c r="AM112" s="100">
        <v>4181.5513596035207</v>
      </c>
      <c r="AN112" s="100">
        <v>4181.5513596035207</v>
      </c>
      <c r="AO112" s="100">
        <v>4181.5513596035207</v>
      </c>
      <c r="AP112" s="100">
        <v>4181.5513596035207</v>
      </c>
      <c r="AQ112" s="100">
        <v>4181.5513596035207</v>
      </c>
      <c r="AR112" s="100">
        <v>4181.5513596035207</v>
      </c>
      <c r="AS112" s="100">
        <v>4181.5513596035207</v>
      </c>
      <c r="AT112" s="100">
        <v>4181.5513596035207</v>
      </c>
      <c r="AU112" s="100">
        <v>3345.2410876828176</v>
      </c>
      <c r="AV112" s="100">
        <v>3345.2410876828176</v>
      </c>
      <c r="AW112" s="100">
        <v>3345.2410876828176</v>
      </c>
      <c r="AX112" s="100">
        <v>3345.2410876828176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2.3141495880358799E-17</v>
      </c>
      <c r="D114" s="100">
        <v>2.3141495880358799E-17</v>
      </c>
      <c r="E114" s="100">
        <v>2.3141495880358799E-17</v>
      </c>
      <c r="F114" s="100">
        <v>2.3141495880358799E-17</v>
      </c>
      <c r="G114" s="100">
        <v>1.8513196704287041E-17</v>
      </c>
      <c r="H114" s="100">
        <v>1.8513196704287041E-17</v>
      </c>
      <c r="I114" s="100">
        <v>1.8513196704287041E-17</v>
      </c>
      <c r="J114" s="100">
        <v>1.8513196704287041E-17</v>
      </c>
      <c r="K114" s="100">
        <v>2.3141495880358799E-17</v>
      </c>
      <c r="L114" s="100">
        <v>2.3141495880358799E-17</v>
      </c>
      <c r="M114" s="100">
        <v>2.3141495880358799E-17</v>
      </c>
      <c r="N114" s="100">
        <v>2.3141495880358799E-17</v>
      </c>
      <c r="O114" s="100">
        <v>2.3141495880358799E-17</v>
      </c>
      <c r="P114" s="100">
        <v>2.3141495880358799E-17</v>
      </c>
      <c r="Q114" s="100">
        <v>2.3141495880358799E-17</v>
      </c>
      <c r="R114" s="100">
        <v>2.3141495880358799E-17</v>
      </c>
      <c r="S114" s="100">
        <v>2.3141495880358799E-17</v>
      </c>
      <c r="T114" s="100">
        <v>2.3141495880358799E-17</v>
      </c>
      <c r="U114" s="100">
        <v>2.3141495880358799E-17</v>
      </c>
      <c r="V114" s="100">
        <v>2.3141495880358799E-17</v>
      </c>
      <c r="W114" s="100">
        <v>2.3141495880358799E-17</v>
      </c>
      <c r="X114" s="100">
        <v>2.3141495880358799E-17</v>
      </c>
      <c r="Y114" s="100">
        <v>2.3141495880358799E-17</v>
      </c>
      <c r="Z114" s="100">
        <v>2.3141495880358799E-17</v>
      </c>
      <c r="AA114" s="100">
        <v>2.3141495880358799E-17</v>
      </c>
      <c r="AB114" s="100">
        <v>2.3141495880358799E-17</v>
      </c>
      <c r="AC114" s="100">
        <v>2.3141495880358799E-17</v>
      </c>
      <c r="AD114" s="100">
        <v>2.3141495880358799E-17</v>
      </c>
      <c r="AE114" s="100">
        <v>2.3141495880358799E-17</v>
      </c>
      <c r="AF114" s="100">
        <v>2.3141495880358799E-17</v>
      </c>
      <c r="AG114" s="100">
        <v>2.3141495880358799E-17</v>
      </c>
      <c r="AH114" s="100">
        <v>2.3141495880358799E-17</v>
      </c>
      <c r="AI114" s="100">
        <v>2.3141495880358799E-17</v>
      </c>
      <c r="AJ114" s="100">
        <v>2.3141495880358799E-17</v>
      </c>
      <c r="AK114" s="100">
        <v>2.3141495880358799E-17</v>
      </c>
      <c r="AL114" s="100">
        <v>2.3141495880358799E-17</v>
      </c>
      <c r="AM114" s="100">
        <v>2.3141495880358799E-17</v>
      </c>
      <c r="AN114" s="100">
        <v>2.3141495880358799E-17</v>
      </c>
      <c r="AO114" s="100">
        <v>2.3141495880358799E-17</v>
      </c>
      <c r="AP114" s="100">
        <v>2.3141495880358799E-17</v>
      </c>
      <c r="AQ114" s="100">
        <v>2.3141495880358799E-17</v>
      </c>
      <c r="AR114" s="100">
        <v>2.3141495880358799E-17</v>
      </c>
      <c r="AS114" s="100">
        <v>2.3141495880358799E-17</v>
      </c>
      <c r="AT114" s="100">
        <v>2.3141495880358799E-17</v>
      </c>
      <c r="AU114" s="100">
        <v>1.8513196704287041E-17</v>
      </c>
      <c r="AV114" s="100">
        <v>1.8513196704287041E-17</v>
      </c>
      <c r="AW114" s="100">
        <v>1.8513196704287041E-17</v>
      </c>
      <c r="AX114" s="100">
        <v>1.8513196704287041E-17</v>
      </c>
    </row>
    <row r="115" spans="1:50">
      <c r="B115" s="100" t="s">
        <v>278</v>
      </c>
      <c r="C115" s="105">
        <f>SUM(C$110:C$114)</f>
        <v>4181.5513596035207</v>
      </c>
      <c r="D115" s="105">
        <f t="shared" ref="D115:AX115" si="7">SUM(D$110:D$114)</f>
        <v>4181.5513596035207</v>
      </c>
      <c r="E115" s="105">
        <f t="shared" si="7"/>
        <v>4181.5513596035207</v>
      </c>
      <c r="F115" s="105">
        <f t="shared" si="7"/>
        <v>4181.5513596035207</v>
      </c>
      <c r="G115" s="105">
        <f t="shared" si="7"/>
        <v>3345.2410876828176</v>
      </c>
      <c r="H115" s="105">
        <f t="shared" si="7"/>
        <v>3345.2410876828176</v>
      </c>
      <c r="I115" s="105">
        <f t="shared" si="7"/>
        <v>3345.2410876828176</v>
      </c>
      <c r="J115" s="105">
        <f t="shared" si="7"/>
        <v>3345.2410876828176</v>
      </c>
      <c r="K115" s="105">
        <f t="shared" si="7"/>
        <v>4181.5513596035207</v>
      </c>
      <c r="L115" s="105">
        <f t="shared" si="7"/>
        <v>4181.5513596035207</v>
      </c>
      <c r="M115" s="105">
        <f t="shared" si="7"/>
        <v>4181.5513596035207</v>
      </c>
      <c r="N115" s="105">
        <f t="shared" si="7"/>
        <v>4181.5513596035207</v>
      </c>
      <c r="O115" s="105">
        <f t="shared" si="7"/>
        <v>4181.5513596035207</v>
      </c>
      <c r="P115" s="105">
        <f t="shared" si="7"/>
        <v>4181.5513596035207</v>
      </c>
      <c r="Q115" s="105">
        <f t="shared" si="7"/>
        <v>4181.5513596035207</v>
      </c>
      <c r="R115" s="105">
        <f t="shared" si="7"/>
        <v>4181.5513596035207</v>
      </c>
      <c r="S115" s="105">
        <f t="shared" si="7"/>
        <v>4181.5513596035207</v>
      </c>
      <c r="T115" s="105">
        <f t="shared" si="7"/>
        <v>4181.5513596035207</v>
      </c>
      <c r="U115" s="105">
        <f t="shared" si="7"/>
        <v>4181.5513596035207</v>
      </c>
      <c r="V115" s="105">
        <f t="shared" si="7"/>
        <v>4181.5513596035207</v>
      </c>
      <c r="W115" s="105">
        <f t="shared" si="7"/>
        <v>4181.5513596035207</v>
      </c>
      <c r="X115" s="105">
        <f t="shared" si="7"/>
        <v>4181.5513596035207</v>
      </c>
      <c r="Y115" s="105">
        <f t="shared" si="7"/>
        <v>4181.5513596035207</v>
      </c>
      <c r="Z115" s="105">
        <f t="shared" si="7"/>
        <v>4181.5513596035207</v>
      </c>
      <c r="AA115" s="105">
        <f t="shared" si="7"/>
        <v>4181.5513596035207</v>
      </c>
      <c r="AB115" s="105">
        <f t="shared" si="7"/>
        <v>4181.5513596035207</v>
      </c>
      <c r="AC115" s="105">
        <f t="shared" si="7"/>
        <v>4181.5513596035207</v>
      </c>
      <c r="AD115" s="105">
        <f t="shared" si="7"/>
        <v>4181.5513596035207</v>
      </c>
      <c r="AE115" s="105">
        <f t="shared" si="7"/>
        <v>4181.5513596035207</v>
      </c>
      <c r="AF115" s="105">
        <f t="shared" si="7"/>
        <v>4181.5513596035207</v>
      </c>
      <c r="AG115" s="105">
        <f t="shared" si="7"/>
        <v>4181.5513596035207</v>
      </c>
      <c r="AH115" s="105">
        <f t="shared" si="7"/>
        <v>4181.5513596035207</v>
      </c>
      <c r="AI115" s="105">
        <f t="shared" si="7"/>
        <v>4181.5513596035207</v>
      </c>
      <c r="AJ115" s="105">
        <f t="shared" si="7"/>
        <v>4181.5513596035207</v>
      </c>
      <c r="AK115" s="105">
        <f t="shared" si="7"/>
        <v>4181.5513596035207</v>
      </c>
      <c r="AL115" s="105">
        <f t="shared" si="7"/>
        <v>4181.5513596035207</v>
      </c>
      <c r="AM115" s="105">
        <f t="shared" si="7"/>
        <v>4181.5513596035207</v>
      </c>
      <c r="AN115" s="105">
        <f t="shared" si="7"/>
        <v>4181.5513596035207</v>
      </c>
      <c r="AO115" s="105">
        <f t="shared" si="7"/>
        <v>4181.5513596035207</v>
      </c>
      <c r="AP115" s="105">
        <f t="shared" si="7"/>
        <v>4181.5513596035207</v>
      </c>
      <c r="AQ115" s="105">
        <f t="shared" si="7"/>
        <v>4181.5513596035207</v>
      </c>
      <c r="AR115" s="105">
        <f t="shared" si="7"/>
        <v>4181.5513596035207</v>
      </c>
      <c r="AS115" s="105">
        <f t="shared" si="7"/>
        <v>4181.5513596035207</v>
      </c>
      <c r="AT115" s="105">
        <f t="shared" si="7"/>
        <v>4181.5513596035207</v>
      </c>
      <c r="AU115" s="105">
        <f t="shared" si="7"/>
        <v>3345.2410876828176</v>
      </c>
      <c r="AV115" s="105">
        <f t="shared" si="7"/>
        <v>3345.2410876828176</v>
      </c>
      <c r="AW115" s="105">
        <f t="shared" si="7"/>
        <v>3345.2410876828176</v>
      </c>
      <c r="AX115" s="105">
        <f t="shared" si="7"/>
        <v>3345.2410876828176</v>
      </c>
    </row>
    <row r="116" spans="1:50">
      <c r="A116" s="105" t="s">
        <v>107</v>
      </c>
      <c r="B116" s="105" t="s">
        <v>10</v>
      </c>
      <c r="C116" s="100">
        <v>11615.999999999964</v>
      </c>
      <c r="D116" s="100">
        <v>11615.999999999964</v>
      </c>
      <c r="E116" s="100">
        <v>11615.999999999964</v>
      </c>
      <c r="F116" s="100">
        <v>11615.999999999964</v>
      </c>
      <c r="G116" s="100">
        <v>11615.999999999964</v>
      </c>
      <c r="H116" s="100">
        <v>11615.999999999964</v>
      </c>
      <c r="I116" s="100">
        <v>11615.999999999964</v>
      </c>
      <c r="J116" s="100">
        <v>11615.999999999964</v>
      </c>
      <c r="K116" s="100">
        <v>9292.7999999999702</v>
      </c>
      <c r="L116" s="100">
        <v>9292.7999999999702</v>
      </c>
      <c r="M116" s="100">
        <v>4369.5151975156168</v>
      </c>
      <c r="N116" s="100">
        <v>9292.7999999999702</v>
      </c>
      <c r="O116" s="100">
        <v>11615.999999999964</v>
      </c>
      <c r="P116" s="100">
        <v>11615.999999999964</v>
      </c>
      <c r="Q116" s="100">
        <v>11615.999999999964</v>
      </c>
      <c r="R116" s="100">
        <v>11615.999999999964</v>
      </c>
      <c r="S116" s="100">
        <v>11615.999999999964</v>
      </c>
      <c r="T116" s="100">
        <v>11615.999999999964</v>
      </c>
      <c r="U116" s="100">
        <v>11615.999999999964</v>
      </c>
      <c r="V116" s="100">
        <v>11615.999999999964</v>
      </c>
      <c r="W116" s="100">
        <v>11615.999999999964</v>
      </c>
      <c r="X116" s="100">
        <v>11615.999999999964</v>
      </c>
      <c r="Y116" s="100">
        <v>11615.999999999964</v>
      </c>
      <c r="Z116" s="100">
        <v>11615.999999999964</v>
      </c>
      <c r="AA116" s="100">
        <v>11615.999999999964</v>
      </c>
      <c r="AB116" s="100">
        <v>11615.999999999964</v>
      </c>
      <c r="AC116" s="100">
        <v>11615.999999999964</v>
      </c>
      <c r="AD116" s="100">
        <v>11615.999999999964</v>
      </c>
      <c r="AE116" s="100">
        <v>11615.999999999964</v>
      </c>
      <c r="AF116" s="100">
        <v>11615.999999999964</v>
      </c>
      <c r="AG116" s="100">
        <v>11615.999999999964</v>
      </c>
      <c r="AH116" s="100">
        <v>11615.999999999964</v>
      </c>
      <c r="AI116" s="100">
        <v>11615.999999999964</v>
      </c>
      <c r="AJ116" s="100">
        <v>11615.999999999964</v>
      </c>
      <c r="AK116" s="100">
        <v>11615.999999999964</v>
      </c>
      <c r="AL116" s="100">
        <v>11615.999999999964</v>
      </c>
      <c r="AM116" s="100">
        <v>11615.999999999964</v>
      </c>
      <c r="AN116" s="100">
        <v>11615.999999999964</v>
      </c>
      <c r="AO116" s="100">
        <v>11615.999999999964</v>
      </c>
      <c r="AP116" s="100">
        <v>11615.999999999964</v>
      </c>
      <c r="AQ116" s="100">
        <v>11615.999999999964</v>
      </c>
      <c r="AR116" s="100">
        <v>11615.999999999964</v>
      </c>
      <c r="AS116" s="100">
        <v>11615.999999999964</v>
      </c>
      <c r="AT116" s="100">
        <v>11615.999999999964</v>
      </c>
      <c r="AU116" s="100">
        <v>11615.999999999964</v>
      </c>
      <c r="AV116" s="100">
        <v>11615.999999999964</v>
      </c>
      <c r="AW116" s="100">
        <v>11615.999999999964</v>
      </c>
      <c r="AX116" s="100">
        <v>11615.999999999964</v>
      </c>
    </row>
    <row r="117" spans="1:50">
      <c r="B117" s="105" t="s">
        <v>12</v>
      </c>
      <c r="C117" s="100">
        <v>7.184930462043806E-17</v>
      </c>
      <c r="D117" s="100">
        <v>7.184930462043806E-17</v>
      </c>
      <c r="E117" s="100">
        <v>7.184930462043806E-17</v>
      </c>
      <c r="F117" s="100">
        <v>7.184930462043806E-17</v>
      </c>
      <c r="G117" s="100">
        <v>7.184930462043806E-17</v>
      </c>
      <c r="H117" s="100">
        <v>7.184930462043806E-17</v>
      </c>
      <c r="I117" s="100">
        <v>7.184930462043806E-17</v>
      </c>
      <c r="J117" s="100">
        <v>7.184930462043806E-17</v>
      </c>
      <c r="K117" s="100">
        <v>5.7479443696350458E-17</v>
      </c>
      <c r="L117" s="100">
        <v>5.7479443696350458E-17</v>
      </c>
      <c r="M117" s="100">
        <v>2.7027085784257424E-17</v>
      </c>
      <c r="N117" s="100">
        <v>5.7479443696350458E-17</v>
      </c>
      <c r="O117" s="100">
        <v>7.184930462043806E-17</v>
      </c>
      <c r="P117" s="100">
        <v>7.184930462043806E-17</v>
      </c>
      <c r="Q117" s="100">
        <v>7.184930462043806E-17</v>
      </c>
      <c r="R117" s="100">
        <v>7.184930462043806E-17</v>
      </c>
      <c r="S117" s="100">
        <v>7.184930462043806E-17</v>
      </c>
      <c r="T117" s="100">
        <v>7.184930462043806E-17</v>
      </c>
      <c r="U117" s="100">
        <v>7.184930462043806E-17</v>
      </c>
      <c r="V117" s="100">
        <v>7.184930462043806E-17</v>
      </c>
      <c r="W117" s="100">
        <v>7.184930462043806E-17</v>
      </c>
      <c r="X117" s="100">
        <v>7.184930462043806E-17</v>
      </c>
      <c r="Y117" s="100">
        <v>7.184930462043806E-17</v>
      </c>
      <c r="Z117" s="100">
        <v>7.184930462043806E-17</v>
      </c>
      <c r="AA117" s="100">
        <v>7.184930462043806E-17</v>
      </c>
      <c r="AB117" s="100">
        <v>7.184930462043806E-17</v>
      </c>
      <c r="AC117" s="100">
        <v>7.184930462043806E-17</v>
      </c>
      <c r="AD117" s="100">
        <v>7.184930462043806E-17</v>
      </c>
      <c r="AE117" s="100">
        <v>7.184930462043806E-17</v>
      </c>
      <c r="AF117" s="100">
        <v>7.184930462043806E-17</v>
      </c>
      <c r="AG117" s="100">
        <v>7.184930462043806E-17</v>
      </c>
      <c r="AH117" s="100">
        <v>7.184930462043806E-17</v>
      </c>
      <c r="AI117" s="100">
        <v>7.184930462043806E-17</v>
      </c>
      <c r="AJ117" s="100">
        <v>7.184930462043806E-17</v>
      </c>
      <c r="AK117" s="100">
        <v>7.184930462043806E-17</v>
      </c>
      <c r="AL117" s="100">
        <v>7.184930462043806E-17</v>
      </c>
      <c r="AM117" s="100">
        <v>7.184930462043806E-17</v>
      </c>
      <c r="AN117" s="100">
        <v>7.184930462043806E-17</v>
      </c>
      <c r="AO117" s="100">
        <v>7.184930462043806E-17</v>
      </c>
      <c r="AP117" s="100">
        <v>7.184930462043806E-17</v>
      </c>
      <c r="AQ117" s="100">
        <v>7.184930462043806E-17</v>
      </c>
      <c r="AR117" s="100">
        <v>7.184930462043806E-17</v>
      </c>
      <c r="AS117" s="100">
        <v>7.184930462043806E-17</v>
      </c>
      <c r="AT117" s="100">
        <v>7.184930462043806E-17</v>
      </c>
      <c r="AU117" s="100">
        <v>7.184930462043806E-17</v>
      </c>
      <c r="AV117" s="100">
        <v>7.184930462043806E-17</v>
      </c>
      <c r="AW117" s="100">
        <v>7.184930462043806E-17</v>
      </c>
      <c r="AX117" s="100">
        <v>7.184930462043806E-17</v>
      </c>
    </row>
    <row r="118" spans="1:50">
      <c r="B118" s="105" t="s">
        <v>22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  <c r="AQ118" s="100">
        <v>0</v>
      </c>
      <c r="AR118" s="100">
        <v>0</v>
      </c>
      <c r="AS118" s="100">
        <v>0</v>
      </c>
      <c r="AT118" s="100">
        <v>0</v>
      </c>
      <c r="AU118" s="100">
        <v>0</v>
      </c>
      <c r="AV118" s="100">
        <v>0</v>
      </c>
      <c r="AW118" s="100">
        <v>0</v>
      </c>
      <c r="AX118" s="100">
        <v>0</v>
      </c>
    </row>
    <row r="119" spans="1:50">
      <c r="B119" s="105" t="s">
        <v>46</v>
      </c>
      <c r="C119" s="100">
        <v>619.94980898070537</v>
      </c>
      <c r="D119" s="100">
        <v>619.94980898070537</v>
      </c>
      <c r="E119" s="100">
        <v>619.94980898070537</v>
      </c>
      <c r="F119" s="100">
        <v>619.94980898070537</v>
      </c>
      <c r="G119" s="100">
        <v>619.94980898070537</v>
      </c>
      <c r="H119" s="100">
        <v>619.94980898070537</v>
      </c>
      <c r="I119" s="100">
        <v>619.94980898070537</v>
      </c>
      <c r="J119" s="100">
        <v>619.94980898070537</v>
      </c>
      <c r="K119" s="100">
        <v>495.95984718456435</v>
      </c>
      <c r="L119" s="100">
        <v>495.95984718456435</v>
      </c>
      <c r="M119" s="100">
        <v>233.20248898399666</v>
      </c>
      <c r="N119" s="100">
        <v>495.95984718456435</v>
      </c>
      <c r="O119" s="100">
        <v>619.94980898070537</v>
      </c>
      <c r="P119" s="100">
        <v>619.94980898070537</v>
      </c>
      <c r="Q119" s="100">
        <v>619.94980898070537</v>
      </c>
      <c r="R119" s="100">
        <v>619.94980898070537</v>
      </c>
      <c r="S119" s="100">
        <v>619.94980898070537</v>
      </c>
      <c r="T119" s="100">
        <v>619.94980898070537</v>
      </c>
      <c r="U119" s="100">
        <v>619.94980898070537</v>
      </c>
      <c r="V119" s="100">
        <v>619.94980898070537</v>
      </c>
      <c r="W119" s="100">
        <v>619.94980898070537</v>
      </c>
      <c r="X119" s="100">
        <v>619.94980898070537</v>
      </c>
      <c r="Y119" s="100">
        <v>619.94980898070537</v>
      </c>
      <c r="Z119" s="100">
        <v>619.94980898070537</v>
      </c>
      <c r="AA119" s="100">
        <v>619.94980898070537</v>
      </c>
      <c r="AB119" s="100">
        <v>619.94980898070537</v>
      </c>
      <c r="AC119" s="100">
        <v>619.94980898070537</v>
      </c>
      <c r="AD119" s="100">
        <v>619.94980898070537</v>
      </c>
      <c r="AE119" s="100">
        <v>619.94980898070537</v>
      </c>
      <c r="AF119" s="100">
        <v>619.94980898070537</v>
      </c>
      <c r="AG119" s="100">
        <v>619.94980898070537</v>
      </c>
      <c r="AH119" s="100">
        <v>619.94980898070537</v>
      </c>
      <c r="AI119" s="100">
        <v>619.94980898070537</v>
      </c>
      <c r="AJ119" s="100">
        <v>619.94980898070537</v>
      </c>
      <c r="AK119" s="100">
        <v>619.94980898070537</v>
      </c>
      <c r="AL119" s="100">
        <v>619.94980898070537</v>
      </c>
      <c r="AM119" s="100">
        <v>619.94980898070537</v>
      </c>
      <c r="AN119" s="100">
        <v>619.94980898070537</v>
      </c>
      <c r="AO119" s="100">
        <v>619.94980898070537</v>
      </c>
      <c r="AP119" s="100">
        <v>619.94980898070537</v>
      </c>
      <c r="AQ119" s="100">
        <v>619.94980898070537</v>
      </c>
      <c r="AR119" s="100">
        <v>619.94980898070537</v>
      </c>
      <c r="AS119" s="100">
        <v>619.94980898070537</v>
      </c>
      <c r="AT119" s="100">
        <v>619.94980898070537</v>
      </c>
      <c r="AU119" s="100">
        <v>619.94980898070537</v>
      </c>
      <c r="AV119" s="100">
        <v>619.94980898070537</v>
      </c>
      <c r="AW119" s="100">
        <v>619.94980898070537</v>
      </c>
      <c r="AX119" s="100">
        <v>619.94980898070537</v>
      </c>
    </row>
    <row r="120" spans="1:50">
      <c r="B120" s="105" t="s">
        <v>59</v>
      </c>
      <c r="C120" s="100">
        <v>1.7797057542824282E-17</v>
      </c>
      <c r="D120" s="100">
        <v>1.7797057542824282E-17</v>
      </c>
      <c r="E120" s="100">
        <v>1.7797057542824282E-17</v>
      </c>
      <c r="F120" s="100">
        <v>1.7797057542824282E-17</v>
      </c>
      <c r="G120" s="100">
        <v>1.7797057542824282E-17</v>
      </c>
      <c r="H120" s="100">
        <v>1.7797057542824282E-17</v>
      </c>
      <c r="I120" s="100">
        <v>1.7797057542824282E-17</v>
      </c>
      <c r="J120" s="100">
        <v>1.7797057542824282E-17</v>
      </c>
      <c r="K120" s="100">
        <v>1.4237646034259429E-17</v>
      </c>
      <c r="L120" s="100">
        <v>1.4237646034259429E-17</v>
      </c>
      <c r="M120" s="100">
        <v>6.6946034266899886E-18</v>
      </c>
      <c r="N120" s="100">
        <v>1.4237646034259429E-17</v>
      </c>
      <c r="O120" s="100">
        <v>1.7797057542824282E-17</v>
      </c>
      <c r="P120" s="100">
        <v>1.7797057542824282E-17</v>
      </c>
      <c r="Q120" s="100">
        <v>1.7797057542824282E-17</v>
      </c>
      <c r="R120" s="100">
        <v>1.7797057542824282E-17</v>
      </c>
      <c r="S120" s="100">
        <v>1.7797057542824282E-17</v>
      </c>
      <c r="T120" s="100">
        <v>1.7797057542824282E-17</v>
      </c>
      <c r="U120" s="100">
        <v>1.7797057542824282E-17</v>
      </c>
      <c r="V120" s="100">
        <v>1.7797057542824282E-17</v>
      </c>
      <c r="W120" s="100">
        <v>1.7797057542824282E-17</v>
      </c>
      <c r="X120" s="100">
        <v>1.7797057542824282E-17</v>
      </c>
      <c r="Y120" s="100">
        <v>1.7797057542824282E-17</v>
      </c>
      <c r="Z120" s="100">
        <v>1.7797057542824282E-17</v>
      </c>
      <c r="AA120" s="100">
        <v>1.7797057542824282E-17</v>
      </c>
      <c r="AB120" s="100">
        <v>1.7797057542824282E-17</v>
      </c>
      <c r="AC120" s="100">
        <v>1.7797057542824282E-17</v>
      </c>
      <c r="AD120" s="100">
        <v>1.7797057542824282E-17</v>
      </c>
      <c r="AE120" s="100">
        <v>1.7797057542824282E-17</v>
      </c>
      <c r="AF120" s="100">
        <v>1.7797057542824282E-17</v>
      </c>
      <c r="AG120" s="100">
        <v>1.7797057542824282E-17</v>
      </c>
      <c r="AH120" s="100">
        <v>1.7797057542824282E-17</v>
      </c>
      <c r="AI120" s="100">
        <v>1.7797057542824282E-17</v>
      </c>
      <c r="AJ120" s="100">
        <v>1.7797057542824282E-17</v>
      </c>
      <c r="AK120" s="100">
        <v>1.7797057542824282E-17</v>
      </c>
      <c r="AL120" s="100">
        <v>1.7797057542824282E-17</v>
      </c>
      <c r="AM120" s="100">
        <v>1.7797057542824282E-17</v>
      </c>
      <c r="AN120" s="100">
        <v>1.7797057542824282E-17</v>
      </c>
      <c r="AO120" s="100">
        <v>1.7797057542824282E-17</v>
      </c>
      <c r="AP120" s="100">
        <v>1.7797057542824282E-17</v>
      </c>
      <c r="AQ120" s="100">
        <v>1.7797057542824282E-17</v>
      </c>
      <c r="AR120" s="100">
        <v>1.7797057542824282E-17</v>
      </c>
      <c r="AS120" s="100">
        <v>1.7797057542824282E-17</v>
      </c>
      <c r="AT120" s="100">
        <v>1.7797057542824282E-17</v>
      </c>
      <c r="AU120" s="100">
        <v>1.7797057542824282E-17</v>
      </c>
      <c r="AV120" s="100">
        <v>1.7797057542824282E-17</v>
      </c>
      <c r="AW120" s="100">
        <v>1.7797057542824282E-17</v>
      </c>
      <c r="AX120" s="100">
        <v>1.7797057542824282E-17</v>
      </c>
    </row>
    <row r="121" spans="1:50">
      <c r="B121" s="100" t="s">
        <v>278</v>
      </c>
      <c r="C121" s="105">
        <f>SUM(C$116:C$120)</f>
        <v>12235.949808980669</v>
      </c>
      <c r="D121" s="105">
        <f t="shared" ref="D121:AX121" si="8">SUM(D$116:D$120)</f>
        <v>12235.949808980669</v>
      </c>
      <c r="E121" s="105">
        <f t="shared" si="8"/>
        <v>12235.949808980669</v>
      </c>
      <c r="F121" s="105">
        <f t="shared" si="8"/>
        <v>12235.949808980669</v>
      </c>
      <c r="G121" s="105">
        <f t="shared" si="8"/>
        <v>12235.949808980669</v>
      </c>
      <c r="H121" s="105">
        <f t="shared" si="8"/>
        <v>12235.949808980669</v>
      </c>
      <c r="I121" s="105">
        <f t="shared" si="8"/>
        <v>12235.949808980669</v>
      </c>
      <c r="J121" s="105">
        <f t="shared" si="8"/>
        <v>12235.949808980669</v>
      </c>
      <c r="K121" s="105">
        <f t="shared" si="8"/>
        <v>9788.759847184534</v>
      </c>
      <c r="L121" s="105">
        <f t="shared" si="8"/>
        <v>9788.759847184534</v>
      </c>
      <c r="M121" s="105">
        <f t="shared" si="8"/>
        <v>4602.7176864996136</v>
      </c>
      <c r="N121" s="105">
        <f t="shared" si="8"/>
        <v>9788.759847184534</v>
      </c>
      <c r="O121" s="105">
        <f t="shared" si="8"/>
        <v>12235.949808980669</v>
      </c>
      <c r="P121" s="105">
        <f t="shared" si="8"/>
        <v>12235.949808980669</v>
      </c>
      <c r="Q121" s="105">
        <f t="shared" si="8"/>
        <v>12235.949808980669</v>
      </c>
      <c r="R121" s="105">
        <f t="shared" si="8"/>
        <v>12235.949808980669</v>
      </c>
      <c r="S121" s="105">
        <f t="shared" si="8"/>
        <v>12235.949808980669</v>
      </c>
      <c r="T121" s="105">
        <f t="shared" si="8"/>
        <v>12235.949808980669</v>
      </c>
      <c r="U121" s="105">
        <f t="shared" si="8"/>
        <v>12235.949808980669</v>
      </c>
      <c r="V121" s="105">
        <f t="shared" si="8"/>
        <v>12235.949808980669</v>
      </c>
      <c r="W121" s="105">
        <f t="shared" si="8"/>
        <v>12235.949808980669</v>
      </c>
      <c r="X121" s="105">
        <f t="shared" si="8"/>
        <v>12235.949808980669</v>
      </c>
      <c r="Y121" s="105">
        <f t="shared" si="8"/>
        <v>12235.949808980669</v>
      </c>
      <c r="Z121" s="105">
        <f t="shared" si="8"/>
        <v>12235.949808980669</v>
      </c>
      <c r="AA121" s="105">
        <f t="shared" si="8"/>
        <v>12235.949808980669</v>
      </c>
      <c r="AB121" s="105">
        <f t="shared" si="8"/>
        <v>12235.949808980669</v>
      </c>
      <c r="AC121" s="105">
        <f t="shared" si="8"/>
        <v>12235.949808980669</v>
      </c>
      <c r="AD121" s="105">
        <f t="shared" si="8"/>
        <v>12235.949808980669</v>
      </c>
      <c r="AE121" s="105">
        <f t="shared" si="8"/>
        <v>12235.949808980669</v>
      </c>
      <c r="AF121" s="105">
        <f t="shared" si="8"/>
        <v>12235.949808980669</v>
      </c>
      <c r="AG121" s="105">
        <f t="shared" si="8"/>
        <v>12235.949808980669</v>
      </c>
      <c r="AH121" s="105">
        <f t="shared" si="8"/>
        <v>12235.949808980669</v>
      </c>
      <c r="AI121" s="105">
        <f t="shared" si="8"/>
        <v>12235.949808980669</v>
      </c>
      <c r="AJ121" s="105">
        <f t="shared" si="8"/>
        <v>12235.949808980669</v>
      </c>
      <c r="AK121" s="105">
        <f t="shared" si="8"/>
        <v>12235.949808980669</v>
      </c>
      <c r="AL121" s="105">
        <f t="shared" si="8"/>
        <v>12235.949808980669</v>
      </c>
      <c r="AM121" s="105">
        <f t="shared" si="8"/>
        <v>12235.949808980669</v>
      </c>
      <c r="AN121" s="105">
        <f t="shared" si="8"/>
        <v>12235.949808980669</v>
      </c>
      <c r="AO121" s="105">
        <f t="shared" si="8"/>
        <v>12235.949808980669</v>
      </c>
      <c r="AP121" s="105">
        <f t="shared" si="8"/>
        <v>12235.949808980669</v>
      </c>
      <c r="AQ121" s="105">
        <f t="shared" si="8"/>
        <v>12235.949808980669</v>
      </c>
      <c r="AR121" s="105">
        <f t="shared" si="8"/>
        <v>12235.949808980669</v>
      </c>
      <c r="AS121" s="105">
        <f t="shared" si="8"/>
        <v>12235.949808980669</v>
      </c>
      <c r="AT121" s="105">
        <f t="shared" si="8"/>
        <v>12235.949808980669</v>
      </c>
      <c r="AU121" s="105">
        <f t="shared" si="8"/>
        <v>12235.949808980669</v>
      </c>
      <c r="AV121" s="105">
        <f t="shared" si="8"/>
        <v>12235.949808980669</v>
      </c>
      <c r="AW121" s="105">
        <f t="shared" si="8"/>
        <v>12235.949808980669</v>
      </c>
      <c r="AX121" s="105">
        <f t="shared" si="8"/>
        <v>12235.949808980669</v>
      </c>
    </row>
    <row r="122" spans="1:50">
      <c r="A122" s="105" t="s">
        <v>108</v>
      </c>
      <c r="B122" s="105" t="s">
        <v>10</v>
      </c>
      <c r="C122" s="100">
        <v>5.1455864498269868E-18</v>
      </c>
      <c r="D122" s="100">
        <v>5.1455864498269868E-18</v>
      </c>
      <c r="E122" s="100">
        <v>5.1455864498269868E-18</v>
      </c>
      <c r="F122" s="100">
        <v>5.1455864498269868E-18</v>
      </c>
      <c r="G122" s="100">
        <v>5.1455864498269868E-18</v>
      </c>
      <c r="H122" s="100">
        <v>5.1455864498269868E-18</v>
      </c>
      <c r="I122" s="100">
        <v>5.1455864498269868E-18</v>
      </c>
      <c r="J122" s="100">
        <v>5.1455864498269868E-18</v>
      </c>
      <c r="K122" s="100">
        <v>5.1455864498269868E-18</v>
      </c>
      <c r="L122" s="100">
        <v>5.1455864498269868E-18</v>
      </c>
      <c r="M122" s="100">
        <v>5.1455864498269868E-18</v>
      </c>
      <c r="N122" s="100">
        <v>5.1455864498269868E-18</v>
      </c>
      <c r="O122" s="100">
        <v>5.1455864498269868E-18</v>
      </c>
      <c r="P122" s="100">
        <v>5.1455864498269868E-18</v>
      </c>
      <c r="Q122" s="100">
        <v>5.1455864498269868E-18</v>
      </c>
      <c r="R122" s="100">
        <v>5.1455864498269868E-18</v>
      </c>
      <c r="S122" s="100">
        <v>5.1455864498269868E-18</v>
      </c>
      <c r="T122" s="100">
        <v>5.1455864498269868E-18</v>
      </c>
      <c r="U122" s="100">
        <v>5.1455864498269868E-18</v>
      </c>
      <c r="V122" s="100">
        <v>5.1455864498269868E-18</v>
      </c>
      <c r="W122" s="100">
        <v>5.1455864498269868E-18</v>
      </c>
      <c r="X122" s="100">
        <v>5.1455864498269868E-18</v>
      </c>
      <c r="Y122" s="100">
        <v>5.1455864498269868E-18</v>
      </c>
      <c r="Z122" s="100">
        <v>5.1455864498269868E-18</v>
      </c>
      <c r="AA122" s="100">
        <v>5.1455864498269868E-18</v>
      </c>
      <c r="AB122" s="100">
        <v>5.1455864498269868E-18</v>
      </c>
      <c r="AC122" s="100">
        <v>5.1455864498269868E-18</v>
      </c>
      <c r="AD122" s="100">
        <v>5.1455864498269868E-18</v>
      </c>
      <c r="AE122" s="100">
        <v>5.1455864498269868E-18</v>
      </c>
      <c r="AF122" s="100">
        <v>5.1455864498269868E-18</v>
      </c>
      <c r="AG122" s="100">
        <v>5.1455864498269868E-18</v>
      </c>
      <c r="AH122" s="100">
        <v>5.1455864498269868E-18</v>
      </c>
      <c r="AI122" s="100">
        <v>5.1455864498269868E-18</v>
      </c>
      <c r="AJ122" s="100">
        <v>5.1455864498269868E-18</v>
      </c>
      <c r="AK122" s="100">
        <v>5.1455864498269868E-18</v>
      </c>
      <c r="AL122" s="100">
        <v>5.1455864498269868E-18</v>
      </c>
      <c r="AM122" s="100">
        <v>5.1455864498269868E-18</v>
      </c>
      <c r="AN122" s="100">
        <v>5.1455864498269868E-18</v>
      </c>
      <c r="AO122" s="100">
        <v>5.1455864498269868E-18</v>
      </c>
      <c r="AP122" s="100">
        <v>5.1455864498269868E-18</v>
      </c>
      <c r="AQ122" s="100">
        <v>5.1455864498269868E-18</v>
      </c>
      <c r="AR122" s="100">
        <v>5.1455864498269868E-18</v>
      </c>
      <c r="AS122" s="100">
        <v>5.1455864498269868E-18</v>
      </c>
      <c r="AT122" s="100">
        <v>5.1455864498269868E-18</v>
      </c>
      <c r="AU122" s="100">
        <v>5.1455864498269868E-18</v>
      </c>
      <c r="AV122" s="100">
        <v>5.1455864498269868E-18</v>
      </c>
      <c r="AW122" s="100">
        <v>5.1455864498269868E-18</v>
      </c>
      <c r="AX122" s="100">
        <v>5.1455864498269868E-18</v>
      </c>
    </row>
    <row r="123" spans="1:50">
      <c r="B123" s="105" t="s">
        <v>12</v>
      </c>
      <c r="C123" s="100">
        <v>476545.97753690713</v>
      </c>
      <c r="D123" s="100">
        <v>476545.97753690713</v>
      </c>
      <c r="E123" s="100">
        <v>476545.97753690713</v>
      </c>
      <c r="F123" s="100">
        <v>476545.97753690713</v>
      </c>
      <c r="G123" s="100">
        <v>476545.97753690713</v>
      </c>
      <c r="H123" s="100">
        <v>476545.97753690713</v>
      </c>
      <c r="I123" s="100">
        <v>476545.97753690713</v>
      </c>
      <c r="J123" s="100">
        <v>476545.97753690713</v>
      </c>
      <c r="K123" s="100">
        <v>476545.97753690713</v>
      </c>
      <c r="L123" s="100">
        <v>476545.97753690713</v>
      </c>
      <c r="M123" s="100">
        <v>476545.97753690713</v>
      </c>
      <c r="N123" s="100">
        <v>476545.97753690713</v>
      </c>
      <c r="O123" s="100">
        <v>476545.97753690713</v>
      </c>
      <c r="P123" s="100">
        <v>476545.97753690713</v>
      </c>
      <c r="Q123" s="100">
        <v>476545.97753690713</v>
      </c>
      <c r="R123" s="100">
        <v>476545.97753690713</v>
      </c>
      <c r="S123" s="100">
        <v>476545.97753690713</v>
      </c>
      <c r="T123" s="100">
        <v>476545.97753690713</v>
      </c>
      <c r="U123" s="100">
        <v>476545.97753690713</v>
      </c>
      <c r="V123" s="100">
        <v>476545.97753690713</v>
      </c>
      <c r="W123" s="100">
        <v>476545.97753690713</v>
      </c>
      <c r="X123" s="100">
        <v>476545.97753690713</v>
      </c>
      <c r="Y123" s="100">
        <v>476545.97753690713</v>
      </c>
      <c r="Z123" s="100">
        <v>476545.97753690713</v>
      </c>
      <c r="AA123" s="100">
        <v>476545.97753690713</v>
      </c>
      <c r="AB123" s="100">
        <v>476545.97753690713</v>
      </c>
      <c r="AC123" s="100">
        <v>476545.97753690713</v>
      </c>
      <c r="AD123" s="100">
        <v>476545.97753690713</v>
      </c>
      <c r="AE123" s="100">
        <v>476545.97753690713</v>
      </c>
      <c r="AF123" s="100">
        <v>476545.97753690713</v>
      </c>
      <c r="AG123" s="100">
        <v>476545.97753690713</v>
      </c>
      <c r="AH123" s="100">
        <v>476545.97753690713</v>
      </c>
      <c r="AI123" s="100">
        <v>476545.97753690713</v>
      </c>
      <c r="AJ123" s="100">
        <v>476545.97753690713</v>
      </c>
      <c r="AK123" s="100">
        <v>476545.97753690713</v>
      </c>
      <c r="AL123" s="100">
        <v>476545.97753690713</v>
      </c>
      <c r="AM123" s="100">
        <v>476545.97753690713</v>
      </c>
      <c r="AN123" s="100">
        <v>476545.97753690713</v>
      </c>
      <c r="AO123" s="100">
        <v>476545.97753690713</v>
      </c>
      <c r="AP123" s="100">
        <v>476545.97753690713</v>
      </c>
      <c r="AQ123" s="100">
        <v>476545.97753690713</v>
      </c>
      <c r="AR123" s="100">
        <v>476545.97753690713</v>
      </c>
      <c r="AS123" s="100">
        <v>476545.97753690713</v>
      </c>
      <c r="AT123" s="100">
        <v>476545.97753690713</v>
      </c>
      <c r="AU123" s="100">
        <v>476545.97753690713</v>
      </c>
      <c r="AV123" s="100">
        <v>476545.97753690713</v>
      </c>
      <c r="AW123" s="100">
        <v>476545.97753690713</v>
      </c>
      <c r="AX123" s="100">
        <v>476545.97753690713</v>
      </c>
    </row>
    <row r="124" spans="1:50">
      <c r="B124" s="105" t="s">
        <v>22</v>
      </c>
      <c r="C124" s="100">
        <v>1.6458792561708298E-17</v>
      </c>
      <c r="D124" s="100">
        <v>1.6458792561708298E-17</v>
      </c>
      <c r="E124" s="100">
        <v>1.6458792561708298E-17</v>
      </c>
      <c r="F124" s="100">
        <v>1.6458792561708298E-17</v>
      </c>
      <c r="G124" s="100">
        <v>1.6458792561708298E-17</v>
      </c>
      <c r="H124" s="100">
        <v>1.6458792561708298E-17</v>
      </c>
      <c r="I124" s="100">
        <v>1.6458792561708298E-17</v>
      </c>
      <c r="J124" s="100">
        <v>1.6458792561708298E-17</v>
      </c>
      <c r="K124" s="100">
        <v>1.6458792561708298E-17</v>
      </c>
      <c r="L124" s="100">
        <v>1.6458792561708298E-17</v>
      </c>
      <c r="M124" s="100">
        <v>1.6458792561708298E-17</v>
      </c>
      <c r="N124" s="100">
        <v>1.6458792561708298E-17</v>
      </c>
      <c r="O124" s="100">
        <v>1.6458792561708298E-17</v>
      </c>
      <c r="P124" s="100">
        <v>1.6458792561708298E-17</v>
      </c>
      <c r="Q124" s="100">
        <v>1.6458792561708298E-17</v>
      </c>
      <c r="R124" s="100">
        <v>1.6458792561708298E-17</v>
      </c>
      <c r="S124" s="100">
        <v>1.6458792561708298E-17</v>
      </c>
      <c r="T124" s="100">
        <v>1.6458792561708298E-17</v>
      </c>
      <c r="U124" s="100">
        <v>1.6458792561708298E-17</v>
      </c>
      <c r="V124" s="100">
        <v>1.6458792561708298E-17</v>
      </c>
      <c r="W124" s="100">
        <v>1.6458792561708298E-17</v>
      </c>
      <c r="X124" s="100">
        <v>1.6458792561708298E-17</v>
      </c>
      <c r="Y124" s="100">
        <v>1.6458792561708298E-17</v>
      </c>
      <c r="Z124" s="100">
        <v>1.6458792561708298E-17</v>
      </c>
      <c r="AA124" s="100">
        <v>1.6458792561708298E-17</v>
      </c>
      <c r="AB124" s="100">
        <v>1.6458792561708298E-17</v>
      </c>
      <c r="AC124" s="100">
        <v>1.6458792561708298E-17</v>
      </c>
      <c r="AD124" s="100">
        <v>1.6458792561708298E-17</v>
      </c>
      <c r="AE124" s="100">
        <v>1.6458792561708298E-17</v>
      </c>
      <c r="AF124" s="100">
        <v>1.6458792561708298E-17</v>
      </c>
      <c r="AG124" s="100">
        <v>1.6458792561708298E-17</v>
      </c>
      <c r="AH124" s="100">
        <v>1.6458792561708298E-17</v>
      </c>
      <c r="AI124" s="100">
        <v>1.6458792561708298E-17</v>
      </c>
      <c r="AJ124" s="100">
        <v>1.6458792561708298E-17</v>
      </c>
      <c r="AK124" s="100">
        <v>1.6458792561708298E-17</v>
      </c>
      <c r="AL124" s="100">
        <v>1.6458792561708298E-17</v>
      </c>
      <c r="AM124" s="100">
        <v>1.6458792561708298E-17</v>
      </c>
      <c r="AN124" s="100">
        <v>1.6458792561708298E-17</v>
      </c>
      <c r="AO124" s="100">
        <v>1.6458792561708298E-17</v>
      </c>
      <c r="AP124" s="100">
        <v>1.6458792561708298E-17</v>
      </c>
      <c r="AQ124" s="100">
        <v>1.6458792561708298E-17</v>
      </c>
      <c r="AR124" s="100">
        <v>1.6458792561708298E-17</v>
      </c>
      <c r="AS124" s="100">
        <v>1.6458792561708298E-17</v>
      </c>
      <c r="AT124" s="100">
        <v>1.6458792561708298E-17</v>
      </c>
      <c r="AU124" s="100">
        <v>1.6458792561708298E-17</v>
      </c>
      <c r="AV124" s="100">
        <v>1.6458792561708298E-17</v>
      </c>
      <c r="AW124" s="100">
        <v>1.6458792561708298E-17</v>
      </c>
      <c r="AX124" s="100">
        <v>1.6458792561708298E-17</v>
      </c>
    </row>
    <row r="125" spans="1:50">
      <c r="B125" s="105" t="s">
        <v>46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321346.07411848602</v>
      </c>
      <c r="D126" s="100">
        <v>321346.07411848602</v>
      </c>
      <c r="E126" s="100">
        <v>321346.07411848602</v>
      </c>
      <c r="F126" s="100">
        <v>321346.07411848602</v>
      </c>
      <c r="G126" s="100">
        <v>321346.07411848602</v>
      </c>
      <c r="H126" s="100">
        <v>321346.07411848602</v>
      </c>
      <c r="I126" s="100">
        <v>321346.07411848602</v>
      </c>
      <c r="J126" s="100">
        <v>321346.07411848602</v>
      </c>
      <c r="K126" s="100">
        <v>321346.07411848602</v>
      </c>
      <c r="L126" s="100">
        <v>321346.07411848602</v>
      </c>
      <c r="M126" s="100">
        <v>321346.07411848602</v>
      </c>
      <c r="N126" s="100">
        <v>321346.07411848602</v>
      </c>
      <c r="O126" s="100">
        <v>321346.07411848602</v>
      </c>
      <c r="P126" s="100">
        <v>321346.07411848602</v>
      </c>
      <c r="Q126" s="100">
        <v>321346.07411848602</v>
      </c>
      <c r="R126" s="100">
        <v>321346.07411848602</v>
      </c>
      <c r="S126" s="100">
        <v>321346.07411848602</v>
      </c>
      <c r="T126" s="100">
        <v>321346.07411848602</v>
      </c>
      <c r="U126" s="100">
        <v>321346.07411848602</v>
      </c>
      <c r="V126" s="100">
        <v>321346.07411848602</v>
      </c>
      <c r="W126" s="100">
        <v>321346.07411848602</v>
      </c>
      <c r="X126" s="100">
        <v>321346.07411848602</v>
      </c>
      <c r="Y126" s="100">
        <v>321346.07411848602</v>
      </c>
      <c r="Z126" s="100">
        <v>321346.07411848602</v>
      </c>
      <c r="AA126" s="100">
        <v>321346.07411848602</v>
      </c>
      <c r="AB126" s="100">
        <v>321346.07411848602</v>
      </c>
      <c r="AC126" s="100">
        <v>321346.07411848602</v>
      </c>
      <c r="AD126" s="100">
        <v>321346.07411848602</v>
      </c>
      <c r="AE126" s="100">
        <v>321346.07411848602</v>
      </c>
      <c r="AF126" s="100">
        <v>321346.07411848602</v>
      </c>
      <c r="AG126" s="100">
        <v>321346.07411848602</v>
      </c>
      <c r="AH126" s="100">
        <v>321346.07411848602</v>
      </c>
      <c r="AI126" s="100">
        <v>321346.07411848602</v>
      </c>
      <c r="AJ126" s="100">
        <v>321346.07411848602</v>
      </c>
      <c r="AK126" s="100">
        <v>321346.07411848602</v>
      </c>
      <c r="AL126" s="100">
        <v>321346.07411848602</v>
      </c>
      <c r="AM126" s="100">
        <v>321346.07411848602</v>
      </c>
      <c r="AN126" s="100">
        <v>321346.07411848602</v>
      </c>
      <c r="AO126" s="100">
        <v>321346.07411848602</v>
      </c>
      <c r="AP126" s="100">
        <v>321346.07411848602</v>
      </c>
      <c r="AQ126" s="100">
        <v>321346.07411848602</v>
      </c>
      <c r="AR126" s="100">
        <v>321346.07411848602</v>
      </c>
      <c r="AS126" s="100">
        <v>321346.07411848602</v>
      </c>
      <c r="AT126" s="100">
        <v>321346.07411848602</v>
      </c>
      <c r="AU126" s="100">
        <v>321346.07411848602</v>
      </c>
      <c r="AV126" s="100">
        <v>321346.07411848602</v>
      </c>
      <c r="AW126" s="100">
        <v>321346.07411848602</v>
      </c>
      <c r="AX126" s="100">
        <v>321346.07411848602</v>
      </c>
    </row>
    <row r="127" spans="1:50">
      <c r="B127" s="100" t="s">
        <v>278</v>
      </c>
      <c r="C127" s="105">
        <f>SUM(C$122:C$126)</f>
        <v>797892.05165539309</v>
      </c>
      <c r="D127" s="105">
        <f t="shared" ref="D127:AX127" si="9">SUM(D$122:D$126)</f>
        <v>797892.05165539309</v>
      </c>
      <c r="E127" s="105">
        <f t="shared" si="9"/>
        <v>797892.05165539309</v>
      </c>
      <c r="F127" s="105">
        <f t="shared" si="9"/>
        <v>797892.05165539309</v>
      </c>
      <c r="G127" s="105">
        <f t="shared" si="9"/>
        <v>797892.05165539309</v>
      </c>
      <c r="H127" s="105">
        <f t="shared" si="9"/>
        <v>797892.05165539309</v>
      </c>
      <c r="I127" s="105">
        <f t="shared" si="9"/>
        <v>797892.05165539309</v>
      </c>
      <c r="J127" s="105">
        <f t="shared" si="9"/>
        <v>797892.05165539309</v>
      </c>
      <c r="K127" s="105">
        <f t="shared" si="9"/>
        <v>797892.05165539309</v>
      </c>
      <c r="L127" s="105">
        <f t="shared" si="9"/>
        <v>797892.05165539309</v>
      </c>
      <c r="M127" s="105">
        <f t="shared" si="9"/>
        <v>797892.05165539309</v>
      </c>
      <c r="N127" s="105">
        <f t="shared" si="9"/>
        <v>797892.05165539309</v>
      </c>
      <c r="O127" s="105">
        <f t="shared" si="9"/>
        <v>797892.05165539309</v>
      </c>
      <c r="P127" s="105">
        <f t="shared" si="9"/>
        <v>797892.05165539309</v>
      </c>
      <c r="Q127" s="105">
        <f t="shared" si="9"/>
        <v>797892.05165539309</v>
      </c>
      <c r="R127" s="105">
        <f t="shared" si="9"/>
        <v>797892.05165539309</v>
      </c>
      <c r="S127" s="105">
        <f t="shared" si="9"/>
        <v>797892.05165539309</v>
      </c>
      <c r="T127" s="105">
        <f t="shared" si="9"/>
        <v>797892.05165539309</v>
      </c>
      <c r="U127" s="105">
        <f t="shared" si="9"/>
        <v>797892.05165539309</v>
      </c>
      <c r="V127" s="105">
        <f t="shared" si="9"/>
        <v>797892.05165539309</v>
      </c>
      <c r="W127" s="105">
        <f t="shared" si="9"/>
        <v>797892.05165539309</v>
      </c>
      <c r="X127" s="105">
        <f t="shared" si="9"/>
        <v>797892.05165539309</v>
      </c>
      <c r="Y127" s="105">
        <f t="shared" si="9"/>
        <v>797892.05165539309</v>
      </c>
      <c r="Z127" s="105">
        <f t="shared" si="9"/>
        <v>797892.05165539309</v>
      </c>
      <c r="AA127" s="105">
        <f t="shared" si="9"/>
        <v>797892.05165539309</v>
      </c>
      <c r="AB127" s="105">
        <f t="shared" si="9"/>
        <v>797892.05165539309</v>
      </c>
      <c r="AC127" s="105">
        <f t="shared" si="9"/>
        <v>797892.05165539309</v>
      </c>
      <c r="AD127" s="105">
        <f t="shared" si="9"/>
        <v>797892.05165539309</v>
      </c>
      <c r="AE127" s="105">
        <f t="shared" si="9"/>
        <v>797892.05165539309</v>
      </c>
      <c r="AF127" s="105">
        <f t="shared" si="9"/>
        <v>797892.05165539309</v>
      </c>
      <c r="AG127" s="105">
        <f t="shared" si="9"/>
        <v>797892.05165539309</v>
      </c>
      <c r="AH127" s="105">
        <f t="shared" si="9"/>
        <v>797892.05165539309</v>
      </c>
      <c r="AI127" s="105">
        <f t="shared" si="9"/>
        <v>797892.05165539309</v>
      </c>
      <c r="AJ127" s="105">
        <f t="shared" si="9"/>
        <v>797892.05165539309</v>
      </c>
      <c r="AK127" s="105">
        <f t="shared" si="9"/>
        <v>797892.05165539309</v>
      </c>
      <c r="AL127" s="105">
        <f t="shared" si="9"/>
        <v>797892.05165539309</v>
      </c>
      <c r="AM127" s="105">
        <f t="shared" si="9"/>
        <v>797892.05165539309</v>
      </c>
      <c r="AN127" s="105">
        <f t="shared" si="9"/>
        <v>797892.05165539309</v>
      </c>
      <c r="AO127" s="105">
        <f t="shared" si="9"/>
        <v>797892.05165539309</v>
      </c>
      <c r="AP127" s="105">
        <f t="shared" si="9"/>
        <v>797892.05165539309</v>
      </c>
      <c r="AQ127" s="105">
        <f t="shared" si="9"/>
        <v>797892.05165539309</v>
      </c>
      <c r="AR127" s="105">
        <f t="shared" si="9"/>
        <v>797892.05165539309</v>
      </c>
      <c r="AS127" s="105">
        <f t="shared" si="9"/>
        <v>797892.05165539309</v>
      </c>
      <c r="AT127" s="105">
        <f t="shared" si="9"/>
        <v>797892.05165539309</v>
      </c>
      <c r="AU127" s="105">
        <f t="shared" si="9"/>
        <v>797892.05165539309</v>
      </c>
      <c r="AV127" s="105">
        <f t="shared" si="9"/>
        <v>797892.05165539309</v>
      </c>
      <c r="AW127" s="105">
        <f t="shared" si="9"/>
        <v>797892.05165539309</v>
      </c>
      <c r="AX127" s="105">
        <f t="shared" si="9"/>
        <v>797892.05165539309</v>
      </c>
    </row>
    <row r="128" spans="1:50">
      <c r="A128" s="105" t="s">
        <v>109</v>
      </c>
      <c r="B128" s="105" t="s">
        <v>10</v>
      </c>
      <c r="C128" s="100">
        <v>1.7731732215119484E-17</v>
      </c>
      <c r="D128" s="100">
        <v>1.7731732215119484E-17</v>
      </c>
      <c r="E128" s="100">
        <v>1.7731732215119484E-17</v>
      </c>
      <c r="F128" s="100">
        <v>1.7731732215119484E-17</v>
      </c>
      <c r="G128" s="100">
        <v>1.7731732215119484E-17</v>
      </c>
      <c r="H128" s="100">
        <v>1.7731732215119484E-17</v>
      </c>
      <c r="I128" s="100">
        <v>1.7731732215119484E-17</v>
      </c>
      <c r="J128" s="100">
        <v>1.7731732215119484E-17</v>
      </c>
      <c r="K128" s="100">
        <v>1.7731732215119484E-17</v>
      </c>
      <c r="L128" s="100">
        <v>1.7731732215119484E-17</v>
      </c>
      <c r="M128" s="100">
        <v>1.7731732215119484E-17</v>
      </c>
      <c r="N128" s="100">
        <v>1.7731732215119484E-17</v>
      </c>
      <c r="O128" s="100">
        <v>1.4776443512599573E-17</v>
      </c>
      <c r="P128" s="100">
        <v>1.4776443512599573E-17</v>
      </c>
      <c r="Q128" s="100">
        <v>1.4776443512599573E-17</v>
      </c>
      <c r="R128" s="100">
        <v>1.4776443512599573E-17</v>
      </c>
      <c r="S128" s="100">
        <v>1.7731732215119484E-17</v>
      </c>
      <c r="T128" s="100">
        <v>1.7731732215119484E-17</v>
      </c>
      <c r="U128" s="100">
        <v>1.7731732215119484E-17</v>
      </c>
      <c r="V128" s="100">
        <v>1.7731732215119484E-17</v>
      </c>
      <c r="W128" s="100">
        <v>1.7731732215119484E-17</v>
      </c>
      <c r="X128" s="100">
        <v>1.7731732215119484E-17</v>
      </c>
      <c r="Y128" s="100">
        <v>1.7731732215119484E-17</v>
      </c>
      <c r="Z128" s="100">
        <v>1.7731732215119484E-17</v>
      </c>
      <c r="AA128" s="100">
        <v>1.4776443512599573E-17</v>
      </c>
      <c r="AB128" s="100">
        <v>1.4776443512599573E-17</v>
      </c>
      <c r="AC128" s="100">
        <v>1.4776443512599573E-17</v>
      </c>
      <c r="AD128" s="100">
        <v>1.4776443512599573E-17</v>
      </c>
      <c r="AE128" s="100">
        <v>1.4776443512599573E-17</v>
      </c>
      <c r="AF128" s="100">
        <v>1.4776443512599573E-17</v>
      </c>
      <c r="AG128" s="100">
        <v>1.4776443512599573E-17</v>
      </c>
      <c r="AH128" s="100">
        <v>1.4776443512599573E-17</v>
      </c>
      <c r="AI128" s="100">
        <v>1.4776443512599573E-17</v>
      </c>
      <c r="AJ128" s="100">
        <v>1.4776443512599573E-17</v>
      </c>
      <c r="AK128" s="100">
        <v>1.4776443512599573E-17</v>
      </c>
      <c r="AL128" s="100">
        <v>1.4776443512599573E-17</v>
      </c>
      <c r="AM128" s="100">
        <v>1.7731732215119484E-17</v>
      </c>
      <c r="AN128" s="100">
        <v>1.7731732215119484E-17</v>
      </c>
      <c r="AO128" s="100">
        <v>1.7731732215119484E-17</v>
      </c>
      <c r="AP128" s="100">
        <v>1.7731732215119484E-17</v>
      </c>
      <c r="AQ128" s="100">
        <v>1.7731732215119484E-17</v>
      </c>
      <c r="AR128" s="100">
        <v>1.7731732215119484E-17</v>
      </c>
      <c r="AS128" s="100">
        <v>1.7731732215119484E-17</v>
      </c>
      <c r="AT128" s="100">
        <v>1.7731732215119484E-17</v>
      </c>
      <c r="AU128" s="100">
        <v>1.4776443512599573E-17</v>
      </c>
      <c r="AV128" s="100">
        <v>1.4776443512599573E-17</v>
      </c>
      <c r="AW128" s="100">
        <v>1.4776443512599573E-17</v>
      </c>
      <c r="AX128" s="100">
        <v>1.4776443512599573E-17</v>
      </c>
    </row>
    <row r="129" spans="2:50">
      <c r="B129" s="105" t="s">
        <v>12</v>
      </c>
      <c r="C129" s="100">
        <v>4.2222021204024889E-17</v>
      </c>
      <c r="D129" s="100">
        <v>4.2222021204024889E-17</v>
      </c>
      <c r="E129" s="100">
        <v>4.2222021204024889E-17</v>
      </c>
      <c r="F129" s="100">
        <v>4.2222021204024889E-17</v>
      </c>
      <c r="G129" s="100">
        <v>4.2222021204024889E-17</v>
      </c>
      <c r="H129" s="100">
        <v>4.2222021204024889E-17</v>
      </c>
      <c r="I129" s="100">
        <v>4.2222021204024889E-17</v>
      </c>
      <c r="J129" s="100">
        <v>4.2222021204024889E-17</v>
      </c>
      <c r="K129" s="100">
        <v>4.2222021204024889E-17</v>
      </c>
      <c r="L129" s="100">
        <v>4.2222021204024889E-17</v>
      </c>
      <c r="M129" s="100">
        <v>4.2222021204024889E-17</v>
      </c>
      <c r="N129" s="100">
        <v>4.2222021204024889E-17</v>
      </c>
      <c r="O129" s="100">
        <v>3.518501767002074E-17</v>
      </c>
      <c r="P129" s="100">
        <v>3.518501767002074E-17</v>
      </c>
      <c r="Q129" s="100">
        <v>3.518501767002074E-17</v>
      </c>
      <c r="R129" s="100">
        <v>3.518501767002074E-17</v>
      </c>
      <c r="S129" s="100">
        <v>4.2222021204024889E-17</v>
      </c>
      <c r="T129" s="100">
        <v>4.2222021204024889E-17</v>
      </c>
      <c r="U129" s="100">
        <v>4.2222021204024889E-17</v>
      </c>
      <c r="V129" s="100">
        <v>4.2222021204024889E-17</v>
      </c>
      <c r="W129" s="100">
        <v>4.2222021204024889E-17</v>
      </c>
      <c r="X129" s="100">
        <v>4.2222021204024889E-17</v>
      </c>
      <c r="Y129" s="100">
        <v>4.2222021204024889E-17</v>
      </c>
      <c r="Z129" s="100">
        <v>4.2222021204024889E-17</v>
      </c>
      <c r="AA129" s="100">
        <v>3.518501767002074E-17</v>
      </c>
      <c r="AB129" s="100">
        <v>3.518501767002074E-17</v>
      </c>
      <c r="AC129" s="100">
        <v>3.518501767002074E-17</v>
      </c>
      <c r="AD129" s="100">
        <v>3.518501767002074E-17</v>
      </c>
      <c r="AE129" s="100">
        <v>3.518501767002074E-17</v>
      </c>
      <c r="AF129" s="100">
        <v>3.518501767002074E-17</v>
      </c>
      <c r="AG129" s="100">
        <v>3.518501767002074E-17</v>
      </c>
      <c r="AH129" s="100">
        <v>3.518501767002074E-17</v>
      </c>
      <c r="AI129" s="100">
        <v>3.518501767002074E-17</v>
      </c>
      <c r="AJ129" s="100">
        <v>3.518501767002074E-17</v>
      </c>
      <c r="AK129" s="100">
        <v>3.518501767002074E-17</v>
      </c>
      <c r="AL129" s="100">
        <v>3.518501767002074E-17</v>
      </c>
      <c r="AM129" s="100">
        <v>4.2222021204024889E-17</v>
      </c>
      <c r="AN129" s="100">
        <v>4.2222021204024889E-17</v>
      </c>
      <c r="AO129" s="100">
        <v>4.2222021204024889E-17</v>
      </c>
      <c r="AP129" s="100">
        <v>4.2222021204024889E-17</v>
      </c>
      <c r="AQ129" s="100">
        <v>4.2222021204024889E-17</v>
      </c>
      <c r="AR129" s="100">
        <v>4.2222021204024889E-17</v>
      </c>
      <c r="AS129" s="100">
        <v>4.2222021204024889E-17</v>
      </c>
      <c r="AT129" s="100">
        <v>4.2222021204024889E-17</v>
      </c>
      <c r="AU129" s="100">
        <v>3.518501767002074E-17</v>
      </c>
      <c r="AV129" s="100">
        <v>3.518501767002074E-17</v>
      </c>
      <c r="AW129" s="100">
        <v>3.518501767002074E-17</v>
      </c>
      <c r="AX129" s="100">
        <v>3.518501767002074E-17</v>
      </c>
    </row>
    <row r="130" spans="2:50">
      <c r="B130" s="105" t="s">
        <v>22</v>
      </c>
      <c r="C130" s="100">
        <v>0</v>
      </c>
      <c r="D130" s="100">
        <v>0</v>
      </c>
      <c r="E130" s="100">
        <v>0</v>
      </c>
      <c r="F130" s="100">
        <v>0</v>
      </c>
      <c r="G130" s="100">
        <v>0</v>
      </c>
      <c r="H130" s="100">
        <v>0</v>
      </c>
      <c r="I130" s="100">
        <v>0</v>
      </c>
      <c r="J130" s="100">
        <v>0</v>
      </c>
      <c r="K130" s="100">
        <v>0</v>
      </c>
      <c r="L130" s="100">
        <v>0</v>
      </c>
      <c r="M130" s="100">
        <v>0</v>
      </c>
      <c r="N130" s="100">
        <v>0</v>
      </c>
      <c r="O130" s="100">
        <v>0</v>
      </c>
      <c r="P130" s="100">
        <v>0</v>
      </c>
      <c r="Q130" s="100">
        <v>0</v>
      </c>
      <c r="R130" s="100">
        <v>0</v>
      </c>
      <c r="S130" s="100">
        <v>0</v>
      </c>
      <c r="T130" s="100">
        <v>0</v>
      </c>
      <c r="U130" s="100">
        <v>0</v>
      </c>
      <c r="V130" s="100">
        <v>0</v>
      </c>
      <c r="W130" s="100">
        <v>0</v>
      </c>
      <c r="X130" s="100">
        <v>0</v>
      </c>
      <c r="Y130" s="100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100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100">
        <v>0</v>
      </c>
      <c r="AP130" s="100">
        <v>0</v>
      </c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>
        <v>0</v>
      </c>
      <c r="AX130" s="100">
        <v>0</v>
      </c>
    </row>
    <row r="131" spans="2:50">
      <c r="B131" s="105" t="s">
        <v>46</v>
      </c>
      <c r="C131" s="100">
        <v>6.6258259656408569E-18</v>
      </c>
      <c r="D131" s="100">
        <v>6.6258259656408569E-18</v>
      </c>
      <c r="E131" s="100">
        <v>6.6258259656408569E-18</v>
      </c>
      <c r="F131" s="100">
        <v>6.6258259656408569E-18</v>
      </c>
      <c r="G131" s="100">
        <v>6.6258259656408569E-18</v>
      </c>
      <c r="H131" s="100">
        <v>6.6258259656408569E-18</v>
      </c>
      <c r="I131" s="100">
        <v>6.6258259656408569E-18</v>
      </c>
      <c r="J131" s="100">
        <v>6.6258259656408569E-18</v>
      </c>
      <c r="K131" s="100">
        <v>6.6258259656408569E-18</v>
      </c>
      <c r="L131" s="100">
        <v>6.6258259656408569E-18</v>
      </c>
      <c r="M131" s="100">
        <v>6.6258259656408569E-18</v>
      </c>
      <c r="N131" s="100">
        <v>6.6258259656408569E-18</v>
      </c>
      <c r="O131" s="100">
        <v>5.5215216380340474E-18</v>
      </c>
      <c r="P131" s="100">
        <v>5.5215216380340474E-18</v>
      </c>
      <c r="Q131" s="100">
        <v>5.5215216380340474E-18</v>
      </c>
      <c r="R131" s="100">
        <v>5.5215216380340474E-18</v>
      </c>
      <c r="S131" s="100">
        <v>6.6258259656408569E-18</v>
      </c>
      <c r="T131" s="100">
        <v>6.6258259656408569E-18</v>
      </c>
      <c r="U131" s="100">
        <v>6.6258259656408569E-18</v>
      </c>
      <c r="V131" s="100">
        <v>6.6258259656408569E-18</v>
      </c>
      <c r="W131" s="100">
        <v>6.6258259656408569E-18</v>
      </c>
      <c r="X131" s="100">
        <v>6.6258259656408569E-18</v>
      </c>
      <c r="Y131" s="100">
        <v>6.6258259656408569E-18</v>
      </c>
      <c r="Z131" s="100">
        <v>6.6258259656408569E-18</v>
      </c>
      <c r="AA131" s="100">
        <v>5.5215216380340474E-18</v>
      </c>
      <c r="AB131" s="100">
        <v>5.5215216380340474E-18</v>
      </c>
      <c r="AC131" s="100">
        <v>5.5215216380340474E-18</v>
      </c>
      <c r="AD131" s="100">
        <v>5.5215216380340474E-18</v>
      </c>
      <c r="AE131" s="100">
        <v>5.5215216380340474E-18</v>
      </c>
      <c r="AF131" s="100">
        <v>5.5215216380340474E-18</v>
      </c>
      <c r="AG131" s="100">
        <v>5.5215216380340474E-18</v>
      </c>
      <c r="AH131" s="100">
        <v>5.5215216380340474E-18</v>
      </c>
      <c r="AI131" s="100">
        <v>5.5215216380340474E-18</v>
      </c>
      <c r="AJ131" s="100">
        <v>5.5215216380340474E-18</v>
      </c>
      <c r="AK131" s="100">
        <v>5.5215216380340474E-18</v>
      </c>
      <c r="AL131" s="100">
        <v>5.5215216380340474E-18</v>
      </c>
      <c r="AM131" s="100">
        <v>6.6258259656408569E-18</v>
      </c>
      <c r="AN131" s="100">
        <v>6.6258259656408569E-18</v>
      </c>
      <c r="AO131" s="100">
        <v>6.6258259656408569E-18</v>
      </c>
      <c r="AP131" s="100">
        <v>6.6258259656408569E-18</v>
      </c>
      <c r="AQ131" s="100">
        <v>6.6258259656408569E-18</v>
      </c>
      <c r="AR131" s="100">
        <v>6.6258259656408569E-18</v>
      </c>
      <c r="AS131" s="100">
        <v>6.6258259656408569E-18</v>
      </c>
      <c r="AT131" s="100">
        <v>6.6258259656408569E-18</v>
      </c>
      <c r="AU131" s="100">
        <v>5.5215216380340474E-18</v>
      </c>
      <c r="AV131" s="100">
        <v>5.5215216380340474E-18</v>
      </c>
      <c r="AW131" s="100">
        <v>5.5215216380340474E-18</v>
      </c>
      <c r="AX131" s="100">
        <v>5.5215216380340474E-18</v>
      </c>
    </row>
    <row r="132" spans="2:50">
      <c r="B132" s="105" t="s">
        <v>59</v>
      </c>
      <c r="C132" s="100">
        <v>5.4021112972151612E-18</v>
      </c>
      <c r="D132" s="100">
        <v>5.4021112972151612E-18</v>
      </c>
      <c r="E132" s="100">
        <v>5.4021112972151612E-18</v>
      </c>
      <c r="F132" s="100">
        <v>5.4021112972151612E-18</v>
      </c>
      <c r="G132" s="100">
        <v>5.4021112972151612E-18</v>
      </c>
      <c r="H132" s="100">
        <v>5.4021112972151612E-18</v>
      </c>
      <c r="I132" s="100">
        <v>5.4021112972151612E-18</v>
      </c>
      <c r="J132" s="100">
        <v>5.4021112972151612E-18</v>
      </c>
      <c r="K132" s="100">
        <v>5.4021112972151612E-18</v>
      </c>
      <c r="L132" s="100">
        <v>5.4021112972151612E-18</v>
      </c>
      <c r="M132" s="100">
        <v>5.4021112972151612E-18</v>
      </c>
      <c r="N132" s="100">
        <v>5.4021112972151612E-18</v>
      </c>
      <c r="O132" s="100">
        <v>4.5017594143459674E-18</v>
      </c>
      <c r="P132" s="100">
        <v>4.5017594143459674E-18</v>
      </c>
      <c r="Q132" s="100">
        <v>4.5017594143459674E-18</v>
      </c>
      <c r="R132" s="100">
        <v>4.5017594143459674E-18</v>
      </c>
      <c r="S132" s="100">
        <v>5.4021112972151612E-18</v>
      </c>
      <c r="T132" s="100">
        <v>5.4021112972151612E-18</v>
      </c>
      <c r="U132" s="100">
        <v>5.4021112972151612E-18</v>
      </c>
      <c r="V132" s="100">
        <v>5.4021112972151612E-18</v>
      </c>
      <c r="W132" s="100">
        <v>5.4021112972151612E-18</v>
      </c>
      <c r="X132" s="100">
        <v>5.4021112972151612E-18</v>
      </c>
      <c r="Y132" s="100">
        <v>5.4021112972151612E-18</v>
      </c>
      <c r="Z132" s="100">
        <v>5.4021112972151612E-18</v>
      </c>
      <c r="AA132" s="100">
        <v>4.5017594143459674E-18</v>
      </c>
      <c r="AB132" s="100">
        <v>4.5017594143459674E-18</v>
      </c>
      <c r="AC132" s="100">
        <v>4.5017594143459674E-18</v>
      </c>
      <c r="AD132" s="100">
        <v>4.5017594143459674E-18</v>
      </c>
      <c r="AE132" s="100">
        <v>4.5017594143459674E-18</v>
      </c>
      <c r="AF132" s="100">
        <v>4.5017594143459674E-18</v>
      </c>
      <c r="AG132" s="100">
        <v>4.5017594143459674E-18</v>
      </c>
      <c r="AH132" s="100">
        <v>4.5017594143459674E-18</v>
      </c>
      <c r="AI132" s="100">
        <v>4.5017594143459674E-18</v>
      </c>
      <c r="AJ132" s="100">
        <v>4.5017594143459674E-18</v>
      </c>
      <c r="AK132" s="100">
        <v>4.5017594143459674E-18</v>
      </c>
      <c r="AL132" s="100">
        <v>4.5017594143459674E-18</v>
      </c>
      <c r="AM132" s="100">
        <v>5.4021112972151612E-18</v>
      </c>
      <c r="AN132" s="100">
        <v>5.4021112972151612E-18</v>
      </c>
      <c r="AO132" s="100">
        <v>5.4021112972151612E-18</v>
      </c>
      <c r="AP132" s="100">
        <v>5.4021112972151612E-18</v>
      </c>
      <c r="AQ132" s="100">
        <v>5.4021112972151612E-18</v>
      </c>
      <c r="AR132" s="100">
        <v>5.4021112972151612E-18</v>
      </c>
      <c r="AS132" s="100">
        <v>5.4021112972151612E-18</v>
      </c>
      <c r="AT132" s="100">
        <v>5.4021112972151612E-18</v>
      </c>
      <c r="AU132" s="100">
        <v>4.5017594143459674E-18</v>
      </c>
      <c r="AV132" s="100">
        <v>4.5017594143459674E-18</v>
      </c>
      <c r="AW132" s="100">
        <v>4.5017594143459674E-18</v>
      </c>
      <c r="AX132" s="100">
        <v>4.5017594143459674E-18</v>
      </c>
    </row>
    <row r="133" spans="2:50">
      <c r="B133" s="100" t="s">
        <v>278</v>
      </c>
      <c r="C133" s="105">
        <f>SUM(C$128:C$132)</f>
        <v>7.1981690682000394E-17</v>
      </c>
      <c r="D133" s="105">
        <f t="shared" ref="D133:AX133" si="10">SUM(D$128:D$132)</f>
        <v>7.1981690682000394E-17</v>
      </c>
      <c r="E133" s="105">
        <f t="shared" si="10"/>
        <v>7.1981690682000394E-17</v>
      </c>
      <c r="F133" s="105">
        <f t="shared" si="10"/>
        <v>7.1981690682000394E-17</v>
      </c>
      <c r="G133" s="105">
        <f t="shared" si="10"/>
        <v>7.1981690682000394E-17</v>
      </c>
      <c r="H133" s="105">
        <f t="shared" si="10"/>
        <v>7.1981690682000394E-17</v>
      </c>
      <c r="I133" s="105">
        <f t="shared" si="10"/>
        <v>7.1981690682000394E-17</v>
      </c>
      <c r="J133" s="105">
        <f t="shared" si="10"/>
        <v>7.1981690682000394E-17</v>
      </c>
      <c r="K133" s="105">
        <f t="shared" si="10"/>
        <v>7.1981690682000394E-17</v>
      </c>
      <c r="L133" s="105">
        <f t="shared" si="10"/>
        <v>7.1981690682000394E-17</v>
      </c>
      <c r="M133" s="105">
        <f t="shared" si="10"/>
        <v>7.1981690682000394E-17</v>
      </c>
      <c r="N133" s="105">
        <f t="shared" si="10"/>
        <v>7.1981690682000394E-17</v>
      </c>
      <c r="O133" s="105">
        <f t="shared" si="10"/>
        <v>5.9984742235000322E-17</v>
      </c>
      <c r="P133" s="105">
        <f t="shared" si="10"/>
        <v>5.9984742235000322E-17</v>
      </c>
      <c r="Q133" s="105">
        <f t="shared" si="10"/>
        <v>5.9984742235000322E-17</v>
      </c>
      <c r="R133" s="105">
        <f t="shared" si="10"/>
        <v>5.9984742235000322E-17</v>
      </c>
      <c r="S133" s="105">
        <f t="shared" si="10"/>
        <v>7.1981690682000394E-17</v>
      </c>
      <c r="T133" s="105">
        <f t="shared" si="10"/>
        <v>7.1981690682000394E-17</v>
      </c>
      <c r="U133" s="105">
        <f t="shared" si="10"/>
        <v>7.1981690682000394E-17</v>
      </c>
      <c r="V133" s="105">
        <f t="shared" si="10"/>
        <v>7.1981690682000394E-17</v>
      </c>
      <c r="W133" s="105">
        <f t="shared" si="10"/>
        <v>7.1981690682000394E-17</v>
      </c>
      <c r="X133" s="105">
        <f t="shared" si="10"/>
        <v>7.1981690682000394E-17</v>
      </c>
      <c r="Y133" s="105">
        <f t="shared" si="10"/>
        <v>7.1981690682000394E-17</v>
      </c>
      <c r="Z133" s="105">
        <f t="shared" si="10"/>
        <v>7.1981690682000394E-17</v>
      </c>
      <c r="AA133" s="105">
        <f t="shared" si="10"/>
        <v>5.9984742235000322E-17</v>
      </c>
      <c r="AB133" s="105">
        <f t="shared" si="10"/>
        <v>5.9984742235000322E-17</v>
      </c>
      <c r="AC133" s="105">
        <f t="shared" si="10"/>
        <v>5.9984742235000322E-17</v>
      </c>
      <c r="AD133" s="105">
        <f t="shared" si="10"/>
        <v>5.9984742235000322E-17</v>
      </c>
      <c r="AE133" s="105">
        <f t="shared" si="10"/>
        <v>5.9984742235000322E-17</v>
      </c>
      <c r="AF133" s="105">
        <f t="shared" si="10"/>
        <v>5.9984742235000322E-17</v>
      </c>
      <c r="AG133" s="105">
        <f t="shared" si="10"/>
        <v>5.9984742235000322E-17</v>
      </c>
      <c r="AH133" s="105">
        <f t="shared" si="10"/>
        <v>5.9984742235000322E-17</v>
      </c>
      <c r="AI133" s="105">
        <f t="shared" si="10"/>
        <v>5.9984742235000322E-17</v>
      </c>
      <c r="AJ133" s="105">
        <f t="shared" si="10"/>
        <v>5.9984742235000322E-17</v>
      </c>
      <c r="AK133" s="105">
        <f t="shared" si="10"/>
        <v>5.9984742235000322E-17</v>
      </c>
      <c r="AL133" s="105">
        <f t="shared" si="10"/>
        <v>5.9984742235000322E-17</v>
      </c>
      <c r="AM133" s="105">
        <f t="shared" si="10"/>
        <v>7.1981690682000394E-17</v>
      </c>
      <c r="AN133" s="105">
        <f t="shared" si="10"/>
        <v>7.1981690682000394E-17</v>
      </c>
      <c r="AO133" s="105">
        <f t="shared" si="10"/>
        <v>7.1981690682000394E-17</v>
      </c>
      <c r="AP133" s="105">
        <f t="shared" si="10"/>
        <v>7.1981690682000394E-17</v>
      </c>
      <c r="AQ133" s="105">
        <f t="shared" si="10"/>
        <v>7.1981690682000394E-17</v>
      </c>
      <c r="AR133" s="105">
        <f t="shared" si="10"/>
        <v>7.1981690682000394E-17</v>
      </c>
      <c r="AS133" s="105">
        <f t="shared" si="10"/>
        <v>7.1981690682000394E-17</v>
      </c>
      <c r="AT133" s="105">
        <f t="shared" si="10"/>
        <v>7.1981690682000394E-17</v>
      </c>
      <c r="AU133" s="105">
        <f t="shared" si="10"/>
        <v>5.9984742235000322E-17</v>
      </c>
      <c r="AV133" s="105">
        <f t="shared" si="10"/>
        <v>5.9984742235000322E-17</v>
      </c>
      <c r="AW133" s="105">
        <f t="shared" si="10"/>
        <v>5.9984742235000322E-17</v>
      </c>
      <c r="AX133" s="105">
        <f t="shared" si="10"/>
        <v>5.9984742235000322E-17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599.99999999999807</v>
      </c>
      <c r="E7" s="144">
        <v>599.99999999999807</v>
      </c>
      <c r="F7" s="144">
        <v>599.99999999999807</v>
      </c>
      <c r="G7" s="144">
        <v>599.99999999999807</v>
      </c>
      <c r="H7" s="144">
        <v>599.99999999999807</v>
      </c>
      <c r="I7" s="144">
        <v>599.99999999999807</v>
      </c>
      <c r="J7" s="144">
        <v>599.99999999999807</v>
      </c>
      <c r="K7" s="144">
        <v>599.99999999999807</v>
      </c>
      <c r="L7" s="144">
        <v>479.99999999999847</v>
      </c>
      <c r="M7" s="144">
        <v>479.99999999999847</v>
      </c>
      <c r="N7" s="144">
        <v>225.69809904522816</v>
      </c>
      <c r="O7" s="144">
        <v>479.99999999999847</v>
      </c>
      <c r="P7" s="144">
        <v>599.99999999999807</v>
      </c>
      <c r="Q7" s="144">
        <v>599.99999999999807</v>
      </c>
      <c r="R7" s="144">
        <v>599.99999999999807</v>
      </c>
      <c r="S7" s="144">
        <v>599.99999999999807</v>
      </c>
      <c r="T7" s="144">
        <v>599.99999999999807</v>
      </c>
      <c r="U7" s="144">
        <v>599.99999999999807</v>
      </c>
      <c r="V7" s="144">
        <v>599.99999999999807</v>
      </c>
      <c r="W7" s="144">
        <v>599.99999999999807</v>
      </c>
      <c r="X7" s="144">
        <v>599.99999999999807</v>
      </c>
      <c r="Y7" s="144">
        <v>599.99999999999807</v>
      </c>
      <c r="Z7" s="144">
        <v>599.99999999999807</v>
      </c>
      <c r="AA7" s="144">
        <v>599.99999999999807</v>
      </c>
      <c r="AB7" s="144">
        <v>599.99999999999807</v>
      </c>
      <c r="AC7" s="144">
        <v>599.99999999999807</v>
      </c>
      <c r="AD7" s="144">
        <v>599.99999999999807</v>
      </c>
      <c r="AE7" s="144">
        <v>599.99999999999807</v>
      </c>
      <c r="AF7" s="144">
        <v>599.99999999999807</v>
      </c>
      <c r="AG7" s="144">
        <v>599.99999999999807</v>
      </c>
      <c r="AH7" s="144">
        <v>599.99999999999807</v>
      </c>
      <c r="AI7" s="144">
        <v>599.99999999999807</v>
      </c>
      <c r="AJ7" s="144">
        <v>599.99999999999807</v>
      </c>
      <c r="AK7" s="144">
        <v>599.99999999999807</v>
      </c>
      <c r="AL7" s="144">
        <v>599.99999999999807</v>
      </c>
      <c r="AM7" s="144">
        <v>599.99999999999807</v>
      </c>
      <c r="AN7" s="144">
        <v>599.99999999999807</v>
      </c>
      <c r="AO7" s="144">
        <v>599.99999999999807</v>
      </c>
      <c r="AP7" s="144">
        <v>599.99999999999807</v>
      </c>
      <c r="AQ7" s="144">
        <v>599.99999999999807</v>
      </c>
      <c r="AR7" s="144">
        <v>599.99999999999807</v>
      </c>
      <c r="AS7" s="144">
        <v>599.99999999999807</v>
      </c>
      <c r="AT7" s="144">
        <v>599.99999999999807</v>
      </c>
      <c r="AU7" s="144">
        <v>599.99999999999807</v>
      </c>
      <c r="AV7" s="144">
        <v>599.99999999999807</v>
      </c>
      <c r="AW7" s="144">
        <v>599.99999999999807</v>
      </c>
      <c r="AX7" s="144">
        <v>599.99999999999807</v>
      </c>
      <c r="AY7" s="144">
        <v>599.99999999999807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599.99999999999613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599.99999999999613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1199.9999999999923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600</v>
      </c>
      <c r="D13" s="138">
        <f t="shared" ref="D13:AY13" si="1">D$7-D$10</f>
        <v>599.99999999999807</v>
      </c>
      <c r="E13" s="138">
        <f t="shared" si="1"/>
        <v>599.99999999999807</v>
      </c>
      <c r="F13" s="138">
        <f t="shared" si="1"/>
        <v>599.99999999999807</v>
      </c>
      <c r="G13" s="138">
        <f t="shared" si="1"/>
        <v>599.99999999999807</v>
      </c>
      <c r="H13" s="138">
        <f t="shared" si="1"/>
        <v>599.99999999999807</v>
      </c>
      <c r="I13" s="138">
        <f t="shared" si="1"/>
        <v>599.99999999999807</v>
      </c>
      <c r="J13" s="138">
        <f t="shared" si="1"/>
        <v>599.99999999999807</v>
      </c>
      <c r="K13" s="138">
        <f t="shared" si="1"/>
        <v>599.99999999999807</v>
      </c>
      <c r="L13" s="138">
        <f t="shared" si="1"/>
        <v>479.99999999999847</v>
      </c>
      <c r="M13" s="138">
        <f t="shared" si="1"/>
        <v>479.99999999999847</v>
      </c>
      <c r="N13" s="138">
        <f t="shared" si="1"/>
        <v>225.69809904522816</v>
      </c>
      <c r="O13" s="138">
        <f t="shared" si="1"/>
        <v>479.99999999999847</v>
      </c>
      <c r="P13" s="138">
        <f t="shared" si="1"/>
        <v>599.99999999999807</v>
      </c>
      <c r="Q13" s="138">
        <f t="shared" si="1"/>
        <v>599.99999999999807</v>
      </c>
      <c r="R13" s="138">
        <f t="shared" si="1"/>
        <v>599.99999999999807</v>
      </c>
      <c r="S13" s="138">
        <f t="shared" si="1"/>
        <v>599.99999999999807</v>
      </c>
      <c r="T13" s="138">
        <f t="shared" si="1"/>
        <v>1.9326762412674725E-12</v>
      </c>
      <c r="U13" s="138">
        <f t="shared" si="1"/>
        <v>599.99999999999807</v>
      </c>
      <c r="V13" s="138">
        <f t="shared" si="1"/>
        <v>599.99999999999807</v>
      </c>
      <c r="W13" s="138">
        <f t="shared" si="1"/>
        <v>599.99999999999807</v>
      </c>
      <c r="X13" s="138">
        <f t="shared" si="1"/>
        <v>599.99999999999807</v>
      </c>
      <c r="Y13" s="138">
        <f t="shared" si="1"/>
        <v>599.99999999999807</v>
      </c>
      <c r="Z13" s="138">
        <f t="shared" si="1"/>
        <v>599.99999999999807</v>
      </c>
      <c r="AA13" s="138">
        <f t="shared" si="1"/>
        <v>599.99999999999807</v>
      </c>
      <c r="AB13" s="138">
        <f t="shared" si="1"/>
        <v>599.99999999999807</v>
      </c>
      <c r="AC13" s="138">
        <f t="shared" si="1"/>
        <v>599.99999999999807</v>
      </c>
      <c r="AD13" s="138">
        <f t="shared" si="1"/>
        <v>599.99999999999807</v>
      </c>
      <c r="AE13" s="138">
        <f t="shared" si="1"/>
        <v>599.99999999999807</v>
      </c>
      <c r="AF13" s="138">
        <f t="shared" si="1"/>
        <v>599.99999999999807</v>
      </c>
      <c r="AG13" s="138">
        <f t="shared" si="1"/>
        <v>599.99999999999807</v>
      </c>
      <c r="AH13" s="138">
        <f t="shared" si="1"/>
        <v>599.99999999999807</v>
      </c>
      <c r="AI13" s="138">
        <f t="shared" si="1"/>
        <v>599.99999999999807</v>
      </c>
      <c r="AJ13" s="138">
        <f t="shared" si="1"/>
        <v>599.99999999999807</v>
      </c>
      <c r="AK13" s="138">
        <f t="shared" si="1"/>
        <v>599.99999999999807</v>
      </c>
      <c r="AL13" s="138">
        <f t="shared" si="1"/>
        <v>599.99999999999807</v>
      </c>
      <c r="AM13" s="138">
        <f t="shared" si="1"/>
        <v>599.99999999999807</v>
      </c>
      <c r="AN13" s="138">
        <f t="shared" si="1"/>
        <v>1.9326762412674725E-12</v>
      </c>
      <c r="AO13" s="138">
        <f t="shared" si="1"/>
        <v>599.99999999999807</v>
      </c>
      <c r="AP13" s="138">
        <f t="shared" si="1"/>
        <v>599.99999999999807</v>
      </c>
      <c r="AQ13" s="138">
        <f t="shared" si="1"/>
        <v>599.99999999999807</v>
      </c>
      <c r="AR13" s="138">
        <f t="shared" si="1"/>
        <v>599.99999999999807</v>
      </c>
      <c r="AS13" s="138">
        <f t="shared" si="1"/>
        <v>599.99999999999807</v>
      </c>
      <c r="AT13" s="138">
        <f t="shared" si="1"/>
        <v>599.99999999999807</v>
      </c>
      <c r="AU13" s="138">
        <f t="shared" si="1"/>
        <v>599.99999999999807</v>
      </c>
      <c r="AV13" s="138">
        <f t="shared" si="1"/>
        <v>599.99999999999807</v>
      </c>
      <c r="AW13" s="138">
        <f t="shared" si="1"/>
        <v>599.99999999999807</v>
      </c>
      <c r="AX13" s="138">
        <f t="shared" si="1"/>
        <v>599.99999999999807</v>
      </c>
      <c r="AY13" s="138">
        <f t="shared" si="1"/>
        <v>599.99999999999807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599.99999999999807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599.99999999999807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 t="s">
        <v>339</v>
      </c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 t="s">
        <v>339</v>
      </c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0.4408624230280902</v>
      </c>
      <c r="C21" s="156" t="s">
        <v>293</v>
      </c>
      <c r="D21" s="106">
        <f>IF(C$20="Yes",0,SUM(C$13:C$16)*$B$21)</f>
        <v>264.51745381685413</v>
      </c>
      <c r="E21" s="106">
        <f t="shared" ref="E21:AY21" si="3">IF(D$20="Yes",0,SUM(D$13:D$16)*$B$21)</f>
        <v>264.51745381685328</v>
      </c>
      <c r="F21" s="106">
        <f t="shared" si="3"/>
        <v>264.51745381685328</v>
      </c>
      <c r="G21" s="106">
        <f t="shared" si="3"/>
        <v>264.51745381685328</v>
      </c>
      <c r="H21" s="106">
        <f t="shared" si="3"/>
        <v>264.51745381685328</v>
      </c>
      <c r="I21" s="106">
        <f t="shared" si="3"/>
        <v>264.51745381685328</v>
      </c>
      <c r="J21" s="106">
        <f t="shared" si="3"/>
        <v>264.51745381685328</v>
      </c>
      <c r="K21" s="106">
        <f t="shared" si="3"/>
        <v>264.51745381685328</v>
      </c>
      <c r="L21" s="106">
        <f t="shared" si="3"/>
        <v>264.51745381685328</v>
      </c>
      <c r="M21" s="106">
        <f t="shared" si="3"/>
        <v>211.61396305348262</v>
      </c>
      <c r="N21" s="106">
        <f t="shared" si="3"/>
        <v>211.61396305348262</v>
      </c>
      <c r="O21" s="106">
        <f t="shared" si="3"/>
        <v>99.501810817913181</v>
      </c>
      <c r="P21" s="106">
        <f t="shared" si="3"/>
        <v>211.61396305348262</v>
      </c>
      <c r="Q21" s="106">
        <f t="shared" si="3"/>
        <v>264.51745381685328</v>
      </c>
      <c r="R21" s="106">
        <f t="shared" si="3"/>
        <v>264.51745381685328</v>
      </c>
      <c r="S21" s="106">
        <f t="shared" si="3"/>
        <v>264.51745381685328</v>
      </c>
      <c r="T21" s="106">
        <f t="shared" si="3"/>
        <v>0</v>
      </c>
      <c r="U21" s="106">
        <f t="shared" si="3"/>
        <v>264.51745381685413</v>
      </c>
      <c r="V21" s="106">
        <f t="shared" si="3"/>
        <v>264.51745381685328</v>
      </c>
      <c r="W21" s="106">
        <f t="shared" si="3"/>
        <v>264.51745381685328</v>
      </c>
      <c r="X21" s="106">
        <f t="shared" si="3"/>
        <v>264.51745381685328</v>
      </c>
      <c r="Y21" s="106">
        <f t="shared" si="3"/>
        <v>264.51745381685328</v>
      </c>
      <c r="Z21" s="106">
        <f t="shared" si="3"/>
        <v>264.51745381685328</v>
      </c>
      <c r="AA21" s="106">
        <f t="shared" si="3"/>
        <v>264.51745381685328</v>
      </c>
      <c r="AB21" s="106">
        <f t="shared" si="3"/>
        <v>264.51745381685328</v>
      </c>
      <c r="AC21" s="106">
        <f t="shared" si="3"/>
        <v>264.51745381685328</v>
      </c>
      <c r="AD21" s="106">
        <f t="shared" si="3"/>
        <v>264.51745381685328</v>
      </c>
      <c r="AE21" s="106">
        <f t="shared" si="3"/>
        <v>264.51745381685328</v>
      </c>
      <c r="AF21" s="106">
        <f t="shared" si="3"/>
        <v>264.51745381685328</v>
      </c>
      <c r="AG21" s="106">
        <f t="shared" si="3"/>
        <v>264.51745381685328</v>
      </c>
      <c r="AH21" s="106">
        <f t="shared" si="3"/>
        <v>264.51745381685328</v>
      </c>
      <c r="AI21" s="106">
        <f t="shared" si="3"/>
        <v>264.51745381685328</v>
      </c>
      <c r="AJ21" s="106">
        <f t="shared" si="3"/>
        <v>264.51745381685328</v>
      </c>
      <c r="AK21" s="106">
        <f t="shared" si="3"/>
        <v>264.51745381685328</v>
      </c>
      <c r="AL21" s="106">
        <f t="shared" si="3"/>
        <v>264.51745381685328</v>
      </c>
      <c r="AM21" s="106">
        <f t="shared" si="3"/>
        <v>264.51745381685328</v>
      </c>
      <c r="AN21" s="106">
        <f t="shared" si="3"/>
        <v>0</v>
      </c>
      <c r="AO21" s="106">
        <f t="shared" si="3"/>
        <v>264.51745381685413</v>
      </c>
      <c r="AP21" s="106">
        <f t="shared" si="3"/>
        <v>264.51745381685328</v>
      </c>
      <c r="AQ21" s="106">
        <f t="shared" si="3"/>
        <v>264.51745381685328</v>
      </c>
      <c r="AR21" s="106">
        <f t="shared" si="3"/>
        <v>264.51745381685328</v>
      </c>
      <c r="AS21" s="106">
        <f t="shared" si="3"/>
        <v>264.51745381685328</v>
      </c>
      <c r="AT21" s="106">
        <f t="shared" si="3"/>
        <v>264.51745381685328</v>
      </c>
      <c r="AU21" s="106">
        <f t="shared" si="3"/>
        <v>264.51745381685328</v>
      </c>
      <c r="AV21" s="106">
        <f t="shared" si="3"/>
        <v>264.51745381685328</v>
      </c>
      <c r="AW21" s="106">
        <f t="shared" si="3"/>
        <v>264.51745381685328</v>
      </c>
      <c r="AX21" s="106">
        <f t="shared" si="3"/>
        <v>264.51745381685328</v>
      </c>
      <c r="AY21" s="106">
        <f t="shared" si="3"/>
        <v>264.51745381685328</v>
      </c>
      <c r="AZ21" s="157">
        <f>SUM($D21:$AY21)</f>
        <v>11844.076760286205</v>
      </c>
    </row>
    <row r="22" spans="1:52" s="110" customFormat="1">
      <c r="A22" s="158" t="s">
        <v>123</v>
      </c>
      <c r="B22" s="159">
        <f>1-$B$21</f>
        <v>0.5591375769719098</v>
      </c>
      <c r="C22" s="159" t="s">
        <v>293</v>
      </c>
      <c r="D22" s="114">
        <f>IF(C$20="Yes",0,SUM(C$13:C$16)*$B$22)</f>
        <v>335.48254618314587</v>
      </c>
      <c r="E22" s="114">
        <f t="shared" ref="E22:AY22" si="4">IF(D$20="Yes",0,SUM(D$13:D$16)*$B$22)</f>
        <v>335.48254618314479</v>
      </c>
      <c r="F22" s="114">
        <f t="shared" si="4"/>
        <v>335.48254618314479</v>
      </c>
      <c r="G22" s="114">
        <f t="shared" si="4"/>
        <v>335.48254618314479</v>
      </c>
      <c r="H22" s="114">
        <f t="shared" si="4"/>
        <v>335.48254618314479</v>
      </c>
      <c r="I22" s="114">
        <f t="shared" si="4"/>
        <v>335.48254618314479</v>
      </c>
      <c r="J22" s="114">
        <f t="shared" si="4"/>
        <v>335.48254618314479</v>
      </c>
      <c r="K22" s="114">
        <f t="shared" si="4"/>
        <v>335.48254618314479</v>
      </c>
      <c r="L22" s="114">
        <f t="shared" si="4"/>
        <v>335.48254618314479</v>
      </c>
      <c r="M22" s="114">
        <f t="shared" si="4"/>
        <v>268.38603694651584</v>
      </c>
      <c r="N22" s="114">
        <f t="shared" si="4"/>
        <v>268.38603694651584</v>
      </c>
      <c r="O22" s="114">
        <f t="shared" si="4"/>
        <v>126.19628822731498</v>
      </c>
      <c r="P22" s="114">
        <f t="shared" si="4"/>
        <v>268.38603694651584</v>
      </c>
      <c r="Q22" s="114">
        <f t="shared" si="4"/>
        <v>335.48254618314479</v>
      </c>
      <c r="R22" s="114">
        <f t="shared" si="4"/>
        <v>335.48254618314479</v>
      </c>
      <c r="S22" s="114">
        <f t="shared" si="4"/>
        <v>335.48254618314479</v>
      </c>
      <c r="T22" s="114">
        <f t="shared" si="4"/>
        <v>0</v>
      </c>
      <c r="U22" s="114">
        <f t="shared" si="4"/>
        <v>335.48254618314587</v>
      </c>
      <c r="V22" s="114">
        <f t="shared" si="4"/>
        <v>335.48254618314479</v>
      </c>
      <c r="W22" s="114">
        <f t="shared" si="4"/>
        <v>335.48254618314479</v>
      </c>
      <c r="X22" s="114">
        <f t="shared" si="4"/>
        <v>335.48254618314479</v>
      </c>
      <c r="Y22" s="114">
        <f t="shared" si="4"/>
        <v>335.48254618314479</v>
      </c>
      <c r="Z22" s="114">
        <f t="shared" si="4"/>
        <v>335.48254618314479</v>
      </c>
      <c r="AA22" s="114">
        <f t="shared" si="4"/>
        <v>335.48254618314479</v>
      </c>
      <c r="AB22" s="114">
        <f t="shared" si="4"/>
        <v>335.48254618314479</v>
      </c>
      <c r="AC22" s="114">
        <f t="shared" si="4"/>
        <v>335.48254618314479</v>
      </c>
      <c r="AD22" s="114">
        <f t="shared" si="4"/>
        <v>335.48254618314479</v>
      </c>
      <c r="AE22" s="114">
        <f t="shared" si="4"/>
        <v>335.48254618314479</v>
      </c>
      <c r="AF22" s="114">
        <f t="shared" si="4"/>
        <v>335.48254618314479</v>
      </c>
      <c r="AG22" s="114">
        <f t="shared" si="4"/>
        <v>335.48254618314479</v>
      </c>
      <c r="AH22" s="114">
        <f t="shared" si="4"/>
        <v>335.48254618314479</v>
      </c>
      <c r="AI22" s="114">
        <f t="shared" si="4"/>
        <v>335.48254618314479</v>
      </c>
      <c r="AJ22" s="114">
        <f t="shared" si="4"/>
        <v>335.48254618314479</v>
      </c>
      <c r="AK22" s="114">
        <f t="shared" si="4"/>
        <v>335.48254618314479</v>
      </c>
      <c r="AL22" s="114">
        <f t="shared" si="4"/>
        <v>335.48254618314479</v>
      </c>
      <c r="AM22" s="114">
        <f t="shared" si="4"/>
        <v>335.48254618314479</v>
      </c>
      <c r="AN22" s="114">
        <f t="shared" si="4"/>
        <v>0</v>
      </c>
      <c r="AO22" s="114">
        <f t="shared" si="4"/>
        <v>335.48254618314587</v>
      </c>
      <c r="AP22" s="114">
        <f t="shared" si="4"/>
        <v>335.48254618314479</v>
      </c>
      <c r="AQ22" s="114">
        <f t="shared" si="4"/>
        <v>335.48254618314479</v>
      </c>
      <c r="AR22" s="114">
        <f t="shared" si="4"/>
        <v>335.48254618314479</v>
      </c>
      <c r="AS22" s="114">
        <f t="shared" si="4"/>
        <v>335.48254618314479</v>
      </c>
      <c r="AT22" s="114">
        <f t="shared" si="4"/>
        <v>335.48254618314479</v>
      </c>
      <c r="AU22" s="114">
        <f t="shared" si="4"/>
        <v>335.48254618314479</v>
      </c>
      <c r="AV22" s="114">
        <f t="shared" si="4"/>
        <v>335.48254618314479</v>
      </c>
      <c r="AW22" s="114">
        <f t="shared" si="4"/>
        <v>335.48254618314479</v>
      </c>
      <c r="AX22" s="114">
        <f t="shared" si="4"/>
        <v>335.48254618314479</v>
      </c>
      <c r="AY22" s="114">
        <f t="shared" si="4"/>
        <v>335.48254618314479</v>
      </c>
      <c r="AZ22" s="141">
        <f t="shared" ref="AZ22:AZ30" si="5">SUM($D22:$AY22)</f>
        <v>15021.62133875894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529034.90763370821</v>
      </c>
      <c r="E23" s="100">
        <f t="shared" ref="E23:AY23" si="6">E$21*$B$23</f>
        <v>529034.90763370658</v>
      </c>
      <c r="F23" s="100">
        <f t="shared" si="6"/>
        <v>529034.90763370658</v>
      </c>
      <c r="G23" s="100">
        <f t="shared" si="6"/>
        <v>529034.90763370658</v>
      </c>
      <c r="H23" s="100">
        <f t="shared" si="6"/>
        <v>529034.90763370658</v>
      </c>
      <c r="I23" s="100">
        <f t="shared" si="6"/>
        <v>529034.90763370658</v>
      </c>
      <c r="J23" s="100">
        <f t="shared" si="6"/>
        <v>529034.90763370658</v>
      </c>
      <c r="K23" s="100">
        <f t="shared" si="6"/>
        <v>529034.90763370658</v>
      </c>
      <c r="L23" s="100">
        <f t="shared" si="6"/>
        <v>529034.90763370658</v>
      </c>
      <c r="M23" s="100">
        <f t="shared" si="6"/>
        <v>423227.92610696523</v>
      </c>
      <c r="N23" s="100">
        <f t="shared" si="6"/>
        <v>423227.92610696523</v>
      </c>
      <c r="O23" s="100">
        <f t="shared" si="6"/>
        <v>199003.62163582636</v>
      </c>
      <c r="P23" s="100">
        <f t="shared" si="6"/>
        <v>423227.92610696523</v>
      </c>
      <c r="Q23" s="100">
        <f t="shared" si="6"/>
        <v>529034.90763370658</v>
      </c>
      <c r="R23" s="100">
        <f t="shared" si="6"/>
        <v>529034.90763370658</v>
      </c>
      <c r="S23" s="100">
        <f t="shared" si="6"/>
        <v>529034.90763370658</v>
      </c>
      <c r="T23" s="100">
        <f t="shared" si="6"/>
        <v>0</v>
      </c>
      <c r="U23" s="100">
        <f t="shared" si="6"/>
        <v>529034.90763370821</v>
      </c>
      <c r="V23" s="100">
        <f t="shared" si="6"/>
        <v>529034.90763370658</v>
      </c>
      <c r="W23" s="100">
        <f t="shared" si="6"/>
        <v>529034.90763370658</v>
      </c>
      <c r="X23" s="100">
        <f t="shared" si="6"/>
        <v>529034.90763370658</v>
      </c>
      <c r="Y23" s="100">
        <f t="shared" si="6"/>
        <v>529034.90763370658</v>
      </c>
      <c r="Z23" s="100">
        <f t="shared" si="6"/>
        <v>529034.90763370658</v>
      </c>
      <c r="AA23" s="100">
        <f t="shared" si="6"/>
        <v>529034.90763370658</v>
      </c>
      <c r="AB23" s="100">
        <f t="shared" si="6"/>
        <v>529034.90763370658</v>
      </c>
      <c r="AC23" s="100">
        <f t="shared" si="6"/>
        <v>529034.90763370658</v>
      </c>
      <c r="AD23" s="100">
        <f t="shared" si="6"/>
        <v>529034.90763370658</v>
      </c>
      <c r="AE23" s="100">
        <f t="shared" si="6"/>
        <v>529034.90763370658</v>
      </c>
      <c r="AF23" s="100">
        <f t="shared" si="6"/>
        <v>529034.90763370658</v>
      </c>
      <c r="AG23" s="100">
        <f t="shared" si="6"/>
        <v>529034.90763370658</v>
      </c>
      <c r="AH23" s="100">
        <f t="shared" si="6"/>
        <v>529034.90763370658</v>
      </c>
      <c r="AI23" s="100">
        <f t="shared" si="6"/>
        <v>529034.90763370658</v>
      </c>
      <c r="AJ23" s="100">
        <f t="shared" si="6"/>
        <v>529034.90763370658</v>
      </c>
      <c r="AK23" s="100">
        <f t="shared" si="6"/>
        <v>529034.90763370658</v>
      </c>
      <c r="AL23" s="100">
        <f t="shared" si="6"/>
        <v>529034.90763370658</v>
      </c>
      <c r="AM23" s="100">
        <f t="shared" si="6"/>
        <v>529034.90763370658</v>
      </c>
      <c r="AN23" s="100">
        <f t="shared" si="6"/>
        <v>0</v>
      </c>
      <c r="AO23" s="100">
        <f t="shared" si="6"/>
        <v>529034.90763370821</v>
      </c>
      <c r="AP23" s="100">
        <f t="shared" si="6"/>
        <v>529034.90763370658</v>
      </c>
      <c r="AQ23" s="100">
        <f t="shared" si="6"/>
        <v>529034.90763370658</v>
      </c>
      <c r="AR23" s="100">
        <f t="shared" si="6"/>
        <v>529034.90763370658</v>
      </c>
      <c r="AS23" s="100">
        <f t="shared" si="6"/>
        <v>529034.90763370658</v>
      </c>
      <c r="AT23" s="100">
        <f t="shared" si="6"/>
        <v>529034.90763370658</v>
      </c>
      <c r="AU23" s="100">
        <f t="shared" si="6"/>
        <v>529034.90763370658</v>
      </c>
      <c r="AV23" s="100">
        <f t="shared" si="6"/>
        <v>529034.90763370658</v>
      </c>
      <c r="AW23" s="100">
        <f t="shared" si="6"/>
        <v>529034.90763370658</v>
      </c>
      <c r="AX23" s="100">
        <f t="shared" si="6"/>
        <v>529034.90763370658</v>
      </c>
      <c r="AY23" s="100">
        <f t="shared" si="6"/>
        <v>529034.90763370658</v>
      </c>
      <c r="AZ23" s="139">
        <f t="shared" si="5"/>
        <v>23688153.520572409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335482.5461831459</v>
      </c>
      <c r="E24" s="106">
        <f t="shared" ref="E24:AY24" si="7">E$22*$B$24</f>
        <v>335482.54618314479</v>
      </c>
      <c r="F24" s="106">
        <f t="shared" si="7"/>
        <v>335482.54618314479</v>
      </c>
      <c r="G24" s="106">
        <f t="shared" si="7"/>
        <v>335482.54618314479</v>
      </c>
      <c r="H24" s="106">
        <f t="shared" si="7"/>
        <v>335482.54618314479</v>
      </c>
      <c r="I24" s="106">
        <f t="shared" si="7"/>
        <v>335482.54618314479</v>
      </c>
      <c r="J24" s="106">
        <f t="shared" si="7"/>
        <v>335482.54618314479</v>
      </c>
      <c r="K24" s="106">
        <f t="shared" si="7"/>
        <v>335482.54618314479</v>
      </c>
      <c r="L24" s="106">
        <f t="shared" si="7"/>
        <v>335482.54618314479</v>
      </c>
      <c r="M24" s="106">
        <f t="shared" si="7"/>
        <v>268386.03694651584</v>
      </c>
      <c r="N24" s="106">
        <f t="shared" si="7"/>
        <v>268386.03694651584</v>
      </c>
      <c r="O24" s="106">
        <f t="shared" si="7"/>
        <v>126196.28822731497</v>
      </c>
      <c r="P24" s="106">
        <f t="shared" si="7"/>
        <v>268386.03694651584</v>
      </c>
      <c r="Q24" s="106">
        <f t="shared" si="7"/>
        <v>335482.54618314479</v>
      </c>
      <c r="R24" s="106">
        <f t="shared" si="7"/>
        <v>335482.54618314479</v>
      </c>
      <c r="S24" s="106">
        <f t="shared" si="7"/>
        <v>335482.54618314479</v>
      </c>
      <c r="T24" s="106">
        <f t="shared" si="7"/>
        <v>0</v>
      </c>
      <c r="U24" s="106">
        <f t="shared" si="7"/>
        <v>335482.5461831459</v>
      </c>
      <c r="V24" s="106">
        <f t="shared" si="7"/>
        <v>335482.54618314479</v>
      </c>
      <c r="W24" s="106">
        <f t="shared" si="7"/>
        <v>335482.54618314479</v>
      </c>
      <c r="X24" s="106">
        <f t="shared" si="7"/>
        <v>335482.54618314479</v>
      </c>
      <c r="Y24" s="106">
        <f t="shared" si="7"/>
        <v>335482.54618314479</v>
      </c>
      <c r="Z24" s="106">
        <f t="shared" si="7"/>
        <v>335482.54618314479</v>
      </c>
      <c r="AA24" s="106">
        <f t="shared" si="7"/>
        <v>335482.54618314479</v>
      </c>
      <c r="AB24" s="106">
        <f t="shared" si="7"/>
        <v>335482.54618314479</v>
      </c>
      <c r="AC24" s="106">
        <f t="shared" si="7"/>
        <v>335482.54618314479</v>
      </c>
      <c r="AD24" s="106">
        <f t="shared" si="7"/>
        <v>335482.54618314479</v>
      </c>
      <c r="AE24" s="106">
        <f t="shared" si="7"/>
        <v>335482.54618314479</v>
      </c>
      <c r="AF24" s="106">
        <f t="shared" si="7"/>
        <v>335482.54618314479</v>
      </c>
      <c r="AG24" s="106">
        <f t="shared" si="7"/>
        <v>335482.54618314479</v>
      </c>
      <c r="AH24" s="106">
        <f t="shared" si="7"/>
        <v>335482.54618314479</v>
      </c>
      <c r="AI24" s="106">
        <f t="shared" si="7"/>
        <v>335482.54618314479</v>
      </c>
      <c r="AJ24" s="106">
        <f t="shared" si="7"/>
        <v>335482.54618314479</v>
      </c>
      <c r="AK24" s="106">
        <f t="shared" si="7"/>
        <v>335482.54618314479</v>
      </c>
      <c r="AL24" s="106">
        <f t="shared" si="7"/>
        <v>335482.54618314479</v>
      </c>
      <c r="AM24" s="106">
        <f t="shared" si="7"/>
        <v>335482.54618314479</v>
      </c>
      <c r="AN24" s="106">
        <f t="shared" si="7"/>
        <v>0</v>
      </c>
      <c r="AO24" s="106">
        <f t="shared" si="7"/>
        <v>335482.5461831459</v>
      </c>
      <c r="AP24" s="106">
        <f t="shared" si="7"/>
        <v>335482.54618314479</v>
      </c>
      <c r="AQ24" s="106">
        <f t="shared" si="7"/>
        <v>335482.54618314479</v>
      </c>
      <c r="AR24" s="106">
        <f t="shared" si="7"/>
        <v>335482.54618314479</v>
      </c>
      <c r="AS24" s="106">
        <f t="shared" si="7"/>
        <v>335482.54618314479</v>
      </c>
      <c r="AT24" s="106">
        <f t="shared" si="7"/>
        <v>335482.54618314479</v>
      </c>
      <c r="AU24" s="106">
        <f t="shared" si="7"/>
        <v>335482.54618314479</v>
      </c>
      <c r="AV24" s="106">
        <f t="shared" si="7"/>
        <v>335482.54618314479</v>
      </c>
      <c r="AW24" s="106">
        <f t="shared" si="7"/>
        <v>335482.54618314479</v>
      </c>
      <c r="AX24" s="106">
        <f t="shared" si="7"/>
        <v>335482.54618314479</v>
      </c>
      <c r="AY24" s="106">
        <f t="shared" si="7"/>
        <v>335482.54618314479</v>
      </c>
      <c r="AZ24" s="141">
        <f t="shared" si="5"/>
        <v>15021621.338758945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13</v>
      </c>
      <c r="D27" s="124">
        <f>C$27-C$28+C$29</f>
        <v>9</v>
      </c>
      <c r="E27" s="124">
        <f t="shared" ref="E27:AY27" si="8">D27-D28+D29</f>
        <v>13</v>
      </c>
      <c r="F27" s="124">
        <f t="shared" si="8"/>
        <v>9</v>
      </c>
      <c r="G27" s="124">
        <f t="shared" si="8"/>
        <v>13</v>
      </c>
      <c r="H27" s="124">
        <f t="shared" si="8"/>
        <v>9</v>
      </c>
      <c r="I27" s="124">
        <f t="shared" si="8"/>
        <v>13</v>
      </c>
      <c r="J27" s="124">
        <f t="shared" si="8"/>
        <v>9</v>
      </c>
      <c r="K27" s="124">
        <f t="shared" si="8"/>
        <v>13</v>
      </c>
      <c r="L27" s="124">
        <f t="shared" si="8"/>
        <v>9</v>
      </c>
      <c r="M27" s="124">
        <f t="shared" si="8"/>
        <v>13</v>
      </c>
      <c r="N27" s="124">
        <f t="shared" si="8"/>
        <v>9</v>
      </c>
      <c r="O27" s="124">
        <f t="shared" si="8"/>
        <v>13</v>
      </c>
      <c r="P27" s="124">
        <f t="shared" si="8"/>
        <v>14</v>
      </c>
      <c r="Q27" s="124">
        <f t="shared" si="8"/>
        <v>8</v>
      </c>
      <c r="R27" s="124">
        <f t="shared" si="8"/>
        <v>14</v>
      </c>
      <c r="S27" s="124">
        <f t="shared" si="8"/>
        <v>8</v>
      </c>
      <c r="T27" s="124">
        <f t="shared" si="8"/>
        <v>14</v>
      </c>
      <c r="U27" s="124">
        <f t="shared" si="8"/>
        <v>22</v>
      </c>
      <c r="V27" s="124">
        <f t="shared" si="8"/>
        <v>1</v>
      </c>
      <c r="W27" s="124">
        <f t="shared" si="8"/>
        <v>21</v>
      </c>
      <c r="X27" s="124">
        <f t="shared" si="8"/>
        <v>1</v>
      </c>
      <c r="Y27" s="124">
        <f t="shared" si="8"/>
        <v>21</v>
      </c>
      <c r="Z27" s="124">
        <f t="shared" si="8"/>
        <v>1</v>
      </c>
      <c r="AA27" s="124">
        <f t="shared" si="8"/>
        <v>21</v>
      </c>
      <c r="AB27" s="124">
        <f t="shared" si="8"/>
        <v>1</v>
      </c>
      <c r="AC27" s="124">
        <f t="shared" si="8"/>
        <v>21</v>
      </c>
      <c r="AD27" s="124">
        <f t="shared" si="8"/>
        <v>1</v>
      </c>
      <c r="AE27" s="124">
        <f t="shared" si="8"/>
        <v>21</v>
      </c>
      <c r="AF27" s="124">
        <f t="shared" si="8"/>
        <v>1</v>
      </c>
      <c r="AG27" s="124">
        <f t="shared" si="8"/>
        <v>21</v>
      </c>
      <c r="AH27" s="124">
        <f t="shared" si="8"/>
        <v>1</v>
      </c>
      <c r="AI27" s="124">
        <f t="shared" si="8"/>
        <v>21</v>
      </c>
      <c r="AJ27" s="124">
        <f t="shared" si="8"/>
        <v>1</v>
      </c>
      <c r="AK27" s="124">
        <f t="shared" si="8"/>
        <v>21</v>
      </c>
      <c r="AL27" s="124">
        <f t="shared" si="8"/>
        <v>1</v>
      </c>
      <c r="AM27" s="124">
        <f t="shared" si="8"/>
        <v>21</v>
      </c>
      <c r="AN27" s="124">
        <f t="shared" si="8"/>
        <v>1</v>
      </c>
      <c r="AO27" s="124">
        <f t="shared" si="8"/>
        <v>22</v>
      </c>
      <c r="AP27" s="124">
        <f t="shared" si="8"/>
        <v>1</v>
      </c>
      <c r="AQ27" s="124">
        <f t="shared" si="8"/>
        <v>21</v>
      </c>
      <c r="AR27" s="124">
        <f t="shared" si="8"/>
        <v>1</v>
      </c>
      <c r="AS27" s="124">
        <f t="shared" si="8"/>
        <v>21</v>
      </c>
      <c r="AT27" s="124">
        <f t="shared" si="8"/>
        <v>1</v>
      </c>
      <c r="AU27" s="124">
        <f t="shared" si="8"/>
        <v>21</v>
      </c>
      <c r="AV27" s="124">
        <f t="shared" si="8"/>
        <v>1</v>
      </c>
      <c r="AW27" s="124">
        <f t="shared" si="8"/>
        <v>21</v>
      </c>
      <c r="AX27" s="124">
        <f t="shared" si="8"/>
        <v>1</v>
      </c>
      <c r="AY27" s="164">
        <f t="shared" si="8"/>
        <v>21</v>
      </c>
      <c r="AZ27" s="106"/>
    </row>
    <row r="28" spans="1:52">
      <c r="B28" s="165" t="s">
        <v>310</v>
      </c>
      <c r="C28" s="110">
        <v>13</v>
      </c>
      <c r="D28" s="110">
        <v>9</v>
      </c>
      <c r="E28" s="110">
        <v>13</v>
      </c>
      <c r="F28" s="110">
        <v>9</v>
      </c>
      <c r="G28" s="110">
        <v>13</v>
      </c>
      <c r="H28" s="110">
        <v>9</v>
      </c>
      <c r="I28" s="110">
        <v>13</v>
      </c>
      <c r="J28" s="110">
        <v>9</v>
      </c>
      <c r="K28" s="110">
        <v>13</v>
      </c>
      <c r="L28" s="110">
        <v>9</v>
      </c>
      <c r="M28" s="110">
        <v>13</v>
      </c>
      <c r="N28" s="110">
        <v>9</v>
      </c>
      <c r="O28" s="110">
        <v>8</v>
      </c>
      <c r="P28" s="110">
        <v>14</v>
      </c>
      <c r="Q28" s="110">
        <v>8</v>
      </c>
      <c r="R28" s="110">
        <v>14</v>
      </c>
      <c r="S28" s="110">
        <v>8</v>
      </c>
      <c r="T28" s="110">
        <v>0</v>
      </c>
      <c r="U28" s="110">
        <v>21</v>
      </c>
      <c r="V28" s="110">
        <v>1</v>
      </c>
      <c r="W28" s="110">
        <v>21</v>
      </c>
      <c r="X28" s="110">
        <v>1</v>
      </c>
      <c r="Y28" s="110">
        <v>21</v>
      </c>
      <c r="Z28" s="110">
        <v>1</v>
      </c>
      <c r="AA28" s="110">
        <v>21</v>
      </c>
      <c r="AB28" s="110">
        <v>1</v>
      </c>
      <c r="AC28" s="110">
        <v>21</v>
      </c>
      <c r="AD28" s="110">
        <v>1</v>
      </c>
      <c r="AE28" s="110">
        <v>21</v>
      </c>
      <c r="AF28" s="110">
        <v>1</v>
      </c>
      <c r="AG28" s="110">
        <v>21</v>
      </c>
      <c r="AH28" s="110">
        <v>1</v>
      </c>
      <c r="AI28" s="110">
        <v>21</v>
      </c>
      <c r="AJ28" s="110">
        <v>1</v>
      </c>
      <c r="AK28" s="110">
        <v>21</v>
      </c>
      <c r="AL28" s="110">
        <v>1</v>
      </c>
      <c r="AM28" s="110">
        <v>21</v>
      </c>
      <c r="AN28" s="110">
        <v>0</v>
      </c>
      <c r="AO28" s="110">
        <v>21</v>
      </c>
      <c r="AP28" s="110">
        <v>1</v>
      </c>
      <c r="AQ28" s="110">
        <v>21</v>
      </c>
      <c r="AR28" s="110">
        <v>1</v>
      </c>
      <c r="AS28" s="110">
        <v>21</v>
      </c>
      <c r="AT28" s="110">
        <v>1</v>
      </c>
      <c r="AU28" s="110">
        <v>21</v>
      </c>
      <c r="AV28" s="110">
        <v>1</v>
      </c>
      <c r="AW28" s="110">
        <v>21</v>
      </c>
      <c r="AX28" s="110">
        <v>1</v>
      </c>
      <c r="AY28" s="166">
        <v>21</v>
      </c>
      <c r="AZ28" s="106"/>
    </row>
    <row r="29" spans="1:52">
      <c r="B29" s="136" t="s">
        <v>311</v>
      </c>
      <c r="C29" s="125">
        <v>9</v>
      </c>
      <c r="D29" s="125">
        <f>C$28</f>
        <v>13</v>
      </c>
      <c r="E29" s="125">
        <f t="shared" ref="E29:AY29" si="9">D$28</f>
        <v>9</v>
      </c>
      <c r="F29" s="125">
        <f t="shared" si="9"/>
        <v>13</v>
      </c>
      <c r="G29" s="125">
        <f t="shared" si="9"/>
        <v>9</v>
      </c>
      <c r="H29" s="125">
        <f t="shared" si="9"/>
        <v>13</v>
      </c>
      <c r="I29" s="125">
        <f t="shared" si="9"/>
        <v>9</v>
      </c>
      <c r="J29" s="125">
        <f t="shared" si="9"/>
        <v>13</v>
      </c>
      <c r="K29" s="125">
        <f t="shared" si="9"/>
        <v>9</v>
      </c>
      <c r="L29" s="125">
        <f t="shared" si="9"/>
        <v>13</v>
      </c>
      <c r="M29" s="125">
        <f t="shared" si="9"/>
        <v>9</v>
      </c>
      <c r="N29" s="125">
        <f t="shared" si="9"/>
        <v>13</v>
      </c>
      <c r="O29" s="125">
        <f t="shared" si="9"/>
        <v>9</v>
      </c>
      <c r="P29" s="125">
        <f t="shared" si="9"/>
        <v>8</v>
      </c>
      <c r="Q29" s="125">
        <f t="shared" si="9"/>
        <v>14</v>
      </c>
      <c r="R29" s="125">
        <f t="shared" si="9"/>
        <v>8</v>
      </c>
      <c r="S29" s="125">
        <f t="shared" si="9"/>
        <v>14</v>
      </c>
      <c r="T29" s="125">
        <f t="shared" si="9"/>
        <v>8</v>
      </c>
      <c r="U29" s="125">
        <f t="shared" si="9"/>
        <v>0</v>
      </c>
      <c r="V29" s="125">
        <f t="shared" si="9"/>
        <v>21</v>
      </c>
      <c r="W29" s="125">
        <f t="shared" si="9"/>
        <v>1</v>
      </c>
      <c r="X29" s="125">
        <f t="shared" si="9"/>
        <v>21</v>
      </c>
      <c r="Y29" s="125">
        <f t="shared" si="9"/>
        <v>1</v>
      </c>
      <c r="Z29" s="125">
        <f t="shared" si="9"/>
        <v>21</v>
      </c>
      <c r="AA29" s="125">
        <f t="shared" si="9"/>
        <v>1</v>
      </c>
      <c r="AB29" s="125">
        <f t="shared" si="9"/>
        <v>21</v>
      </c>
      <c r="AC29" s="125">
        <f t="shared" si="9"/>
        <v>1</v>
      </c>
      <c r="AD29" s="125">
        <f t="shared" si="9"/>
        <v>21</v>
      </c>
      <c r="AE29" s="125">
        <f t="shared" si="9"/>
        <v>1</v>
      </c>
      <c r="AF29" s="125">
        <f t="shared" si="9"/>
        <v>21</v>
      </c>
      <c r="AG29" s="125">
        <f t="shared" si="9"/>
        <v>1</v>
      </c>
      <c r="AH29" s="125">
        <f t="shared" si="9"/>
        <v>21</v>
      </c>
      <c r="AI29" s="125">
        <f t="shared" si="9"/>
        <v>1</v>
      </c>
      <c r="AJ29" s="125">
        <f t="shared" si="9"/>
        <v>21</v>
      </c>
      <c r="AK29" s="125">
        <f t="shared" si="9"/>
        <v>1</v>
      </c>
      <c r="AL29" s="125">
        <f t="shared" si="9"/>
        <v>21</v>
      </c>
      <c r="AM29" s="125">
        <f t="shared" si="9"/>
        <v>1</v>
      </c>
      <c r="AN29" s="125">
        <f t="shared" si="9"/>
        <v>21</v>
      </c>
      <c r="AO29" s="125">
        <f t="shared" si="9"/>
        <v>0</v>
      </c>
      <c r="AP29" s="125">
        <f t="shared" si="9"/>
        <v>21</v>
      </c>
      <c r="AQ29" s="125">
        <f t="shared" si="9"/>
        <v>1</v>
      </c>
      <c r="AR29" s="125">
        <f t="shared" si="9"/>
        <v>21</v>
      </c>
      <c r="AS29" s="125">
        <f t="shared" si="9"/>
        <v>1</v>
      </c>
      <c r="AT29" s="125">
        <f t="shared" si="9"/>
        <v>21</v>
      </c>
      <c r="AU29" s="125">
        <f t="shared" si="9"/>
        <v>1</v>
      </c>
      <c r="AV29" s="125">
        <f t="shared" si="9"/>
        <v>21</v>
      </c>
      <c r="AW29" s="125">
        <f t="shared" si="9"/>
        <v>1</v>
      </c>
      <c r="AX29" s="125">
        <f t="shared" si="9"/>
        <v>21</v>
      </c>
      <c r="AY29" s="167">
        <f t="shared" si="9"/>
        <v>1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90</v>
      </c>
      <c r="E30" s="117">
        <f t="shared" ref="E30:AY30" si="10">E$27*$B$30</f>
        <v>130</v>
      </c>
      <c r="F30" s="117">
        <f t="shared" si="10"/>
        <v>90</v>
      </c>
      <c r="G30" s="117">
        <f t="shared" si="10"/>
        <v>130</v>
      </c>
      <c r="H30" s="117">
        <f t="shared" si="10"/>
        <v>90</v>
      </c>
      <c r="I30" s="117">
        <f t="shared" si="10"/>
        <v>130</v>
      </c>
      <c r="J30" s="117">
        <f t="shared" si="10"/>
        <v>90</v>
      </c>
      <c r="K30" s="117">
        <f t="shared" si="10"/>
        <v>130</v>
      </c>
      <c r="L30" s="117">
        <f t="shared" si="10"/>
        <v>90</v>
      </c>
      <c r="M30" s="117">
        <f t="shared" si="10"/>
        <v>130</v>
      </c>
      <c r="N30" s="117">
        <f t="shared" si="10"/>
        <v>90</v>
      </c>
      <c r="O30" s="117">
        <f t="shared" si="10"/>
        <v>130</v>
      </c>
      <c r="P30" s="117">
        <f t="shared" si="10"/>
        <v>140</v>
      </c>
      <c r="Q30" s="117">
        <f t="shared" si="10"/>
        <v>80</v>
      </c>
      <c r="R30" s="117">
        <f>R$27*$B$30</f>
        <v>140</v>
      </c>
      <c r="S30" s="117">
        <f t="shared" si="10"/>
        <v>80</v>
      </c>
      <c r="T30" s="117">
        <f t="shared" si="10"/>
        <v>140</v>
      </c>
      <c r="U30" s="117">
        <f t="shared" si="10"/>
        <v>220</v>
      </c>
      <c r="V30" s="117">
        <f t="shared" si="10"/>
        <v>10</v>
      </c>
      <c r="W30" s="117">
        <f t="shared" si="10"/>
        <v>210</v>
      </c>
      <c r="X30" s="117">
        <f t="shared" si="10"/>
        <v>10</v>
      </c>
      <c r="Y30" s="117">
        <f t="shared" si="10"/>
        <v>210</v>
      </c>
      <c r="Z30" s="117">
        <f t="shared" si="10"/>
        <v>10</v>
      </c>
      <c r="AA30" s="117">
        <f t="shared" si="10"/>
        <v>210</v>
      </c>
      <c r="AB30" s="117">
        <f t="shared" si="10"/>
        <v>10</v>
      </c>
      <c r="AC30" s="117">
        <f t="shared" si="10"/>
        <v>210</v>
      </c>
      <c r="AD30" s="117">
        <f t="shared" si="10"/>
        <v>10</v>
      </c>
      <c r="AE30" s="117">
        <f>AE$27*$B$30</f>
        <v>210</v>
      </c>
      <c r="AF30" s="117">
        <f t="shared" si="10"/>
        <v>10</v>
      </c>
      <c r="AG30" s="117">
        <f t="shared" si="10"/>
        <v>210</v>
      </c>
      <c r="AH30" s="117">
        <f t="shared" si="10"/>
        <v>10</v>
      </c>
      <c r="AI30" s="117">
        <f t="shared" si="10"/>
        <v>210</v>
      </c>
      <c r="AJ30" s="117">
        <f t="shared" si="10"/>
        <v>10</v>
      </c>
      <c r="AK30" s="117">
        <f t="shared" si="10"/>
        <v>210</v>
      </c>
      <c r="AL30" s="117">
        <f t="shared" si="10"/>
        <v>10</v>
      </c>
      <c r="AM30" s="117">
        <f t="shared" si="10"/>
        <v>210</v>
      </c>
      <c r="AN30" s="117">
        <f t="shared" si="10"/>
        <v>10</v>
      </c>
      <c r="AO30" s="117">
        <f t="shared" si="10"/>
        <v>220</v>
      </c>
      <c r="AP30" s="117">
        <f t="shared" si="10"/>
        <v>10</v>
      </c>
      <c r="AQ30" s="117">
        <f t="shared" si="10"/>
        <v>210</v>
      </c>
      <c r="AR30" s="117">
        <f t="shared" si="10"/>
        <v>10</v>
      </c>
      <c r="AS30" s="117">
        <f t="shared" si="10"/>
        <v>210</v>
      </c>
      <c r="AT30" s="117">
        <f t="shared" si="10"/>
        <v>10</v>
      </c>
      <c r="AU30" s="117">
        <f t="shared" si="10"/>
        <v>210</v>
      </c>
      <c r="AV30" s="117">
        <f t="shared" si="10"/>
        <v>10</v>
      </c>
      <c r="AW30" s="117">
        <f t="shared" si="10"/>
        <v>210</v>
      </c>
      <c r="AX30" s="117">
        <f t="shared" si="10"/>
        <v>10</v>
      </c>
      <c r="AY30" s="117">
        <f t="shared" si="10"/>
        <v>210</v>
      </c>
      <c r="AZ30" s="141">
        <f t="shared" si="5"/>
        <v>5430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112.50288025674743</v>
      </c>
      <c r="E33" s="124">
        <f>E$21*shipping_manufacturing!$D$27/100</f>
        <v>112.50288025674706</v>
      </c>
      <c r="F33" s="124">
        <f>F$21*shipping_manufacturing!$D$27/100</f>
        <v>112.50288025674706</v>
      </c>
      <c r="G33" s="124">
        <f>G$21*shipping_manufacturing!$D$27/100</f>
        <v>112.50288025674706</v>
      </c>
      <c r="H33" s="124">
        <f>H$21*shipping_manufacturing!$D$27/100</f>
        <v>112.50288025674706</v>
      </c>
      <c r="I33" s="124">
        <f>I$21*shipping_manufacturing!$D$27/100</f>
        <v>112.50288025674706</v>
      </c>
      <c r="J33" s="124">
        <f>J$21*shipping_manufacturing!$D$27/100</f>
        <v>112.50288025674706</v>
      </c>
      <c r="K33" s="124">
        <f>K$21*shipping_manufacturing!$D$27/100</f>
        <v>112.50288025674706</v>
      </c>
      <c r="L33" s="124">
        <f>L$21*shipping_manufacturing!$D$27/100</f>
        <v>112.50288025674706</v>
      </c>
      <c r="M33" s="124">
        <f>M$21*shipping_manufacturing!$D$27/100</f>
        <v>90.00230420539765</v>
      </c>
      <c r="N33" s="124">
        <f>N$21*shipping_manufacturing!$D$27/100</f>
        <v>90.00230420539765</v>
      </c>
      <c r="O33" s="124">
        <f>O$21*shipping_manufacturing!$D$27/100</f>
        <v>42.319477018434711</v>
      </c>
      <c r="P33" s="124">
        <f>P$21*shipping_manufacturing!$D$27/100</f>
        <v>90.00230420539765</v>
      </c>
      <c r="Q33" s="124">
        <f>Q$21*shipping_manufacturing!$D$27/100</f>
        <v>112.50288025674706</v>
      </c>
      <c r="R33" s="124">
        <f>R$21*shipping_manufacturing!$D$27/100</f>
        <v>112.50288025674706</v>
      </c>
      <c r="S33" s="124">
        <f>S$21*shipping_manufacturing!$D$27/100</f>
        <v>112.50288025674706</v>
      </c>
      <c r="T33" s="124">
        <f>T$21*shipping_manufacturing!$D$27/100</f>
        <v>0</v>
      </c>
      <c r="U33" s="124">
        <f>U$21*shipping_manufacturing!$D$27/100</f>
        <v>112.50288025674743</v>
      </c>
      <c r="V33" s="124">
        <f>V$21*shipping_manufacturing!$D$27/100</f>
        <v>112.50288025674706</v>
      </c>
      <c r="W33" s="124">
        <f>W$21*shipping_manufacturing!$D$27/100</f>
        <v>112.50288025674706</v>
      </c>
      <c r="X33" s="124">
        <f>X$21*shipping_manufacturing!$D$27/100</f>
        <v>112.50288025674706</v>
      </c>
      <c r="Y33" s="124">
        <f>Y$21*shipping_manufacturing!$D$27/100</f>
        <v>112.50288025674706</v>
      </c>
      <c r="Z33" s="124">
        <f>Z$21*shipping_manufacturing!$D$27/100</f>
        <v>112.50288025674706</v>
      </c>
      <c r="AA33" s="124">
        <f>AA$21*shipping_manufacturing!$D$27/100</f>
        <v>112.50288025674706</v>
      </c>
      <c r="AB33" s="124">
        <f>AB$21*shipping_manufacturing!$D$27/100</f>
        <v>112.50288025674706</v>
      </c>
      <c r="AC33" s="124">
        <f>AC$21*shipping_manufacturing!$D$27/100</f>
        <v>112.50288025674706</v>
      </c>
      <c r="AD33" s="124">
        <f>AD$21*shipping_manufacturing!$D$27/100</f>
        <v>112.50288025674706</v>
      </c>
      <c r="AE33" s="124">
        <f>AE$21*shipping_manufacturing!$D$27/100</f>
        <v>112.50288025674706</v>
      </c>
      <c r="AF33" s="124">
        <f>AF$21*shipping_manufacturing!$D$27/100</f>
        <v>112.50288025674706</v>
      </c>
      <c r="AG33" s="124">
        <f>AG$21*shipping_manufacturing!$D$27/100</f>
        <v>112.50288025674706</v>
      </c>
      <c r="AH33" s="124">
        <f>AH$21*shipping_manufacturing!$D$27/100</f>
        <v>112.50288025674706</v>
      </c>
      <c r="AI33" s="124">
        <f>AI$21*shipping_manufacturing!$D$27/100</f>
        <v>112.50288025674706</v>
      </c>
      <c r="AJ33" s="124">
        <f>AJ$21*shipping_manufacturing!$D$27/100</f>
        <v>112.50288025674706</v>
      </c>
      <c r="AK33" s="124">
        <f>AK$21*shipping_manufacturing!$D$27/100</f>
        <v>112.50288025674706</v>
      </c>
      <c r="AL33" s="124">
        <f>AL$21*shipping_manufacturing!$D$27/100</f>
        <v>112.50288025674706</v>
      </c>
      <c r="AM33" s="124">
        <f>AM$21*shipping_manufacturing!$D$27/100</f>
        <v>112.50288025674706</v>
      </c>
      <c r="AN33" s="124">
        <f>AN$21*shipping_manufacturing!$D$27/100</f>
        <v>0</v>
      </c>
      <c r="AO33" s="124">
        <f>AO$21*shipping_manufacturing!$D$27/100</f>
        <v>112.50288025674743</v>
      </c>
      <c r="AP33" s="124">
        <f>AP$21*shipping_manufacturing!$D$27/100</f>
        <v>112.50288025674706</v>
      </c>
      <c r="AQ33" s="124">
        <f>AQ$21*shipping_manufacturing!$D$27/100</f>
        <v>112.50288025674706</v>
      </c>
      <c r="AR33" s="124">
        <f>AR$21*shipping_manufacturing!$D$27/100</f>
        <v>112.50288025674706</v>
      </c>
      <c r="AS33" s="124">
        <f>AS$21*shipping_manufacturing!$D$27/100</f>
        <v>112.50288025674706</v>
      </c>
      <c r="AT33" s="124">
        <f>AT$21*shipping_manufacturing!$D$27/100</f>
        <v>112.50288025674706</v>
      </c>
      <c r="AU33" s="124">
        <f>AU$21*shipping_manufacturing!$D$27/100</f>
        <v>112.50288025674706</v>
      </c>
      <c r="AV33" s="124">
        <f>AV$21*shipping_manufacturing!$D$27/100</f>
        <v>112.50288025674706</v>
      </c>
      <c r="AW33" s="124">
        <f>AW$21*shipping_manufacturing!$D$27/100</f>
        <v>112.50288025674706</v>
      </c>
      <c r="AX33" s="124">
        <f>AX$21*shipping_manufacturing!$D$27/100</f>
        <v>112.50288025674706</v>
      </c>
      <c r="AY33" s="124">
        <f>AY$21*shipping_manufacturing!$D$27/100</f>
        <v>112.50288025674706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117.6472586573055</v>
      </c>
      <c r="E34" s="110">
        <f>E$22*shipping_manufacturing!$E$27/100</f>
        <v>117.64725865730512</v>
      </c>
      <c r="F34" s="110">
        <f>F$22*shipping_manufacturing!$E$27/100</f>
        <v>117.64725865730512</v>
      </c>
      <c r="G34" s="110">
        <f>G$22*shipping_manufacturing!$E$27/100</f>
        <v>117.64725865730512</v>
      </c>
      <c r="H34" s="110">
        <f>H$22*shipping_manufacturing!$E$27/100</f>
        <v>117.64725865730512</v>
      </c>
      <c r="I34" s="110">
        <f>I$22*shipping_manufacturing!$E$27/100</f>
        <v>117.64725865730512</v>
      </c>
      <c r="J34" s="110">
        <f>J$22*shipping_manufacturing!$E$27/100</f>
        <v>117.64725865730512</v>
      </c>
      <c r="K34" s="110">
        <f>K$22*shipping_manufacturing!$E$27/100</f>
        <v>117.64725865730512</v>
      </c>
      <c r="L34" s="110">
        <f>L$22*shipping_manufacturing!$E$27/100</f>
        <v>117.64725865730512</v>
      </c>
      <c r="M34" s="110">
        <f>M$22*shipping_manufacturing!$E$27/100</f>
        <v>94.117806925844107</v>
      </c>
      <c r="N34" s="110">
        <f>N$22*shipping_manufacturing!$E$27/100</f>
        <v>94.117806925844107</v>
      </c>
      <c r="O34" s="110">
        <f>O$22*shipping_manufacturing!$E$27/100</f>
        <v>44.254604394726854</v>
      </c>
      <c r="P34" s="110">
        <f>P$22*shipping_manufacturing!$E$27/100</f>
        <v>94.117806925844107</v>
      </c>
      <c r="Q34" s="110">
        <f>Q$22*shipping_manufacturing!$E$27/100</f>
        <v>117.64725865730512</v>
      </c>
      <c r="R34" s="110">
        <f>R$22*shipping_manufacturing!$E$27/100</f>
        <v>117.64725865730512</v>
      </c>
      <c r="S34" s="110">
        <f>S$22*shipping_manufacturing!$E$27/100</f>
        <v>117.64725865730512</v>
      </c>
      <c r="T34" s="110">
        <f>T$22*shipping_manufacturing!$E$27/100</f>
        <v>0</v>
      </c>
      <c r="U34" s="110">
        <f>U$22*shipping_manufacturing!$E$27/100</f>
        <v>117.6472586573055</v>
      </c>
      <c r="V34" s="110">
        <f>V$22*shipping_manufacturing!$E$27/100</f>
        <v>117.64725865730512</v>
      </c>
      <c r="W34" s="110">
        <f>W$22*shipping_manufacturing!$E$27/100</f>
        <v>117.64725865730512</v>
      </c>
      <c r="X34" s="110">
        <f>X$22*shipping_manufacturing!$E$27/100</f>
        <v>117.64725865730512</v>
      </c>
      <c r="Y34" s="110">
        <f>Y$22*shipping_manufacturing!$E$27/100</f>
        <v>117.64725865730512</v>
      </c>
      <c r="Z34" s="110">
        <f>Z$22*shipping_manufacturing!$E$27/100</f>
        <v>117.64725865730512</v>
      </c>
      <c r="AA34" s="110">
        <f>AA$22*shipping_manufacturing!$E$27/100</f>
        <v>117.64725865730512</v>
      </c>
      <c r="AB34" s="110">
        <f>AB$22*shipping_manufacturing!$E$27/100</f>
        <v>117.64725865730512</v>
      </c>
      <c r="AC34" s="110">
        <f>AC$22*shipping_manufacturing!$E$27/100</f>
        <v>117.64725865730512</v>
      </c>
      <c r="AD34" s="110">
        <f>AD$22*shipping_manufacturing!$E$27/100</f>
        <v>117.64725865730512</v>
      </c>
      <c r="AE34" s="110">
        <f>AE$22*shipping_manufacturing!$E$27/100</f>
        <v>117.64725865730512</v>
      </c>
      <c r="AF34" s="110">
        <f>AF$22*shipping_manufacturing!$E$27/100</f>
        <v>117.64725865730512</v>
      </c>
      <c r="AG34" s="110">
        <f>AG$22*shipping_manufacturing!$E$27/100</f>
        <v>117.64725865730512</v>
      </c>
      <c r="AH34" s="110">
        <f>AH$22*shipping_manufacturing!$E$27/100</f>
        <v>117.64725865730512</v>
      </c>
      <c r="AI34" s="110">
        <f>AI$22*shipping_manufacturing!$E$27/100</f>
        <v>117.64725865730512</v>
      </c>
      <c r="AJ34" s="110">
        <f>AJ$22*shipping_manufacturing!$E$27/100</f>
        <v>117.64725865730512</v>
      </c>
      <c r="AK34" s="110">
        <f>AK$22*shipping_manufacturing!$E$27/100</f>
        <v>117.64725865730512</v>
      </c>
      <c r="AL34" s="110">
        <f>AL$22*shipping_manufacturing!$E$27/100</f>
        <v>117.64725865730512</v>
      </c>
      <c r="AM34" s="110">
        <f>AM$22*shipping_manufacturing!$E$27/100</f>
        <v>117.64725865730512</v>
      </c>
      <c r="AN34" s="110">
        <f>AN$22*shipping_manufacturing!$E$27/100</f>
        <v>0</v>
      </c>
      <c r="AO34" s="110">
        <f>AO$22*shipping_manufacturing!$E$27/100</f>
        <v>117.6472586573055</v>
      </c>
      <c r="AP34" s="110">
        <f>AP$22*shipping_manufacturing!$E$27/100</f>
        <v>117.64725865730512</v>
      </c>
      <c r="AQ34" s="110">
        <f>AQ$22*shipping_manufacturing!$E$27/100</f>
        <v>117.64725865730512</v>
      </c>
      <c r="AR34" s="110">
        <f>AR$22*shipping_manufacturing!$E$27/100</f>
        <v>117.64725865730512</v>
      </c>
      <c r="AS34" s="110">
        <f>AS$22*shipping_manufacturing!$E$27/100</f>
        <v>117.64725865730512</v>
      </c>
      <c r="AT34" s="110">
        <f>AT$22*shipping_manufacturing!$E$27/100</f>
        <v>117.64725865730512</v>
      </c>
      <c r="AU34" s="110">
        <f>AU$22*shipping_manufacturing!$E$27/100</f>
        <v>117.64725865730512</v>
      </c>
      <c r="AV34" s="110">
        <f>AV$22*shipping_manufacturing!$E$27/100</f>
        <v>117.64725865730512</v>
      </c>
      <c r="AW34" s="110">
        <f>AW$22*shipping_manufacturing!$E$27/100</f>
        <v>117.64725865730512</v>
      </c>
      <c r="AX34" s="110">
        <f>AX$22*shipping_manufacturing!$E$27/100</f>
        <v>117.64725865730512</v>
      </c>
      <c r="AY34" s="110">
        <f>AY$22*shipping_manufacturing!$E$27/100</f>
        <v>117.64725865730512</v>
      </c>
    </row>
    <row r="35" spans="1:52">
      <c r="A35" s="110">
        <v>1225</v>
      </c>
      <c r="B35" s="165" t="s">
        <v>343</v>
      </c>
      <c r="C35" s="110"/>
      <c r="D35" s="110">
        <f>SUM(D33:D34)</f>
        <v>230.15013891405295</v>
      </c>
      <c r="E35" s="110">
        <f t="shared" ref="E35:AY35" si="11">SUM(E33:E34)</f>
        <v>230.15013891405218</v>
      </c>
      <c r="F35" s="110">
        <f t="shared" si="11"/>
        <v>230.15013891405218</v>
      </c>
      <c r="G35" s="110">
        <f t="shared" si="11"/>
        <v>230.15013891405218</v>
      </c>
      <c r="H35" s="110">
        <f t="shared" si="11"/>
        <v>230.15013891405218</v>
      </c>
      <c r="I35" s="110">
        <f t="shared" si="11"/>
        <v>230.15013891405218</v>
      </c>
      <c r="J35" s="110">
        <f t="shared" si="11"/>
        <v>230.15013891405218</v>
      </c>
      <c r="K35" s="110">
        <f t="shared" si="11"/>
        <v>230.15013891405218</v>
      </c>
      <c r="L35" s="110">
        <f t="shared" si="11"/>
        <v>230.15013891405218</v>
      </c>
      <c r="M35" s="110">
        <f t="shared" si="11"/>
        <v>184.12011113124174</v>
      </c>
      <c r="N35" s="110">
        <f t="shared" si="11"/>
        <v>184.12011113124174</v>
      </c>
      <c r="O35" s="110">
        <f t="shared" si="11"/>
        <v>86.574081413161565</v>
      </c>
      <c r="P35" s="110">
        <f t="shared" si="11"/>
        <v>184.12011113124174</v>
      </c>
      <c r="Q35" s="110">
        <f t="shared" si="11"/>
        <v>230.15013891405218</v>
      </c>
      <c r="R35" s="110">
        <f t="shared" si="11"/>
        <v>230.15013891405218</v>
      </c>
      <c r="S35" s="110">
        <f t="shared" si="11"/>
        <v>230.15013891405218</v>
      </c>
      <c r="T35" s="110">
        <f t="shared" si="11"/>
        <v>0</v>
      </c>
      <c r="U35" s="110">
        <f t="shared" si="11"/>
        <v>230.15013891405295</v>
      </c>
      <c r="V35" s="110">
        <f t="shared" si="11"/>
        <v>230.15013891405218</v>
      </c>
      <c r="W35" s="110">
        <f t="shared" si="11"/>
        <v>230.15013891405218</v>
      </c>
      <c r="X35" s="110">
        <f t="shared" si="11"/>
        <v>230.15013891405218</v>
      </c>
      <c r="Y35" s="110">
        <f t="shared" si="11"/>
        <v>230.15013891405218</v>
      </c>
      <c r="Z35" s="110">
        <f t="shared" si="11"/>
        <v>230.15013891405218</v>
      </c>
      <c r="AA35" s="110">
        <f t="shared" si="11"/>
        <v>230.15013891405218</v>
      </c>
      <c r="AB35" s="110">
        <f t="shared" si="11"/>
        <v>230.15013891405218</v>
      </c>
      <c r="AC35" s="110">
        <f t="shared" si="11"/>
        <v>230.15013891405218</v>
      </c>
      <c r="AD35" s="110">
        <f t="shared" si="11"/>
        <v>230.15013891405218</v>
      </c>
      <c r="AE35" s="110">
        <f t="shared" si="11"/>
        <v>230.15013891405218</v>
      </c>
      <c r="AF35" s="110">
        <f t="shared" si="11"/>
        <v>230.15013891405218</v>
      </c>
      <c r="AG35" s="110">
        <f t="shared" si="11"/>
        <v>230.15013891405218</v>
      </c>
      <c r="AH35" s="110">
        <f t="shared" si="11"/>
        <v>230.15013891405218</v>
      </c>
      <c r="AI35" s="110">
        <f t="shared" si="11"/>
        <v>230.15013891405218</v>
      </c>
      <c r="AJ35" s="110">
        <f t="shared" si="11"/>
        <v>230.15013891405218</v>
      </c>
      <c r="AK35" s="110">
        <f t="shared" si="11"/>
        <v>230.15013891405218</v>
      </c>
      <c r="AL35" s="110">
        <f t="shared" si="11"/>
        <v>230.15013891405218</v>
      </c>
      <c r="AM35" s="110">
        <f t="shared" si="11"/>
        <v>230.15013891405218</v>
      </c>
      <c r="AN35" s="110">
        <f t="shared" si="11"/>
        <v>0</v>
      </c>
      <c r="AO35" s="110">
        <f t="shared" si="11"/>
        <v>230.15013891405295</v>
      </c>
      <c r="AP35" s="110">
        <f t="shared" si="11"/>
        <v>230.15013891405218</v>
      </c>
      <c r="AQ35" s="110">
        <f t="shared" si="11"/>
        <v>230.15013891405218</v>
      </c>
      <c r="AR35" s="110">
        <f t="shared" si="11"/>
        <v>230.15013891405218</v>
      </c>
      <c r="AS35" s="110">
        <f t="shared" si="11"/>
        <v>230.15013891405218</v>
      </c>
      <c r="AT35" s="110">
        <f t="shared" si="11"/>
        <v>230.15013891405218</v>
      </c>
      <c r="AU35" s="110">
        <f t="shared" si="11"/>
        <v>230.15013891405218</v>
      </c>
      <c r="AV35" s="110">
        <f t="shared" si="11"/>
        <v>230.15013891405218</v>
      </c>
      <c r="AW35" s="110">
        <f t="shared" si="11"/>
        <v>230.15013891405218</v>
      </c>
      <c r="AX35" s="110">
        <f t="shared" si="11"/>
        <v>230.15013891405218</v>
      </c>
      <c r="AY35" s="110">
        <f t="shared" si="11"/>
        <v>230.15013891405218</v>
      </c>
    </row>
    <row r="36" spans="1:52">
      <c r="A36" s="110"/>
      <c r="B36" s="165" t="s">
        <v>344</v>
      </c>
      <c r="C36" s="110"/>
      <c r="D36" s="110">
        <v>29.329431853724078</v>
      </c>
      <c r="E36" s="110">
        <v>58.658863707448155</v>
      </c>
      <c r="F36" s="110">
        <v>29.329431853724078</v>
      </c>
      <c r="G36" s="110">
        <v>58.658863707448155</v>
      </c>
      <c r="H36" s="110">
        <v>29.329431853724078</v>
      </c>
      <c r="I36" s="110">
        <v>58.658863707448155</v>
      </c>
      <c r="J36" s="110">
        <v>29.329431853724078</v>
      </c>
      <c r="K36" s="110">
        <v>58.658863707448155</v>
      </c>
      <c r="L36" s="110">
        <v>29.329431853724078</v>
      </c>
      <c r="M36" s="110">
        <v>73.323579634310207</v>
      </c>
      <c r="N36" s="110">
        <v>43.994147780586118</v>
      </c>
      <c r="O36" s="110">
        <v>42.319477018434711</v>
      </c>
      <c r="P36" s="110">
        <v>73.323579634310207</v>
      </c>
      <c r="Q36" s="110">
        <v>29.329431853724078</v>
      </c>
      <c r="R36" s="110">
        <v>73.323579634310192</v>
      </c>
      <c r="S36" s="110">
        <v>29.329431853724078</v>
      </c>
      <c r="T36" s="110"/>
      <c r="U36" s="110">
        <v>112.50288025674745</v>
      </c>
      <c r="V36" s="110"/>
      <c r="W36" s="110">
        <v>112.50288025674705</v>
      </c>
      <c r="X36" s="110"/>
      <c r="Y36" s="110">
        <v>112.50288025674705</v>
      </c>
      <c r="Z36" s="110"/>
      <c r="AA36" s="110">
        <v>112.50288025674705</v>
      </c>
      <c r="AB36" s="110"/>
      <c r="AC36" s="110">
        <v>112.50288025674705</v>
      </c>
      <c r="AD36" s="110"/>
      <c r="AE36" s="110">
        <v>112.50288025674705</v>
      </c>
      <c r="AF36" s="110"/>
      <c r="AG36" s="110">
        <v>112.50288025674705</v>
      </c>
      <c r="AH36" s="110"/>
      <c r="AI36" s="110">
        <v>112.50288025674705</v>
      </c>
      <c r="AJ36" s="110"/>
      <c r="AK36" s="110">
        <v>112.50288025674705</v>
      </c>
      <c r="AL36" s="110"/>
      <c r="AM36" s="110">
        <v>112.50288025674705</v>
      </c>
      <c r="AN36" s="110"/>
      <c r="AO36" s="110">
        <v>112.50288025674745</v>
      </c>
      <c r="AP36" s="110"/>
      <c r="AQ36" s="110">
        <v>112.50288025674705</v>
      </c>
      <c r="AR36" s="110"/>
      <c r="AS36" s="110">
        <v>112.50288025674705</v>
      </c>
      <c r="AT36" s="110"/>
      <c r="AU36" s="110">
        <v>112.50288025674705</v>
      </c>
      <c r="AV36" s="110"/>
      <c r="AW36" s="110">
        <v>112.50288025674705</v>
      </c>
      <c r="AX36" s="110"/>
      <c r="AY36" s="110">
        <v>112.50288025674705</v>
      </c>
    </row>
    <row r="37" spans="1:52">
      <c r="A37" s="110"/>
      <c r="B37" s="165" t="s">
        <v>345</v>
      </c>
      <c r="C37" s="110"/>
      <c r="D37" s="110">
        <v>30.670568146275919</v>
      </c>
      <c r="E37" s="110">
        <v>61.341136292551845</v>
      </c>
      <c r="F37" s="110">
        <v>30.670568146275922</v>
      </c>
      <c r="G37" s="110">
        <v>61.341136292551845</v>
      </c>
      <c r="H37" s="110">
        <v>30.670568146275922</v>
      </c>
      <c r="I37" s="110">
        <v>61.341136292551845</v>
      </c>
      <c r="J37" s="110">
        <v>30.670568146275922</v>
      </c>
      <c r="K37" s="110">
        <v>61.341136292551845</v>
      </c>
      <c r="L37" s="110">
        <v>30.670568146275922</v>
      </c>
      <c r="M37" s="110">
        <v>76.676420365689822</v>
      </c>
      <c r="N37" s="110">
        <v>46.005852219413889</v>
      </c>
      <c r="O37" s="110">
        <v>44.254604394726854</v>
      </c>
      <c r="P37" s="110">
        <v>76.676420365689822</v>
      </c>
      <c r="Q37" s="110">
        <v>30.670568146275922</v>
      </c>
      <c r="R37" s="110">
        <v>76.676420365689808</v>
      </c>
      <c r="S37" s="110">
        <v>30.670568146275922</v>
      </c>
      <c r="T37" s="110"/>
      <c r="U37" s="110">
        <v>117.6472586573055</v>
      </c>
      <c r="V37" s="110"/>
      <c r="W37" s="110">
        <v>117.64725865730513</v>
      </c>
      <c r="X37" s="110"/>
      <c r="Y37" s="110">
        <v>117.64725865730513</v>
      </c>
      <c r="Z37" s="110"/>
      <c r="AA37" s="110">
        <v>117.64725865730513</v>
      </c>
      <c r="AB37" s="110"/>
      <c r="AC37" s="110">
        <v>117.64725865730513</v>
      </c>
      <c r="AD37" s="110"/>
      <c r="AE37" s="110">
        <v>117.64725865730513</v>
      </c>
      <c r="AF37" s="110"/>
      <c r="AG37" s="110">
        <v>117.64725865730513</v>
      </c>
      <c r="AH37" s="110"/>
      <c r="AI37" s="110">
        <v>117.64725865730513</v>
      </c>
      <c r="AJ37" s="110"/>
      <c r="AK37" s="110">
        <v>117.64725865730513</v>
      </c>
      <c r="AL37" s="110"/>
      <c r="AM37" s="110">
        <v>117.64725865730513</v>
      </c>
      <c r="AN37" s="110"/>
      <c r="AO37" s="110">
        <v>117.6472586573055</v>
      </c>
      <c r="AP37" s="110"/>
      <c r="AQ37" s="110">
        <v>117.64725865730513</v>
      </c>
      <c r="AR37" s="110"/>
      <c r="AS37" s="110">
        <v>117.64725865730513</v>
      </c>
      <c r="AT37" s="110"/>
      <c r="AU37" s="110">
        <v>117.64725865730513</v>
      </c>
      <c r="AV37" s="110"/>
      <c r="AW37" s="110">
        <v>117.64725865730513</v>
      </c>
      <c r="AX37" s="110"/>
      <c r="AY37" s="110">
        <v>117.64725865730513</v>
      </c>
    </row>
    <row r="38" spans="1:52">
      <c r="A38" s="110"/>
      <c r="B38" s="165" t="s">
        <v>346</v>
      </c>
      <c r="C38" s="110"/>
      <c r="D38" s="110">
        <v>2</v>
      </c>
      <c r="E38" s="110">
        <v>4</v>
      </c>
      <c r="F38" s="110">
        <v>2</v>
      </c>
      <c r="G38" s="110">
        <v>4</v>
      </c>
      <c r="H38" s="110">
        <v>2</v>
      </c>
      <c r="I38" s="110">
        <v>4</v>
      </c>
      <c r="J38" s="110">
        <v>2</v>
      </c>
      <c r="K38" s="110">
        <v>4</v>
      </c>
      <c r="L38" s="110">
        <v>2</v>
      </c>
      <c r="M38" s="110">
        <v>5</v>
      </c>
      <c r="N38" s="110">
        <v>3</v>
      </c>
      <c r="O38" s="110">
        <v>3</v>
      </c>
      <c r="P38" s="110">
        <v>5</v>
      </c>
      <c r="Q38" s="110">
        <v>2</v>
      </c>
      <c r="R38" s="110">
        <v>5</v>
      </c>
      <c r="S38" s="110">
        <v>2</v>
      </c>
      <c r="T38" s="110"/>
      <c r="U38" s="110">
        <v>8</v>
      </c>
      <c r="V38" s="110"/>
      <c r="W38" s="110">
        <v>8</v>
      </c>
      <c r="X38" s="110"/>
      <c r="Y38" s="110">
        <v>8</v>
      </c>
      <c r="Z38" s="110"/>
      <c r="AA38" s="110">
        <v>8</v>
      </c>
      <c r="AB38" s="110"/>
      <c r="AC38" s="110">
        <v>8</v>
      </c>
      <c r="AD38" s="110"/>
      <c r="AE38" s="110">
        <v>8</v>
      </c>
      <c r="AF38" s="110"/>
      <c r="AG38" s="110">
        <v>8</v>
      </c>
      <c r="AH38" s="110"/>
      <c r="AI38" s="110">
        <v>8</v>
      </c>
      <c r="AJ38" s="110"/>
      <c r="AK38" s="110">
        <v>8</v>
      </c>
      <c r="AL38" s="110"/>
      <c r="AM38" s="110">
        <v>8</v>
      </c>
      <c r="AN38" s="110"/>
      <c r="AO38" s="110">
        <v>8</v>
      </c>
      <c r="AP38" s="110"/>
      <c r="AQ38" s="110">
        <v>8</v>
      </c>
      <c r="AR38" s="110"/>
      <c r="AS38" s="110">
        <v>8</v>
      </c>
      <c r="AT38" s="110"/>
      <c r="AU38" s="110">
        <v>8</v>
      </c>
      <c r="AV38" s="110"/>
      <c r="AW38" s="110">
        <v>8</v>
      </c>
      <c r="AX38" s="110"/>
      <c r="AY38" s="110">
        <v>8</v>
      </c>
    </row>
    <row r="39" spans="1:52">
      <c r="A39" s="110"/>
      <c r="B39" s="165" t="s">
        <v>347</v>
      </c>
      <c r="C39" s="110"/>
      <c r="D39" s="110">
        <f>D33-D36</f>
        <v>83.173448403023357</v>
      </c>
      <c r="E39" s="110">
        <f t="shared" ref="E39:AY39" si="12">E33-E36</f>
        <v>53.844016549298907</v>
      </c>
      <c r="F39" s="110">
        <f t="shared" si="12"/>
        <v>83.173448403022988</v>
      </c>
      <c r="G39" s="110">
        <f t="shared" si="12"/>
        <v>53.844016549298907</v>
      </c>
      <c r="H39" s="110">
        <f t="shared" si="12"/>
        <v>83.173448403022988</v>
      </c>
      <c r="I39" s="110">
        <f t="shared" si="12"/>
        <v>53.844016549298907</v>
      </c>
      <c r="J39" s="110">
        <f t="shared" si="12"/>
        <v>83.173448403022988</v>
      </c>
      <c r="K39" s="110">
        <f t="shared" si="12"/>
        <v>53.844016549298907</v>
      </c>
      <c r="L39" s="110">
        <f t="shared" si="12"/>
        <v>83.173448403022988</v>
      </c>
      <c r="M39" s="110">
        <f t="shared" si="12"/>
        <v>16.678724571087443</v>
      </c>
      <c r="N39" s="110">
        <f t="shared" si="12"/>
        <v>46.008156424811531</v>
      </c>
      <c r="O39" s="110">
        <f t="shared" si="12"/>
        <v>0</v>
      </c>
      <c r="P39" s="110">
        <f t="shared" si="12"/>
        <v>16.678724571087443</v>
      </c>
      <c r="Q39" s="110">
        <f t="shared" si="12"/>
        <v>83.173448403022988</v>
      </c>
      <c r="R39" s="110">
        <f t="shared" si="12"/>
        <v>39.17930062243687</v>
      </c>
      <c r="S39" s="110">
        <f t="shared" si="12"/>
        <v>83.173448403022988</v>
      </c>
      <c r="T39" s="110">
        <f t="shared" si="12"/>
        <v>0</v>
      </c>
      <c r="U39" s="110">
        <f t="shared" si="12"/>
        <v>0</v>
      </c>
      <c r="V39" s="110">
        <f t="shared" si="12"/>
        <v>112.50288025674706</v>
      </c>
      <c r="W39" s="110">
        <f t="shared" si="12"/>
        <v>0</v>
      </c>
      <c r="X39" s="110">
        <f t="shared" si="12"/>
        <v>112.50288025674706</v>
      </c>
      <c r="Y39" s="110">
        <f t="shared" si="12"/>
        <v>0</v>
      </c>
      <c r="Z39" s="110">
        <f t="shared" si="12"/>
        <v>112.50288025674706</v>
      </c>
      <c r="AA39" s="110">
        <f t="shared" si="12"/>
        <v>0</v>
      </c>
      <c r="AB39" s="110">
        <f t="shared" si="12"/>
        <v>112.50288025674706</v>
      </c>
      <c r="AC39" s="110">
        <f t="shared" si="12"/>
        <v>0</v>
      </c>
      <c r="AD39" s="110">
        <f t="shared" si="12"/>
        <v>112.50288025674706</v>
      </c>
      <c r="AE39" s="110">
        <f t="shared" si="12"/>
        <v>0</v>
      </c>
      <c r="AF39" s="110">
        <f t="shared" si="12"/>
        <v>112.50288025674706</v>
      </c>
      <c r="AG39" s="110">
        <f t="shared" si="12"/>
        <v>0</v>
      </c>
      <c r="AH39" s="110">
        <f t="shared" si="12"/>
        <v>112.50288025674706</v>
      </c>
      <c r="AI39" s="110">
        <f t="shared" si="12"/>
        <v>0</v>
      </c>
      <c r="AJ39" s="110">
        <f t="shared" si="12"/>
        <v>112.50288025674706</v>
      </c>
      <c r="AK39" s="110">
        <f t="shared" si="12"/>
        <v>0</v>
      </c>
      <c r="AL39" s="110">
        <f t="shared" si="12"/>
        <v>112.50288025674706</v>
      </c>
      <c r="AM39" s="110">
        <f t="shared" si="12"/>
        <v>0</v>
      </c>
      <c r="AN39" s="110">
        <f t="shared" si="12"/>
        <v>0</v>
      </c>
      <c r="AO39" s="110">
        <f t="shared" si="12"/>
        <v>0</v>
      </c>
      <c r="AP39" s="110">
        <f t="shared" si="12"/>
        <v>112.50288025674706</v>
      </c>
      <c r="AQ39" s="110">
        <f t="shared" si="12"/>
        <v>0</v>
      </c>
      <c r="AR39" s="110">
        <f t="shared" si="12"/>
        <v>112.50288025674706</v>
      </c>
      <c r="AS39" s="110">
        <f t="shared" si="12"/>
        <v>0</v>
      </c>
      <c r="AT39" s="110">
        <f t="shared" si="12"/>
        <v>112.50288025674706</v>
      </c>
      <c r="AU39" s="110">
        <f t="shared" si="12"/>
        <v>0</v>
      </c>
      <c r="AV39" s="110">
        <f t="shared" si="12"/>
        <v>112.50288025674706</v>
      </c>
      <c r="AW39" s="110">
        <f t="shared" si="12"/>
        <v>0</v>
      </c>
      <c r="AX39" s="110">
        <f t="shared" si="12"/>
        <v>112.50288025674706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86.976690511029574</v>
      </c>
      <c r="E40" s="110">
        <f t="shared" ref="E40:AY40" si="13">E34-E37</f>
        <v>56.306122364753271</v>
      </c>
      <c r="F40" s="110">
        <f t="shared" si="13"/>
        <v>86.97669051102919</v>
      </c>
      <c r="G40" s="110">
        <f t="shared" si="13"/>
        <v>56.306122364753271</v>
      </c>
      <c r="H40" s="110">
        <f t="shared" si="13"/>
        <v>86.97669051102919</v>
      </c>
      <c r="I40" s="110">
        <f t="shared" si="13"/>
        <v>56.306122364753271</v>
      </c>
      <c r="J40" s="110">
        <f t="shared" si="13"/>
        <v>86.97669051102919</v>
      </c>
      <c r="K40" s="110">
        <f t="shared" si="13"/>
        <v>56.306122364753271</v>
      </c>
      <c r="L40" s="110">
        <f t="shared" si="13"/>
        <v>86.97669051102919</v>
      </c>
      <c r="M40" s="110">
        <f t="shared" si="13"/>
        <v>17.441386560154285</v>
      </c>
      <c r="N40" s="110">
        <f t="shared" si="13"/>
        <v>48.111954706430218</v>
      </c>
      <c r="O40" s="110">
        <f t="shared" si="13"/>
        <v>0</v>
      </c>
      <c r="P40" s="110">
        <f t="shared" si="13"/>
        <v>17.441386560154285</v>
      </c>
      <c r="Q40" s="110">
        <f t="shared" si="13"/>
        <v>86.97669051102919</v>
      </c>
      <c r="R40" s="110">
        <f t="shared" si="13"/>
        <v>40.970838291615308</v>
      </c>
      <c r="S40" s="110">
        <f t="shared" si="13"/>
        <v>86.97669051102919</v>
      </c>
      <c r="T40" s="110">
        <f t="shared" si="13"/>
        <v>0</v>
      </c>
      <c r="U40" s="110">
        <f t="shared" si="13"/>
        <v>0</v>
      </c>
      <c r="V40" s="110">
        <f t="shared" si="13"/>
        <v>117.64725865730512</v>
      </c>
      <c r="W40" s="110">
        <f t="shared" si="13"/>
        <v>0</v>
      </c>
      <c r="X40" s="110">
        <f t="shared" si="13"/>
        <v>117.64725865730512</v>
      </c>
      <c r="Y40" s="110">
        <f t="shared" si="13"/>
        <v>0</v>
      </c>
      <c r="Z40" s="110">
        <f t="shared" si="13"/>
        <v>117.64725865730512</v>
      </c>
      <c r="AA40" s="110">
        <f t="shared" si="13"/>
        <v>0</v>
      </c>
      <c r="AB40" s="110">
        <f t="shared" si="13"/>
        <v>117.64725865730512</v>
      </c>
      <c r="AC40" s="110">
        <f t="shared" si="13"/>
        <v>0</v>
      </c>
      <c r="AD40" s="110">
        <f t="shared" si="13"/>
        <v>117.64725865730512</v>
      </c>
      <c r="AE40" s="110">
        <f t="shared" si="13"/>
        <v>0</v>
      </c>
      <c r="AF40" s="110">
        <f t="shared" si="13"/>
        <v>117.64725865730512</v>
      </c>
      <c r="AG40" s="110">
        <f t="shared" si="13"/>
        <v>0</v>
      </c>
      <c r="AH40" s="110">
        <f t="shared" si="13"/>
        <v>117.64725865730512</v>
      </c>
      <c r="AI40" s="110">
        <f t="shared" si="13"/>
        <v>0</v>
      </c>
      <c r="AJ40" s="110">
        <f t="shared" si="13"/>
        <v>117.64725865730512</v>
      </c>
      <c r="AK40" s="110">
        <f t="shared" si="13"/>
        <v>0</v>
      </c>
      <c r="AL40" s="110">
        <f t="shared" si="13"/>
        <v>117.64725865730512</v>
      </c>
      <c r="AM40" s="110">
        <f t="shared" si="13"/>
        <v>0</v>
      </c>
      <c r="AN40" s="110">
        <f t="shared" si="13"/>
        <v>0</v>
      </c>
      <c r="AO40" s="110">
        <f t="shared" si="13"/>
        <v>0</v>
      </c>
      <c r="AP40" s="110">
        <f t="shared" si="13"/>
        <v>117.64725865730512</v>
      </c>
      <c r="AQ40" s="110">
        <f t="shared" si="13"/>
        <v>0</v>
      </c>
      <c r="AR40" s="110">
        <f t="shared" si="13"/>
        <v>117.64725865730512</v>
      </c>
      <c r="AS40" s="110">
        <f t="shared" si="13"/>
        <v>0</v>
      </c>
      <c r="AT40" s="110">
        <f t="shared" si="13"/>
        <v>117.64725865730512</v>
      </c>
      <c r="AU40" s="110">
        <f t="shared" si="13"/>
        <v>0</v>
      </c>
      <c r="AV40" s="110">
        <f t="shared" si="13"/>
        <v>117.64725865730512</v>
      </c>
      <c r="AW40" s="110">
        <f t="shared" si="13"/>
        <v>0</v>
      </c>
      <c r="AX40" s="110">
        <f t="shared" si="13"/>
        <v>117.64725865730512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2</v>
      </c>
      <c r="E41" s="110">
        <v>1</v>
      </c>
      <c r="F41" s="110">
        <v>2</v>
      </c>
      <c r="G41" s="110">
        <v>1</v>
      </c>
      <c r="H41" s="110">
        <v>2</v>
      </c>
      <c r="I41" s="110">
        <v>2</v>
      </c>
      <c r="J41" s="110">
        <v>1</v>
      </c>
      <c r="K41" s="110">
        <v>1</v>
      </c>
      <c r="L41" s="110">
        <v>1</v>
      </c>
      <c r="M41" s="110">
        <v>1</v>
      </c>
      <c r="N41" s="110">
        <v>2</v>
      </c>
      <c r="O41" s="110">
        <v>3</v>
      </c>
      <c r="P41" s="110">
        <v>1</v>
      </c>
      <c r="Q41" s="110">
        <v>3</v>
      </c>
      <c r="R41" s="110">
        <v>2</v>
      </c>
      <c r="S41" s="110">
        <v>2</v>
      </c>
      <c r="T41" s="110">
        <v>1</v>
      </c>
      <c r="U41" s="110">
        <v>1</v>
      </c>
      <c r="V41" s="110">
        <v>3</v>
      </c>
      <c r="W41" s="110">
        <v>2</v>
      </c>
      <c r="X41" s="110">
        <v>1</v>
      </c>
      <c r="Y41" s="110">
        <v>1</v>
      </c>
      <c r="Z41" s="110">
        <v>1</v>
      </c>
      <c r="AA41" s="110">
        <v>2</v>
      </c>
      <c r="AB41" s="110">
        <v>1</v>
      </c>
      <c r="AC41" s="110">
        <v>1</v>
      </c>
      <c r="AD41" s="110">
        <v>2</v>
      </c>
      <c r="AE41" s="110">
        <v>1</v>
      </c>
      <c r="AF41" s="110">
        <v>2</v>
      </c>
      <c r="AG41" s="110">
        <v>2</v>
      </c>
      <c r="AH41" s="110">
        <v>1</v>
      </c>
      <c r="AI41" s="110">
        <v>1</v>
      </c>
      <c r="AJ41" s="110">
        <v>1</v>
      </c>
      <c r="AK41" s="110">
        <v>1</v>
      </c>
      <c r="AL41" s="110">
        <v>1</v>
      </c>
      <c r="AM41" s="110">
        <v>2</v>
      </c>
      <c r="AN41" s="110">
        <v>1</v>
      </c>
      <c r="AO41" s="110">
        <v>1</v>
      </c>
      <c r="AP41" s="110">
        <v>2</v>
      </c>
      <c r="AQ41" s="110">
        <v>1</v>
      </c>
      <c r="AR41" s="110">
        <v>2</v>
      </c>
      <c r="AS41" s="110">
        <v>1</v>
      </c>
      <c r="AT41" s="110">
        <v>1</v>
      </c>
      <c r="AU41" s="110">
        <v>1</v>
      </c>
      <c r="AV41" s="110">
        <v>1</v>
      </c>
      <c r="AW41" s="110">
        <v>1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88200</v>
      </c>
      <c r="E42" s="110">
        <v>176400</v>
      </c>
      <c r="F42" s="110">
        <v>88200</v>
      </c>
      <c r="G42" s="110">
        <v>176400</v>
      </c>
      <c r="H42" s="110">
        <v>88200</v>
      </c>
      <c r="I42" s="110">
        <v>176400</v>
      </c>
      <c r="J42" s="110">
        <v>88200</v>
      </c>
      <c r="K42" s="110">
        <v>176400</v>
      </c>
      <c r="L42" s="110">
        <v>88200</v>
      </c>
      <c r="M42" s="110">
        <v>220500</v>
      </c>
      <c r="N42" s="110">
        <v>132300</v>
      </c>
      <c r="O42" s="110">
        <v>132300</v>
      </c>
      <c r="P42" s="110">
        <v>220500</v>
      </c>
      <c r="Q42" s="110">
        <v>88200</v>
      </c>
      <c r="R42" s="110">
        <v>220500</v>
      </c>
      <c r="S42" s="110">
        <v>88200</v>
      </c>
      <c r="T42" s="110">
        <v>0</v>
      </c>
      <c r="U42" s="110">
        <v>352800</v>
      </c>
      <c r="V42" s="110">
        <v>0</v>
      </c>
      <c r="W42" s="110">
        <v>352800</v>
      </c>
      <c r="X42" s="110">
        <v>0</v>
      </c>
      <c r="Y42" s="110">
        <v>352800</v>
      </c>
      <c r="Z42" s="110">
        <v>0</v>
      </c>
      <c r="AA42" s="110">
        <v>352800</v>
      </c>
      <c r="AB42" s="110">
        <v>0</v>
      </c>
      <c r="AC42" s="110">
        <v>352800</v>
      </c>
      <c r="AD42" s="110">
        <v>0</v>
      </c>
      <c r="AE42" s="110">
        <v>352800</v>
      </c>
      <c r="AF42" s="110">
        <v>0</v>
      </c>
      <c r="AG42" s="110">
        <v>352800</v>
      </c>
      <c r="AH42" s="110">
        <v>0</v>
      </c>
      <c r="AI42" s="110">
        <v>352800</v>
      </c>
      <c r="AJ42" s="110">
        <v>0</v>
      </c>
      <c r="AK42" s="110">
        <v>352800</v>
      </c>
      <c r="AL42" s="110">
        <v>0</v>
      </c>
      <c r="AM42" s="110">
        <v>352800</v>
      </c>
      <c r="AN42" s="110">
        <v>0</v>
      </c>
      <c r="AO42" s="110">
        <v>352800</v>
      </c>
      <c r="AP42" s="110">
        <v>0</v>
      </c>
      <c r="AQ42" s="110">
        <v>352800</v>
      </c>
      <c r="AR42" s="110">
        <v>0</v>
      </c>
      <c r="AS42" s="110">
        <v>352800</v>
      </c>
      <c r="AT42" s="110">
        <v>0</v>
      </c>
      <c r="AU42" s="110">
        <v>352800</v>
      </c>
      <c r="AV42" s="110">
        <v>0</v>
      </c>
      <c r="AW42" s="110">
        <v>352800</v>
      </c>
      <c r="AX42" s="110">
        <v>0</v>
      </c>
      <c r="AY42" s="110">
        <v>352800</v>
      </c>
      <c r="AZ42" s="100">
        <f>SUM($D$42:$AY$42)</f>
        <v>7893900</v>
      </c>
    </row>
    <row r="43" spans="1:52">
      <c r="A43" s="110"/>
      <c r="B43" s="178" t="s">
        <v>351</v>
      </c>
      <c r="C43" s="110"/>
      <c r="D43" s="110">
        <v>135482.04811031467</v>
      </c>
      <c r="E43" s="110">
        <v>87707.048110314048</v>
      </c>
      <c r="F43" s="110">
        <v>135482.04811031403</v>
      </c>
      <c r="G43" s="110">
        <v>87707.048110314048</v>
      </c>
      <c r="H43" s="110">
        <v>135482.04811031403</v>
      </c>
      <c r="I43" s="110">
        <v>87707.048110314048</v>
      </c>
      <c r="J43" s="110">
        <v>135482.04811031403</v>
      </c>
      <c r="K43" s="110">
        <v>87707.048110314048</v>
      </c>
      <c r="L43" s="110">
        <v>135482.04811031403</v>
      </c>
      <c r="M43" s="110">
        <v>27168.138488251225</v>
      </c>
      <c r="N43" s="110">
        <v>74943.138488251236</v>
      </c>
      <c r="O43" s="110">
        <v>0</v>
      </c>
      <c r="P43" s="110">
        <v>27168.138488251225</v>
      </c>
      <c r="Q43" s="110">
        <v>135482.04811031403</v>
      </c>
      <c r="R43" s="110">
        <v>63819.548110314048</v>
      </c>
      <c r="S43" s="110">
        <v>135482.04811031403</v>
      </c>
      <c r="T43" s="110">
        <v>0</v>
      </c>
      <c r="U43" s="110">
        <v>0</v>
      </c>
      <c r="V43" s="110">
        <v>183257.04811031403</v>
      </c>
      <c r="W43" s="110">
        <v>0</v>
      </c>
      <c r="X43" s="110">
        <v>183257.04811031403</v>
      </c>
      <c r="Y43" s="110">
        <v>0</v>
      </c>
      <c r="Z43" s="110">
        <v>183257.04811031403</v>
      </c>
      <c r="AA43" s="110">
        <v>0</v>
      </c>
      <c r="AB43" s="110">
        <v>183257.04811031403</v>
      </c>
      <c r="AC43" s="110">
        <v>0</v>
      </c>
      <c r="AD43" s="110">
        <v>183257.04811031403</v>
      </c>
      <c r="AE43" s="110">
        <v>0</v>
      </c>
      <c r="AF43" s="110">
        <v>183257.04811031403</v>
      </c>
      <c r="AG43" s="110">
        <v>0</v>
      </c>
      <c r="AH43" s="110">
        <v>183257.04811031403</v>
      </c>
      <c r="AI43" s="110">
        <v>0</v>
      </c>
      <c r="AJ43" s="110">
        <v>183257.04811031403</v>
      </c>
      <c r="AK43" s="110">
        <v>0</v>
      </c>
      <c r="AL43" s="110">
        <v>183257.04811031403</v>
      </c>
      <c r="AM43" s="110">
        <v>0</v>
      </c>
      <c r="AN43" s="110">
        <v>0</v>
      </c>
      <c r="AO43" s="110">
        <v>0</v>
      </c>
      <c r="AP43" s="110">
        <v>183257.04811031403</v>
      </c>
      <c r="AQ43" s="110">
        <v>0</v>
      </c>
      <c r="AR43" s="110">
        <v>183257.04811031403</v>
      </c>
      <c r="AS43" s="110">
        <v>0</v>
      </c>
      <c r="AT43" s="110">
        <v>183257.04811031403</v>
      </c>
      <c r="AU43" s="110">
        <v>0</v>
      </c>
      <c r="AV43" s="110">
        <v>183257.04811031403</v>
      </c>
      <c r="AW43" s="110">
        <v>0</v>
      </c>
      <c r="AX43" s="110">
        <v>183257.04811031403</v>
      </c>
      <c r="AY43" s="110">
        <v>0</v>
      </c>
      <c r="AZ43" s="100">
        <f>SUM($D$43:$AY$43)</f>
        <v>4057900.1663329205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152.01457356010673</v>
      </c>
      <c r="E44" s="124">
        <f>E$21*shipping_manufacturing!$D$28/100</f>
        <v>152.01457356010624</v>
      </c>
      <c r="F44" s="124">
        <f>F$21*shipping_manufacturing!$D$28/100</f>
        <v>152.01457356010624</v>
      </c>
      <c r="G44" s="124">
        <f>G$21*shipping_manufacturing!$D$28/100</f>
        <v>152.01457356010624</v>
      </c>
      <c r="H44" s="124">
        <f>H$21*shipping_manufacturing!$D$28/100</f>
        <v>152.01457356010624</v>
      </c>
      <c r="I44" s="124">
        <f>I$21*shipping_manufacturing!$D$28/100</f>
        <v>152.01457356010624</v>
      </c>
      <c r="J44" s="124">
        <f>J$21*shipping_manufacturing!$D$28/100</f>
        <v>152.01457356010624</v>
      </c>
      <c r="K44" s="124">
        <f>K$21*shipping_manufacturing!$D$28/100</f>
        <v>152.01457356010624</v>
      </c>
      <c r="L44" s="124">
        <f>L$21*shipping_manufacturing!$D$28/100</f>
        <v>152.01457356010624</v>
      </c>
      <c r="M44" s="124">
        <f>M$21*shipping_manufacturing!$D$28/100</f>
        <v>121.61165884808499</v>
      </c>
      <c r="N44" s="124">
        <f>N$21*shipping_manufacturing!$D$28/100</f>
        <v>121.61165884808499</v>
      </c>
      <c r="O44" s="124">
        <f>O$21*shipping_manufacturing!$D$28/100</f>
        <v>57.182333799478485</v>
      </c>
      <c r="P44" s="124">
        <f>P$21*shipping_manufacturing!$D$28/100</f>
        <v>121.61165884808499</v>
      </c>
      <c r="Q44" s="124">
        <f>Q$21*shipping_manufacturing!$D$28/100</f>
        <v>152.01457356010624</v>
      </c>
      <c r="R44" s="124">
        <f>R$21*shipping_manufacturing!$D$28/100</f>
        <v>152.01457356010624</v>
      </c>
      <c r="S44" s="124">
        <f>S$21*shipping_manufacturing!$D$28/100</f>
        <v>152.01457356010624</v>
      </c>
      <c r="T44" s="124">
        <f>T$21*shipping_manufacturing!$D$28/100</f>
        <v>0</v>
      </c>
      <c r="U44" s="124">
        <f>U$21*shipping_manufacturing!$D$28/100</f>
        <v>152.01457356010673</v>
      </c>
      <c r="V44" s="124">
        <f>V$21*shipping_manufacturing!$D$28/100</f>
        <v>152.01457356010624</v>
      </c>
      <c r="W44" s="124">
        <f>W$21*shipping_manufacturing!$D$28/100</f>
        <v>152.01457356010624</v>
      </c>
      <c r="X44" s="124">
        <f>X$21*shipping_manufacturing!$D$28/100</f>
        <v>152.01457356010624</v>
      </c>
      <c r="Y44" s="124">
        <f>Y$21*shipping_manufacturing!$D$28/100</f>
        <v>152.01457356010624</v>
      </c>
      <c r="Z44" s="124">
        <f>Z$21*shipping_manufacturing!$D$28/100</f>
        <v>152.01457356010624</v>
      </c>
      <c r="AA44" s="124">
        <f>AA$21*shipping_manufacturing!$D$28/100</f>
        <v>152.01457356010624</v>
      </c>
      <c r="AB44" s="124">
        <f>AB$21*shipping_manufacturing!$D$28/100</f>
        <v>152.01457356010624</v>
      </c>
      <c r="AC44" s="124">
        <f>AC$21*shipping_manufacturing!$D$28/100</f>
        <v>152.01457356010624</v>
      </c>
      <c r="AD44" s="124">
        <f>AD$21*shipping_manufacturing!$D$28/100</f>
        <v>152.01457356010624</v>
      </c>
      <c r="AE44" s="124">
        <f>AE$21*shipping_manufacturing!$D$28/100</f>
        <v>152.01457356010624</v>
      </c>
      <c r="AF44" s="124">
        <f>AF$21*shipping_manufacturing!$D$28/100</f>
        <v>152.01457356010624</v>
      </c>
      <c r="AG44" s="124">
        <f>AG$21*shipping_manufacturing!$D$28/100</f>
        <v>152.01457356010624</v>
      </c>
      <c r="AH44" s="124">
        <f>AH$21*shipping_manufacturing!$D$28/100</f>
        <v>152.01457356010624</v>
      </c>
      <c r="AI44" s="124">
        <f>AI$21*shipping_manufacturing!$D$28/100</f>
        <v>152.01457356010624</v>
      </c>
      <c r="AJ44" s="124">
        <f>AJ$21*shipping_manufacturing!$D$28/100</f>
        <v>152.01457356010624</v>
      </c>
      <c r="AK44" s="124">
        <f>AK$21*shipping_manufacturing!$D$28/100</f>
        <v>152.01457356010624</v>
      </c>
      <c r="AL44" s="124">
        <f>AL$21*shipping_manufacturing!$D$28/100</f>
        <v>152.01457356010624</v>
      </c>
      <c r="AM44" s="124">
        <f>AM$21*shipping_manufacturing!$D$28/100</f>
        <v>152.01457356010624</v>
      </c>
      <c r="AN44" s="124">
        <f>AN$21*shipping_manufacturing!$D$28/100</f>
        <v>0</v>
      </c>
      <c r="AO44" s="124">
        <f>AO$21*shipping_manufacturing!$D$28/100</f>
        <v>152.01457356010673</v>
      </c>
      <c r="AP44" s="124">
        <f>AP$21*shipping_manufacturing!$D$28/100</f>
        <v>152.01457356010624</v>
      </c>
      <c r="AQ44" s="124">
        <f>AQ$21*shipping_manufacturing!$D$28/100</f>
        <v>152.01457356010624</v>
      </c>
      <c r="AR44" s="124">
        <f>AR$21*shipping_manufacturing!$D$28/100</f>
        <v>152.01457356010624</v>
      </c>
      <c r="AS44" s="124">
        <f>AS$21*shipping_manufacturing!$D$28/100</f>
        <v>152.01457356010624</v>
      </c>
      <c r="AT44" s="124">
        <f>AT$21*shipping_manufacturing!$D$28/100</f>
        <v>152.01457356010624</v>
      </c>
      <c r="AU44" s="124">
        <f>AU$21*shipping_manufacturing!$D$28/100</f>
        <v>152.01457356010624</v>
      </c>
      <c r="AV44" s="124">
        <f>AV$21*shipping_manufacturing!$D$28/100</f>
        <v>152.01457356010624</v>
      </c>
      <c r="AW44" s="124">
        <f>AW$21*shipping_manufacturing!$D$28/100</f>
        <v>152.01457356010624</v>
      </c>
      <c r="AX44" s="124">
        <f>AX$21*shipping_manufacturing!$D$28/100</f>
        <v>152.01457356010624</v>
      </c>
      <c r="AY44" s="124">
        <f>AY$21*shipping_manufacturing!$D$28/100</f>
        <v>152.01457356010624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217.83528752584036</v>
      </c>
      <c r="E45" s="110">
        <f>E$22*shipping_manufacturing!$E$28/100</f>
        <v>217.83528752583962</v>
      </c>
      <c r="F45" s="110">
        <f>F$22*shipping_manufacturing!$E$28/100</f>
        <v>217.83528752583962</v>
      </c>
      <c r="G45" s="110">
        <f>G$22*shipping_manufacturing!$E$28/100</f>
        <v>217.83528752583962</v>
      </c>
      <c r="H45" s="110">
        <f>H$22*shipping_manufacturing!$E$28/100</f>
        <v>217.83528752583962</v>
      </c>
      <c r="I45" s="110">
        <f>I$22*shipping_manufacturing!$E$28/100</f>
        <v>217.83528752583962</v>
      </c>
      <c r="J45" s="110">
        <f>J$22*shipping_manufacturing!$E$28/100</f>
        <v>217.83528752583962</v>
      </c>
      <c r="K45" s="110">
        <f>K$22*shipping_manufacturing!$E$28/100</f>
        <v>217.83528752583962</v>
      </c>
      <c r="L45" s="110">
        <f>L$22*shipping_manufacturing!$E$28/100</f>
        <v>217.83528752583962</v>
      </c>
      <c r="M45" s="110">
        <f>M$22*shipping_manufacturing!$E$28/100</f>
        <v>174.26823002067172</v>
      </c>
      <c r="N45" s="110">
        <f>N$22*shipping_manufacturing!$E$28/100</f>
        <v>174.26823002067172</v>
      </c>
      <c r="O45" s="110">
        <f>O$22*shipping_manufacturing!$E$28/100</f>
        <v>81.941683832588112</v>
      </c>
      <c r="P45" s="110">
        <f>P$22*shipping_manufacturing!$E$28/100</f>
        <v>174.26823002067172</v>
      </c>
      <c r="Q45" s="110">
        <f>Q$22*shipping_manufacturing!$E$28/100</f>
        <v>217.83528752583962</v>
      </c>
      <c r="R45" s="110">
        <f>R$22*shipping_manufacturing!$E$28/100</f>
        <v>217.83528752583962</v>
      </c>
      <c r="S45" s="110">
        <f>S$22*shipping_manufacturing!$E$28/100</f>
        <v>217.83528752583962</v>
      </c>
      <c r="T45" s="110">
        <f>T$22*shipping_manufacturing!$E$28/100</f>
        <v>0</v>
      </c>
      <c r="U45" s="110">
        <f>U$22*shipping_manufacturing!$E$28/100</f>
        <v>217.83528752584036</v>
      </c>
      <c r="V45" s="110">
        <f>V$22*shipping_manufacturing!$E$28/100</f>
        <v>217.83528752583962</v>
      </c>
      <c r="W45" s="110">
        <f>W$22*shipping_manufacturing!$E$28/100</f>
        <v>217.83528752583962</v>
      </c>
      <c r="X45" s="110">
        <f>X$22*shipping_manufacturing!$E$28/100</f>
        <v>217.83528752583962</v>
      </c>
      <c r="Y45" s="110">
        <f>Y$22*shipping_manufacturing!$E$28/100</f>
        <v>217.83528752583962</v>
      </c>
      <c r="Z45" s="110">
        <f>Z$22*shipping_manufacturing!$E$28/100</f>
        <v>217.83528752583962</v>
      </c>
      <c r="AA45" s="110">
        <f>AA$22*shipping_manufacturing!$E$28/100</f>
        <v>217.83528752583962</v>
      </c>
      <c r="AB45" s="110">
        <f>AB$22*shipping_manufacturing!$E$28/100</f>
        <v>217.83528752583962</v>
      </c>
      <c r="AC45" s="110">
        <f>AC$22*shipping_manufacturing!$E$28/100</f>
        <v>217.83528752583962</v>
      </c>
      <c r="AD45" s="110">
        <f>AD$22*shipping_manufacturing!$E$28/100</f>
        <v>217.83528752583962</v>
      </c>
      <c r="AE45" s="110">
        <f>AE$22*shipping_manufacturing!$E$28/100</f>
        <v>217.83528752583962</v>
      </c>
      <c r="AF45" s="110">
        <f>AF$22*shipping_manufacturing!$E$28/100</f>
        <v>217.83528752583962</v>
      </c>
      <c r="AG45" s="110">
        <f>AG$22*shipping_manufacturing!$E$28/100</f>
        <v>217.83528752583962</v>
      </c>
      <c r="AH45" s="110">
        <f>AH$22*shipping_manufacturing!$E$28/100</f>
        <v>217.83528752583962</v>
      </c>
      <c r="AI45" s="110">
        <f>AI$22*shipping_manufacturing!$E$28/100</f>
        <v>217.83528752583962</v>
      </c>
      <c r="AJ45" s="110">
        <f>AJ$22*shipping_manufacturing!$E$28/100</f>
        <v>217.83528752583962</v>
      </c>
      <c r="AK45" s="110">
        <f>AK$22*shipping_manufacturing!$E$28/100</f>
        <v>217.83528752583962</v>
      </c>
      <c r="AL45" s="110">
        <f>AL$22*shipping_manufacturing!$E$28/100</f>
        <v>217.83528752583962</v>
      </c>
      <c r="AM45" s="110">
        <f>AM$22*shipping_manufacturing!$E$28/100</f>
        <v>217.83528752583962</v>
      </c>
      <c r="AN45" s="110">
        <f>AN$22*shipping_manufacturing!$E$28/100</f>
        <v>0</v>
      </c>
      <c r="AO45" s="110">
        <f>AO$22*shipping_manufacturing!$E$28/100</f>
        <v>217.83528752584036</v>
      </c>
      <c r="AP45" s="110">
        <f>AP$22*shipping_manufacturing!$E$28/100</f>
        <v>217.83528752583962</v>
      </c>
      <c r="AQ45" s="110">
        <f>AQ$22*shipping_manufacturing!$E$28/100</f>
        <v>217.83528752583962</v>
      </c>
      <c r="AR45" s="110">
        <f>AR$22*shipping_manufacturing!$E$28/100</f>
        <v>217.83528752583962</v>
      </c>
      <c r="AS45" s="110">
        <f>AS$22*shipping_manufacturing!$E$28/100</f>
        <v>217.83528752583962</v>
      </c>
      <c r="AT45" s="110">
        <f>AT$22*shipping_manufacturing!$E$28/100</f>
        <v>217.83528752583962</v>
      </c>
      <c r="AU45" s="110">
        <f>AU$22*shipping_manufacturing!$E$28/100</f>
        <v>217.83528752583962</v>
      </c>
      <c r="AV45" s="110">
        <f>AV$22*shipping_manufacturing!$E$28/100</f>
        <v>217.83528752583962</v>
      </c>
      <c r="AW45" s="110">
        <f>AW$22*shipping_manufacturing!$E$28/100</f>
        <v>217.83528752583962</v>
      </c>
      <c r="AX45" s="110">
        <f>AX$22*shipping_manufacturing!$E$28/100</f>
        <v>217.83528752583962</v>
      </c>
      <c r="AY45" s="110">
        <f>AY$22*shipping_manufacturing!$E$28/100</f>
        <v>217.83528752583962</v>
      </c>
    </row>
    <row r="46" spans="1:52">
      <c r="A46" s="110">
        <v>89</v>
      </c>
      <c r="B46" s="165" t="s">
        <v>343</v>
      </c>
      <c r="C46" s="110"/>
      <c r="D46" s="110">
        <f>SUM(D44:D45)</f>
        <v>369.84986108594705</v>
      </c>
      <c r="E46" s="110">
        <f t="shared" ref="E46:AY46" si="14">SUM(E44:E45)</f>
        <v>369.84986108594586</v>
      </c>
      <c r="F46" s="110">
        <f t="shared" si="14"/>
        <v>369.84986108594586</v>
      </c>
      <c r="G46" s="110">
        <f t="shared" si="14"/>
        <v>369.84986108594586</v>
      </c>
      <c r="H46" s="110">
        <f t="shared" si="14"/>
        <v>369.84986108594586</v>
      </c>
      <c r="I46" s="110">
        <f t="shared" si="14"/>
        <v>369.84986108594586</v>
      </c>
      <c r="J46" s="110">
        <f t="shared" si="14"/>
        <v>369.84986108594586</v>
      </c>
      <c r="K46" s="110">
        <f t="shared" si="14"/>
        <v>369.84986108594586</v>
      </c>
      <c r="L46" s="110">
        <f t="shared" si="14"/>
        <v>369.84986108594586</v>
      </c>
      <c r="M46" s="110">
        <f t="shared" si="14"/>
        <v>295.87988886875672</v>
      </c>
      <c r="N46" s="110">
        <f t="shared" si="14"/>
        <v>295.87988886875672</v>
      </c>
      <c r="O46" s="110">
        <f t="shared" si="14"/>
        <v>139.1240176320666</v>
      </c>
      <c r="P46" s="110">
        <f t="shared" si="14"/>
        <v>295.87988886875672</v>
      </c>
      <c r="Q46" s="110">
        <f t="shared" si="14"/>
        <v>369.84986108594586</v>
      </c>
      <c r="R46" s="110">
        <f t="shared" si="14"/>
        <v>369.84986108594586</v>
      </c>
      <c r="S46" s="110">
        <f t="shared" si="14"/>
        <v>369.84986108594586</v>
      </c>
      <c r="T46" s="110">
        <f t="shared" si="14"/>
        <v>0</v>
      </c>
      <c r="U46" s="110">
        <f t="shared" si="14"/>
        <v>369.84986108594705</v>
      </c>
      <c r="V46" s="110">
        <f t="shared" si="14"/>
        <v>369.84986108594586</v>
      </c>
      <c r="W46" s="110">
        <f t="shared" si="14"/>
        <v>369.84986108594586</v>
      </c>
      <c r="X46" s="110">
        <f t="shared" si="14"/>
        <v>369.84986108594586</v>
      </c>
      <c r="Y46" s="110">
        <f t="shared" si="14"/>
        <v>369.84986108594586</v>
      </c>
      <c r="Z46" s="110">
        <f t="shared" si="14"/>
        <v>369.84986108594586</v>
      </c>
      <c r="AA46" s="110">
        <f t="shared" si="14"/>
        <v>369.84986108594586</v>
      </c>
      <c r="AB46" s="110">
        <f t="shared" si="14"/>
        <v>369.84986108594586</v>
      </c>
      <c r="AC46" s="110">
        <f t="shared" si="14"/>
        <v>369.84986108594586</v>
      </c>
      <c r="AD46" s="110">
        <f t="shared" si="14"/>
        <v>369.84986108594586</v>
      </c>
      <c r="AE46" s="110">
        <f t="shared" si="14"/>
        <v>369.84986108594586</v>
      </c>
      <c r="AF46" s="110">
        <f t="shared" si="14"/>
        <v>369.84986108594586</v>
      </c>
      <c r="AG46" s="110">
        <f t="shared" si="14"/>
        <v>369.84986108594586</v>
      </c>
      <c r="AH46" s="110">
        <f t="shared" si="14"/>
        <v>369.84986108594586</v>
      </c>
      <c r="AI46" s="110">
        <f t="shared" si="14"/>
        <v>369.84986108594586</v>
      </c>
      <c r="AJ46" s="110">
        <f t="shared" si="14"/>
        <v>369.84986108594586</v>
      </c>
      <c r="AK46" s="110">
        <f t="shared" si="14"/>
        <v>369.84986108594586</v>
      </c>
      <c r="AL46" s="110">
        <f t="shared" si="14"/>
        <v>369.84986108594586</v>
      </c>
      <c r="AM46" s="110">
        <f t="shared" si="14"/>
        <v>369.84986108594586</v>
      </c>
      <c r="AN46" s="110">
        <f t="shared" si="14"/>
        <v>0</v>
      </c>
      <c r="AO46" s="110">
        <f t="shared" si="14"/>
        <v>369.84986108594705</v>
      </c>
      <c r="AP46" s="110">
        <f t="shared" si="14"/>
        <v>369.84986108594586</v>
      </c>
      <c r="AQ46" s="110">
        <f t="shared" si="14"/>
        <v>369.84986108594586</v>
      </c>
      <c r="AR46" s="110">
        <f t="shared" si="14"/>
        <v>369.84986108594586</v>
      </c>
      <c r="AS46" s="110">
        <f t="shared" si="14"/>
        <v>369.84986108594586</v>
      </c>
      <c r="AT46" s="110">
        <f t="shared" si="14"/>
        <v>369.84986108594586</v>
      </c>
      <c r="AU46" s="110">
        <f t="shared" si="14"/>
        <v>369.84986108594586</v>
      </c>
      <c r="AV46" s="110">
        <f t="shared" si="14"/>
        <v>369.84986108594586</v>
      </c>
      <c r="AW46" s="110">
        <f t="shared" si="14"/>
        <v>369.84986108594586</v>
      </c>
      <c r="AX46" s="110">
        <f t="shared" si="14"/>
        <v>369.84986108594586</v>
      </c>
      <c r="AY46" s="110">
        <f t="shared" si="14"/>
        <v>369.84986108594586</v>
      </c>
    </row>
    <row r="47" spans="1:52">
      <c r="A47" s="110"/>
      <c r="B47" s="165" t="s">
        <v>344</v>
      </c>
      <c r="C47" s="110"/>
      <c r="D47" s="110">
        <v>86.313566142462363</v>
      </c>
      <c r="E47" s="110">
        <v>110.97458504030877</v>
      </c>
      <c r="F47" s="110">
        <v>86.313566142462378</v>
      </c>
      <c r="G47" s="110">
        <v>110.97458504030877</v>
      </c>
      <c r="H47" s="110">
        <v>86.313566142462378</v>
      </c>
      <c r="I47" s="110">
        <v>110.97458504030877</v>
      </c>
      <c r="J47" s="110">
        <v>86.313566142462378</v>
      </c>
      <c r="K47" s="110">
        <v>110.97458504030877</v>
      </c>
      <c r="L47" s="110">
        <v>86.313566142462378</v>
      </c>
      <c r="M47" s="110">
        <v>98.644075591385558</v>
      </c>
      <c r="N47" s="110">
        <v>73.983056693539169</v>
      </c>
      <c r="O47" s="110">
        <v>57.182333799478485</v>
      </c>
      <c r="P47" s="110">
        <v>110.97458504030875</v>
      </c>
      <c r="Q47" s="110">
        <v>73.983056693539183</v>
      </c>
      <c r="R47" s="110">
        <v>110.97458504030877</v>
      </c>
      <c r="S47" s="110">
        <v>73.983056693539183</v>
      </c>
      <c r="T47" s="110"/>
      <c r="U47" s="110">
        <v>152.01457356010673</v>
      </c>
      <c r="V47" s="110">
        <v>12.330509448923197</v>
      </c>
      <c r="W47" s="110">
        <v>152.01457356010624</v>
      </c>
      <c r="X47" s="110">
        <v>12.330509448923197</v>
      </c>
      <c r="Y47" s="110">
        <v>152.01457356010624</v>
      </c>
      <c r="Z47" s="110">
        <v>12.330509448923197</v>
      </c>
      <c r="AA47" s="110">
        <v>152.01457356010624</v>
      </c>
      <c r="AB47" s="110">
        <v>12.330509448923197</v>
      </c>
      <c r="AC47" s="110">
        <v>152.01457356010624</v>
      </c>
      <c r="AD47" s="110">
        <v>12.330509448923197</v>
      </c>
      <c r="AE47" s="110">
        <v>152.01457356010624</v>
      </c>
      <c r="AF47" s="110">
        <v>12.330509448923197</v>
      </c>
      <c r="AG47" s="110">
        <v>152.01457356010624</v>
      </c>
      <c r="AH47" s="110">
        <v>12.330509448923197</v>
      </c>
      <c r="AI47" s="110">
        <v>152.01457356010624</v>
      </c>
      <c r="AJ47" s="110">
        <v>12.330509448923197</v>
      </c>
      <c r="AK47" s="110">
        <v>152.01457356010624</v>
      </c>
      <c r="AL47" s="110">
        <v>12.330509448923197</v>
      </c>
      <c r="AM47" s="110">
        <v>152.01457356010624</v>
      </c>
      <c r="AN47" s="110"/>
      <c r="AO47" s="110">
        <v>152.01457356010673</v>
      </c>
      <c r="AP47" s="110">
        <v>12.330509448923197</v>
      </c>
      <c r="AQ47" s="110">
        <v>152.01457356010624</v>
      </c>
      <c r="AR47" s="110">
        <v>12.330509448923197</v>
      </c>
      <c r="AS47" s="110">
        <v>152.01457356010624</v>
      </c>
      <c r="AT47" s="110">
        <v>12.330509448923197</v>
      </c>
      <c r="AU47" s="110">
        <v>152.01457356010624</v>
      </c>
      <c r="AV47" s="110">
        <v>12.330509448923197</v>
      </c>
      <c r="AW47" s="110">
        <v>152.01457356010624</v>
      </c>
      <c r="AX47" s="110">
        <v>12.330509448923197</v>
      </c>
      <c r="AY47" s="110">
        <v>152.01457356010624</v>
      </c>
    </row>
    <row r="48" spans="1:52">
      <c r="A48" s="110"/>
      <c r="B48" s="165" t="s">
        <v>345</v>
      </c>
      <c r="C48" s="110"/>
      <c r="D48" s="110">
        <v>123.68643385753764</v>
      </c>
      <c r="E48" s="110">
        <v>159.02541495969123</v>
      </c>
      <c r="F48" s="110">
        <v>123.68643385753764</v>
      </c>
      <c r="G48" s="110">
        <v>159.02541495969123</v>
      </c>
      <c r="H48" s="110">
        <v>123.68643385753764</v>
      </c>
      <c r="I48" s="110">
        <v>159.02541495969123</v>
      </c>
      <c r="J48" s="110">
        <v>123.68643385753764</v>
      </c>
      <c r="K48" s="110">
        <v>159.02541495969123</v>
      </c>
      <c r="L48" s="110">
        <v>123.68643385753764</v>
      </c>
      <c r="M48" s="110">
        <v>141.35592440861444</v>
      </c>
      <c r="N48" s="110">
        <v>106.01694330646083</v>
      </c>
      <c r="O48" s="110">
        <v>81.941683832588112</v>
      </c>
      <c r="P48" s="110">
        <v>159.02541495969123</v>
      </c>
      <c r="Q48" s="110">
        <v>106.01694330646083</v>
      </c>
      <c r="R48" s="110">
        <v>159.02541495969123</v>
      </c>
      <c r="S48" s="110">
        <v>106.01694330646083</v>
      </c>
      <c r="T48" s="110"/>
      <c r="U48" s="110">
        <v>217.83528752584033</v>
      </c>
      <c r="V48" s="110">
        <v>17.669490551076802</v>
      </c>
      <c r="W48" s="110">
        <v>217.83528752583959</v>
      </c>
      <c r="X48" s="110">
        <v>17.669490551076802</v>
      </c>
      <c r="Y48" s="110">
        <v>217.83528752583959</v>
      </c>
      <c r="Z48" s="110">
        <v>17.669490551076802</v>
      </c>
      <c r="AA48" s="110">
        <v>217.83528752583959</v>
      </c>
      <c r="AB48" s="110">
        <v>17.669490551076802</v>
      </c>
      <c r="AC48" s="110">
        <v>217.83528752583959</v>
      </c>
      <c r="AD48" s="110">
        <v>17.669490551076802</v>
      </c>
      <c r="AE48" s="110">
        <v>217.83528752583959</v>
      </c>
      <c r="AF48" s="110">
        <v>17.669490551076802</v>
      </c>
      <c r="AG48" s="110">
        <v>217.83528752583959</v>
      </c>
      <c r="AH48" s="110">
        <v>17.669490551076802</v>
      </c>
      <c r="AI48" s="110">
        <v>217.83528752583959</v>
      </c>
      <c r="AJ48" s="110">
        <v>17.669490551076802</v>
      </c>
      <c r="AK48" s="110">
        <v>217.83528752583959</v>
      </c>
      <c r="AL48" s="110">
        <v>17.669490551076802</v>
      </c>
      <c r="AM48" s="110">
        <v>217.83528752583959</v>
      </c>
      <c r="AN48" s="110"/>
      <c r="AO48" s="110">
        <v>217.83528752584033</v>
      </c>
      <c r="AP48" s="110">
        <v>17.669490551076802</v>
      </c>
      <c r="AQ48" s="110">
        <v>217.83528752583959</v>
      </c>
      <c r="AR48" s="110">
        <v>17.669490551076802</v>
      </c>
      <c r="AS48" s="110">
        <v>217.83528752583959</v>
      </c>
      <c r="AT48" s="110">
        <v>17.669490551076802</v>
      </c>
      <c r="AU48" s="110">
        <v>217.83528752583959</v>
      </c>
      <c r="AV48" s="110">
        <v>17.669490551076802</v>
      </c>
      <c r="AW48" s="110">
        <v>217.83528752583959</v>
      </c>
      <c r="AX48" s="110">
        <v>17.669490551076802</v>
      </c>
      <c r="AY48" s="110">
        <v>217.83528752583959</v>
      </c>
    </row>
    <row r="49" spans="1:52">
      <c r="A49" s="110"/>
      <c r="B49" s="165" t="s">
        <v>346</v>
      </c>
      <c r="C49" s="110"/>
      <c r="D49" s="110">
        <v>7</v>
      </c>
      <c r="E49" s="110">
        <v>9</v>
      </c>
      <c r="F49" s="110">
        <v>7</v>
      </c>
      <c r="G49" s="110">
        <v>9</v>
      </c>
      <c r="H49" s="110">
        <v>7</v>
      </c>
      <c r="I49" s="110">
        <v>9</v>
      </c>
      <c r="J49" s="110">
        <v>7</v>
      </c>
      <c r="K49" s="110">
        <v>9</v>
      </c>
      <c r="L49" s="110">
        <v>7</v>
      </c>
      <c r="M49" s="110">
        <v>8</v>
      </c>
      <c r="N49" s="110">
        <v>6</v>
      </c>
      <c r="O49" s="110">
        <v>5</v>
      </c>
      <c r="P49" s="110">
        <v>9</v>
      </c>
      <c r="Q49" s="110">
        <v>6</v>
      </c>
      <c r="R49" s="110">
        <v>9</v>
      </c>
      <c r="S49" s="110">
        <v>6</v>
      </c>
      <c r="T49" s="110"/>
      <c r="U49" s="110">
        <v>13</v>
      </c>
      <c r="V49" s="110">
        <v>1</v>
      </c>
      <c r="W49" s="110">
        <v>13</v>
      </c>
      <c r="X49" s="110">
        <v>1</v>
      </c>
      <c r="Y49" s="110">
        <v>13</v>
      </c>
      <c r="Z49" s="110">
        <v>1</v>
      </c>
      <c r="AA49" s="110">
        <v>13</v>
      </c>
      <c r="AB49" s="110">
        <v>1</v>
      </c>
      <c r="AC49" s="110">
        <v>13</v>
      </c>
      <c r="AD49" s="110">
        <v>1</v>
      </c>
      <c r="AE49" s="110">
        <v>13</v>
      </c>
      <c r="AF49" s="110">
        <v>1</v>
      </c>
      <c r="AG49" s="110">
        <v>13</v>
      </c>
      <c r="AH49" s="110">
        <v>1</v>
      </c>
      <c r="AI49" s="110">
        <v>13</v>
      </c>
      <c r="AJ49" s="110">
        <v>1</v>
      </c>
      <c r="AK49" s="110">
        <v>13</v>
      </c>
      <c r="AL49" s="110">
        <v>1</v>
      </c>
      <c r="AM49" s="110">
        <v>13</v>
      </c>
      <c r="AN49" s="110"/>
      <c r="AO49" s="110">
        <v>13</v>
      </c>
      <c r="AP49" s="110">
        <v>1</v>
      </c>
      <c r="AQ49" s="110">
        <v>13</v>
      </c>
      <c r="AR49" s="110">
        <v>1</v>
      </c>
      <c r="AS49" s="110">
        <v>13</v>
      </c>
      <c r="AT49" s="110">
        <v>1</v>
      </c>
      <c r="AU49" s="110">
        <v>13</v>
      </c>
      <c r="AV49" s="110">
        <v>1</v>
      </c>
      <c r="AW49" s="110">
        <v>13</v>
      </c>
      <c r="AX49" s="110">
        <v>1</v>
      </c>
      <c r="AY49" s="110">
        <v>13</v>
      </c>
    </row>
    <row r="50" spans="1:52">
      <c r="A50" s="110"/>
      <c r="B50" s="165" t="s">
        <v>347</v>
      </c>
      <c r="C50" s="110"/>
      <c r="D50" s="110">
        <f>D44-D47</f>
        <v>65.701007417644362</v>
      </c>
      <c r="E50" s="110">
        <f t="shared" ref="E50:AY50" si="15">E44-E47</f>
        <v>41.039988519797475</v>
      </c>
      <c r="F50" s="110">
        <f t="shared" si="15"/>
        <v>65.701007417643865</v>
      </c>
      <c r="G50" s="110">
        <f t="shared" si="15"/>
        <v>41.039988519797475</v>
      </c>
      <c r="H50" s="110">
        <f t="shared" si="15"/>
        <v>65.701007417643865</v>
      </c>
      <c r="I50" s="110">
        <f t="shared" si="15"/>
        <v>41.039988519797475</v>
      </c>
      <c r="J50" s="110">
        <f t="shared" si="15"/>
        <v>65.701007417643865</v>
      </c>
      <c r="K50" s="110">
        <f t="shared" si="15"/>
        <v>41.039988519797475</v>
      </c>
      <c r="L50" s="110">
        <f t="shared" si="15"/>
        <v>65.701007417643865</v>
      </c>
      <c r="M50" s="110">
        <f t="shared" si="15"/>
        <v>22.967583256699427</v>
      </c>
      <c r="N50" s="110">
        <f t="shared" si="15"/>
        <v>47.628602154545817</v>
      </c>
      <c r="O50" s="110">
        <f t="shared" si="15"/>
        <v>0</v>
      </c>
      <c r="P50" s="110">
        <f t="shared" si="15"/>
        <v>10.637073807776233</v>
      </c>
      <c r="Q50" s="110">
        <f t="shared" si="15"/>
        <v>78.03151686656706</v>
      </c>
      <c r="R50" s="110">
        <f t="shared" si="15"/>
        <v>41.039988519797475</v>
      </c>
      <c r="S50" s="110">
        <f t="shared" si="15"/>
        <v>78.03151686656706</v>
      </c>
      <c r="T50" s="110">
        <f t="shared" si="15"/>
        <v>0</v>
      </c>
      <c r="U50" s="110">
        <f t="shared" si="15"/>
        <v>0</v>
      </c>
      <c r="V50" s="110">
        <f t="shared" si="15"/>
        <v>139.68406411118303</v>
      </c>
      <c r="W50" s="110">
        <f t="shared" si="15"/>
        <v>0</v>
      </c>
      <c r="X50" s="110">
        <f t="shared" si="15"/>
        <v>139.68406411118303</v>
      </c>
      <c r="Y50" s="110">
        <f t="shared" si="15"/>
        <v>0</v>
      </c>
      <c r="Z50" s="110">
        <f t="shared" si="15"/>
        <v>139.68406411118303</v>
      </c>
      <c r="AA50" s="110">
        <f t="shared" si="15"/>
        <v>0</v>
      </c>
      <c r="AB50" s="110">
        <f t="shared" si="15"/>
        <v>139.68406411118303</v>
      </c>
      <c r="AC50" s="110">
        <f t="shared" si="15"/>
        <v>0</v>
      </c>
      <c r="AD50" s="110">
        <f t="shared" si="15"/>
        <v>139.68406411118303</v>
      </c>
      <c r="AE50" s="110">
        <f t="shared" si="15"/>
        <v>0</v>
      </c>
      <c r="AF50" s="110">
        <f t="shared" si="15"/>
        <v>139.68406411118303</v>
      </c>
      <c r="AG50" s="110">
        <f t="shared" si="15"/>
        <v>0</v>
      </c>
      <c r="AH50" s="110">
        <f t="shared" si="15"/>
        <v>139.68406411118303</v>
      </c>
      <c r="AI50" s="110">
        <f t="shared" si="15"/>
        <v>0</v>
      </c>
      <c r="AJ50" s="110">
        <f t="shared" si="15"/>
        <v>139.68406411118303</v>
      </c>
      <c r="AK50" s="110">
        <f t="shared" si="15"/>
        <v>0</v>
      </c>
      <c r="AL50" s="110">
        <f t="shared" si="15"/>
        <v>139.68406411118303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139.68406411118303</v>
      </c>
      <c r="AQ50" s="110">
        <f t="shared" si="15"/>
        <v>0</v>
      </c>
      <c r="AR50" s="110">
        <f t="shared" si="15"/>
        <v>139.68406411118303</v>
      </c>
      <c r="AS50" s="110">
        <f t="shared" si="15"/>
        <v>0</v>
      </c>
      <c r="AT50" s="110">
        <f t="shared" si="15"/>
        <v>139.68406411118303</v>
      </c>
      <c r="AU50" s="110">
        <f t="shared" si="15"/>
        <v>0</v>
      </c>
      <c r="AV50" s="110">
        <f t="shared" si="15"/>
        <v>139.68406411118303</v>
      </c>
      <c r="AW50" s="110">
        <f t="shared" si="15"/>
        <v>0</v>
      </c>
      <c r="AX50" s="110">
        <f t="shared" si="15"/>
        <v>139.68406411118303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94.148853668302721</v>
      </c>
      <c r="E51" s="110">
        <f t="shared" ref="E51:AY51" si="16">E45-E48</f>
        <v>58.809872566148385</v>
      </c>
      <c r="F51" s="110">
        <f t="shared" si="16"/>
        <v>94.148853668301982</v>
      </c>
      <c r="G51" s="110">
        <f t="shared" si="16"/>
        <v>58.809872566148385</v>
      </c>
      <c r="H51" s="110">
        <f t="shared" si="16"/>
        <v>94.148853668301982</v>
      </c>
      <c r="I51" s="110">
        <f t="shared" si="16"/>
        <v>58.809872566148385</v>
      </c>
      <c r="J51" s="110">
        <f t="shared" si="16"/>
        <v>94.148853668301982</v>
      </c>
      <c r="K51" s="110">
        <f t="shared" si="16"/>
        <v>58.809872566148385</v>
      </c>
      <c r="L51" s="110">
        <f t="shared" si="16"/>
        <v>94.148853668301982</v>
      </c>
      <c r="M51" s="110">
        <f t="shared" si="16"/>
        <v>32.912305612057281</v>
      </c>
      <c r="N51" s="110">
        <f t="shared" si="16"/>
        <v>68.251286714210892</v>
      </c>
      <c r="O51" s="110">
        <f t="shared" si="16"/>
        <v>0</v>
      </c>
      <c r="P51" s="110">
        <f t="shared" si="16"/>
        <v>15.24281506098049</v>
      </c>
      <c r="Q51" s="110">
        <f t="shared" si="16"/>
        <v>111.81834421937879</v>
      </c>
      <c r="R51" s="110">
        <f t="shared" si="16"/>
        <v>58.809872566148385</v>
      </c>
      <c r="S51" s="110">
        <f t="shared" si="16"/>
        <v>111.81834421937879</v>
      </c>
      <c r="T51" s="110">
        <f t="shared" si="16"/>
        <v>0</v>
      </c>
      <c r="U51" s="110">
        <f t="shared" si="16"/>
        <v>0</v>
      </c>
      <c r="V51" s="110">
        <f t="shared" si="16"/>
        <v>200.16579697476283</v>
      </c>
      <c r="W51" s="110">
        <f t="shared" si="16"/>
        <v>0</v>
      </c>
      <c r="X51" s="110">
        <f t="shared" si="16"/>
        <v>200.16579697476283</v>
      </c>
      <c r="Y51" s="110">
        <f t="shared" si="16"/>
        <v>0</v>
      </c>
      <c r="Z51" s="110">
        <f t="shared" si="16"/>
        <v>200.16579697476283</v>
      </c>
      <c r="AA51" s="110">
        <f t="shared" si="16"/>
        <v>0</v>
      </c>
      <c r="AB51" s="110">
        <f t="shared" si="16"/>
        <v>200.16579697476283</v>
      </c>
      <c r="AC51" s="110">
        <f t="shared" si="16"/>
        <v>0</v>
      </c>
      <c r="AD51" s="110">
        <f t="shared" si="16"/>
        <v>200.16579697476283</v>
      </c>
      <c r="AE51" s="110">
        <f t="shared" si="16"/>
        <v>0</v>
      </c>
      <c r="AF51" s="110">
        <f t="shared" si="16"/>
        <v>200.16579697476283</v>
      </c>
      <c r="AG51" s="110">
        <f t="shared" si="16"/>
        <v>0</v>
      </c>
      <c r="AH51" s="110">
        <f t="shared" si="16"/>
        <v>200.16579697476283</v>
      </c>
      <c r="AI51" s="110">
        <f t="shared" si="16"/>
        <v>0</v>
      </c>
      <c r="AJ51" s="110">
        <f t="shared" si="16"/>
        <v>200.16579697476283</v>
      </c>
      <c r="AK51" s="110">
        <f t="shared" si="16"/>
        <v>0</v>
      </c>
      <c r="AL51" s="110">
        <f t="shared" si="16"/>
        <v>200.16579697476283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200.16579697476283</v>
      </c>
      <c r="AQ51" s="110">
        <f t="shared" si="16"/>
        <v>0</v>
      </c>
      <c r="AR51" s="110">
        <f t="shared" si="16"/>
        <v>200.16579697476283</v>
      </c>
      <c r="AS51" s="110">
        <f t="shared" si="16"/>
        <v>0</v>
      </c>
      <c r="AT51" s="110">
        <f t="shared" si="16"/>
        <v>200.16579697476283</v>
      </c>
      <c r="AU51" s="110">
        <f t="shared" si="16"/>
        <v>0</v>
      </c>
      <c r="AV51" s="110">
        <f t="shared" si="16"/>
        <v>200.16579697476283</v>
      </c>
      <c r="AW51" s="110">
        <f t="shared" si="16"/>
        <v>0</v>
      </c>
      <c r="AX51" s="110">
        <f t="shared" si="16"/>
        <v>200.16579697476283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1</v>
      </c>
      <c r="G52" s="110">
        <v>3</v>
      </c>
      <c r="H52" s="110">
        <v>1</v>
      </c>
      <c r="I52" s="110">
        <v>3</v>
      </c>
      <c r="J52" s="110">
        <v>1</v>
      </c>
      <c r="K52" s="110">
        <v>1</v>
      </c>
      <c r="L52" s="110">
        <v>1</v>
      </c>
      <c r="M52" s="110">
        <v>1</v>
      </c>
      <c r="N52" s="110">
        <v>1</v>
      </c>
      <c r="O52" s="110">
        <v>1</v>
      </c>
      <c r="P52" s="110">
        <v>2</v>
      </c>
      <c r="Q52" s="110">
        <v>1</v>
      </c>
      <c r="R52" s="110">
        <v>1</v>
      </c>
      <c r="S52" s="110">
        <v>1</v>
      </c>
      <c r="T52" s="110">
        <v>1</v>
      </c>
      <c r="U52" s="110">
        <v>1</v>
      </c>
      <c r="V52" s="110">
        <v>3</v>
      </c>
      <c r="W52" s="110">
        <v>2</v>
      </c>
      <c r="X52" s="110">
        <v>1</v>
      </c>
      <c r="Y52" s="110">
        <v>2</v>
      </c>
      <c r="Z52" s="110">
        <v>1</v>
      </c>
      <c r="AA52" s="110">
        <v>1</v>
      </c>
      <c r="AB52" s="110">
        <v>1</v>
      </c>
      <c r="AC52" s="110">
        <v>2</v>
      </c>
      <c r="AD52" s="110">
        <v>2</v>
      </c>
      <c r="AE52" s="110">
        <v>2</v>
      </c>
      <c r="AF52" s="110">
        <v>1</v>
      </c>
      <c r="AG52" s="110">
        <v>1</v>
      </c>
      <c r="AH52" s="110">
        <v>2</v>
      </c>
      <c r="AI52" s="110">
        <v>3</v>
      </c>
      <c r="AJ52" s="110">
        <v>2</v>
      </c>
      <c r="AK52" s="110">
        <v>2</v>
      </c>
      <c r="AL52" s="110">
        <v>1</v>
      </c>
      <c r="AM52" s="110">
        <v>1</v>
      </c>
      <c r="AN52" s="110">
        <v>2</v>
      </c>
      <c r="AO52" s="110">
        <v>3</v>
      </c>
      <c r="AP52" s="110">
        <v>2</v>
      </c>
      <c r="AQ52" s="110">
        <v>1</v>
      </c>
      <c r="AR52" s="110">
        <v>1</v>
      </c>
      <c r="AS52" s="110">
        <v>1</v>
      </c>
      <c r="AT52" s="110">
        <v>2</v>
      </c>
      <c r="AU52" s="110">
        <v>2</v>
      </c>
      <c r="AV52" s="110">
        <v>1</v>
      </c>
      <c r="AW52" s="110">
        <v>2</v>
      </c>
      <c r="AX52" s="110">
        <v>1</v>
      </c>
      <c r="AY52" s="110">
        <v>2</v>
      </c>
    </row>
    <row r="53" spans="1:52">
      <c r="A53" s="110"/>
      <c r="B53" s="178" t="s">
        <v>350</v>
      </c>
      <c r="C53" s="110"/>
      <c r="D53" s="110">
        <v>22428</v>
      </c>
      <c r="E53" s="110">
        <v>28836</v>
      </c>
      <c r="F53" s="110">
        <v>22428</v>
      </c>
      <c r="G53" s="110">
        <v>28836</v>
      </c>
      <c r="H53" s="110">
        <v>22428</v>
      </c>
      <c r="I53" s="110">
        <v>28836</v>
      </c>
      <c r="J53" s="110">
        <v>22428</v>
      </c>
      <c r="K53" s="110">
        <v>28836</v>
      </c>
      <c r="L53" s="110">
        <v>22428</v>
      </c>
      <c r="M53" s="110">
        <v>25632</v>
      </c>
      <c r="N53" s="110">
        <v>19224</v>
      </c>
      <c r="O53" s="110">
        <v>16020</v>
      </c>
      <c r="P53" s="110">
        <v>28836</v>
      </c>
      <c r="Q53" s="110">
        <v>19224</v>
      </c>
      <c r="R53" s="110">
        <v>28836</v>
      </c>
      <c r="S53" s="110">
        <v>19224</v>
      </c>
      <c r="T53" s="110">
        <v>0</v>
      </c>
      <c r="U53" s="110">
        <v>41652</v>
      </c>
      <c r="V53" s="110">
        <v>3204</v>
      </c>
      <c r="W53" s="110">
        <v>41652</v>
      </c>
      <c r="X53" s="110">
        <v>3204</v>
      </c>
      <c r="Y53" s="110">
        <v>41652</v>
      </c>
      <c r="Z53" s="110">
        <v>3204</v>
      </c>
      <c r="AA53" s="110">
        <v>41652</v>
      </c>
      <c r="AB53" s="110">
        <v>3204</v>
      </c>
      <c r="AC53" s="110">
        <v>41652</v>
      </c>
      <c r="AD53" s="110">
        <v>3204</v>
      </c>
      <c r="AE53" s="110">
        <v>41652</v>
      </c>
      <c r="AF53" s="110">
        <v>3204</v>
      </c>
      <c r="AG53" s="110">
        <v>41652</v>
      </c>
      <c r="AH53" s="110">
        <v>3204</v>
      </c>
      <c r="AI53" s="110">
        <v>41652</v>
      </c>
      <c r="AJ53" s="110">
        <v>3204</v>
      </c>
      <c r="AK53" s="110">
        <v>41652</v>
      </c>
      <c r="AL53" s="110">
        <v>3204</v>
      </c>
      <c r="AM53" s="110">
        <v>41652</v>
      </c>
      <c r="AN53" s="110">
        <v>0</v>
      </c>
      <c r="AO53" s="110">
        <v>41652</v>
      </c>
      <c r="AP53" s="110">
        <v>3204</v>
      </c>
      <c r="AQ53" s="110">
        <v>41652</v>
      </c>
      <c r="AR53" s="110">
        <v>3204</v>
      </c>
      <c r="AS53" s="110">
        <v>41652</v>
      </c>
      <c r="AT53" s="110">
        <v>3204</v>
      </c>
      <c r="AU53" s="110">
        <v>41652</v>
      </c>
      <c r="AV53" s="110">
        <v>3204</v>
      </c>
      <c r="AW53" s="110">
        <v>41652</v>
      </c>
      <c r="AX53" s="110">
        <v>3204</v>
      </c>
      <c r="AY53" s="110">
        <v>41652</v>
      </c>
      <c r="AZ53" s="100">
        <f>SUM($D$53:$AY$53)</f>
        <v>1095768</v>
      </c>
    </row>
    <row r="54" spans="1:52">
      <c r="A54" s="110"/>
      <c r="B54" s="178" t="s">
        <v>351</v>
      </c>
      <c r="C54" s="110"/>
      <c r="D54" s="110">
        <v>9247.3144638220383</v>
      </c>
      <c r="E54" s="110">
        <v>5776.3144638219683</v>
      </c>
      <c r="F54" s="110">
        <v>9247.3144638219692</v>
      </c>
      <c r="G54" s="110">
        <v>5776.3144638219683</v>
      </c>
      <c r="H54" s="110">
        <v>9247.3144638219692</v>
      </c>
      <c r="I54" s="110">
        <v>5776.3144638219683</v>
      </c>
      <c r="J54" s="110">
        <v>9247.3144638219692</v>
      </c>
      <c r="K54" s="110">
        <v>5776.3144638219683</v>
      </c>
      <c r="L54" s="110">
        <v>9247.3144638219692</v>
      </c>
      <c r="M54" s="110">
        <v>3232.6515710575759</v>
      </c>
      <c r="N54" s="110">
        <v>6703.6515710575759</v>
      </c>
      <c r="O54" s="110">
        <v>0</v>
      </c>
      <c r="P54" s="110">
        <v>1497.1515710575763</v>
      </c>
      <c r="Q54" s="110">
        <v>10982.814463821969</v>
      </c>
      <c r="R54" s="110">
        <v>5776.3144638219683</v>
      </c>
      <c r="S54" s="110">
        <v>10982.814463821969</v>
      </c>
      <c r="T54" s="110">
        <v>0</v>
      </c>
      <c r="U54" s="110">
        <v>0</v>
      </c>
      <c r="V54" s="110">
        <v>19660.314463821967</v>
      </c>
      <c r="W54" s="110">
        <v>0</v>
      </c>
      <c r="X54" s="110">
        <v>19660.314463821967</v>
      </c>
      <c r="Y54" s="110">
        <v>0</v>
      </c>
      <c r="Z54" s="110">
        <v>19660.314463821967</v>
      </c>
      <c r="AA54" s="110">
        <v>0</v>
      </c>
      <c r="AB54" s="110">
        <v>19660.314463821967</v>
      </c>
      <c r="AC54" s="110">
        <v>0</v>
      </c>
      <c r="AD54" s="110">
        <v>19660.314463821967</v>
      </c>
      <c r="AE54" s="110">
        <v>0</v>
      </c>
      <c r="AF54" s="110">
        <v>19660.314463821967</v>
      </c>
      <c r="AG54" s="110">
        <v>0</v>
      </c>
      <c r="AH54" s="110">
        <v>19660.314463821967</v>
      </c>
      <c r="AI54" s="110">
        <v>0</v>
      </c>
      <c r="AJ54" s="110">
        <v>19660.314463821967</v>
      </c>
      <c r="AK54" s="110">
        <v>0</v>
      </c>
      <c r="AL54" s="110">
        <v>19660.314463821967</v>
      </c>
      <c r="AM54" s="110">
        <v>0</v>
      </c>
      <c r="AN54" s="110">
        <v>0</v>
      </c>
      <c r="AO54" s="110">
        <v>0</v>
      </c>
      <c r="AP54" s="110">
        <v>19660.314463821967</v>
      </c>
      <c r="AQ54" s="110">
        <v>0</v>
      </c>
      <c r="AR54" s="110">
        <v>19660.314463821967</v>
      </c>
      <c r="AS54" s="110">
        <v>0</v>
      </c>
      <c r="AT54" s="110">
        <v>19660.314463821967</v>
      </c>
      <c r="AU54" s="110">
        <v>0</v>
      </c>
      <c r="AV54" s="110">
        <v>19660.314463821967</v>
      </c>
      <c r="AW54" s="110">
        <v>0</v>
      </c>
      <c r="AX54" s="110">
        <v>19660.314463821967</v>
      </c>
      <c r="AY54" s="110">
        <v>0</v>
      </c>
      <c r="AZ54" s="100">
        <f>SUM($D$54:$AY$54)</f>
        <v>383761.63077254384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2</v>
      </c>
      <c r="E63" s="110">
        <v>2</v>
      </c>
      <c r="F63" s="110">
        <v>3</v>
      </c>
      <c r="G63" s="110">
        <v>3</v>
      </c>
      <c r="H63" s="110">
        <v>4</v>
      </c>
      <c r="I63" s="110">
        <v>3</v>
      </c>
      <c r="J63" s="110">
        <v>4</v>
      </c>
      <c r="K63" s="110">
        <v>2</v>
      </c>
      <c r="L63" s="110">
        <v>2</v>
      </c>
      <c r="M63" s="110">
        <v>4</v>
      </c>
      <c r="N63" s="110">
        <v>3</v>
      </c>
      <c r="O63" s="110">
        <v>2</v>
      </c>
      <c r="P63" s="110">
        <v>2</v>
      </c>
      <c r="Q63" s="110">
        <v>2</v>
      </c>
      <c r="R63" s="110">
        <v>4</v>
      </c>
      <c r="S63" s="110">
        <v>2</v>
      </c>
      <c r="T63" s="110">
        <v>2</v>
      </c>
      <c r="U63" s="110">
        <v>3</v>
      </c>
      <c r="V63" s="110">
        <v>3</v>
      </c>
      <c r="W63" s="110">
        <v>2</v>
      </c>
      <c r="X63" s="110">
        <v>2</v>
      </c>
      <c r="Y63" s="110">
        <v>3</v>
      </c>
      <c r="Z63" s="110">
        <v>3</v>
      </c>
      <c r="AA63" s="110">
        <v>2</v>
      </c>
      <c r="AB63" s="110">
        <v>2</v>
      </c>
      <c r="AC63" s="110">
        <v>2</v>
      </c>
      <c r="AD63" s="110">
        <v>2</v>
      </c>
      <c r="AE63" s="110">
        <v>3</v>
      </c>
      <c r="AF63" s="110">
        <v>2</v>
      </c>
      <c r="AG63" s="110">
        <v>2</v>
      </c>
      <c r="AH63" s="110">
        <v>2</v>
      </c>
      <c r="AI63" s="110">
        <v>3</v>
      </c>
      <c r="AJ63" s="110">
        <v>2</v>
      </c>
      <c r="AK63" s="110">
        <v>2</v>
      </c>
      <c r="AL63" s="110">
        <v>2</v>
      </c>
      <c r="AM63" s="110">
        <v>2</v>
      </c>
      <c r="AN63" s="110">
        <v>2</v>
      </c>
      <c r="AO63" s="110">
        <v>4</v>
      </c>
      <c r="AP63" s="110">
        <v>2</v>
      </c>
      <c r="AQ63" s="110">
        <v>2</v>
      </c>
      <c r="AR63" s="110">
        <v>2</v>
      </c>
      <c r="AS63" s="110">
        <v>2</v>
      </c>
      <c r="AT63" s="110">
        <v>2</v>
      </c>
      <c r="AU63" s="110">
        <v>2</v>
      </c>
      <c r="AV63" s="110">
        <v>3</v>
      </c>
      <c r="AW63" s="110">
        <v>3</v>
      </c>
      <c r="AX63" s="110">
        <v>3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1865.7347801147407</v>
      </c>
      <c r="E7" s="144">
        <v>1865.7347801147407</v>
      </c>
      <c r="F7" s="144">
        <v>1865.7347801147407</v>
      </c>
      <c r="G7" s="144">
        <v>1865.7347801147407</v>
      </c>
      <c r="H7" s="144">
        <v>1865.7347801147407</v>
      </c>
      <c r="I7" s="144">
        <v>1865.7347801147407</v>
      </c>
      <c r="J7" s="144">
        <v>1865.7347801147407</v>
      </c>
      <c r="K7" s="144">
        <v>1865.7347801147407</v>
      </c>
      <c r="L7" s="144">
        <v>1865.7347801147407</v>
      </c>
      <c r="M7" s="144">
        <v>1865.7347801147407</v>
      </c>
      <c r="N7" s="144">
        <v>1865.7347801147407</v>
      </c>
      <c r="O7" s="144">
        <v>1865.7347801147407</v>
      </c>
      <c r="P7" s="144">
        <v>1865.7347801147407</v>
      </c>
      <c r="Q7" s="144">
        <v>1865.7347801147407</v>
      </c>
      <c r="R7" s="144">
        <v>1865.7347801147407</v>
      </c>
      <c r="S7" s="144">
        <v>1865.7347801147407</v>
      </c>
      <c r="T7" s="144">
        <v>1865.7347801147407</v>
      </c>
      <c r="U7" s="144">
        <v>1865.7347801147407</v>
      </c>
      <c r="V7" s="144">
        <v>1865.7347801147407</v>
      </c>
      <c r="W7" s="144">
        <v>1865.7347801147407</v>
      </c>
      <c r="X7" s="144">
        <v>1865.7347801147407</v>
      </c>
      <c r="Y7" s="144">
        <v>1865.7347801147407</v>
      </c>
      <c r="Z7" s="144">
        <v>1865.7347801147407</v>
      </c>
      <c r="AA7" s="144">
        <v>1865.7347801147407</v>
      </c>
      <c r="AB7" s="144">
        <v>1865.7347801147407</v>
      </c>
      <c r="AC7" s="144">
        <v>1865.7347801147407</v>
      </c>
      <c r="AD7" s="144">
        <v>1865.7347801147407</v>
      </c>
      <c r="AE7" s="144">
        <v>1865.7347801147407</v>
      </c>
      <c r="AF7" s="144">
        <v>1865.7347801147407</v>
      </c>
      <c r="AG7" s="144">
        <v>1865.7347801147407</v>
      </c>
      <c r="AH7" s="144">
        <v>1865.7347801147407</v>
      </c>
      <c r="AI7" s="144">
        <v>1865.7347801147407</v>
      </c>
      <c r="AJ7" s="144">
        <v>1865.7347801147407</v>
      </c>
      <c r="AK7" s="144">
        <v>1865.7347801147407</v>
      </c>
      <c r="AL7" s="144">
        <v>1865.7347801147407</v>
      </c>
      <c r="AM7" s="144">
        <v>1865.7347801147407</v>
      </c>
      <c r="AN7" s="144">
        <v>1865.7347801147407</v>
      </c>
      <c r="AO7" s="144">
        <v>1865.7347801147407</v>
      </c>
      <c r="AP7" s="144">
        <v>1865.7347801147407</v>
      </c>
      <c r="AQ7" s="144">
        <v>1865.7347801147407</v>
      </c>
      <c r="AR7" s="144">
        <v>1865.7347801147407</v>
      </c>
      <c r="AS7" s="144">
        <v>1865.7347801147407</v>
      </c>
      <c r="AT7" s="144">
        <v>1865.7347801147407</v>
      </c>
      <c r="AU7" s="144">
        <v>1865.7347801147407</v>
      </c>
      <c r="AV7" s="144">
        <v>1865.7347801147407</v>
      </c>
      <c r="AW7" s="144">
        <v>1865.7347801147407</v>
      </c>
      <c r="AX7" s="144">
        <v>1865.7347801147407</v>
      </c>
      <c r="AY7" s="144">
        <v>1865.7347801147407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142.46956022948143</v>
      </c>
      <c r="M10" s="144">
        <f t="shared" si="0"/>
        <v>1865.7347801147407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142.46956022948143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2150.6739005737036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1226.3312897581723</v>
      </c>
      <c r="D13" s="138">
        <f t="shared" ref="D13:AY13" si="1">D$7-D$10</f>
        <v>1865.7347801147407</v>
      </c>
      <c r="E13" s="138">
        <f t="shared" si="1"/>
        <v>1865.7347801147407</v>
      </c>
      <c r="F13" s="138">
        <f t="shared" si="1"/>
        <v>1865.7347801147407</v>
      </c>
      <c r="G13" s="138">
        <f t="shared" si="1"/>
        <v>1865.7347801147407</v>
      </c>
      <c r="H13" s="138">
        <f t="shared" si="1"/>
        <v>1865.7347801147407</v>
      </c>
      <c r="I13" s="138">
        <f t="shared" si="1"/>
        <v>1865.7347801147407</v>
      </c>
      <c r="J13" s="138">
        <f t="shared" si="1"/>
        <v>1865.7347801147407</v>
      </c>
      <c r="K13" s="138">
        <f t="shared" si="1"/>
        <v>1865.7347801147407</v>
      </c>
      <c r="L13" s="138">
        <f t="shared" si="1"/>
        <v>1723.2652198852593</v>
      </c>
      <c r="M13" s="138">
        <f t="shared" si="1"/>
        <v>0</v>
      </c>
      <c r="N13" s="138">
        <f t="shared" si="1"/>
        <v>1865.7347801147407</v>
      </c>
      <c r="O13" s="138">
        <f t="shared" si="1"/>
        <v>1865.7347801147407</v>
      </c>
      <c r="P13" s="138">
        <f t="shared" si="1"/>
        <v>1865.7347801147407</v>
      </c>
      <c r="Q13" s="138">
        <f t="shared" si="1"/>
        <v>1723.2652198852593</v>
      </c>
      <c r="R13" s="138">
        <f t="shared" si="1"/>
        <v>1865.7347801147407</v>
      </c>
      <c r="S13" s="138">
        <f t="shared" si="1"/>
        <v>1865.7347801147407</v>
      </c>
      <c r="T13" s="138">
        <f t="shared" si="1"/>
        <v>1865.7347801147407</v>
      </c>
      <c r="U13" s="138">
        <f t="shared" si="1"/>
        <v>1865.7347801147407</v>
      </c>
      <c r="V13" s="138">
        <f t="shared" si="1"/>
        <v>1865.7347801147407</v>
      </c>
      <c r="W13" s="138">
        <f t="shared" si="1"/>
        <v>1865.7347801147407</v>
      </c>
      <c r="X13" s="138">
        <f t="shared" si="1"/>
        <v>1865.7347801147407</v>
      </c>
      <c r="Y13" s="138">
        <f t="shared" si="1"/>
        <v>1865.7347801147407</v>
      </c>
      <c r="Z13" s="138">
        <f t="shared" si="1"/>
        <v>1865.7347801147407</v>
      </c>
      <c r="AA13" s="138">
        <f t="shared" si="1"/>
        <v>1865.7347801147407</v>
      </c>
      <c r="AB13" s="138">
        <f t="shared" si="1"/>
        <v>1865.7347801147407</v>
      </c>
      <c r="AC13" s="138">
        <f t="shared" si="1"/>
        <v>1865.7347801147407</v>
      </c>
      <c r="AD13" s="138">
        <f t="shared" si="1"/>
        <v>1865.7347801147407</v>
      </c>
      <c r="AE13" s="138">
        <f t="shared" si="1"/>
        <v>1865.7347801147407</v>
      </c>
      <c r="AF13" s="138">
        <f t="shared" si="1"/>
        <v>1865.7347801147407</v>
      </c>
      <c r="AG13" s="138">
        <f t="shared" si="1"/>
        <v>1865.7347801147407</v>
      </c>
      <c r="AH13" s="138">
        <f t="shared" si="1"/>
        <v>1865.7347801147407</v>
      </c>
      <c r="AI13" s="138">
        <f t="shared" si="1"/>
        <v>1865.7347801147407</v>
      </c>
      <c r="AJ13" s="138">
        <f t="shared" si="1"/>
        <v>1865.7347801147407</v>
      </c>
      <c r="AK13" s="138">
        <f t="shared" si="1"/>
        <v>1865.7347801147407</v>
      </c>
      <c r="AL13" s="138">
        <f t="shared" si="1"/>
        <v>1865.7347801147407</v>
      </c>
      <c r="AM13" s="138">
        <f t="shared" si="1"/>
        <v>1865.7347801147407</v>
      </c>
      <c r="AN13" s="138">
        <f t="shared" si="1"/>
        <v>1865.7347801147407</v>
      </c>
      <c r="AO13" s="138">
        <f t="shared" si="1"/>
        <v>1865.7347801147407</v>
      </c>
      <c r="AP13" s="138">
        <f t="shared" si="1"/>
        <v>1865.7347801147407</v>
      </c>
      <c r="AQ13" s="138">
        <f t="shared" si="1"/>
        <v>1865.7347801147407</v>
      </c>
      <c r="AR13" s="138">
        <f t="shared" si="1"/>
        <v>1865.7347801147407</v>
      </c>
      <c r="AS13" s="138">
        <f t="shared" si="1"/>
        <v>1865.7347801147407</v>
      </c>
      <c r="AT13" s="138">
        <f t="shared" si="1"/>
        <v>1865.7347801147407</v>
      </c>
      <c r="AU13" s="138">
        <f t="shared" si="1"/>
        <v>1865.7347801147407</v>
      </c>
      <c r="AV13" s="138">
        <f t="shared" si="1"/>
        <v>1865.7347801147407</v>
      </c>
      <c r="AW13" s="138">
        <f t="shared" si="1"/>
        <v>1865.7347801147407</v>
      </c>
      <c r="AX13" s="138">
        <f t="shared" si="1"/>
        <v>1865.7347801147407</v>
      </c>
      <c r="AY13" s="138">
        <f t="shared" si="1"/>
        <v>1865.7347801147407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1865.7347801147407</v>
      </c>
      <c r="M14" s="106">
        <f t="shared" si="2"/>
        <v>1723.2652198852593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1865.7347801147407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1865.7347801147407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 t="s">
        <v>339</v>
      </c>
      <c r="L20" s="117" t="s">
        <v>339</v>
      </c>
      <c r="M20" s="117"/>
      <c r="N20" s="117"/>
      <c r="O20" s="117"/>
      <c r="P20" s="117" t="s">
        <v>339</v>
      </c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0.42721137772871004</v>
      </c>
      <c r="C21" s="156" t="s">
        <v>293</v>
      </c>
      <c r="D21" s="106">
        <f>IF(C$20="Yes",0,SUM(C$13:C$16)*$B$21)</f>
        <v>523.90267984941465</v>
      </c>
      <c r="E21" s="106">
        <f t="shared" ref="E21:AY21" si="3">IF(D$20="Yes",0,SUM(D$13:D$16)*$B$21)</f>
        <v>797.06312588919025</v>
      </c>
      <c r="F21" s="106">
        <f t="shared" si="3"/>
        <v>797.06312588919025</v>
      </c>
      <c r="G21" s="106">
        <f t="shared" si="3"/>
        <v>797.06312588919025</v>
      </c>
      <c r="H21" s="106">
        <f t="shared" si="3"/>
        <v>797.06312588919025</v>
      </c>
      <c r="I21" s="106">
        <f t="shared" si="3"/>
        <v>797.06312588919025</v>
      </c>
      <c r="J21" s="106">
        <f t="shared" si="3"/>
        <v>797.06312588919025</v>
      </c>
      <c r="K21" s="106">
        <f t="shared" si="3"/>
        <v>797.06312588919025</v>
      </c>
      <c r="L21" s="106">
        <f t="shared" si="3"/>
        <v>0</v>
      </c>
      <c r="M21" s="106">
        <f t="shared" si="3"/>
        <v>0</v>
      </c>
      <c r="N21" s="106">
        <f t="shared" si="3"/>
        <v>1533.2616346683403</v>
      </c>
      <c r="O21" s="106">
        <f t="shared" si="3"/>
        <v>797.06312588919025</v>
      </c>
      <c r="P21" s="106">
        <f t="shared" si="3"/>
        <v>797.06312588919025</v>
      </c>
      <c r="Q21" s="106">
        <f t="shared" si="3"/>
        <v>0</v>
      </c>
      <c r="R21" s="106">
        <f t="shared" si="3"/>
        <v>1533.2616346683403</v>
      </c>
      <c r="S21" s="106">
        <f t="shared" si="3"/>
        <v>797.06312588919025</v>
      </c>
      <c r="T21" s="106">
        <f t="shared" si="3"/>
        <v>797.06312588919025</v>
      </c>
      <c r="U21" s="106">
        <f t="shared" si="3"/>
        <v>797.06312588919025</v>
      </c>
      <c r="V21" s="106">
        <f t="shared" si="3"/>
        <v>797.06312588919025</v>
      </c>
      <c r="W21" s="106">
        <f t="shared" si="3"/>
        <v>797.06312588919025</v>
      </c>
      <c r="X21" s="106">
        <f t="shared" si="3"/>
        <v>797.06312588919025</v>
      </c>
      <c r="Y21" s="106">
        <f t="shared" si="3"/>
        <v>797.06312588919025</v>
      </c>
      <c r="Z21" s="106">
        <f t="shared" si="3"/>
        <v>797.06312588919025</v>
      </c>
      <c r="AA21" s="106">
        <f t="shared" si="3"/>
        <v>797.06312588919025</v>
      </c>
      <c r="AB21" s="106">
        <f t="shared" si="3"/>
        <v>797.06312588919025</v>
      </c>
      <c r="AC21" s="106">
        <f t="shared" si="3"/>
        <v>797.06312588919025</v>
      </c>
      <c r="AD21" s="106">
        <f t="shared" si="3"/>
        <v>797.06312588919025</v>
      </c>
      <c r="AE21" s="106">
        <f t="shared" si="3"/>
        <v>797.06312588919025</v>
      </c>
      <c r="AF21" s="106">
        <f t="shared" si="3"/>
        <v>797.06312588919025</v>
      </c>
      <c r="AG21" s="106">
        <f t="shared" si="3"/>
        <v>797.06312588919025</v>
      </c>
      <c r="AH21" s="106">
        <f t="shared" si="3"/>
        <v>797.06312588919025</v>
      </c>
      <c r="AI21" s="106">
        <f t="shared" si="3"/>
        <v>797.06312588919025</v>
      </c>
      <c r="AJ21" s="106">
        <f t="shared" si="3"/>
        <v>797.06312588919025</v>
      </c>
      <c r="AK21" s="106">
        <f t="shared" si="3"/>
        <v>797.06312588919025</v>
      </c>
      <c r="AL21" s="106">
        <f t="shared" si="3"/>
        <v>797.06312588919025</v>
      </c>
      <c r="AM21" s="106">
        <f t="shared" si="3"/>
        <v>797.06312588919025</v>
      </c>
      <c r="AN21" s="106">
        <f t="shared" si="3"/>
        <v>797.06312588919025</v>
      </c>
      <c r="AO21" s="106">
        <f t="shared" si="3"/>
        <v>797.06312588919025</v>
      </c>
      <c r="AP21" s="106">
        <f t="shared" si="3"/>
        <v>797.06312588919025</v>
      </c>
      <c r="AQ21" s="106">
        <f t="shared" si="3"/>
        <v>797.06312588919025</v>
      </c>
      <c r="AR21" s="106">
        <f t="shared" si="3"/>
        <v>797.06312588919025</v>
      </c>
      <c r="AS21" s="106">
        <f t="shared" si="3"/>
        <v>797.06312588919025</v>
      </c>
      <c r="AT21" s="106">
        <f t="shared" si="3"/>
        <v>797.06312588919025</v>
      </c>
      <c r="AU21" s="106">
        <f t="shared" si="3"/>
        <v>797.06312588919025</v>
      </c>
      <c r="AV21" s="106">
        <f t="shared" si="3"/>
        <v>797.06312588919025</v>
      </c>
      <c r="AW21" s="106">
        <f t="shared" si="3"/>
        <v>797.06312588919025</v>
      </c>
      <c r="AX21" s="106">
        <f t="shared" si="3"/>
        <v>797.06312588919025</v>
      </c>
      <c r="AY21" s="106">
        <f t="shared" si="3"/>
        <v>797.06312588919025</v>
      </c>
      <c r="AZ21" s="157">
        <f>SUM($D21:$AY21)</f>
        <v>37067.077236532103</v>
      </c>
    </row>
    <row r="22" spans="1:52" s="110" customFormat="1">
      <c r="A22" s="158" t="s">
        <v>123</v>
      </c>
      <c r="B22" s="159">
        <f>1-$B$21</f>
        <v>0.5727886222712899</v>
      </c>
      <c r="C22" s="159" t="s">
        <v>293</v>
      </c>
      <c r="D22" s="114">
        <f>IF(C$20="Yes",0,SUM(C$13:C$16)*$B$22)</f>
        <v>702.42860990875749</v>
      </c>
      <c r="E22" s="114">
        <f t="shared" ref="E22:AY22" si="4">IF(D$20="Yes",0,SUM(D$13:D$16)*$B$22)</f>
        <v>1068.6716542255504</v>
      </c>
      <c r="F22" s="114">
        <f t="shared" si="4"/>
        <v>1068.6716542255504</v>
      </c>
      <c r="G22" s="114">
        <f t="shared" si="4"/>
        <v>1068.6716542255504</v>
      </c>
      <c r="H22" s="114">
        <f t="shared" si="4"/>
        <v>1068.6716542255504</v>
      </c>
      <c r="I22" s="114">
        <f t="shared" si="4"/>
        <v>1068.6716542255504</v>
      </c>
      <c r="J22" s="114">
        <f t="shared" si="4"/>
        <v>1068.6716542255504</v>
      </c>
      <c r="K22" s="114">
        <f t="shared" si="4"/>
        <v>1068.6716542255504</v>
      </c>
      <c r="L22" s="114">
        <f t="shared" si="4"/>
        <v>0</v>
      </c>
      <c r="M22" s="114">
        <f t="shared" si="4"/>
        <v>0</v>
      </c>
      <c r="N22" s="114">
        <f t="shared" si="4"/>
        <v>2055.7383653316597</v>
      </c>
      <c r="O22" s="114">
        <f t="shared" si="4"/>
        <v>1068.6716542255504</v>
      </c>
      <c r="P22" s="114">
        <f t="shared" si="4"/>
        <v>1068.6716542255504</v>
      </c>
      <c r="Q22" s="114">
        <f t="shared" si="4"/>
        <v>0</v>
      </c>
      <c r="R22" s="114">
        <f t="shared" si="4"/>
        <v>2055.7383653316597</v>
      </c>
      <c r="S22" s="114">
        <f t="shared" si="4"/>
        <v>1068.6716542255504</v>
      </c>
      <c r="T22" s="114">
        <f t="shared" si="4"/>
        <v>1068.6716542255504</v>
      </c>
      <c r="U22" s="114">
        <f t="shared" si="4"/>
        <v>1068.6716542255504</v>
      </c>
      <c r="V22" s="114">
        <f t="shared" si="4"/>
        <v>1068.6716542255504</v>
      </c>
      <c r="W22" s="114">
        <f t="shared" si="4"/>
        <v>1068.6716542255504</v>
      </c>
      <c r="X22" s="114">
        <f t="shared" si="4"/>
        <v>1068.6716542255504</v>
      </c>
      <c r="Y22" s="114">
        <f t="shared" si="4"/>
        <v>1068.6716542255504</v>
      </c>
      <c r="Z22" s="114">
        <f t="shared" si="4"/>
        <v>1068.6716542255504</v>
      </c>
      <c r="AA22" s="114">
        <f t="shared" si="4"/>
        <v>1068.6716542255504</v>
      </c>
      <c r="AB22" s="114">
        <f t="shared" si="4"/>
        <v>1068.6716542255504</v>
      </c>
      <c r="AC22" s="114">
        <f t="shared" si="4"/>
        <v>1068.6716542255504</v>
      </c>
      <c r="AD22" s="114">
        <f t="shared" si="4"/>
        <v>1068.6716542255504</v>
      </c>
      <c r="AE22" s="114">
        <f t="shared" si="4"/>
        <v>1068.6716542255504</v>
      </c>
      <c r="AF22" s="114">
        <f t="shared" si="4"/>
        <v>1068.6716542255504</v>
      </c>
      <c r="AG22" s="114">
        <f t="shared" si="4"/>
        <v>1068.6716542255504</v>
      </c>
      <c r="AH22" s="114">
        <f t="shared" si="4"/>
        <v>1068.6716542255504</v>
      </c>
      <c r="AI22" s="114">
        <f t="shared" si="4"/>
        <v>1068.6716542255504</v>
      </c>
      <c r="AJ22" s="114">
        <f t="shared" si="4"/>
        <v>1068.6716542255504</v>
      </c>
      <c r="AK22" s="114">
        <f t="shared" si="4"/>
        <v>1068.6716542255504</v>
      </c>
      <c r="AL22" s="114">
        <f t="shared" si="4"/>
        <v>1068.6716542255504</v>
      </c>
      <c r="AM22" s="114">
        <f t="shared" si="4"/>
        <v>1068.6716542255504</v>
      </c>
      <c r="AN22" s="114">
        <f t="shared" si="4"/>
        <v>1068.6716542255504</v>
      </c>
      <c r="AO22" s="114">
        <f t="shared" si="4"/>
        <v>1068.6716542255504</v>
      </c>
      <c r="AP22" s="114">
        <f t="shared" si="4"/>
        <v>1068.6716542255504</v>
      </c>
      <c r="AQ22" s="114">
        <f t="shared" si="4"/>
        <v>1068.6716542255504</v>
      </c>
      <c r="AR22" s="114">
        <f t="shared" si="4"/>
        <v>1068.6716542255504</v>
      </c>
      <c r="AS22" s="114">
        <f t="shared" si="4"/>
        <v>1068.6716542255504</v>
      </c>
      <c r="AT22" s="114">
        <f t="shared" si="4"/>
        <v>1068.6716542255504</v>
      </c>
      <c r="AU22" s="114">
        <f t="shared" si="4"/>
        <v>1068.6716542255504</v>
      </c>
      <c r="AV22" s="114">
        <f t="shared" si="4"/>
        <v>1068.6716542255504</v>
      </c>
      <c r="AW22" s="114">
        <f t="shared" si="4"/>
        <v>1068.6716542255504</v>
      </c>
      <c r="AX22" s="114">
        <f t="shared" si="4"/>
        <v>1068.6716542255504</v>
      </c>
      <c r="AY22" s="114">
        <f t="shared" si="4"/>
        <v>1068.6716542255504</v>
      </c>
      <c r="AZ22" s="141">
        <f t="shared" ref="AZ22:AZ30" si="5">SUM($D22:$AY22)</f>
        <v>49698.114818045207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1047805.3596988294</v>
      </c>
      <c r="E23" s="100">
        <f t="shared" ref="E23:AY23" si="6">E$21*$B$23</f>
        <v>1594126.2517783805</v>
      </c>
      <c r="F23" s="100">
        <f t="shared" si="6"/>
        <v>1594126.2517783805</v>
      </c>
      <c r="G23" s="100">
        <f t="shared" si="6"/>
        <v>1594126.2517783805</v>
      </c>
      <c r="H23" s="100">
        <f t="shared" si="6"/>
        <v>1594126.2517783805</v>
      </c>
      <c r="I23" s="100">
        <f t="shared" si="6"/>
        <v>1594126.2517783805</v>
      </c>
      <c r="J23" s="100">
        <f t="shared" si="6"/>
        <v>1594126.2517783805</v>
      </c>
      <c r="K23" s="100">
        <f t="shared" si="6"/>
        <v>1594126.2517783805</v>
      </c>
      <c r="L23" s="100">
        <f t="shared" si="6"/>
        <v>0</v>
      </c>
      <c r="M23" s="100">
        <f t="shared" si="6"/>
        <v>0</v>
      </c>
      <c r="N23" s="100">
        <f t="shared" si="6"/>
        <v>3066523.2693366804</v>
      </c>
      <c r="O23" s="100">
        <f t="shared" si="6"/>
        <v>1594126.2517783805</v>
      </c>
      <c r="P23" s="100">
        <f t="shared" si="6"/>
        <v>1594126.2517783805</v>
      </c>
      <c r="Q23" s="100">
        <f t="shared" si="6"/>
        <v>0</v>
      </c>
      <c r="R23" s="100">
        <f t="shared" si="6"/>
        <v>3066523.2693366804</v>
      </c>
      <c r="S23" s="100">
        <f t="shared" si="6"/>
        <v>1594126.2517783805</v>
      </c>
      <c r="T23" s="100">
        <f t="shared" si="6"/>
        <v>1594126.2517783805</v>
      </c>
      <c r="U23" s="100">
        <f t="shared" si="6"/>
        <v>1594126.2517783805</v>
      </c>
      <c r="V23" s="100">
        <f t="shared" si="6"/>
        <v>1594126.2517783805</v>
      </c>
      <c r="W23" s="100">
        <f t="shared" si="6"/>
        <v>1594126.2517783805</v>
      </c>
      <c r="X23" s="100">
        <f t="shared" si="6"/>
        <v>1594126.2517783805</v>
      </c>
      <c r="Y23" s="100">
        <f t="shared" si="6"/>
        <v>1594126.2517783805</v>
      </c>
      <c r="Z23" s="100">
        <f t="shared" si="6"/>
        <v>1594126.2517783805</v>
      </c>
      <c r="AA23" s="100">
        <f t="shared" si="6"/>
        <v>1594126.2517783805</v>
      </c>
      <c r="AB23" s="100">
        <f t="shared" si="6"/>
        <v>1594126.2517783805</v>
      </c>
      <c r="AC23" s="100">
        <f t="shared" si="6"/>
        <v>1594126.2517783805</v>
      </c>
      <c r="AD23" s="100">
        <f t="shared" si="6"/>
        <v>1594126.2517783805</v>
      </c>
      <c r="AE23" s="100">
        <f t="shared" si="6"/>
        <v>1594126.2517783805</v>
      </c>
      <c r="AF23" s="100">
        <f t="shared" si="6"/>
        <v>1594126.2517783805</v>
      </c>
      <c r="AG23" s="100">
        <f t="shared" si="6"/>
        <v>1594126.2517783805</v>
      </c>
      <c r="AH23" s="100">
        <f t="shared" si="6"/>
        <v>1594126.2517783805</v>
      </c>
      <c r="AI23" s="100">
        <f t="shared" si="6"/>
        <v>1594126.2517783805</v>
      </c>
      <c r="AJ23" s="100">
        <f t="shared" si="6"/>
        <v>1594126.2517783805</v>
      </c>
      <c r="AK23" s="100">
        <f t="shared" si="6"/>
        <v>1594126.2517783805</v>
      </c>
      <c r="AL23" s="100">
        <f t="shared" si="6"/>
        <v>1594126.2517783805</v>
      </c>
      <c r="AM23" s="100">
        <f t="shared" si="6"/>
        <v>1594126.2517783805</v>
      </c>
      <c r="AN23" s="100">
        <f t="shared" si="6"/>
        <v>1594126.2517783805</v>
      </c>
      <c r="AO23" s="100">
        <f t="shared" si="6"/>
        <v>1594126.2517783805</v>
      </c>
      <c r="AP23" s="100">
        <f t="shared" si="6"/>
        <v>1594126.2517783805</v>
      </c>
      <c r="AQ23" s="100">
        <f t="shared" si="6"/>
        <v>1594126.2517783805</v>
      </c>
      <c r="AR23" s="100">
        <f t="shared" si="6"/>
        <v>1594126.2517783805</v>
      </c>
      <c r="AS23" s="100">
        <f t="shared" si="6"/>
        <v>1594126.2517783805</v>
      </c>
      <c r="AT23" s="100">
        <f t="shared" si="6"/>
        <v>1594126.2517783805</v>
      </c>
      <c r="AU23" s="100">
        <f t="shared" si="6"/>
        <v>1594126.2517783805</v>
      </c>
      <c r="AV23" s="100">
        <f t="shared" si="6"/>
        <v>1594126.2517783805</v>
      </c>
      <c r="AW23" s="100">
        <f t="shared" si="6"/>
        <v>1594126.2517783805</v>
      </c>
      <c r="AX23" s="100">
        <f t="shared" si="6"/>
        <v>1594126.2517783805</v>
      </c>
      <c r="AY23" s="100">
        <f t="shared" si="6"/>
        <v>1594126.2517783805</v>
      </c>
      <c r="AZ23" s="139">
        <f t="shared" si="5"/>
        <v>74134154.473064125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702428.6099087575</v>
      </c>
      <c r="E24" s="106">
        <f t="shared" ref="E24:AY24" si="7">E$22*$B$24</f>
        <v>1068671.6542255504</v>
      </c>
      <c r="F24" s="106">
        <f t="shared" si="7"/>
        <v>1068671.6542255504</v>
      </c>
      <c r="G24" s="106">
        <f t="shared" si="7"/>
        <v>1068671.6542255504</v>
      </c>
      <c r="H24" s="106">
        <f t="shared" si="7"/>
        <v>1068671.6542255504</v>
      </c>
      <c r="I24" s="106">
        <f t="shared" si="7"/>
        <v>1068671.6542255504</v>
      </c>
      <c r="J24" s="106">
        <f t="shared" si="7"/>
        <v>1068671.6542255504</v>
      </c>
      <c r="K24" s="106">
        <f t="shared" si="7"/>
        <v>1068671.6542255504</v>
      </c>
      <c r="L24" s="106">
        <f t="shared" si="7"/>
        <v>0</v>
      </c>
      <c r="M24" s="106">
        <f t="shared" si="7"/>
        <v>0</v>
      </c>
      <c r="N24" s="106">
        <f t="shared" si="7"/>
        <v>2055738.3653316598</v>
      </c>
      <c r="O24" s="106">
        <f t="shared" si="7"/>
        <v>1068671.6542255504</v>
      </c>
      <c r="P24" s="106">
        <f t="shared" si="7"/>
        <v>1068671.6542255504</v>
      </c>
      <c r="Q24" s="106">
        <f t="shared" si="7"/>
        <v>0</v>
      </c>
      <c r="R24" s="106">
        <f t="shared" si="7"/>
        <v>2055738.3653316598</v>
      </c>
      <c r="S24" s="106">
        <f t="shared" si="7"/>
        <v>1068671.6542255504</v>
      </c>
      <c r="T24" s="106">
        <f t="shared" si="7"/>
        <v>1068671.6542255504</v>
      </c>
      <c r="U24" s="106">
        <f t="shared" si="7"/>
        <v>1068671.6542255504</v>
      </c>
      <c r="V24" s="106">
        <f t="shared" si="7"/>
        <v>1068671.6542255504</v>
      </c>
      <c r="W24" s="106">
        <f t="shared" si="7"/>
        <v>1068671.6542255504</v>
      </c>
      <c r="X24" s="106">
        <f t="shared" si="7"/>
        <v>1068671.6542255504</v>
      </c>
      <c r="Y24" s="106">
        <f t="shared" si="7"/>
        <v>1068671.6542255504</v>
      </c>
      <c r="Z24" s="106">
        <f t="shared" si="7"/>
        <v>1068671.6542255504</v>
      </c>
      <c r="AA24" s="106">
        <f t="shared" si="7"/>
        <v>1068671.6542255504</v>
      </c>
      <c r="AB24" s="106">
        <f t="shared" si="7"/>
        <v>1068671.6542255504</v>
      </c>
      <c r="AC24" s="106">
        <f t="shared" si="7"/>
        <v>1068671.6542255504</v>
      </c>
      <c r="AD24" s="106">
        <f t="shared" si="7"/>
        <v>1068671.6542255504</v>
      </c>
      <c r="AE24" s="106">
        <f t="shared" si="7"/>
        <v>1068671.6542255504</v>
      </c>
      <c r="AF24" s="106">
        <f t="shared" si="7"/>
        <v>1068671.6542255504</v>
      </c>
      <c r="AG24" s="106">
        <f t="shared" si="7"/>
        <v>1068671.6542255504</v>
      </c>
      <c r="AH24" s="106">
        <f t="shared" si="7"/>
        <v>1068671.6542255504</v>
      </c>
      <c r="AI24" s="106">
        <f t="shared" si="7"/>
        <v>1068671.6542255504</v>
      </c>
      <c r="AJ24" s="106">
        <f t="shared" si="7"/>
        <v>1068671.6542255504</v>
      </c>
      <c r="AK24" s="106">
        <f t="shared" si="7"/>
        <v>1068671.6542255504</v>
      </c>
      <c r="AL24" s="106">
        <f t="shared" si="7"/>
        <v>1068671.6542255504</v>
      </c>
      <c r="AM24" s="106">
        <f t="shared" si="7"/>
        <v>1068671.6542255504</v>
      </c>
      <c r="AN24" s="106">
        <f t="shared" si="7"/>
        <v>1068671.6542255504</v>
      </c>
      <c r="AO24" s="106">
        <f t="shared" si="7"/>
        <v>1068671.6542255504</v>
      </c>
      <c r="AP24" s="106">
        <f t="shared" si="7"/>
        <v>1068671.6542255504</v>
      </c>
      <c r="AQ24" s="106">
        <f t="shared" si="7"/>
        <v>1068671.6542255504</v>
      </c>
      <c r="AR24" s="106">
        <f t="shared" si="7"/>
        <v>1068671.6542255504</v>
      </c>
      <c r="AS24" s="106">
        <f t="shared" si="7"/>
        <v>1068671.6542255504</v>
      </c>
      <c r="AT24" s="106">
        <f t="shared" si="7"/>
        <v>1068671.6542255504</v>
      </c>
      <c r="AU24" s="106">
        <f t="shared" si="7"/>
        <v>1068671.6542255504</v>
      </c>
      <c r="AV24" s="106">
        <f t="shared" si="7"/>
        <v>1068671.6542255504</v>
      </c>
      <c r="AW24" s="106">
        <f t="shared" si="7"/>
        <v>1068671.6542255504</v>
      </c>
      <c r="AX24" s="106">
        <f t="shared" si="7"/>
        <v>1068671.6542255504</v>
      </c>
      <c r="AY24" s="106">
        <f t="shared" si="7"/>
        <v>1068671.6542255504</v>
      </c>
      <c r="AZ24" s="141">
        <f t="shared" si="5"/>
        <v>49698114.818045199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0</v>
      </c>
      <c r="D27" s="124">
        <f>C$27-C$28+C$29</f>
        <v>15</v>
      </c>
      <c r="E27" s="124">
        <f t="shared" ref="E27:AY27" si="8">D27-D28+D29</f>
        <v>0</v>
      </c>
      <c r="F27" s="124">
        <f t="shared" si="8"/>
        <v>15</v>
      </c>
      <c r="G27" s="124">
        <f t="shared" si="8"/>
        <v>0</v>
      </c>
      <c r="H27" s="124">
        <f t="shared" si="8"/>
        <v>15</v>
      </c>
      <c r="I27" s="124">
        <f t="shared" si="8"/>
        <v>0</v>
      </c>
      <c r="J27" s="124">
        <f t="shared" si="8"/>
        <v>15</v>
      </c>
      <c r="K27" s="124">
        <f t="shared" si="8"/>
        <v>0</v>
      </c>
      <c r="L27" s="124">
        <f t="shared" si="8"/>
        <v>15</v>
      </c>
      <c r="M27" s="124">
        <f t="shared" si="8"/>
        <v>15</v>
      </c>
      <c r="N27" s="124">
        <f t="shared" si="8"/>
        <v>15</v>
      </c>
      <c r="O27" s="124">
        <f t="shared" si="8"/>
        <v>0</v>
      </c>
      <c r="P27" s="124">
        <f t="shared" si="8"/>
        <v>15</v>
      </c>
      <c r="Q27" s="124">
        <f t="shared" si="8"/>
        <v>0</v>
      </c>
      <c r="R27" s="124">
        <f t="shared" si="8"/>
        <v>15</v>
      </c>
      <c r="S27" s="124">
        <f t="shared" si="8"/>
        <v>0</v>
      </c>
      <c r="T27" s="124">
        <f t="shared" si="8"/>
        <v>15</v>
      </c>
      <c r="U27" s="124">
        <f t="shared" si="8"/>
        <v>0</v>
      </c>
      <c r="V27" s="124">
        <f t="shared" si="8"/>
        <v>15</v>
      </c>
      <c r="W27" s="124">
        <f t="shared" si="8"/>
        <v>0</v>
      </c>
      <c r="X27" s="124">
        <f t="shared" si="8"/>
        <v>15</v>
      </c>
      <c r="Y27" s="124">
        <f t="shared" si="8"/>
        <v>0</v>
      </c>
      <c r="Z27" s="124">
        <f t="shared" si="8"/>
        <v>15</v>
      </c>
      <c r="AA27" s="124">
        <f t="shared" si="8"/>
        <v>0</v>
      </c>
      <c r="AB27" s="124">
        <f t="shared" si="8"/>
        <v>15</v>
      </c>
      <c r="AC27" s="124">
        <f t="shared" si="8"/>
        <v>0</v>
      </c>
      <c r="AD27" s="124">
        <f t="shared" si="8"/>
        <v>15</v>
      </c>
      <c r="AE27" s="124">
        <f t="shared" si="8"/>
        <v>0</v>
      </c>
      <c r="AF27" s="124">
        <f t="shared" si="8"/>
        <v>15</v>
      </c>
      <c r="AG27" s="124">
        <f t="shared" si="8"/>
        <v>0</v>
      </c>
      <c r="AH27" s="124">
        <f t="shared" si="8"/>
        <v>15</v>
      </c>
      <c r="AI27" s="124">
        <f t="shared" si="8"/>
        <v>0</v>
      </c>
      <c r="AJ27" s="124">
        <f t="shared" si="8"/>
        <v>15</v>
      </c>
      <c r="AK27" s="124">
        <f t="shared" si="8"/>
        <v>0</v>
      </c>
      <c r="AL27" s="124">
        <f t="shared" si="8"/>
        <v>15</v>
      </c>
      <c r="AM27" s="124">
        <f t="shared" si="8"/>
        <v>0</v>
      </c>
      <c r="AN27" s="124">
        <f t="shared" si="8"/>
        <v>15</v>
      </c>
      <c r="AO27" s="124">
        <f t="shared" si="8"/>
        <v>0</v>
      </c>
      <c r="AP27" s="124">
        <f t="shared" si="8"/>
        <v>15</v>
      </c>
      <c r="AQ27" s="124">
        <f t="shared" si="8"/>
        <v>0</v>
      </c>
      <c r="AR27" s="124">
        <f t="shared" si="8"/>
        <v>15</v>
      </c>
      <c r="AS27" s="124">
        <f t="shared" si="8"/>
        <v>0</v>
      </c>
      <c r="AT27" s="124">
        <f t="shared" si="8"/>
        <v>15</v>
      </c>
      <c r="AU27" s="124">
        <f t="shared" si="8"/>
        <v>0</v>
      </c>
      <c r="AV27" s="124">
        <f t="shared" si="8"/>
        <v>15</v>
      </c>
      <c r="AW27" s="124">
        <f t="shared" si="8"/>
        <v>0</v>
      </c>
      <c r="AX27" s="124">
        <f t="shared" si="8"/>
        <v>15</v>
      </c>
      <c r="AY27" s="164">
        <f t="shared" si="8"/>
        <v>0</v>
      </c>
      <c r="AZ27" s="106"/>
    </row>
    <row r="28" spans="1:52">
      <c r="B28" s="165" t="s">
        <v>310</v>
      </c>
      <c r="C28" s="110">
        <v>0</v>
      </c>
      <c r="D28" s="110">
        <v>15</v>
      </c>
      <c r="E28" s="110">
        <v>0</v>
      </c>
      <c r="F28" s="110">
        <v>15</v>
      </c>
      <c r="G28" s="110">
        <v>0</v>
      </c>
      <c r="H28" s="110">
        <v>15</v>
      </c>
      <c r="I28" s="110">
        <v>0</v>
      </c>
      <c r="J28" s="110">
        <v>15</v>
      </c>
      <c r="K28" s="110">
        <v>0</v>
      </c>
      <c r="L28" s="110">
        <v>0</v>
      </c>
      <c r="M28" s="110">
        <v>0</v>
      </c>
      <c r="N28" s="110">
        <v>15</v>
      </c>
      <c r="O28" s="110">
        <v>0</v>
      </c>
      <c r="P28" s="110">
        <v>15</v>
      </c>
      <c r="Q28" s="110">
        <v>0</v>
      </c>
      <c r="R28" s="110">
        <v>15</v>
      </c>
      <c r="S28" s="110">
        <v>0</v>
      </c>
      <c r="T28" s="110">
        <v>15</v>
      </c>
      <c r="U28" s="110">
        <v>0</v>
      </c>
      <c r="V28" s="110">
        <v>15</v>
      </c>
      <c r="W28" s="110">
        <v>0</v>
      </c>
      <c r="X28" s="110">
        <v>15</v>
      </c>
      <c r="Y28" s="110">
        <v>0</v>
      </c>
      <c r="Z28" s="110">
        <v>15</v>
      </c>
      <c r="AA28" s="110">
        <v>0</v>
      </c>
      <c r="AB28" s="110">
        <v>15</v>
      </c>
      <c r="AC28" s="110">
        <v>0</v>
      </c>
      <c r="AD28" s="110">
        <v>15</v>
      </c>
      <c r="AE28" s="110">
        <v>0</v>
      </c>
      <c r="AF28" s="110">
        <v>15</v>
      </c>
      <c r="AG28" s="110">
        <v>0</v>
      </c>
      <c r="AH28" s="110">
        <v>15</v>
      </c>
      <c r="AI28" s="110">
        <v>0</v>
      </c>
      <c r="AJ28" s="110">
        <v>15</v>
      </c>
      <c r="AK28" s="110">
        <v>0</v>
      </c>
      <c r="AL28" s="110">
        <v>15</v>
      </c>
      <c r="AM28" s="110">
        <v>0</v>
      </c>
      <c r="AN28" s="110">
        <v>15</v>
      </c>
      <c r="AO28" s="110">
        <v>0</v>
      </c>
      <c r="AP28" s="110">
        <v>15</v>
      </c>
      <c r="AQ28" s="110">
        <v>0</v>
      </c>
      <c r="AR28" s="110">
        <v>15</v>
      </c>
      <c r="AS28" s="110">
        <v>0</v>
      </c>
      <c r="AT28" s="110">
        <v>15</v>
      </c>
      <c r="AU28" s="110">
        <v>0</v>
      </c>
      <c r="AV28" s="110">
        <v>15</v>
      </c>
      <c r="AW28" s="110">
        <v>0</v>
      </c>
      <c r="AX28" s="110">
        <v>15</v>
      </c>
      <c r="AY28" s="166">
        <v>0</v>
      </c>
      <c r="AZ28" s="106"/>
    </row>
    <row r="29" spans="1:52">
      <c r="B29" s="136" t="s">
        <v>311</v>
      </c>
      <c r="C29" s="125">
        <v>15</v>
      </c>
      <c r="D29" s="125">
        <f>C$28</f>
        <v>0</v>
      </c>
      <c r="E29" s="125">
        <f t="shared" ref="E29:AY29" si="9">D$28</f>
        <v>15</v>
      </c>
      <c r="F29" s="125">
        <f t="shared" si="9"/>
        <v>0</v>
      </c>
      <c r="G29" s="125">
        <f t="shared" si="9"/>
        <v>15</v>
      </c>
      <c r="H29" s="125">
        <f t="shared" si="9"/>
        <v>0</v>
      </c>
      <c r="I29" s="125">
        <f t="shared" si="9"/>
        <v>15</v>
      </c>
      <c r="J29" s="125">
        <f t="shared" si="9"/>
        <v>0</v>
      </c>
      <c r="K29" s="125">
        <f t="shared" si="9"/>
        <v>15</v>
      </c>
      <c r="L29" s="125">
        <f t="shared" si="9"/>
        <v>0</v>
      </c>
      <c r="M29" s="125">
        <f t="shared" si="9"/>
        <v>0</v>
      </c>
      <c r="N29" s="125">
        <f t="shared" si="9"/>
        <v>0</v>
      </c>
      <c r="O29" s="125">
        <f t="shared" si="9"/>
        <v>15</v>
      </c>
      <c r="P29" s="125">
        <f t="shared" si="9"/>
        <v>0</v>
      </c>
      <c r="Q29" s="125">
        <f t="shared" si="9"/>
        <v>15</v>
      </c>
      <c r="R29" s="125">
        <f t="shared" si="9"/>
        <v>0</v>
      </c>
      <c r="S29" s="125">
        <f t="shared" si="9"/>
        <v>15</v>
      </c>
      <c r="T29" s="125">
        <f t="shared" si="9"/>
        <v>0</v>
      </c>
      <c r="U29" s="125">
        <f t="shared" si="9"/>
        <v>15</v>
      </c>
      <c r="V29" s="125">
        <f t="shared" si="9"/>
        <v>0</v>
      </c>
      <c r="W29" s="125">
        <f t="shared" si="9"/>
        <v>15</v>
      </c>
      <c r="X29" s="125">
        <f t="shared" si="9"/>
        <v>0</v>
      </c>
      <c r="Y29" s="125">
        <f t="shared" si="9"/>
        <v>15</v>
      </c>
      <c r="Z29" s="125">
        <f t="shared" si="9"/>
        <v>0</v>
      </c>
      <c r="AA29" s="125">
        <f t="shared" si="9"/>
        <v>15</v>
      </c>
      <c r="AB29" s="125">
        <f t="shared" si="9"/>
        <v>0</v>
      </c>
      <c r="AC29" s="125">
        <f t="shared" si="9"/>
        <v>15</v>
      </c>
      <c r="AD29" s="125">
        <f t="shared" si="9"/>
        <v>0</v>
      </c>
      <c r="AE29" s="125">
        <f t="shared" si="9"/>
        <v>15</v>
      </c>
      <c r="AF29" s="125">
        <f t="shared" si="9"/>
        <v>0</v>
      </c>
      <c r="AG29" s="125">
        <f t="shared" si="9"/>
        <v>15</v>
      </c>
      <c r="AH29" s="125">
        <f t="shared" si="9"/>
        <v>0</v>
      </c>
      <c r="AI29" s="125">
        <f t="shared" si="9"/>
        <v>15</v>
      </c>
      <c r="AJ29" s="125">
        <f t="shared" si="9"/>
        <v>0</v>
      </c>
      <c r="AK29" s="125">
        <f t="shared" si="9"/>
        <v>15</v>
      </c>
      <c r="AL29" s="125">
        <f t="shared" si="9"/>
        <v>0</v>
      </c>
      <c r="AM29" s="125">
        <f t="shared" si="9"/>
        <v>15</v>
      </c>
      <c r="AN29" s="125">
        <f t="shared" si="9"/>
        <v>0</v>
      </c>
      <c r="AO29" s="125">
        <f t="shared" si="9"/>
        <v>15</v>
      </c>
      <c r="AP29" s="125">
        <f t="shared" si="9"/>
        <v>0</v>
      </c>
      <c r="AQ29" s="125">
        <f t="shared" si="9"/>
        <v>15</v>
      </c>
      <c r="AR29" s="125">
        <f t="shared" si="9"/>
        <v>0</v>
      </c>
      <c r="AS29" s="125">
        <f t="shared" si="9"/>
        <v>15</v>
      </c>
      <c r="AT29" s="125">
        <f t="shared" si="9"/>
        <v>0</v>
      </c>
      <c r="AU29" s="125">
        <f t="shared" si="9"/>
        <v>15</v>
      </c>
      <c r="AV29" s="125">
        <f t="shared" si="9"/>
        <v>0</v>
      </c>
      <c r="AW29" s="125">
        <f t="shared" si="9"/>
        <v>15</v>
      </c>
      <c r="AX29" s="125">
        <f t="shared" si="9"/>
        <v>0</v>
      </c>
      <c r="AY29" s="167">
        <f t="shared" si="9"/>
        <v>15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150</v>
      </c>
      <c r="E30" s="117">
        <f t="shared" ref="E30:AY30" si="10">E$27*$B$30</f>
        <v>0</v>
      </c>
      <c r="F30" s="117">
        <f t="shared" si="10"/>
        <v>150</v>
      </c>
      <c r="G30" s="117">
        <f t="shared" si="10"/>
        <v>0</v>
      </c>
      <c r="H30" s="117">
        <f t="shared" si="10"/>
        <v>150</v>
      </c>
      <c r="I30" s="117">
        <f t="shared" si="10"/>
        <v>0</v>
      </c>
      <c r="J30" s="117">
        <f t="shared" si="10"/>
        <v>150</v>
      </c>
      <c r="K30" s="117">
        <f t="shared" si="10"/>
        <v>0</v>
      </c>
      <c r="L30" s="117">
        <f t="shared" si="10"/>
        <v>150</v>
      </c>
      <c r="M30" s="117">
        <f t="shared" si="10"/>
        <v>150</v>
      </c>
      <c r="N30" s="117">
        <f t="shared" si="10"/>
        <v>150</v>
      </c>
      <c r="O30" s="117">
        <f t="shared" si="10"/>
        <v>0</v>
      </c>
      <c r="P30" s="117">
        <f t="shared" si="10"/>
        <v>150</v>
      </c>
      <c r="Q30" s="117">
        <f t="shared" si="10"/>
        <v>0</v>
      </c>
      <c r="R30" s="117">
        <f>R$27*$B$30</f>
        <v>150</v>
      </c>
      <c r="S30" s="117">
        <f t="shared" si="10"/>
        <v>0</v>
      </c>
      <c r="T30" s="117">
        <f t="shared" si="10"/>
        <v>150</v>
      </c>
      <c r="U30" s="117">
        <f t="shared" si="10"/>
        <v>0</v>
      </c>
      <c r="V30" s="117">
        <f t="shared" si="10"/>
        <v>150</v>
      </c>
      <c r="W30" s="117">
        <f t="shared" si="10"/>
        <v>0</v>
      </c>
      <c r="X30" s="117">
        <f t="shared" si="10"/>
        <v>150</v>
      </c>
      <c r="Y30" s="117">
        <f t="shared" si="10"/>
        <v>0</v>
      </c>
      <c r="Z30" s="117">
        <f t="shared" si="10"/>
        <v>150</v>
      </c>
      <c r="AA30" s="117">
        <f t="shared" si="10"/>
        <v>0</v>
      </c>
      <c r="AB30" s="117">
        <f t="shared" si="10"/>
        <v>150</v>
      </c>
      <c r="AC30" s="117">
        <f t="shared" si="10"/>
        <v>0</v>
      </c>
      <c r="AD30" s="117">
        <f t="shared" si="10"/>
        <v>150</v>
      </c>
      <c r="AE30" s="117">
        <f>AE$27*$B$30</f>
        <v>0</v>
      </c>
      <c r="AF30" s="117">
        <f t="shared" si="10"/>
        <v>150</v>
      </c>
      <c r="AG30" s="117">
        <f t="shared" si="10"/>
        <v>0</v>
      </c>
      <c r="AH30" s="117">
        <f t="shared" si="10"/>
        <v>150</v>
      </c>
      <c r="AI30" s="117">
        <f t="shared" si="10"/>
        <v>0</v>
      </c>
      <c r="AJ30" s="117">
        <f t="shared" si="10"/>
        <v>150</v>
      </c>
      <c r="AK30" s="117">
        <f t="shared" si="10"/>
        <v>0</v>
      </c>
      <c r="AL30" s="117">
        <f t="shared" si="10"/>
        <v>150</v>
      </c>
      <c r="AM30" s="117">
        <f t="shared" si="10"/>
        <v>0</v>
      </c>
      <c r="AN30" s="117">
        <f t="shared" si="10"/>
        <v>150</v>
      </c>
      <c r="AO30" s="117">
        <f t="shared" si="10"/>
        <v>0</v>
      </c>
      <c r="AP30" s="117">
        <f t="shared" si="10"/>
        <v>150</v>
      </c>
      <c r="AQ30" s="117">
        <f t="shared" si="10"/>
        <v>0</v>
      </c>
      <c r="AR30" s="117">
        <f t="shared" si="10"/>
        <v>150</v>
      </c>
      <c r="AS30" s="117">
        <f t="shared" si="10"/>
        <v>0</v>
      </c>
      <c r="AT30" s="117">
        <f t="shared" si="10"/>
        <v>150</v>
      </c>
      <c r="AU30" s="117">
        <f t="shared" si="10"/>
        <v>0</v>
      </c>
      <c r="AV30" s="117">
        <f t="shared" si="10"/>
        <v>150</v>
      </c>
      <c r="AW30" s="117">
        <f t="shared" si="10"/>
        <v>0</v>
      </c>
      <c r="AX30" s="117">
        <f t="shared" si="10"/>
        <v>150</v>
      </c>
      <c r="AY30" s="117">
        <f t="shared" si="10"/>
        <v>0</v>
      </c>
      <c r="AZ30" s="141">
        <f t="shared" si="5"/>
        <v>3750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45.042390666168849</v>
      </c>
      <c r="E33" s="124">
        <f>E$21*shipping_manufacturing!$F$27/100</f>
        <v>68.527285854345763</v>
      </c>
      <c r="F33" s="124">
        <f>F$21*shipping_manufacturing!$F$27/100</f>
        <v>68.527285854345763</v>
      </c>
      <c r="G33" s="124">
        <f>G$21*shipping_manufacturing!$F$27/100</f>
        <v>68.527285854345763</v>
      </c>
      <c r="H33" s="124">
        <f>H$21*shipping_manufacturing!$F$27/100</f>
        <v>68.527285854345763</v>
      </c>
      <c r="I33" s="124">
        <f>I$21*shipping_manufacturing!$F$27/100</f>
        <v>68.527285854345763</v>
      </c>
      <c r="J33" s="124">
        <f>J$21*shipping_manufacturing!$F$27/100</f>
        <v>68.527285854345763</v>
      </c>
      <c r="K33" s="124">
        <f>K$21*shipping_manufacturing!$F$27/100</f>
        <v>68.527285854345763</v>
      </c>
      <c r="L33" s="124">
        <f>L$21*shipping_manufacturing!$F$27/100</f>
        <v>0</v>
      </c>
      <c r="M33" s="124">
        <f>M$21*shipping_manufacturing!$F$27/100</f>
        <v>0</v>
      </c>
      <c r="N33" s="124">
        <f>N$21*shipping_manufacturing!$F$27/100</f>
        <v>131.82175277673798</v>
      </c>
      <c r="O33" s="124">
        <f>O$21*shipping_manufacturing!$F$27/100</f>
        <v>68.527285854345763</v>
      </c>
      <c r="P33" s="124">
        <f>P$21*shipping_manufacturing!$F$27/100</f>
        <v>68.527285854345763</v>
      </c>
      <c r="Q33" s="124">
        <f>Q$21*shipping_manufacturing!$F$27/100</f>
        <v>0</v>
      </c>
      <c r="R33" s="124">
        <f>R$21*shipping_manufacturing!$F$27/100</f>
        <v>131.82175277673798</v>
      </c>
      <c r="S33" s="124">
        <f>S$21*shipping_manufacturing!$F$27/100</f>
        <v>68.527285854345763</v>
      </c>
      <c r="T33" s="124">
        <f>T$21*shipping_manufacturing!$F$27/100</f>
        <v>68.527285854345763</v>
      </c>
      <c r="U33" s="124">
        <f>U$21*shipping_manufacturing!$F$27/100</f>
        <v>68.527285854345763</v>
      </c>
      <c r="V33" s="124">
        <f>V$21*shipping_manufacturing!$F$27/100</f>
        <v>68.527285854345763</v>
      </c>
      <c r="W33" s="124">
        <f>W$21*shipping_manufacturing!$F$27/100</f>
        <v>68.527285854345763</v>
      </c>
      <c r="X33" s="124">
        <f>X$21*shipping_manufacturing!$F$27/100</f>
        <v>68.527285854345763</v>
      </c>
      <c r="Y33" s="124">
        <f>Y$21*shipping_manufacturing!$F$27/100</f>
        <v>68.527285854345763</v>
      </c>
      <c r="Z33" s="124">
        <f>Z$21*shipping_manufacturing!$F$27/100</f>
        <v>68.527285854345763</v>
      </c>
      <c r="AA33" s="124">
        <f>AA$21*shipping_manufacturing!$F$27/100</f>
        <v>68.527285854345763</v>
      </c>
      <c r="AB33" s="124">
        <f>AB$21*shipping_manufacturing!$F$27/100</f>
        <v>68.527285854345763</v>
      </c>
      <c r="AC33" s="124">
        <f>AC$21*shipping_manufacturing!$F$27/100</f>
        <v>68.527285854345763</v>
      </c>
      <c r="AD33" s="124">
        <f>AD$21*shipping_manufacturing!$F$27/100</f>
        <v>68.527285854345763</v>
      </c>
      <c r="AE33" s="124">
        <f>AE$21*shipping_manufacturing!$F$27/100</f>
        <v>68.527285854345763</v>
      </c>
      <c r="AF33" s="124">
        <f>AF$21*shipping_manufacturing!$F$27/100</f>
        <v>68.527285854345763</v>
      </c>
      <c r="AG33" s="124">
        <f>AG$21*shipping_manufacturing!$F$27/100</f>
        <v>68.527285854345763</v>
      </c>
      <c r="AH33" s="124">
        <f>AH$21*shipping_manufacturing!$F$27/100</f>
        <v>68.527285854345763</v>
      </c>
      <c r="AI33" s="124">
        <f>AI$21*shipping_manufacturing!$F$27/100</f>
        <v>68.527285854345763</v>
      </c>
      <c r="AJ33" s="124">
        <f>AJ$21*shipping_manufacturing!$F$27/100</f>
        <v>68.527285854345763</v>
      </c>
      <c r="AK33" s="124">
        <f>AK$21*shipping_manufacturing!$F$27/100</f>
        <v>68.527285854345763</v>
      </c>
      <c r="AL33" s="124">
        <f>AL$21*shipping_manufacturing!$F$27/100</f>
        <v>68.527285854345763</v>
      </c>
      <c r="AM33" s="124">
        <f>AM$21*shipping_manufacturing!$F$27/100</f>
        <v>68.527285854345763</v>
      </c>
      <c r="AN33" s="124">
        <f>AN$21*shipping_manufacturing!$F$27/100</f>
        <v>68.527285854345763</v>
      </c>
      <c r="AO33" s="124">
        <f>AO$21*shipping_manufacturing!$F$27/100</f>
        <v>68.527285854345763</v>
      </c>
      <c r="AP33" s="124">
        <f>AP$21*shipping_manufacturing!$F$27/100</f>
        <v>68.527285854345763</v>
      </c>
      <c r="AQ33" s="124">
        <f>AQ$21*shipping_manufacturing!$F$27/100</f>
        <v>68.527285854345763</v>
      </c>
      <c r="AR33" s="124">
        <f>AR$21*shipping_manufacturing!$F$27/100</f>
        <v>68.527285854345763</v>
      </c>
      <c r="AS33" s="124">
        <f>AS$21*shipping_manufacturing!$F$27/100</f>
        <v>68.527285854345763</v>
      </c>
      <c r="AT33" s="124">
        <f>AT$21*shipping_manufacturing!$F$27/100</f>
        <v>68.527285854345763</v>
      </c>
      <c r="AU33" s="124">
        <f>AU$21*shipping_manufacturing!$F$27/100</f>
        <v>68.527285854345763</v>
      </c>
      <c r="AV33" s="124">
        <f>AV$21*shipping_manufacturing!$F$27/100</f>
        <v>68.527285854345763</v>
      </c>
      <c r="AW33" s="124">
        <f>AW$21*shipping_manufacturing!$F$27/100</f>
        <v>68.527285854345763</v>
      </c>
      <c r="AX33" s="124">
        <f>AX$21*shipping_manufacturing!$F$27/100</f>
        <v>68.527285854345763</v>
      </c>
      <c r="AY33" s="124">
        <f>AY$21*shipping_manufacturing!$F$27/100</f>
        <v>68.527285854345763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49.092419496755284</v>
      </c>
      <c r="E34" s="110">
        <f>E$22*shipping_manufacturing!$G$27/100</f>
        <v>74.688981077161628</v>
      </c>
      <c r="F34" s="110">
        <f>F$22*shipping_manufacturing!$G$27/100</f>
        <v>74.688981077161628</v>
      </c>
      <c r="G34" s="110">
        <f>G$22*shipping_manufacturing!$G$27/100</f>
        <v>74.688981077161628</v>
      </c>
      <c r="H34" s="110">
        <f>H$22*shipping_manufacturing!$G$27/100</f>
        <v>74.688981077161628</v>
      </c>
      <c r="I34" s="110">
        <f>I$22*shipping_manufacturing!$G$27/100</f>
        <v>74.688981077161628</v>
      </c>
      <c r="J34" s="110">
        <f>J$22*shipping_manufacturing!$G$27/100</f>
        <v>74.688981077161628</v>
      </c>
      <c r="K34" s="110">
        <f>K$22*shipping_manufacturing!$G$27/100</f>
        <v>74.688981077161628</v>
      </c>
      <c r="L34" s="110">
        <f>L$22*shipping_manufacturing!$G$27/100</f>
        <v>0</v>
      </c>
      <c r="M34" s="110">
        <f>M$22*shipping_manufacturing!$G$27/100</f>
        <v>0</v>
      </c>
      <c r="N34" s="110">
        <f>N$22*shipping_manufacturing!$G$27/100</f>
        <v>143.67462939692197</v>
      </c>
      <c r="O34" s="110">
        <f>O$22*shipping_manufacturing!$G$27/100</f>
        <v>74.688981077161628</v>
      </c>
      <c r="P34" s="110">
        <f>P$22*shipping_manufacturing!$G$27/100</f>
        <v>74.688981077161628</v>
      </c>
      <c r="Q34" s="110">
        <f>Q$22*shipping_manufacturing!$G$27/100</f>
        <v>0</v>
      </c>
      <c r="R34" s="110">
        <f>R$22*shipping_manufacturing!$G$27/100</f>
        <v>143.67462939692197</v>
      </c>
      <c r="S34" s="110">
        <f>S$22*shipping_manufacturing!$G$27/100</f>
        <v>74.688981077161628</v>
      </c>
      <c r="T34" s="110">
        <f>T$22*shipping_manufacturing!$G$27/100</f>
        <v>74.688981077161628</v>
      </c>
      <c r="U34" s="110">
        <f>U$22*shipping_manufacturing!$G$27/100</f>
        <v>74.688981077161628</v>
      </c>
      <c r="V34" s="110">
        <f>V$22*shipping_manufacturing!$G$27/100</f>
        <v>74.688981077161628</v>
      </c>
      <c r="W34" s="110">
        <f>W$22*shipping_manufacturing!$G$27/100</f>
        <v>74.688981077161628</v>
      </c>
      <c r="X34" s="110">
        <f>X$22*shipping_manufacturing!$G$27/100</f>
        <v>74.688981077161628</v>
      </c>
      <c r="Y34" s="110">
        <f>Y$22*shipping_manufacturing!$G$27/100</f>
        <v>74.688981077161628</v>
      </c>
      <c r="Z34" s="110">
        <f>Z$22*shipping_manufacturing!$G$27/100</f>
        <v>74.688981077161628</v>
      </c>
      <c r="AA34" s="110">
        <f>AA$22*shipping_manufacturing!$G$27/100</f>
        <v>74.688981077161628</v>
      </c>
      <c r="AB34" s="110">
        <f>AB$22*shipping_manufacturing!$G$27/100</f>
        <v>74.688981077161628</v>
      </c>
      <c r="AC34" s="110">
        <f>AC$22*shipping_manufacturing!$G$27/100</f>
        <v>74.688981077161628</v>
      </c>
      <c r="AD34" s="110">
        <f>AD$22*shipping_manufacturing!$G$27/100</f>
        <v>74.688981077161628</v>
      </c>
      <c r="AE34" s="110">
        <f>AE$22*shipping_manufacturing!$G$27/100</f>
        <v>74.688981077161628</v>
      </c>
      <c r="AF34" s="110">
        <f>AF$22*shipping_manufacturing!$G$27/100</f>
        <v>74.688981077161628</v>
      </c>
      <c r="AG34" s="110">
        <f>AG$22*shipping_manufacturing!$G$27/100</f>
        <v>74.688981077161628</v>
      </c>
      <c r="AH34" s="110">
        <f>AH$22*shipping_manufacturing!$G$27/100</f>
        <v>74.688981077161628</v>
      </c>
      <c r="AI34" s="110">
        <f>AI$22*shipping_manufacturing!$G$27/100</f>
        <v>74.688981077161628</v>
      </c>
      <c r="AJ34" s="110">
        <f>AJ$22*shipping_manufacturing!$G$27/100</f>
        <v>74.688981077161628</v>
      </c>
      <c r="AK34" s="110">
        <f>AK$22*shipping_manufacturing!$G$27/100</f>
        <v>74.688981077161628</v>
      </c>
      <c r="AL34" s="110">
        <f>AL$22*shipping_manufacturing!$G$27/100</f>
        <v>74.688981077161628</v>
      </c>
      <c r="AM34" s="110">
        <f>AM$22*shipping_manufacturing!$G$27/100</f>
        <v>74.688981077161628</v>
      </c>
      <c r="AN34" s="110">
        <f>AN$22*shipping_manufacturing!$G$27/100</f>
        <v>74.688981077161628</v>
      </c>
      <c r="AO34" s="110">
        <f>AO$22*shipping_manufacturing!$G$27/100</f>
        <v>74.688981077161628</v>
      </c>
      <c r="AP34" s="110">
        <f>AP$22*shipping_manufacturing!$G$27/100</f>
        <v>74.688981077161628</v>
      </c>
      <c r="AQ34" s="110">
        <f>AQ$22*shipping_manufacturing!$G$27/100</f>
        <v>74.688981077161628</v>
      </c>
      <c r="AR34" s="110">
        <f>AR$22*shipping_manufacturing!$G$27/100</f>
        <v>74.688981077161628</v>
      </c>
      <c r="AS34" s="110">
        <f>AS$22*shipping_manufacturing!$G$27/100</f>
        <v>74.688981077161628</v>
      </c>
      <c r="AT34" s="110">
        <f>AT$22*shipping_manufacturing!$G$27/100</f>
        <v>74.688981077161628</v>
      </c>
      <c r="AU34" s="110">
        <f>AU$22*shipping_manufacturing!$G$27/100</f>
        <v>74.688981077161628</v>
      </c>
      <c r="AV34" s="110">
        <f>AV$22*shipping_manufacturing!$G$27/100</f>
        <v>74.688981077161628</v>
      </c>
      <c r="AW34" s="110">
        <f>AW$22*shipping_manufacturing!$G$27/100</f>
        <v>74.688981077161628</v>
      </c>
      <c r="AX34" s="110">
        <f>AX$22*shipping_manufacturing!$G$27/100</f>
        <v>74.688981077161628</v>
      </c>
      <c r="AY34" s="110">
        <f>AY$22*shipping_manufacturing!$G$27/100</f>
        <v>74.688981077161628</v>
      </c>
    </row>
    <row r="35" spans="1:52">
      <c r="A35" s="110">
        <v>1245</v>
      </c>
      <c r="B35" s="165" t="s">
        <v>343</v>
      </c>
      <c r="C35" s="110"/>
      <c r="D35" s="110">
        <f>SUM(D33:D34)</f>
        <v>94.13481016292414</v>
      </c>
      <c r="E35" s="110">
        <f t="shared" ref="E35:AY35" si="11">SUM(E33:E34)</f>
        <v>143.21626693150739</v>
      </c>
      <c r="F35" s="110">
        <f t="shared" si="11"/>
        <v>143.21626693150739</v>
      </c>
      <c r="G35" s="110">
        <f t="shared" si="11"/>
        <v>143.21626693150739</v>
      </c>
      <c r="H35" s="110">
        <f t="shared" si="11"/>
        <v>143.21626693150739</v>
      </c>
      <c r="I35" s="110">
        <f t="shared" si="11"/>
        <v>143.21626693150739</v>
      </c>
      <c r="J35" s="110">
        <f t="shared" si="11"/>
        <v>143.21626693150739</v>
      </c>
      <c r="K35" s="110">
        <f t="shared" si="11"/>
        <v>143.21626693150739</v>
      </c>
      <c r="L35" s="110">
        <f t="shared" si="11"/>
        <v>0</v>
      </c>
      <c r="M35" s="110">
        <f t="shared" si="11"/>
        <v>0</v>
      </c>
      <c r="N35" s="110">
        <f t="shared" si="11"/>
        <v>275.49638217365998</v>
      </c>
      <c r="O35" s="110">
        <f t="shared" si="11"/>
        <v>143.21626693150739</v>
      </c>
      <c r="P35" s="110">
        <f t="shared" si="11"/>
        <v>143.21626693150739</v>
      </c>
      <c r="Q35" s="110">
        <f t="shared" si="11"/>
        <v>0</v>
      </c>
      <c r="R35" s="110">
        <f t="shared" si="11"/>
        <v>275.49638217365998</v>
      </c>
      <c r="S35" s="110">
        <f t="shared" si="11"/>
        <v>143.21626693150739</v>
      </c>
      <c r="T35" s="110">
        <f t="shared" si="11"/>
        <v>143.21626693150739</v>
      </c>
      <c r="U35" s="110">
        <f t="shared" si="11"/>
        <v>143.21626693150739</v>
      </c>
      <c r="V35" s="110">
        <f t="shared" si="11"/>
        <v>143.21626693150739</v>
      </c>
      <c r="W35" s="110">
        <f t="shared" si="11"/>
        <v>143.21626693150739</v>
      </c>
      <c r="X35" s="110">
        <f t="shared" si="11"/>
        <v>143.21626693150739</v>
      </c>
      <c r="Y35" s="110">
        <f t="shared" si="11"/>
        <v>143.21626693150739</v>
      </c>
      <c r="Z35" s="110">
        <f t="shared" si="11"/>
        <v>143.21626693150739</v>
      </c>
      <c r="AA35" s="110">
        <f t="shared" si="11"/>
        <v>143.21626693150739</v>
      </c>
      <c r="AB35" s="110">
        <f t="shared" si="11"/>
        <v>143.21626693150739</v>
      </c>
      <c r="AC35" s="110">
        <f t="shared" si="11"/>
        <v>143.21626693150739</v>
      </c>
      <c r="AD35" s="110">
        <f t="shared" si="11"/>
        <v>143.21626693150739</v>
      </c>
      <c r="AE35" s="110">
        <f t="shared" si="11"/>
        <v>143.21626693150739</v>
      </c>
      <c r="AF35" s="110">
        <f t="shared" si="11"/>
        <v>143.21626693150739</v>
      </c>
      <c r="AG35" s="110">
        <f t="shared" si="11"/>
        <v>143.21626693150739</v>
      </c>
      <c r="AH35" s="110">
        <f t="shared" si="11"/>
        <v>143.21626693150739</v>
      </c>
      <c r="AI35" s="110">
        <f t="shared" si="11"/>
        <v>143.21626693150739</v>
      </c>
      <c r="AJ35" s="110">
        <f t="shared" si="11"/>
        <v>143.21626693150739</v>
      </c>
      <c r="AK35" s="110">
        <f t="shared" si="11"/>
        <v>143.21626693150739</v>
      </c>
      <c r="AL35" s="110">
        <f t="shared" si="11"/>
        <v>143.21626693150739</v>
      </c>
      <c r="AM35" s="110">
        <f t="shared" si="11"/>
        <v>143.21626693150739</v>
      </c>
      <c r="AN35" s="110">
        <f t="shared" si="11"/>
        <v>143.21626693150739</v>
      </c>
      <c r="AO35" s="110">
        <f t="shared" si="11"/>
        <v>143.21626693150739</v>
      </c>
      <c r="AP35" s="110">
        <f t="shared" si="11"/>
        <v>143.21626693150739</v>
      </c>
      <c r="AQ35" s="110">
        <f t="shared" si="11"/>
        <v>143.21626693150739</v>
      </c>
      <c r="AR35" s="110">
        <f t="shared" si="11"/>
        <v>143.21626693150739</v>
      </c>
      <c r="AS35" s="110">
        <f t="shared" si="11"/>
        <v>143.21626693150739</v>
      </c>
      <c r="AT35" s="110">
        <f t="shared" si="11"/>
        <v>143.21626693150739</v>
      </c>
      <c r="AU35" s="110">
        <f t="shared" si="11"/>
        <v>143.21626693150739</v>
      </c>
      <c r="AV35" s="110">
        <f t="shared" si="11"/>
        <v>143.21626693150739</v>
      </c>
      <c r="AW35" s="110">
        <f t="shared" si="11"/>
        <v>143.21626693150739</v>
      </c>
      <c r="AX35" s="110">
        <f t="shared" si="11"/>
        <v>143.21626693150739</v>
      </c>
      <c r="AY35" s="110">
        <f t="shared" si="11"/>
        <v>143.21626693150739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45.042390666168849</v>
      </c>
      <c r="E39" s="110">
        <f t="shared" ref="E39:AY39" si="12">E33-E36</f>
        <v>68.527285854345763</v>
      </c>
      <c r="F39" s="110">
        <f t="shared" si="12"/>
        <v>68.527285854345763</v>
      </c>
      <c r="G39" s="110">
        <f t="shared" si="12"/>
        <v>68.527285854345763</v>
      </c>
      <c r="H39" s="110">
        <f t="shared" si="12"/>
        <v>68.527285854345763</v>
      </c>
      <c r="I39" s="110">
        <f t="shared" si="12"/>
        <v>68.527285854345763</v>
      </c>
      <c r="J39" s="110">
        <f t="shared" si="12"/>
        <v>68.527285854345763</v>
      </c>
      <c r="K39" s="110">
        <f t="shared" si="12"/>
        <v>68.527285854345763</v>
      </c>
      <c r="L39" s="110">
        <f t="shared" si="12"/>
        <v>0</v>
      </c>
      <c r="M39" s="110">
        <f t="shared" si="12"/>
        <v>0</v>
      </c>
      <c r="N39" s="110">
        <f t="shared" si="12"/>
        <v>131.82175277673798</v>
      </c>
      <c r="O39" s="110">
        <f t="shared" si="12"/>
        <v>68.527285854345763</v>
      </c>
      <c r="P39" s="110">
        <f t="shared" si="12"/>
        <v>68.527285854345763</v>
      </c>
      <c r="Q39" s="110">
        <f t="shared" si="12"/>
        <v>0</v>
      </c>
      <c r="R39" s="110">
        <f t="shared" si="12"/>
        <v>131.82175277673798</v>
      </c>
      <c r="S39" s="110">
        <f t="shared" si="12"/>
        <v>68.527285854345763</v>
      </c>
      <c r="T39" s="110">
        <f t="shared" si="12"/>
        <v>68.527285854345763</v>
      </c>
      <c r="U39" s="110">
        <f t="shared" si="12"/>
        <v>68.527285854345763</v>
      </c>
      <c r="V39" s="110">
        <f t="shared" si="12"/>
        <v>68.527285854345763</v>
      </c>
      <c r="W39" s="110">
        <f t="shared" si="12"/>
        <v>68.527285854345763</v>
      </c>
      <c r="X39" s="110">
        <f t="shared" si="12"/>
        <v>68.527285854345763</v>
      </c>
      <c r="Y39" s="110">
        <f t="shared" si="12"/>
        <v>68.527285854345763</v>
      </c>
      <c r="Z39" s="110">
        <f t="shared" si="12"/>
        <v>68.527285854345763</v>
      </c>
      <c r="AA39" s="110">
        <f t="shared" si="12"/>
        <v>68.527285854345763</v>
      </c>
      <c r="AB39" s="110">
        <f t="shared" si="12"/>
        <v>68.527285854345763</v>
      </c>
      <c r="AC39" s="110">
        <f t="shared" si="12"/>
        <v>68.527285854345763</v>
      </c>
      <c r="AD39" s="110">
        <f t="shared" si="12"/>
        <v>68.527285854345763</v>
      </c>
      <c r="AE39" s="110">
        <f t="shared" si="12"/>
        <v>68.527285854345763</v>
      </c>
      <c r="AF39" s="110">
        <f t="shared" si="12"/>
        <v>68.527285854345763</v>
      </c>
      <c r="AG39" s="110">
        <f t="shared" si="12"/>
        <v>68.527285854345763</v>
      </c>
      <c r="AH39" s="110">
        <f t="shared" si="12"/>
        <v>68.527285854345763</v>
      </c>
      <c r="AI39" s="110">
        <f t="shared" si="12"/>
        <v>68.527285854345763</v>
      </c>
      <c r="AJ39" s="110">
        <f t="shared" si="12"/>
        <v>68.527285854345763</v>
      </c>
      <c r="AK39" s="110">
        <f t="shared" si="12"/>
        <v>68.527285854345763</v>
      </c>
      <c r="AL39" s="110">
        <f t="shared" si="12"/>
        <v>68.527285854345763</v>
      </c>
      <c r="AM39" s="110">
        <f t="shared" si="12"/>
        <v>68.527285854345763</v>
      </c>
      <c r="AN39" s="110">
        <f t="shared" si="12"/>
        <v>68.527285854345763</v>
      </c>
      <c r="AO39" s="110">
        <f t="shared" si="12"/>
        <v>68.527285854345763</v>
      </c>
      <c r="AP39" s="110">
        <f t="shared" si="12"/>
        <v>68.527285854345763</v>
      </c>
      <c r="AQ39" s="110">
        <f t="shared" si="12"/>
        <v>68.527285854345763</v>
      </c>
      <c r="AR39" s="110">
        <f t="shared" si="12"/>
        <v>68.527285854345763</v>
      </c>
      <c r="AS39" s="110">
        <f t="shared" si="12"/>
        <v>68.527285854345763</v>
      </c>
      <c r="AT39" s="110">
        <f t="shared" si="12"/>
        <v>68.527285854345763</v>
      </c>
      <c r="AU39" s="110">
        <f t="shared" si="12"/>
        <v>68.527285854345763</v>
      </c>
      <c r="AV39" s="110">
        <f t="shared" si="12"/>
        <v>68.527285854345763</v>
      </c>
      <c r="AW39" s="110">
        <f t="shared" si="12"/>
        <v>68.527285854345763</v>
      </c>
      <c r="AX39" s="110">
        <f t="shared" si="12"/>
        <v>68.527285854345763</v>
      </c>
      <c r="AY39" s="110">
        <f t="shared" si="12"/>
        <v>68.527285854345763</v>
      </c>
    </row>
    <row r="40" spans="1:52">
      <c r="A40" s="110"/>
      <c r="B40" s="165" t="s">
        <v>348</v>
      </c>
      <c r="C40" s="110"/>
      <c r="D40" s="110">
        <f>D34-D37</f>
        <v>49.092419496755284</v>
      </c>
      <c r="E40" s="110">
        <f t="shared" ref="E40:AY40" si="13">E34-E37</f>
        <v>74.688981077161628</v>
      </c>
      <c r="F40" s="110">
        <f t="shared" si="13"/>
        <v>74.688981077161628</v>
      </c>
      <c r="G40" s="110">
        <f t="shared" si="13"/>
        <v>74.688981077161628</v>
      </c>
      <c r="H40" s="110">
        <f t="shared" si="13"/>
        <v>74.688981077161628</v>
      </c>
      <c r="I40" s="110">
        <f t="shared" si="13"/>
        <v>74.688981077161628</v>
      </c>
      <c r="J40" s="110">
        <f t="shared" si="13"/>
        <v>74.688981077161628</v>
      </c>
      <c r="K40" s="110">
        <f t="shared" si="13"/>
        <v>74.688981077161628</v>
      </c>
      <c r="L40" s="110">
        <f t="shared" si="13"/>
        <v>0</v>
      </c>
      <c r="M40" s="110">
        <f t="shared" si="13"/>
        <v>0</v>
      </c>
      <c r="N40" s="110">
        <f t="shared" si="13"/>
        <v>143.67462939692197</v>
      </c>
      <c r="O40" s="110">
        <f t="shared" si="13"/>
        <v>74.688981077161628</v>
      </c>
      <c r="P40" s="110">
        <f t="shared" si="13"/>
        <v>74.688981077161628</v>
      </c>
      <c r="Q40" s="110">
        <f t="shared" si="13"/>
        <v>0</v>
      </c>
      <c r="R40" s="110">
        <f t="shared" si="13"/>
        <v>143.67462939692197</v>
      </c>
      <c r="S40" s="110">
        <f t="shared" si="13"/>
        <v>74.688981077161628</v>
      </c>
      <c r="T40" s="110">
        <f t="shared" si="13"/>
        <v>74.688981077161628</v>
      </c>
      <c r="U40" s="110">
        <f t="shared" si="13"/>
        <v>74.688981077161628</v>
      </c>
      <c r="V40" s="110">
        <f t="shared" si="13"/>
        <v>74.688981077161628</v>
      </c>
      <c r="W40" s="110">
        <f t="shared" si="13"/>
        <v>74.688981077161628</v>
      </c>
      <c r="X40" s="110">
        <f t="shared" si="13"/>
        <v>74.688981077161628</v>
      </c>
      <c r="Y40" s="110">
        <f t="shared" si="13"/>
        <v>74.688981077161628</v>
      </c>
      <c r="Z40" s="110">
        <f t="shared" si="13"/>
        <v>74.688981077161628</v>
      </c>
      <c r="AA40" s="110">
        <f t="shared" si="13"/>
        <v>74.688981077161628</v>
      </c>
      <c r="AB40" s="110">
        <f t="shared" si="13"/>
        <v>74.688981077161628</v>
      </c>
      <c r="AC40" s="110">
        <f t="shared" si="13"/>
        <v>74.688981077161628</v>
      </c>
      <c r="AD40" s="110">
        <f t="shared" si="13"/>
        <v>74.688981077161628</v>
      </c>
      <c r="AE40" s="110">
        <f t="shared" si="13"/>
        <v>74.688981077161628</v>
      </c>
      <c r="AF40" s="110">
        <f t="shared" si="13"/>
        <v>74.688981077161628</v>
      </c>
      <c r="AG40" s="110">
        <f t="shared" si="13"/>
        <v>74.688981077161628</v>
      </c>
      <c r="AH40" s="110">
        <f t="shared" si="13"/>
        <v>74.688981077161628</v>
      </c>
      <c r="AI40" s="110">
        <f t="shared" si="13"/>
        <v>74.688981077161628</v>
      </c>
      <c r="AJ40" s="110">
        <f t="shared" si="13"/>
        <v>74.688981077161628</v>
      </c>
      <c r="AK40" s="110">
        <f t="shared" si="13"/>
        <v>74.688981077161628</v>
      </c>
      <c r="AL40" s="110">
        <f t="shared" si="13"/>
        <v>74.688981077161628</v>
      </c>
      <c r="AM40" s="110">
        <f t="shared" si="13"/>
        <v>74.688981077161628</v>
      </c>
      <c r="AN40" s="110">
        <f t="shared" si="13"/>
        <v>74.688981077161628</v>
      </c>
      <c r="AO40" s="110">
        <f t="shared" si="13"/>
        <v>74.688981077161628</v>
      </c>
      <c r="AP40" s="110">
        <f t="shared" si="13"/>
        <v>74.688981077161628</v>
      </c>
      <c r="AQ40" s="110">
        <f t="shared" si="13"/>
        <v>74.688981077161628</v>
      </c>
      <c r="AR40" s="110">
        <f t="shared" si="13"/>
        <v>74.688981077161628</v>
      </c>
      <c r="AS40" s="110">
        <f t="shared" si="13"/>
        <v>74.688981077161628</v>
      </c>
      <c r="AT40" s="110">
        <f t="shared" si="13"/>
        <v>74.688981077161628</v>
      </c>
      <c r="AU40" s="110">
        <f t="shared" si="13"/>
        <v>74.688981077161628</v>
      </c>
      <c r="AV40" s="110">
        <f t="shared" si="13"/>
        <v>74.688981077161628</v>
      </c>
      <c r="AW40" s="110">
        <f t="shared" si="13"/>
        <v>74.688981077161628</v>
      </c>
      <c r="AX40" s="110">
        <f t="shared" si="13"/>
        <v>74.688981077161628</v>
      </c>
      <c r="AY40" s="110">
        <f t="shared" si="13"/>
        <v>74.688981077161628</v>
      </c>
    </row>
    <row r="41" spans="1:52">
      <c r="A41" s="110"/>
      <c r="B41" s="165" t="s">
        <v>349</v>
      </c>
      <c r="C41" s="110"/>
      <c r="D41" s="110">
        <v>1</v>
      </c>
      <c r="E41" s="110">
        <v>2</v>
      </c>
      <c r="F41" s="110">
        <v>2</v>
      </c>
      <c r="G41" s="110">
        <v>1</v>
      </c>
      <c r="H41" s="110">
        <v>1</v>
      </c>
      <c r="I41" s="110">
        <v>2</v>
      </c>
      <c r="J41" s="110">
        <v>1</v>
      </c>
      <c r="K41" s="110">
        <v>2</v>
      </c>
      <c r="L41" s="110">
        <v>3</v>
      </c>
      <c r="M41" s="110">
        <v>1</v>
      </c>
      <c r="N41" s="110">
        <v>2</v>
      </c>
      <c r="O41" s="110">
        <v>1</v>
      </c>
      <c r="P41" s="110">
        <v>2</v>
      </c>
      <c r="Q41" s="110">
        <v>1</v>
      </c>
      <c r="R41" s="110">
        <v>1</v>
      </c>
      <c r="S41" s="110">
        <v>2</v>
      </c>
      <c r="T41" s="110">
        <v>3</v>
      </c>
      <c r="U41" s="110">
        <v>1</v>
      </c>
      <c r="V41" s="110">
        <v>3</v>
      </c>
      <c r="W41" s="110">
        <v>1</v>
      </c>
      <c r="X41" s="110">
        <v>3</v>
      </c>
      <c r="Y41" s="110">
        <v>1</v>
      </c>
      <c r="Z41" s="110">
        <v>1</v>
      </c>
      <c r="AA41" s="110">
        <v>1</v>
      </c>
      <c r="AB41" s="110">
        <v>1</v>
      </c>
      <c r="AC41" s="110">
        <v>1</v>
      </c>
      <c r="AD41" s="110">
        <v>2</v>
      </c>
      <c r="AE41" s="110">
        <v>1</v>
      </c>
      <c r="AF41" s="110">
        <v>3</v>
      </c>
      <c r="AG41" s="110">
        <v>2</v>
      </c>
      <c r="AH41" s="110">
        <v>2</v>
      </c>
      <c r="AI41" s="110">
        <v>2</v>
      </c>
      <c r="AJ41" s="110">
        <v>2</v>
      </c>
      <c r="AK41" s="110">
        <v>1</v>
      </c>
      <c r="AL41" s="110">
        <v>2</v>
      </c>
      <c r="AM41" s="110">
        <v>1</v>
      </c>
      <c r="AN41" s="110">
        <v>2</v>
      </c>
      <c r="AO41" s="110">
        <v>1</v>
      </c>
      <c r="AP41" s="110">
        <v>2</v>
      </c>
      <c r="AQ41" s="110">
        <v>1</v>
      </c>
      <c r="AR41" s="110">
        <v>2</v>
      </c>
      <c r="AS41" s="110">
        <v>1</v>
      </c>
      <c r="AT41" s="110">
        <v>1</v>
      </c>
      <c r="AU41" s="110">
        <v>1</v>
      </c>
      <c r="AV41" s="110">
        <v>2</v>
      </c>
      <c r="AW41" s="110">
        <v>1</v>
      </c>
      <c r="AX41" s="110">
        <v>3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76178.595124346364</v>
      </c>
      <c r="E43" s="110">
        <v>115897.76401432235</v>
      </c>
      <c r="F43" s="110">
        <v>115897.76401432235</v>
      </c>
      <c r="G43" s="110">
        <v>115897.76401432235</v>
      </c>
      <c r="H43" s="110">
        <v>115897.76401432235</v>
      </c>
      <c r="I43" s="110">
        <v>115897.76401432235</v>
      </c>
      <c r="J43" s="110">
        <v>115897.76401432235</v>
      </c>
      <c r="K43" s="110">
        <v>115897.76401432235</v>
      </c>
      <c r="L43" s="110">
        <v>0</v>
      </c>
      <c r="M43" s="110">
        <v>0</v>
      </c>
      <c r="N43" s="110">
        <v>222945.44727403435</v>
      </c>
      <c r="O43" s="110">
        <v>115897.76401432235</v>
      </c>
      <c r="P43" s="110">
        <v>115897.76401432235</v>
      </c>
      <c r="Q43" s="110">
        <v>0</v>
      </c>
      <c r="R43" s="110">
        <v>222945.44727403435</v>
      </c>
      <c r="S43" s="110">
        <v>115897.76401432235</v>
      </c>
      <c r="T43" s="110">
        <v>115897.76401432235</v>
      </c>
      <c r="U43" s="110">
        <v>115897.76401432235</v>
      </c>
      <c r="V43" s="110">
        <v>115897.76401432235</v>
      </c>
      <c r="W43" s="110">
        <v>115897.76401432235</v>
      </c>
      <c r="X43" s="110">
        <v>115897.76401432235</v>
      </c>
      <c r="Y43" s="110">
        <v>115897.76401432235</v>
      </c>
      <c r="Z43" s="110">
        <v>115897.76401432235</v>
      </c>
      <c r="AA43" s="110">
        <v>115897.76401432235</v>
      </c>
      <c r="AB43" s="110">
        <v>115897.76401432235</v>
      </c>
      <c r="AC43" s="110">
        <v>115897.76401432235</v>
      </c>
      <c r="AD43" s="110">
        <v>115897.76401432235</v>
      </c>
      <c r="AE43" s="110">
        <v>115897.76401432235</v>
      </c>
      <c r="AF43" s="110">
        <v>115897.76401432235</v>
      </c>
      <c r="AG43" s="110">
        <v>115897.76401432235</v>
      </c>
      <c r="AH43" s="110">
        <v>115897.76401432235</v>
      </c>
      <c r="AI43" s="110">
        <v>115897.76401432235</v>
      </c>
      <c r="AJ43" s="110">
        <v>115897.76401432235</v>
      </c>
      <c r="AK43" s="110">
        <v>115897.76401432235</v>
      </c>
      <c r="AL43" s="110">
        <v>115897.76401432235</v>
      </c>
      <c r="AM43" s="110">
        <v>115897.76401432235</v>
      </c>
      <c r="AN43" s="110">
        <v>115897.76401432235</v>
      </c>
      <c r="AO43" s="110">
        <v>115897.76401432235</v>
      </c>
      <c r="AP43" s="110">
        <v>115897.76401432235</v>
      </c>
      <c r="AQ43" s="110">
        <v>115897.76401432235</v>
      </c>
      <c r="AR43" s="110">
        <v>115897.76401432235</v>
      </c>
      <c r="AS43" s="110">
        <v>115897.76401432235</v>
      </c>
      <c r="AT43" s="110">
        <v>115897.76401432235</v>
      </c>
      <c r="AU43" s="110">
        <v>115897.76401432235</v>
      </c>
      <c r="AV43" s="110">
        <v>115897.76401432235</v>
      </c>
      <c r="AW43" s="110">
        <v>115897.76401432235</v>
      </c>
      <c r="AX43" s="110">
        <v>115897.76401432235</v>
      </c>
      <c r="AY43" s="110">
        <v>115897.76401432235</v>
      </c>
      <c r="AZ43" s="100">
        <f>SUM($D$43:$AY$43)</f>
        <v>5389775.5782739529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2</v>
      </c>
      <c r="F52" s="110">
        <v>1</v>
      </c>
      <c r="G52" s="110">
        <v>1</v>
      </c>
      <c r="H52" s="110">
        <v>1</v>
      </c>
      <c r="I52" s="110">
        <v>2</v>
      </c>
      <c r="J52" s="110">
        <v>1</v>
      </c>
      <c r="K52" s="110">
        <v>1</v>
      </c>
      <c r="L52" s="110">
        <v>1</v>
      </c>
      <c r="M52" s="110">
        <v>2</v>
      </c>
      <c r="N52" s="110">
        <v>1</v>
      </c>
      <c r="O52" s="110">
        <v>1</v>
      </c>
      <c r="P52" s="110">
        <v>2</v>
      </c>
      <c r="Q52" s="110">
        <v>2</v>
      </c>
      <c r="R52" s="110">
        <v>2</v>
      </c>
      <c r="S52" s="110">
        <v>2</v>
      </c>
      <c r="T52" s="110">
        <v>1</v>
      </c>
      <c r="U52" s="110">
        <v>3</v>
      </c>
      <c r="V52" s="110">
        <v>1</v>
      </c>
      <c r="W52" s="110">
        <v>1</v>
      </c>
      <c r="X52" s="110">
        <v>1</v>
      </c>
      <c r="Y52" s="110">
        <v>2</v>
      </c>
      <c r="Z52" s="110">
        <v>1</v>
      </c>
      <c r="AA52" s="110">
        <v>2</v>
      </c>
      <c r="AB52" s="110">
        <v>1</v>
      </c>
      <c r="AC52" s="110">
        <v>1</v>
      </c>
      <c r="AD52" s="110">
        <v>3</v>
      </c>
      <c r="AE52" s="110">
        <v>1</v>
      </c>
      <c r="AF52" s="110">
        <v>1</v>
      </c>
      <c r="AG52" s="110">
        <v>1</v>
      </c>
      <c r="AH52" s="110">
        <v>2</v>
      </c>
      <c r="AI52" s="110">
        <v>1</v>
      </c>
      <c r="AJ52" s="110">
        <v>1</v>
      </c>
      <c r="AK52" s="110">
        <v>2</v>
      </c>
      <c r="AL52" s="110">
        <v>1</v>
      </c>
      <c r="AM52" s="110">
        <v>1</v>
      </c>
      <c r="AN52" s="110">
        <v>1</v>
      </c>
      <c r="AO52" s="110">
        <v>1</v>
      </c>
      <c r="AP52" s="110">
        <v>2</v>
      </c>
      <c r="AQ52" s="110">
        <v>1</v>
      </c>
      <c r="AR52" s="110">
        <v>1</v>
      </c>
      <c r="AS52" s="110">
        <v>1</v>
      </c>
      <c r="AT52" s="110">
        <v>2</v>
      </c>
      <c r="AU52" s="110">
        <v>2</v>
      </c>
      <c r="AV52" s="110">
        <v>3</v>
      </c>
      <c r="AW52" s="110">
        <v>2</v>
      </c>
      <c r="AX52" s="110">
        <v>2</v>
      </c>
      <c r="AY52" s="110">
        <v>2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478.86028918324587</v>
      </c>
      <c r="E55" s="124">
        <f>E$21*shipping_manufacturing!$F$29/100</f>
        <v>728.53584003484445</v>
      </c>
      <c r="F55" s="124">
        <f>F$21*shipping_manufacturing!$F$29/100</f>
        <v>728.53584003484445</v>
      </c>
      <c r="G55" s="124">
        <f>G$21*shipping_manufacturing!$F$29/100</f>
        <v>728.53584003484445</v>
      </c>
      <c r="H55" s="124">
        <f>H$21*shipping_manufacturing!$F$29/100</f>
        <v>728.53584003484445</v>
      </c>
      <c r="I55" s="124">
        <f>I$21*shipping_manufacturing!$F$29/100</f>
        <v>728.53584003484445</v>
      </c>
      <c r="J55" s="124">
        <f>J$21*shipping_manufacturing!$F$29/100</f>
        <v>728.53584003484445</v>
      </c>
      <c r="K55" s="124">
        <f>K$21*shipping_manufacturing!$F$29/100</f>
        <v>728.53584003484445</v>
      </c>
      <c r="L55" s="124">
        <f>L$21*shipping_manufacturing!$F$29/100</f>
        <v>0</v>
      </c>
      <c r="M55" s="124">
        <f>M$21*shipping_manufacturing!$F$29/100</f>
        <v>0</v>
      </c>
      <c r="N55" s="124">
        <f>N$21*shipping_manufacturing!$F$29/100</f>
        <v>1401.4398818916025</v>
      </c>
      <c r="O55" s="124">
        <f>O$21*shipping_manufacturing!$F$29/100</f>
        <v>728.53584003484445</v>
      </c>
      <c r="P55" s="124">
        <f>P$21*shipping_manufacturing!$F$29/100</f>
        <v>728.53584003484445</v>
      </c>
      <c r="Q55" s="124">
        <f>Q$21*shipping_manufacturing!$F$29/100</f>
        <v>0</v>
      </c>
      <c r="R55" s="124">
        <f>R$21*shipping_manufacturing!$F$29/100</f>
        <v>1401.4398818916025</v>
      </c>
      <c r="S55" s="124">
        <f>S$21*shipping_manufacturing!$F$29/100</f>
        <v>728.53584003484445</v>
      </c>
      <c r="T55" s="124">
        <f>T$21*shipping_manufacturing!$F$29/100</f>
        <v>728.53584003484445</v>
      </c>
      <c r="U55" s="124">
        <f>U$21*shipping_manufacturing!$F$29/100</f>
        <v>728.53584003484445</v>
      </c>
      <c r="V55" s="124">
        <f>V$21*shipping_manufacturing!$F$29/100</f>
        <v>728.53584003484445</v>
      </c>
      <c r="W55" s="124">
        <f>W$21*shipping_manufacturing!$F$29/100</f>
        <v>728.53584003484445</v>
      </c>
      <c r="X55" s="124">
        <f>X$21*shipping_manufacturing!$F$29/100</f>
        <v>728.53584003484445</v>
      </c>
      <c r="Y55" s="124">
        <f>Y$21*shipping_manufacturing!$F$29/100</f>
        <v>728.53584003484445</v>
      </c>
      <c r="Z55" s="124">
        <f>Z$21*shipping_manufacturing!$F$29/100</f>
        <v>728.53584003484445</v>
      </c>
      <c r="AA55" s="124">
        <f>AA$21*shipping_manufacturing!$F$29/100</f>
        <v>728.53584003484445</v>
      </c>
      <c r="AB55" s="124">
        <f>AB$21*shipping_manufacturing!$F$29/100</f>
        <v>728.53584003484445</v>
      </c>
      <c r="AC55" s="124">
        <f>AC$21*shipping_manufacturing!$F$29/100</f>
        <v>728.53584003484445</v>
      </c>
      <c r="AD55" s="124">
        <f>AD$21*shipping_manufacturing!$F$29/100</f>
        <v>728.53584003484445</v>
      </c>
      <c r="AE55" s="124">
        <f>AE$21*shipping_manufacturing!$F$29/100</f>
        <v>728.53584003484445</v>
      </c>
      <c r="AF55" s="124">
        <f>AF$21*shipping_manufacturing!$F$29/100</f>
        <v>728.53584003484445</v>
      </c>
      <c r="AG55" s="124">
        <f>AG$21*shipping_manufacturing!$F$29/100</f>
        <v>728.53584003484445</v>
      </c>
      <c r="AH55" s="124">
        <f>AH$21*shipping_manufacturing!$F$29/100</f>
        <v>728.53584003484445</v>
      </c>
      <c r="AI55" s="124">
        <f>AI$21*shipping_manufacturing!$F$29/100</f>
        <v>728.53584003484445</v>
      </c>
      <c r="AJ55" s="124">
        <f>AJ$21*shipping_manufacturing!$F$29/100</f>
        <v>728.53584003484445</v>
      </c>
      <c r="AK55" s="124">
        <f>AK$21*shipping_manufacturing!$F$29/100</f>
        <v>728.53584003484445</v>
      </c>
      <c r="AL55" s="124">
        <f>AL$21*shipping_manufacturing!$F$29/100</f>
        <v>728.53584003484445</v>
      </c>
      <c r="AM55" s="124">
        <f>AM$21*shipping_manufacturing!$F$29/100</f>
        <v>728.53584003484445</v>
      </c>
      <c r="AN55" s="124">
        <f>AN$21*shipping_manufacturing!$F$29/100</f>
        <v>728.53584003484445</v>
      </c>
      <c r="AO55" s="124">
        <f>AO$21*shipping_manufacturing!$F$29/100</f>
        <v>728.53584003484445</v>
      </c>
      <c r="AP55" s="124">
        <f>AP$21*shipping_manufacturing!$F$29/100</f>
        <v>728.53584003484445</v>
      </c>
      <c r="AQ55" s="124">
        <f>AQ$21*shipping_manufacturing!$F$29/100</f>
        <v>728.53584003484445</v>
      </c>
      <c r="AR55" s="124">
        <f>AR$21*shipping_manufacturing!$F$29/100</f>
        <v>728.53584003484445</v>
      </c>
      <c r="AS55" s="124">
        <f>AS$21*shipping_manufacturing!$F$29/100</f>
        <v>728.53584003484445</v>
      </c>
      <c r="AT55" s="124">
        <f>AT$21*shipping_manufacturing!$F$29/100</f>
        <v>728.53584003484445</v>
      </c>
      <c r="AU55" s="124">
        <f>AU$21*shipping_manufacturing!$F$29/100</f>
        <v>728.53584003484445</v>
      </c>
      <c r="AV55" s="124">
        <f>AV$21*shipping_manufacturing!$F$29/100</f>
        <v>728.53584003484445</v>
      </c>
      <c r="AW55" s="124">
        <f>AW$21*shipping_manufacturing!$F$29/100</f>
        <v>728.53584003484445</v>
      </c>
      <c r="AX55" s="124">
        <f>AX$21*shipping_manufacturing!$F$29/100</f>
        <v>728.53584003484445</v>
      </c>
      <c r="AY55" s="124">
        <f>AY$21*shipping_manufacturing!$F$29/100</f>
        <v>728.53584003484445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653.33619041200222</v>
      </c>
      <c r="E56" s="110">
        <f>E$22*shipping_manufacturing!$G$29/100</f>
        <v>993.9826731483887</v>
      </c>
      <c r="F56" s="110">
        <f>F$22*shipping_manufacturing!$G$29/100</f>
        <v>993.9826731483887</v>
      </c>
      <c r="G56" s="110">
        <f>G$22*shipping_manufacturing!$G$29/100</f>
        <v>993.9826731483887</v>
      </c>
      <c r="H56" s="110">
        <f>H$22*shipping_manufacturing!$G$29/100</f>
        <v>993.9826731483887</v>
      </c>
      <c r="I56" s="110">
        <f>I$22*shipping_manufacturing!$G$29/100</f>
        <v>993.9826731483887</v>
      </c>
      <c r="J56" s="110">
        <f>J$22*shipping_manufacturing!$G$29/100</f>
        <v>993.9826731483887</v>
      </c>
      <c r="K56" s="110">
        <f>K$22*shipping_manufacturing!$G$29/100</f>
        <v>993.9826731483887</v>
      </c>
      <c r="L56" s="110">
        <f>L$22*shipping_manufacturing!$G$29/100</f>
        <v>0</v>
      </c>
      <c r="M56" s="110">
        <f>M$22*shipping_manufacturing!$G$29/100</f>
        <v>0</v>
      </c>
      <c r="N56" s="110">
        <f>N$22*shipping_manufacturing!$G$29/100</f>
        <v>1912.0637359347377</v>
      </c>
      <c r="O56" s="110">
        <f>O$22*shipping_manufacturing!$G$29/100</f>
        <v>993.9826731483887</v>
      </c>
      <c r="P56" s="110">
        <f>P$22*shipping_manufacturing!$G$29/100</f>
        <v>993.9826731483887</v>
      </c>
      <c r="Q56" s="110">
        <f>Q$22*shipping_manufacturing!$G$29/100</f>
        <v>0</v>
      </c>
      <c r="R56" s="110">
        <f>R$22*shipping_manufacturing!$G$29/100</f>
        <v>1912.0637359347377</v>
      </c>
      <c r="S56" s="110">
        <f>S$22*shipping_manufacturing!$G$29/100</f>
        <v>993.9826731483887</v>
      </c>
      <c r="T56" s="110">
        <f>T$22*shipping_manufacturing!$G$29/100</f>
        <v>993.9826731483887</v>
      </c>
      <c r="U56" s="110">
        <f>U$22*shipping_manufacturing!$G$29/100</f>
        <v>993.9826731483887</v>
      </c>
      <c r="V56" s="110">
        <f>V$22*shipping_manufacturing!$G$29/100</f>
        <v>993.9826731483887</v>
      </c>
      <c r="W56" s="110">
        <f>W$22*shipping_manufacturing!$G$29/100</f>
        <v>993.9826731483887</v>
      </c>
      <c r="X56" s="110">
        <f>X$22*shipping_manufacturing!$G$29/100</f>
        <v>993.9826731483887</v>
      </c>
      <c r="Y56" s="110">
        <f>Y$22*shipping_manufacturing!$G$29/100</f>
        <v>993.9826731483887</v>
      </c>
      <c r="Z56" s="110">
        <f>Z$22*shipping_manufacturing!$G$29/100</f>
        <v>993.9826731483887</v>
      </c>
      <c r="AA56" s="110">
        <f>AA$22*shipping_manufacturing!$G$29/100</f>
        <v>993.9826731483887</v>
      </c>
      <c r="AB56" s="110">
        <f>AB$22*shipping_manufacturing!$G$29/100</f>
        <v>993.9826731483887</v>
      </c>
      <c r="AC56" s="110">
        <f>AC$22*shipping_manufacturing!$G$29/100</f>
        <v>993.9826731483887</v>
      </c>
      <c r="AD56" s="110">
        <f>AD$22*shipping_manufacturing!$G$29/100</f>
        <v>993.9826731483887</v>
      </c>
      <c r="AE56" s="110">
        <f>AE$22*shipping_manufacturing!$G$29/100</f>
        <v>993.9826731483887</v>
      </c>
      <c r="AF56" s="110">
        <f>AF$22*shipping_manufacturing!$G$29/100</f>
        <v>993.9826731483887</v>
      </c>
      <c r="AG56" s="110">
        <f>AG$22*shipping_manufacturing!$G$29/100</f>
        <v>993.9826731483887</v>
      </c>
      <c r="AH56" s="110">
        <f>AH$22*shipping_manufacturing!$G$29/100</f>
        <v>993.9826731483887</v>
      </c>
      <c r="AI56" s="110">
        <f>AI$22*shipping_manufacturing!$G$29/100</f>
        <v>993.9826731483887</v>
      </c>
      <c r="AJ56" s="110">
        <f>AJ$22*shipping_manufacturing!$G$29/100</f>
        <v>993.9826731483887</v>
      </c>
      <c r="AK56" s="110">
        <f>AK$22*shipping_manufacturing!$G$29/100</f>
        <v>993.9826731483887</v>
      </c>
      <c r="AL56" s="110">
        <f>AL$22*shipping_manufacturing!$G$29/100</f>
        <v>993.9826731483887</v>
      </c>
      <c r="AM56" s="110">
        <f>AM$22*shipping_manufacturing!$G$29/100</f>
        <v>993.9826731483887</v>
      </c>
      <c r="AN56" s="110">
        <f>AN$22*shipping_manufacturing!$G$29/100</f>
        <v>993.9826731483887</v>
      </c>
      <c r="AO56" s="110">
        <f>AO$22*shipping_manufacturing!$G$29/100</f>
        <v>993.9826731483887</v>
      </c>
      <c r="AP56" s="110">
        <f>AP$22*shipping_manufacturing!$G$29/100</f>
        <v>993.9826731483887</v>
      </c>
      <c r="AQ56" s="110">
        <f>AQ$22*shipping_manufacturing!$G$29/100</f>
        <v>993.9826731483887</v>
      </c>
      <c r="AR56" s="110">
        <f>AR$22*shipping_manufacturing!$G$29/100</f>
        <v>993.9826731483887</v>
      </c>
      <c r="AS56" s="110">
        <f>AS$22*shipping_manufacturing!$G$29/100</f>
        <v>993.9826731483887</v>
      </c>
      <c r="AT56" s="110">
        <f>AT$22*shipping_manufacturing!$G$29/100</f>
        <v>993.9826731483887</v>
      </c>
      <c r="AU56" s="110">
        <f>AU$22*shipping_manufacturing!$G$29/100</f>
        <v>993.9826731483887</v>
      </c>
      <c r="AV56" s="110">
        <f>AV$22*shipping_manufacturing!$G$29/100</f>
        <v>993.9826731483887</v>
      </c>
      <c r="AW56" s="110">
        <f>AW$22*shipping_manufacturing!$G$29/100</f>
        <v>993.9826731483887</v>
      </c>
      <c r="AX56" s="110">
        <f>AX$22*shipping_manufacturing!$G$29/100</f>
        <v>993.9826731483887</v>
      </c>
      <c r="AY56" s="110">
        <f>AY$22*shipping_manufacturing!$G$29/100</f>
        <v>993.9826731483887</v>
      </c>
    </row>
    <row r="57" spans="1:52">
      <c r="A57" s="110">
        <v>495</v>
      </c>
      <c r="B57" s="165" t="s">
        <v>343</v>
      </c>
      <c r="C57" s="110"/>
      <c r="D57" s="110">
        <f>SUM(D55:D56)</f>
        <v>1132.1964795952481</v>
      </c>
      <c r="E57" s="110">
        <f t="shared" ref="E57:AY57" si="17">SUM(E55:E56)</f>
        <v>1722.5185131832332</v>
      </c>
      <c r="F57" s="110">
        <f t="shared" si="17"/>
        <v>1722.5185131832332</v>
      </c>
      <c r="G57" s="110">
        <f t="shared" si="17"/>
        <v>1722.5185131832332</v>
      </c>
      <c r="H57" s="110">
        <f t="shared" si="17"/>
        <v>1722.5185131832332</v>
      </c>
      <c r="I57" s="110">
        <f t="shared" si="17"/>
        <v>1722.5185131832332</v>
      </c>
      <c r="J57" s="110">
        <f t="shared" si="17"/>
        <v>1722.5185131832332</v>
      </c>
      <c r="K57" s="110">
        <f t="shared" si="17"/>
        <v>1722.5185131832332</v>
      </c>
      <c r="L57" s="110">
        <f t="shared" si="17"/>
        <v>0</v>
      </c>
      <c r="M57" s="110">
        <f t="shared" si="17"/>
        <v>0</v>
      </c>
      <c r="N57" s="110">
        <f t="shared" si="17"/>
        <v>3313.5036178263399</v>
      </c>
      <c r="O57" s="110">
        <f t="shared" si="17"/>
        <v>1722.5185131832332</v>
      </c>
      <c r="P57" s="110">
        <f t="shared" si="17"/>
        <v>1722.5185131832332</v>
      </c>
      <c r="Q57" s="110">
        <f t="shared" si="17"/>
        <v>0</v>
      </c>
      <c r="R57" s="110">
        <f t="shared" si="17"/>
        <v>3313.5036178263399</v>
      </c>
      <c r="S57" s="110">
        <f t="shared" si="17"/>
        <v>1722.5185131832332</v>
      </c>
      <c r="T57" s="110">
        <f t="shared" si="17"/>
        <v>1722.5185131832332</v>
      </c>
      <c r="U57" s="110">
        <f t="shared" si="17"/>
        <v>1722.5185131832332</v>
      </c>
      <c r="V57" s="110">
        <f t="shared" si="17"/>
        <v>1722.5185131832332</v>
      </c>
      <c r="W57" s="110">
        <f t="shared" si="17"/>
        <v>1722.5185131832332</v>
      </c>
      <c r="X57" s="110">
        <f t="shared" si="17"/>
        <v>1722.5185131832332</v>
      </c>
      <c r="Y57" s="110">
        <f t="shared" si="17"/>
        <v>1722.5185131832332</v>
      </c>
      <c r="Z57" s="110">
        <f t="shared" si="17"/>
        <v>1722.5185131832332</v>
      </c>
      <c r="AA57" s="110">
        <f t="shared" si="17"/>
        <v>1722.5185131832332</v>
      </c>
      <c r="AB57" s="110">
        <f t="shared" si="17"/>
        <v>1722.5185131832332</v>
      </c>
      <c r="AC57" s="110">
        <f t="shared" si="17"/>
        <v>1722.5185131832332</v>
      </c>
      <c r="AD57" s="110">
        <f t="shared" si="17"/>
        <v>1722.5185131832332</v>
      </c>
      <c r="AE57" s="110">
        <f t="shared" si="17"/>
        <v>1722.5185131832332</v>
      </c>
      <c r="AF57" s="110">
        <f t="shared" si="17"/>
        <v>1722.5185131832332</v>
      </c>
      <c r="AG57" s="110">
        <f t="shared" si="17"/>
        <v>1722.5185131832332</v>
      </c>
      <c r="AH57" s="110">
        <f t="shared" si="17"/>
        <v>1722.5185131832332</v>
      </c>
      <c r="AI57" s="110">
        <f t="shared" si="17"/>
        <v>1722.5185131832332</v>
      </c>
      <c r="AJ57" s="110">
        <f t="shared" si="17"/>
        <v>1722.5185131832332</v>
      </c>
      <c r="AK57" s="110">
        <f t="shared" si="17"/>
        <v>1722.5185131832332</v>
      </c>
      <c r="AL57" s="110">
        <f t="shared" si="17"/>
        <v>1722.5185131832332</v>
      </c>
      <c r="AM57" s="110">
        <f t="shared" si="17"/>
        <v>1722.5185131832332</v>
      </c>
      <c r="AN57" s="110">
        <f t="shared" si="17"/>
        <v>1722.5185131832332</v>
      </c>
      <c r="AO57" s="110">
        <f t="shared" si="17"/>
        <v>1722.5185131832332</v>
      </c>
      <c r="AP57" s="110">
        <f t="shared" si="17"/>
        <v>1722.5185131832332</v>
      </c>
      <c r="AQ57" s="110">
        <f t="shared" si="17"/>
        <v>1722.5185131832332</v>
      </c>
      <c r="AR57" s="110">
        <f t="shared" si="17"/>
        <v>1722.5185131832332</v>
      </c>
      <c r="AS57" s="110">
        <f t="shared" si="17"/>
        <v>1722.5185131832332</v>
      </c>
      <c r="AT57" s="110">
        <f t="shared" si="17"/>
        <v>1722.5185131832332</v>
      </c>
      <c r="AU57" s="110">
        <f t="shared" si="17"/>
        <v>1722.5185131832332</v>
      </c>
      <c r="AV57" s="110">
        <f t="shared" si="17"/>
        <v>1722.5185131832332</v>
      </c>
      <c r="AW57" s="110">
        <f t="shared" si="17"/>
        <v>1722.5185131832332</v>
      </c>
      <c r="AX57" s="110">
        <f t="shared" si="17"/>
        <v>1722.5185131832332</v>
      </c>
      <c r="AY57" s="110">
        <f t="shared" si="17"/>
        <v>1722.5185131832332</v>
      </c>
    </row>
    <row r="58" spans="1:52">
      <c r="A58" s="110"/>
      <c r="B58" s="165" t="s">
        <v>344</v>
      </c>
      <c r="C58" s="110"/>
      <c r="D58" s="110">
        <v>190.3266208789978</v>
      </c>
      <c r="E58" s="110"/>
      <c r="F58" s="110">
        <v>190.32662087899757</v>
      </c>
      <c r="G58" s="110"/>
      <c r="H58" s="110">
        <v>190.32662087899757</v>
      </c>
      <c r="I58" s="110"/>
      <c r="J58" s="110">
        <v>190.32662087899757</v>
      </c>
      <c r="K58" s="110"/>
      <c r="L58" s="110"/>
      <c r="M58" s="110"/>
      <c r="N58" s="110">
        <v>190.3266208789978</v>
      </c>
      <c r="O58" s="110"/>
      <c r="P58" s="110">
        <v>190.32662087899757</v>
      </c>
      <c r="Q58" s="110"/>
      <c r="R58" s="110">
        <v>190.3266208789978</v>
      </c>
      <c r="S58" s="110"/>
      <c r="T58" s="110">
        <v>190.32662087899757</v>
      </c>
      <c r="U58" s="110"/>
      <c r="V58" s="110">
        <v>190.32662087899757</v>
      </c>
      <c r="W58" s="110"/>
      <c r="X58" s="110">
        <v>190.32662087899757</v>
      </c>
      <c r="Y58" s="110"/>
      <c r="Z58" s="110">
        <v>190.32662087899757</v>
      </c>
      <c r="AA58" s="110"/>
      <c r="AB58" s="110">
        <v>190.32662087899757</v>
      </c>
      <c r="AC58" s="110"/>
      <c r="AD58" s="110">
        <v>190.32662087899757</v>
      </c>
      <c r="AE58" s="110"/>
      <c r="AF58" s="110">
        <v>190.32662087899757</v>
      </c>
      <c r="AG58" s="110"/>
      <c r="AH58" s="110">
        <v>190.32662087899757</v>
      </c>
      <c r="AI58" s="110"/>
      <c r="AJ58" s="110">
        <v>190.32662087899757</v>
      </c>
      <c r="AK58" s="110"/>
      <c r="AL58" s="110">
        <v>190.32662087899757</v>
      </c>
      <c r="AM58" s="110"/>
      <c r="AN58" s="110">
        <v>190.32662087899757</v>
      </c>
      <c r="AO58" s="110"/>
      <c r="AP58" s="110">
        <v>190.32662087899757</v>
      </c>
      <c r="AQ58" s="110"/>
      <c r="AR58" s="110">
        <v>190.32662087899757</v>
      </c>
      <c r="AS58" s="110"/>
      <c r="AT58" s="110">
        <v>190.32662087899757</v>
      </c>
      <c r="AU58" s="110"/>
      <c r="AV58" s="110">
        <v>190.32662087899757</v>
      </c>
      <c r="AW58" s="110"/>
      <c r="AX58" s="110">
        <v>190.32662087899757</v>
      </c>
      <c r="AY58" s="110"/>
    </row>
    <row r="59" spans="1:52">
      <c r="A59" s="110"/>
      <c r="B59" s="165" t="s">
        <v>345</v>
      </c>
      <c r="C59" s="110"/>
      <c r="D59" s="110">
        <v>259.67337912100243</v>
      </c>
      <c r="E59" s="110"/>
      <c r="F59" s="110">
        <v>259.67337912100243</v>
      </c>
      <c r="G59" s="110"/>
      <c r="H59" s="110">
        <v>259.67337912100243</v>
      </c>
      <c r="I59" s="110"/>
      <c r="J59" s="110">
        <v>259.67337912100243</v>
      </c>
      <c r="K59" s="110"/>
      <c r="L59" s="110"/>
      <c r="M59" s="110"/>
      <c r="N59" s="110">
        <v>259.6733791210022</v>
      </c>
      <c r="O59" s="110"/>
      <c r="P59" s="110">
        <v>259.67337912100243</v>
      </c>
      <c r="Q59" s="110"/>
      <c r="R59" s="110">
        <v>259.6733791210022</v>
      </c>
      <c r="S59" s="110"/>
      <c r="T59" s="110">
        <v>259.67337912100243</v>
      </c>
      <c r="U59" s="110"/>
      <c r="V59" s="110">
        <v>259.67337912100243</v>
      </c>
      <c r="W59" s="110"/>
      <c r="X59" s="110">
        <v>259.67337912100243</v>
      </c>
      <c r="Y59" s="110"/>
      <c r="Z59" s="110">
        <v>259.67337912100243</v>
      </c>
      <c r="AA59" s="110"/>
      <c r="AB59" s="110">
        <v>259.67337912100243</v>
      </c>
      <c r="AC59" s="110"/>
      <c r="AD59" s="110">
        <v>259.67337912100243</v>
      </c>
      <c r="AE59" s="110"/>
      <c r="AF59" s="110">
        <v>259.67337912100243</v>
      </c>
      <c r="AG59" s="110"/>
      <c r="AH59" s="110">
        <v>259.67337912100243</v>
      </c>
      <c r="AI59" s="110"/>
      <c r="AJ59" s="110">
        <v>259.67337912100243</v>
      </c>
      <c r="AK59" s="110"/>
      <c r="AL59" s="110">
        <v>259.67337912100243</v>
      </c>
      <c r="AM59" s="110"/>
      <c r="AN59" s="110">
        <v>259.67337912100243</v>
      </c>
      <c r="AO59" s="110"/>
      <c r="AP59" s="110">
        <v>259.67337912100243</v>
      </c>
      <c r="AQ59" s="110"/>
      <c r="AR59" s="110">
        <v>259.67337912100243</v>
      </c>
      <c r="AS59" s="110"/>
      <c r="AT59" s="110">
        <v>259.67337912100243</v>
      </c>
      <c r="AU59" s="110"/>
      <c r="AV59" s="110">
        <v>259.67337912100243</v>
      </c>
      <c r="AW59" s="110"/>
      <c r="AX59" s="110">
        <v>259.67337912100243</v>
      </c>
      <c r="AY59" s="110"/>
    </row>
    <row r="60" spans="1:52">
      <c r="A60" s="110"/>
      <c r="B60" s="165" t="s">
        <v>346</v>
      </c>
      <c r="C60" s="110"/>
      <c r="D60" s="110">
        <v>15</v>
      </c>
      <c r="E60" s="110"/>
      <c r="F60" s="110">
        <v>15</v>
      </c>
      <c r="G60" s="110"/>
      <c r="H60" s="110">
        <v>15</v>
      </c>
      <c r="I60" s="110"/>
      <c r="J60" s="110">
        <v>15</v>
      </c>
      <c r="K60" s="110"/>
      <c r="L60" s="110"/>
      <c r="M60" s="110"/>
      <c r="N60" s="110">
        <v>15</v>
      </c>
      <c r="O60" s="110"/>
      <c r="P60" s="110">
        <v>15</v>
      </c>
      <c r="Q60" s="110"/>
      <c r="R60" s="110">
        <v>15</v>
      </c>
      <c r="S60" s="110"/>
      <c r="T60" s="110">
        <v>15</v>
      </c>
      <c r="U60" s="110"/>
      <c r="V60" s="110">
        <v>15</v>
      </c>
      <c r="W60" s="110"/>
      <c r="X60" s="110">
        <v>15</v>
      </c>
      <c r="Y60" s="110"/>
      <c r="Z60" s="110">
        <v>15</v>
      </c>
      <c r="AA60" s="110"/>
      <c r="AB60" s="110">
        <v>15</v>
      </c>
      <c r="AC60" s="110"/>
      <c r="AD60" s="110">
        <v>15</v>
      </c>
      <c r="AE60" s="110"/>
      <c r="AF60" s="110">
        <v>15</v>
      </c>
      <c r="AG60" s="110"/>
      <c r="AH60" s="110">
        <v>15</v>
      </c>
      <c r="AI60" s="110"/>
      <c r="AJ60" s="110">
        <v>15</v>
      </c>
      <c r="AK60" s="110"/>
      <c r="AL60" s="110">
        <v>15</v>
      </c>
      <c r="AM60" s="110"/>
      <c r="AN60" s="110">
        <v>15</v>
      </c>
      <c r="AO60" s="110"/>
      <c r="AP60" s="110">
        <v>15</v>
      </c>
      <c r="AQ60" s="110"/>
      <c r="AR60" s="110">
        <v>15</v>
      </c>
      <c r="AS60" s="110"/>
      <c r="AT60" s="110">
        <v>15</v>
      </c>
      <c r="AU60" s="110"/>
      <c r="AV60" s="110">
        <v>15</v>
      </c>
      <c r="AW60" s="110"/>
      <c r="AX60" s="110">
        <v>15</v>
      </c>
      <c r="AY60" s="110"/>
    </row>
    <row r="61" spans="1:52">
      <c r="A61" s="110"/>
      <c r="B61" s="165" t="s">
        <v>347</v>
      </c>
      <c r="C61" s="110"/>
      <c r="D61" s="110">
        <f>D55-D58</f>
        <v>288.53366830424807</v>
      </c>
      <c r="E61" s="110">
        <f t="shared" ref="E61:AY61" si="18">E55-E58</f>
        <v>728.53584003484445</v>
      </c>
      <c r="F61" s="110">
        <f t="shared" si="18"/>
        <v>538.20921915584688</v>
      </c>
      <c r="G61" s="110">
        <f t="shared" si="18"/>
        <v>728.53584003484445</v>
      </c>
      <c r="H61" s="110">
        <f t="shared" si="18"/>
        <v>538.20921915584688</v>
      </c>
      <c r="I61" s="110">
        <f t="shared" si="18"/>
        <v>728.53584003484445</v>
      </c>
      <c r="J61" s="110">
        <f t="shared" si="18"/>
        <v>538.20921915584688</v>
      </c>
      <c r="K61" s="110">
        <f t="shared" si="18"/>
        <v>728.53584003484445</v>
      </c>
      <c r="L61" s="110">
        <f t="shared" si="18"/>
        <v>0</v>
      </c>
      <c r="M61" s="110">
        <f t="shared" si="18"/>
        <v>0</v>
      </c>
      <c r="N61" s="110">
        <f t="shared" si="18"/>
        <v>1211.1132610126047</v>
      </c>
      <c r="O61" s="110">
        <f t="shared" si="18"/>
        <v>728.53584003484445</v>
      </c>
      <c r="P61" s="110">
        <f t="shared" si="18"/>
        <v>538.20921915584688</v>
      </c>
      <c r="Q61" s="110">
        <f t="shared" si="18"/>
        <v>0</v>
      </c>
      <c r="R61" s="110">
        <f t="shared" si="18"/>
        <v>1211.1132610126047</v>
      </c>
      <c r="S61" s="110">
        <f t="shared" si="18"/>
        <v>728.53584003484445</v>
      </c>
      <c r="T61" s="110">
        <f t="shared" si="18"/>
        <v>538.20921915584688</v>
      </c>
      <c r="U61" s="110">
        <f t="shared" si="18"/>
        <v>728.53584003484445</v>
      </c>
      <c r="V61" s="110">
        <f t="shared" si="18"/>
        <v>538.20921915584688</v>
      </c>
      <c r="W61" s="110">
        <f t="shared" si="18"/>
        <v>728.53584003484445</v>
      </c>
      <c r="X61" s="110">
        <f t="shared" si="18"/>
        <v>538.20921915584688</v>
      </c>
      <c r="Y61" s="110">
        <f t="shared" si="18"/>
        <v>728.53584003484445</v>
      </c>
      <c r="Z61" s="110">
        <f t="shared" si="18"/>
        <v>538.20921915584688</v>
      </c>
      <c r="AA61" s="110">
        <f t="shared" si="18"/>
        <v>728.53584003484445</v>
      </c>
      <c r="AB61" s="110">
        <f t="shared" si="18"/>
        <v>538.20921915584688</v>
      </c>
      <c r="AC61" s="110">
        <f t="shared" si="18"/>
        <v>728.53584003484445</v>
      </c>
      <c r="AD61" s="110">
        <f t="shared" si="18"/>
        <v>538.20921915584688</v>
      </c>
      <c r="AE61" s="110">
        <f t="shared" si="18"/>
        <v>728.53584003484445</v>
      </c>
      <c r="AF61" s="110">
        <f t="shared" si="18"/>
        <v>538.20921915584688</v>
      </c>
      <c r="AG61" s="110">
        <f t="shared" si="18"/>
        <v>728.53584003484445</v>
      </c>
      <c r="AH61" s="110">
        <f t="shared" si="18"/>
        <v>538.20921915584688</v>
      </c>
      <c r="AI61" s="110">
        <f t="shared" si="18"/>
        <v>728.53584003484445</v>
      </c>
      <c r="AJ61" s="110">
        <f t="shared" si="18"/>
        <v>538.20921915584688</v>
      </c>
      <c r="AK61" s="110">
        <f t="shared" si="18"/>
        <v>728.53584003484445</v>
      </c>
      <c r="AL61" s="110">
        <f t="shared" si="18"/>
        <v>538.20921915584688</v>
      </c>
      <c r="AM61" s="110">
        <f t="shared" si="18"/>
        <v>728.53584003484445</v>
      </c>
      <c r="AN61" s="110">
        <f t="shared" si="18"/>
        <v>538.20921915584688</v>
      </c>
      <c r="AO61" s="110">
        <f t="shared" si="18"/>
        <v>728.53584003484445</v>
      </c>
      <c r="AP61" s="110">
        <f t="shared" si="18"/>
        <v>538.20921915584688</v>
      </c>
      <c r="AQ61" s="110">
        <f t="shared" si="18"/>
        <v>728.53584003484445</v>
      </c>
      <c r="AR61" s="110">
        <f t="shared" si="18"/>
        <v>538.20921915584688</v>
      </c>
      <c r="AS61" s="110">
        <f t="shared" si="18"/>
        <v>728.53584003484445</v>
      </c>
      <c r="AT61" s="110">
        <f t="shared" si="18"/>
        <v>538.20921915584688</v>
      </c>
      <c r="AU61" s="110">
        <f t="shared" si="18"/>
        <v>728.53584003484445</v>
      </c>
      <c r="AV61" s="110">
        <f t="shared" si="18"/>
        <v>538.20921915584688</v>
      </c>
      <c r="AW61" s="110">
        <f t="shared" si="18"/>
        <v>728.53584003484445</v>
      </c>
      <c r="AX61" s="110">
        <f t="shared" si="18"/>
        <v>538.20921915584688</v>
      </c>
      <c r="AY61" s="110">
        <f t="shared" si="18"/>
        <v>728.53584003484445</v>
      </c>
    </row>
    <row r="62" spans="1:52">
      <c r="A62" s="110"/>
      <c r="B62" s="165" t="s">
        <v>348</v>
      </c>
      <c r="C62" s="110"/>
      <c r="D62" s="110">
        <f>D56-D59</f>
        <v>393.6628112909998</v>
      </c>
      <c r="E62" s="110">
        <f t="shared" ref="E62:AY62" si="19">E56-E59</f>
        <v>993.9826731483887</v>
      </c>
      <c r="F62" s="110">
        <f t="shared" si="19"/>
        <v>734.30929402738627</v>
      </c>
      <c r="G62" s="110">
        <f t="shared" si="19"/>
        <v>993.9826731483887</v>
      </c>
      <c r="H62" s="110">
        <f t="shared" si="19"/>
        <v>734.30929402738627</v>
      </c>
      <c r="I62" s="110">
        <f t="shared" si="19"/>
        <v>993.9826731483887</v>
      </c>
      <c r="J62" s="110">
        <f t="shared" si="19"/>
        <v>734.30929402738627</v>
      </c>
      <c r="K62" s="110">
        <f t="shared" si="19"/>
        <v>993.9826731483887</v>
      </c>
      <c r="L62" s="110">
        <f t="shared" si="19"/>
        <v>0</v>
      </c>
      <c r="M62" s="110">
        <f t="shared" si="19"/>
        <v>0</v>
      </c>
      <c r="N62" s="110">
        <f t="shared" si="19"/>
        <v>1652.3903568137355</v>
      </c>
      <c r="O62" s="110">
        <f t="shared" si="19"/>
        <v>993.9826731483887</v>
      </c>
      <c r="P62" s="110">
        <f t="shared" si="19"/>
        <v>734.30929402738627</v>
      </c>
      <c r="Q62" s="110">
        <f t="shared" si="19"/>
        <v>0</v>
      </c>
      <c r="R62" s="110">
        <f t="shared" si="19"/>
        <v>1652.3903568137355</v>
      </c>
      <c r="S62" s="110">
        <f t="shared" si="19"/>
        <v>993.9826731483887</v>
      </c>
      <c r="T62" s="110">
        <f t="shared" si="19"/>
        <v>734.30929402738627</v>
      </c>
      <c r="U62" s="110">
        <f t="shared" si="19"/>
        <v>993.9826731483887</v>
      </c>
      <c r="V62" s="110">
        <f t="shared" si="19"/>
        <v>734.30929402738627</v>
      </c>
      <c r="W62" s="110">
        <f t="shared" si="19"/>
        <v>993.9826731483887</v>
      </c>
      <c r="X62" s="110">
        <f t="shared" si="19"/>
        <v>734.30929402738627</v>
      </c>
      <c r="Y62" s="110">
        <f t="shared" si="19"/>
        <v>993.9826731483887</v>
      </c>
      <c r="Z62" s="110">
        <f t="shared" si="19"/>
        <v>734.30929402738627</v>
      </c>
      <c r="AA62" s="110">
        <f t="shared" si="19"/>
        <v>993.9826731483887</v>
      </c>
      <c r="AB62" s="110">
        <f t="shared" si="19"/>
        <v>734.30929402738627</v>
      </c>
      <c r="AC62" s="110">
        <f t="shared" si="19"/>
        <v>993.9826731483887</v>
      </c>
      <c r="AD62" s="110">
        <f t="shared" si="19"/>
        <v>734.30929402738627</v>
      </c>
      <c r="AE62" s="110">
        <f t="shared" si="19"/>
        <v>993.9826731483887</v>
      </c>
      <c r="AF62" s="110">
        <f t="shared" si="19"/>
        <v>734.30929402738627</v>
      </c>
      <c r="AG62" s="110">
        <f t="shared" si="19"/>
        <v>993.9826731483887</v>
      </c>
      <c r="AH62" s="110">
        <f t="shared" si="19"/>
        <v>734.30929402738627</v>
      </c>
      <c r="AI62" s="110">
        <f t="shared" si="19"/>
        <v>993.9826731483887</v>
      </c>
      <c r="AJ62" s="110">
        <f t="shared" si="19"/>
        <v>734.30929402738627</v>
      </c>
      <c r="AK62" s="110">
        <f t="shared" si="19"/>
        <v>993.9826731483887</v>
      </c>
      <c r="AL62" s="110">
        <f t="shared" si="19"/>
        <v>734.30929402738627</v>
      </c>
      <c r="AM62" s="110">
        <f t="shared" si="19"/>
        <v>993.9826731483887</v>
      </c>
      <c r="AN62" s="110">
        <f t="shared" si="19"/>
        <v>734.30929402738627</v>
      </c>
      <c r="AO62" s="110">
        <f t="shared" si="19"/>
        <v>993.9826731483887</v>
      </c>
      <c r="AP62" s="110">
        <f t="shared" si="19"/>
        <v>734.30929402738627</v>
      </c>
      <c r="AQ62" s="110">
        <f t="shared" si="19"/>
        <v>993.9826731483887</v>
      </c>
      <c r="AR62" s="110">
        <f t="shared" si="19"/>
        <v>734.30929402738627</v>
      </c>
      <c r="AS62" s="110">
        <f t="shared" si="19"/>
        <v>993.9826731483887</v>
      </c>
      <c r="AT62" s="110">
        <f t="shared" si="19"/>
        <v>734.30929402738627</v>
      </c>
      <c r="AU62" s="110">
        <f t="shared" si="19"/>
        <v>993.9826731483887</v>
      </c>
      <c r="AV62" s="110">
        <f t="shared" si="19"/>
        <v>734.30929402738627</v>
      </c>
      <c r="AW62" s="110">
        <f t="shared" si="19"/>
        <v>993.9826731483887</v>
      </c>
      <c r="AX62" s="110">
        <f t="shared" si="19"/>
        <v>734.30929402738627</v>
      </c>
      <c r="AY62" s="110">
        <f t="shared" si="19"/>
        <v>993.9826731483887</v>
      </c>
    </row>
    <row r="63" spans="1:52">
      <c r="A63" s="110"/>
      <c r="B63" s="165" t="s">
        <v>349</v>
      </c>
      <c r="C63" s="110"/>
      <c r="D63" s="110">
        <v>3</v>
      </c>
      <c r="E63" s="110">
        <v>2</v>
      </c>
      <c r="F63" s="110">
        <v>1</v>
      </c>
      <c r="G63" s="110">
        <v>3</v>
      </c>
      <c r="H63" s="110">
        <v>1</v>
      </c>
      <c r="I63" s="110">
        <v>1</v>
      </c>
      <c r="J63" s="110">
        <v>2</v>
      </c>
      <c r="K63" s="110">
        <v>3</v>
      </c>
      <c r="L63" s="110">
        <v>1</v>
      </c>
      <c r="M63" s="110">
        <v>1</v>
      </c>
      <c r="N63" s="110">
        <v>1</v>
      </c>
      <c r="O63" s="110">
        <v>1</v>
      </c>
      <c r="P63" s="110">
        <v>2</v>
      </c>
      <c r="Q63" s="110">
        <v>1</v>
      </c>
      <c r="R63" s="110">
        <v>1</v>
      </c>
      <c r="S63" s="110">
        <v>3</v>
      </c>
      <c r="T63" s="110">
        <v>1</v>
      </c>
      <c r="U63" s="110">
        <v>2</v>
      </c>
      <c r="V63" s="110">
        <v>1</v>
      </c>
      <c r="W63" s="110">
        <v>1</v>
      </c>
      <c r="X63" s="110">
        <v>2</v>
      </c>
      <c r="Y63" s="110">
        <v>1</v>
      </c>
      <c r="Z63" s="110">
        <v>2</v>
      </c>
      <c r="AA63" s="110">
        <v>1</v>
      </c>
      <c r="AB63" s="110">
        <v>1</v>
      </c>
      <c r="AC63" s="110">
        <v>1</v>
      </c>
      <c r="AD63" s="110">
        <v>2</v>
      </c>
      <c r="AE63" s="110">
        <v>2</v>
      </c>
      <c r="AF63" s="110">
        <v>1</v>
      </c>
      <c r="AG63" s="110">
        <v>1</v>
      </c>
      <c r="AH63" s="110">
        <v>1</v>
      </c>
      <c r="AI63" s="110">
        <v>2</v>
      </c>
      <c r="AJ63" s="110">
        <v>1</v>
      </c>
      <c r="AK63" s="110">
        <v>1</v>
      </c>
      <c r="AL63" s="110">
        <v>1</v>
      </c>
      <c r="AM63" s="110">
        <v>2</v>
      </c>
      <c r="AN63" s="110">
        <v>1</v>
      </c>
      <c r="AO63" s="110">
        <v>2</v>
      </c>
      <c r="AP63" s="110">
        <v>1</v>
      </c>
      <c r="AQ63" s="110">
        <v>2</v>
      </c>
      <c r="AR63" s="110">
        <v>2</v>
      </c>
      <c r="AS63" s="110">
        <v>1</v>
      </c>
      <c r="AT63" s="110">
        <v>1</v>
      </c>
      <c r="AU63" s="110">
        <v>1</v>
      </c>
      <c r="AV63" s="110">
        <v>1</v>
      </c>
      <c r="AW63" s="110">
        <v>3</v>
      </c>
      <c r="AX63" s="110">
        <v>1</v>
      </c>
      <c r="AY63" s="110">
        <v>3</v>
      </c>
    </row>
    <row r="64" spans="1:52">
      <c r="A64" s="110"/>
      <c r="B64" s="178" t="s">
        <v>350</v>
      </c>
      <c r="C64" s="110"/>
      <c r="D64" s="110">
        <v>267300</v>
      </c>
      <c r="E64" s="110">
        <v>0</v>
      </c>
      <c r="F64" s="110">
        <v>267300</v>
      </c>
      <c r="G64" s="110">
        <v>0</v>
      </c>
      <c r="H64" s="110">
        <v>267300</v>
      </c>
      <c r="I64" s="110">
        <v>0</v>
      </c>
      <c r="J64" s="110">
        <v>267300</v>
      </c>
      <c r="K64" s="110">
        <v>0</v>
      </c>
      <c r="L64" s="110">
        <v>0</v>
      </c>
      <c r="M64" s="110">
        <v>0</v>
      </c>
      <c r="N64" s="110">
        <v>267300</v>
      </c>
      <c r="O64" s="110">
        <v>0</v>
      </c>
      <c r="P64" s="110">
        <v>267300</v>
      </c>
      <c r="Q64" s="110">
        <v>0</v>
      </c>
      <c r="R64" s="110">
        <v>267300</v>
      </c>
      <c r="S64" s="110">
        <v>0</v>
      </c>
      <c r="T64" s="110">
        <v>267300</v>
      </c>
      <c r="U64" s="110">
        <v>0</v>
      </c>
      <c r="V64" s="110">
        <v>267300</v>
      </c>
      <c r="W64" s="110">
        <v>0</v>
      </c>
      <c r="X64" s="110">
        <v>267300</v>
      </c>
      <c r="Y64" s="110">
        <v>0</v>
      </c>
      <c r="Z64" s="110">
        <v>267300</v>
      </c>
      <c r="AA64" s="110">
        <v>0</v>
      </c>
      <c r="AB64" s="110">
        <v>267300</v>
      </c>
      <c r="AC64" s="110">
        <v>0</v>
      </c>
      <c r="AD64" s="110">
        <v>267300</v>
      </c>
      <c r="AE64" s="110">
        <v>0</v>
      </c>
      <c r="AF64" s="110">
        <v>267300</v>
      </c>
      <c r="AG64" s="110">
        <v>0</v>
      </c>
      <c r="AH64" s="110">
        <v>267300</v>
      </c>
      <c r="AI64" s="110">
        <v>0</v>
      </c>
      <c r="AJ64" s="110">
        <v>267300</v>
      </c>
      <c r="AK64" s="110">
        <v>0</v>
      </c>
      <c r="AL64" s="110">
        <v>267300</v>
      </c>
      <c r="AM64" s="110">
        <v>0</v>
      </c>
      <c r="AN64" s="110">
        <v>267300</v>
      </c>
      <c r="AO64" s="110">
        <v>0</v>
      </c>
      <c r="AP64" s="110">
        <v>267300</v>
      </c>
      <c r="AQ64" s="110">
        <v>0</v>
      </c>
      <c r="AR64" s="110">
        <v>267300</v>
      </c>
      <c r="AS64" s="110">
        <v>0</v>
      </c>
      <c r="AT64" s="110">
        <v>267300</v>
      </c>
      <c r="AU64" s="110">
        <v>0</v>
      </c>
      <c r="AV64" s="110">
        <v>267300</v>
      </c>
      <c r="AW64" s="110">
        <v>0</v>
      </c>
      <c r="AX64" s="110">
        <v>267300</v>
      </c>
      <c r="AY64" s="110">
        <v>0</v>
      </c>
      <c r="AZ64" s="100">
        <f>SUM($D$64:$AY$64)</f>
        <v>6147900</v>
      </c>
    </row>
    <row r="65" spans="1:52">
      <c r="A65" s="125"/>
      <c r="B65" s="140" t="s">
        <v>351</v>
      </c>
      <c r="C65" s="125"/>
      <c r="D65" s="125">
        <v>219496.71730977099</v>
      </c>
      <c r="E65" s="125">
        <v>554220.33161670528</v>
      </c>
      <c r="F65" s="125">
        <v>409432.83161670528</v>
      </c>
      <c r="G65" s="125">
        <v>554220.33161670528</v>
      </c>
      <c r="H65" s="125">
        <v>409432.83161670528</v>
      </c>
      <c r="I65" s="125">
        <v>554220.33161670528</v>
      </c>
      <c r="J65" s="125">
        <v>409432.83161670528</v>
      </c>
      <c r="K65" s="125">
        <v>554220.33161670528</v>
      </c>
      <c r="L65" s="125">
        <v>0</v>
      </c>
      <c r="M65" s="125">
        <v>0</v>
      </c>
      <c r="N65" s="125">
        <v>921332.28903562482</v>
      </c>
      <c r="O65" s="125">
        <v>554220.33161670528</v>
      </c>
      <c r="P65" s="125">
        <v>409432.83161670528</v>
      </c>
      <c r="Q65" s="125">
        <v>0</v>
      </c>
      <c r="R65" s="125">
        <v>921332.28903562482</v>
      </c>
      <c r="S65" s="125">
        <v>554220.33161670528</v>
      </c>
      <c r="T65" s="125">
        <v>409432.83161670528</v>
      </c>
      <c r="U65" s="125">
        <v>554220.33161670528</v>
      </c>
      <c r="V65" s="125">
        <v>409432.83161670528</v>
      </c>
      <c r="W65" s="125">
        <v>554220.33161670528</v>
      </c>
      <c r="X65" s="125">
        <v>409432.83161670528</v>
      </c>
      <c r="Y65" s="125">
        <v>554220.33161670528</v>
      </c>
      <c r="Z65" s="125">
        <v>409432.83161670528</v>
      </c>
      <c r="AA65" s="125">
        <v>554220.33161670528</v>
      </c>
      <c r="AB65" s="125">
        <v>409432.83161670528</v>
      </c>
      <c r="AC65" s="125">
        <v>554220.33161670528</v>
      </c>
      <c r="AD65" s="125">
        <v>409432.83161670528</v>
      </c>
      <c r="AE65" s="125">
        <v>554220.33161670528</v>
      </c>
      <c r="AF65" s="125">
        <v>409432.83161670528</v>
      </c>
      <c r="AG65" s="125">
        <v>554220.33161670528</v>
      </c>
      <c r="AH65" s="125">
        <v>409432.83161670528</v>
      </c>
      <c r="AI65" s="125">
        <v>554220.33161670528</v>
      </c>
      <c r="AJ65" s="125">
        <v>409432.83161670528</v>
      </c>
      <c r="AK65" s="125">
        <v>554220.33161670528</v>
      </c>
      <c r="AL65" s="125">
        <v>409432.83161670528</v>
      </c>
      <c r="AM65" s="125">
        <v>554220.33161670528</v>
      </c>
      <c r="AN65" s="125">
        <v>409432.83161670528</v>
      </c>
      <c r="AO65" s="125">
        <v>554220.33161670528</v>
      </c>
      <c r="AP65" s="125">
        <v>409432.83161670528</v>
      </c>
      <c r="AQ65" s="125">
        <v>554220.33161670528</v>
      </c>
      <c r="AR65" s="125">
        <v>409432.83161670528</v>
      </c>
      <c r="AS65" s="125">
        <v>554220.33161670528</v>
      </c>
      <c r="AT65" s="125">
        <v>409432.83161670528</v>
      </c>
      <c r="AU65" s="125">
        <v>554220.33161670528</v>
      </c>
      <c r="AV65" s="125">
        <v>409432.83161670528</v>
      </c>
      <c r="AW65" s="125">
        <v>554220.33161670528</v>
      </c>
      <c r="AX65" s="125">
        <v>409432.83161670528</v>
      </c>
      <c r="AY65" s="125">
        <v>554220.33161670528</v>
      </c>
      <c r="AZ65" s="100">
        <f>SUM($D$65:$AY$65)</f>
        <v>22443665.223282665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1600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197.99012119334856</v>
      </c>
      <c r="E9" s="117">
        <v>197.99012119334856</v>
      </c>
      <c r="F9" s="117">
        <v>197.99012119334856</v>
      </c>
      <c r="G9" s="117">
        <v>197.99012119334856</v>
      </c>
      <c r="H9" s="117">
        <v>158.39209695467886</v>
      </c>
      <c r="I9" s="117">
        <v>158.39209695467886</v>
      </c>
      <c r="J9" s="117">
        <v>158.39209695467886</v>
      </c>
      <c r="K9" s="117">
        <v>158.39209695467886</v>
      </c>
      <c r="L9" s="117">
        <v>197.99012119334856</v>
      </c>
      <c r="M9" s="117">
        <v>197.99012119334856</v>
      </c>
      <c r="N9" s="117">
        <v>197.99012119334856</v>
      </c>
      <c r="O9" s="117">
        <v>197.99012119334856</v>
      </c>
      <c r="P9" s="117">
        <v>197.99012119334856</v>
      </c>
      <c r="Q9" s="117">
        <v>197.99012119334856</v>
      </c>
      <c r="R9" s="117">
        <v>197.99012119334856</v>
      </c>
      <c r="S9" s="117">
        <v>197.99012119334856</v>
      </c>
      <c r="T9" s="117">
        <v>197.99012119334856</v>
      </c>
      <c r="U9" s="117">
        <v>197.99012119334856</v>
      </c>
      <c r="V9" s="117">
        <v>197.99012119334856</v>
      </c>
      <c r="W9" s="117">
        <v>197.99012119334856</v>
      </c>
      <c r="X9" s="117">
        <v>197.99012119334856</v>
      </c>
      <c r="Y9" s="117">
        <v>197.99012119334856</v>
      </c>
      <c r="Z9" s="117">
        <v>197.99012119334856</v>
      </c>
      <c r="AA9" s="117">
        <v>197.99012119334856</v>
      </c>
      <c r="AB9" s="117">
        <v>197.99012119334856</v>
      </c>
      <c r="AC9" s="117">
        <v>197.99012119334856</v>
      </c>
      <c r="AD9" s="117">
        <v>197.99012119334856</v>
      </c>
      <c r="AE9" s="117">
        <v>197.99012119334856</v>
      </c>
      <c r="AF9" s="117">
        <v>197.99012119334856</v>
      </c>
      <c r="AG9" s="117">
        <v>197.99012119334856</v>
      </c>
      <c r="AH9" s="117">
        <v>197.99012119334856</v>
      </c>
      <c r="AI9" s="117">
        <v>197.99012119334856</v>
      </c>
      <c r="AJ9" s="117">
        <v>197.99012119334856</v>
      </c>
      <c r="AK9" s="117">
        <v>197.99012119334856</v>
      </c>
      <c r="AL9" s="117">
        <v>197.99012119334856</v>
      </c>
      <c r="AM9" s="117">
        <v>197.99012119334856</v>
      </c>
      <c r="AN9" s="117">
        <v>197.99012119334856</v>
      </c>
      <c r="AO9" s="117">
        <v>197.99012119334856</v>
      </c>
      <c r="AP9" s="117">
        <v>197.99012119334856</v>
      </c>
      <c r="AQ9" s="117">
        <v>197.99012119334856</v>
      </c>
      <c r="AR9" s="117">
        <v>197.99012119334856</v>
      </c>
      <c r="AS9" s="117">
        <v>197.99012119334856</v>
      </c>
      <c r="AT9" s="117">
        <v>197.99012119334856</v>
      </c>
      <c r="AU9" s="117">
        <v>197.99012119334856</v>
      </c>
      <c r="AV9" s="117">
        <v>158.39209695467886</v>
      </c>
      <c r="AW9" s="117">
        <v>158.39209695467886</v>
      </c>
      <c r="AX9" s="117">
        <v>158.39209695467886</v>
      </c>
      <c r="AY9" s="117">
        <v>158.39209695467886</v>
      </c>
    </row>
    <row r="10" spans="1:53">
      <c r="A10" s="118" t="s">
        <v>133</v>
      </c>
      <c r="B10" s="119">
        <v>1</v>
      </c>
      <c r="C10" s="106" t="s">
        <v>293</v>
      </c>
      <c r="D10" s="100">
        <v>170.08570910369883</v>
      </c>
      <c r="E10" s="100">
        <v>74.37182251989293</v>
      </c>
      <c r="F10" s="100">
        <v>112.50288025674706</v>
      </c>
      <c r="G10" s="100">
        <v>29.329431853724078</v>
      </c>
      <c r="H10" s="100">
        <v>181.03016611109283</v>
      </c>
      <c r="I10" s="100">
        <v>97.856717708069837</v>
      </c>
      <c r="J10" s="100">
        <v>58.658863707448155</v>
      </c>
      <c r="K10" s="100">
        <v>181.03016611109283</v>
      </c>
      <c r="L10" s="100">
        <v>112.50288025674706</v>
      </c>
      <c r="M10" s="100">
        <v>112.50288025674706</v>
      </c>
      <c r="N10" s="100">
        <v>90.00230420539765</v>
      </c>
      <c r="O10" s="100">
        <v>43.994147780586118</v>
      </c>
      <c r="P10" s="100">
        <v>110.84676287278047</v>
      </c>
      <c r="Q10" s="100">
        <v>90.00230420539765</v>
      </c>
      <c r="R10" s="100">
        <v>29.329431853724078</v>
      </c>
      <c r="S10" s="100">
        <v>205.14533241104817</v>
      </c>
      <c r="T10" s="100">
        <v>29.329431853724078</v>
      </c>
      <c r="U10" s="100">
        <v>0</v>
      </c>
      <c r="V10" s="100">
        <v>181.03016611109319</v>
      </c>
      <c r="W10" s="100">
        <v>0</v>
      </c>
      <c r="X10" s="100">
        <v>181.0301661110928</v>
      </c>
      <c r="Y10" s="100">
        <v>112.50288025674706</v>
      </c>
      <c r="Z10" s="100">
        <v>181.0301661110928</v>
      </c>
      <c r="AA10" s="100">
        <v>181.03016611109283</v>
      </c>
      <c r="AB10" s="100">
        <v>181.0301661110928</v>
      </c>
      <c r="AC10" s="100">
        <v>181.03016611109283</v>
      </c>
      <c r="AD10" s="100">
        <v>181.0301661110928</v>
      </c>
      <c r="AE10" s="100">
        <v>0</v>
      </c>
      <c r="AF10" s="100">
        <v>181.0301661110928</v>
      </c>
      <c r="AG10" s="100">
        <v>0</v>
      </c>
      <c r="AH10" s="100">
        <v>112.50288025674705</v>
      </c>
      <c r="AI10" s="100">
        <v>112.50288025674706</v>
      </c>
      <c r="AJ10" s="100">
        <v>112.50288025674705</v>
      </c>
      <c r="AK10" s="100">
        <v>112.50288025674706</v>
      </c>
      <c r="AL10" s="100">
        <v>181.0301661110928</v>
      </c>
      <c r="AM10" s="100">
        <v>112.50288025674706</v>
      </c>
      <c r="AN10" s="100">
        <v>181.0301661110928</v>
      </c>
      <c r="AO10" s="100">
        <v>0</v>
      </c>
      <c r="AP10" s="100">
        <v>181.03016611109319</v>
      </c>
      <c r="AQ10" s="100">
        <v>0</v>
      </c>
      <c r="AR10" s="100">
        <v>181.0301661110928</v>
      </c>
      <c r="AS10" s="100">
        <v>0</v>
      </c>
      <c r="AT10" s="100">
        <v>181.0301661110928</v>
      </c>
      <c r="AU10" s="100">
        <v>181.03016611109283</v>
      </c>
      <c r="AV10" s="100">
        <v>181.0301661110928</v>
      </c>
      <c r="AW10" s="100">
        <v>112.50288025674706</v>
      </c>
      <c r="AX10" s="100">
        <v>181.0301661110928</v>
      </c>
      <c r="AY10" s="100">
        <v>112.50288025674706</v>
      </c>
      <c r="AZ10" s="100">
        <v>181.0301661110928</v>
      </c>
    </row>
    <row r="11" spans="1:53">
      <c r="B11" s="119">
        <v>2</v>
      </c>
      <c r="C11" s="106" t="s">
        <v>293</v>
      </c>
      <c r="D11" s="100">
        <v>91.515472879338517</v>
      </c>
      <c r="F11" s="100">
        <v>83.173448403023357</v>
      </c>
      <c r="G11" s="100">
        <v>68.527285854345763</v>
      </c>
      <c r="H11" s="100">
        <v>151.70073425736877</v>
      </c>
      <c r="J11" s="100">
        <v>83.173448403022988</v>
      </c>
      <c r="K11" s="100">
        <v>122.37130240364468</v>
      </c>
      <c r="M11" s="100">
        <v>68.527285854345763</v>
      </c>
      <c r="P11" s="100">
        <v>177.82990920154953</v>
      </c>
      <c r="R11" s="100">
        <v>68.527285854345763</v>
      </c>
      <c r="T11" s="100">
        <v>39.17930062243687</v>
      </c>
      <c r="U11" s="100">
        <v>151.70073425736877</v>
      </c>
      <c r="Y11" s="100">
        <v>0</v>
      </c>
      <c r="AC11" s="100">
        <v>0</v>
      </c>
      <c r="AF11" s="100">
        <v>181.03016611109283</v>
      </c>
      <c r="AH11" s="100">
        <v>112.50288025674706</v>
      </c>
      <c r="AI11" s="100">
        <v>68.527285854345763</v>
      </c>
      <c r="AJ11" s="100">
        <v>68.527285854345763</v>
      </c>
      <c r="AK11" s="100">
        <v>68.527285854345763</v>
      </c>
      <c r="AL11" s="100">
        <v>68.527285854345763</v>
      </c>
      <c r="AN11" s="100">
        <v>68.527285854345763</v>
      </c>
      <c r="AO11" s="100">
        <v>0</v>
      </c>
      <c r="AP11" s="100">
        <v>68.527285854345763</v>
      </c>
      <c r="AR11" s="100">
        <v>181.03016611109283</v>
      </c>
      <c r="AT11" s="100">
        <v>181.03016611109283</v>
      </c>
      <c r="AX11" s="100">
        <v>68.527285854345763</v>
      </c>
    </row>
    <row r="12" spans="1:53">
      <c r="B12" s="120">
        <v>3</v>
      </c>
      <c r="C12" s="106" t="s">
        <v>293</v>
      </c>
      <c r="E12" s="100">
        <v>13.525230104927559</v>
      </c>
      <c r="O12" s="100">
        <v>0</v>
      </c>
      <c r="R12" s="100">
        <v>0</v>
      </c>
      <c r="T12" s="100">
        <v>83.173448403022988</v>
      </c>
      <c r="W12" s="100">
        <v>68.527285854345763</v>
      </c>
      <c r="Y12" s="100">
        <v>181.03016611109283</v>
      </c>
      <c r="AA12" s="100">
        <v>68.527285854345763</v>
      </c>
      <c r="AI12" s="100">
        <v>68.527285854345763</v>
      </c>
      <c r="BA12" s="100">
        <v>68.527285854345763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46.578817072301362</v>
      </c>
      <c r="E14" s="117">
        <f t="shared" ref="E14:AZ14" si="0">D$172*SUM(D$122:D$169)</f>
        <v>83.499291553476425</v>
      </c>
      <c r="F14" s="117">
        <f t="shared" si="0"/>
        <v>31.780388054655138</v>
      </c>
      <c r="G14" s="117">
        <f t="shared" si="0"/>
        <v>81.519624455169748</v>
      </c>
      <c r="H14" s="117">
        <f t="shared" si="0"/>
        <v>41.976957197926964</v>
      </c>
      <c r="I14" s="117">
        <f t="shared" si="0"/>
        <v>141.02537935130908</v>
      </c>
      <c r="J14" s="117">
        <f t="shared" si="0"/>
        <v>83.460206810341091</v>
      </c>
      <c r="K14" s="117">
        <f t="shared" si="0"/>
        <v>63.491884040602102</v>
      </c>
      <c r="L14" s="117">
        <f t="shared" si="0"/>
        <v>128.8075442415213</v>
      </c>
      <c r="M14" s="117">
        <f t="shared" si="0"/>
        <v>73.378316835880611</v>
      </c>
      <c r="N14" s="117">
        <f t="shared" si="0"/>
        <v>84.910492144094761</v>
      </c>
      <c r="O14" s="117">
        <f t="shared" si="0"/>
        <v>37.49873061002463</v>
      </c>
      <c r="P14" s="117">
        <f t="shared" si="0"/>
        <v>18.332997304751117</v>
      </c>
      <c r="Q14" s="117">
        <f t="shared" si="0"/>
        <v>123.78777869579423</v>
      </c>
      <c r="R14" s="117">
        <f t="shared" si="0"/>
        <v>62.180159435196664</v>
      </c>
      <c r="S14" s="117">
        <f t="shared" si="0"/>
        <v>41.976957197926978</v>
      </c>
      <c r="T14" s="117">
        <f t="shared" si="0"/>
        <v>87.784624858797869</v>
      </c>
      <c r="U14" s="117">
        <f t="shared" si="0"/>
        <v>76.172179325657297</v>
      </c>
      <c r="V14" s="117">
        <f t="shared" si="0"/>
        <v>64.406894440795398</v>
      </c>
      <c r="W14" s="117">
        <f t="shared" si="0"/>
        <v>76.624729550583297</v>
      </c>
      <c r="X14" s="117">
        <f t="shared" si="0"/>
        <v>29.759122088139211</v>
      </c>
      <c r="Y14" s="117">
        <f t="shared" si="0"/>
        <v>76.624729550583169</v>
      </c>
      <c r="Z14" s="117">
        <f t="shared" si="0"/>
        <v>123.49033701302709</v>
      </c>
      <c r="AA14" s="117">
        <f t="shared" si="0"/>
        <v>115.06969920301576</v>
      </c>
      <c r="AB14" s="117">
        <f t="shared" si="0"/>
        <v>129.00072010265086</v>
      </c>
      <c r="AC14" s="117">
        <f t="shared" si="0"/>
        <v>114.0030558343623</v>
      </c>
      <c r="AD14" s="117">
        <f t="shared" si="0"/>
        <v>82.273467665984256</v>
      </c>
      <c r="AE14" s="117">
        <f t="shared" si="0"/>
        <v>76.624729550583169</v>
      </c>
      <c r="AF14" s="117">
        <f t="shared" si="0"/>
        <v>6.2446400694761584E-3</v>
      </c>
      <c r="AG14" s="117">
        <f t="shared" si="0"/>
        <v>153.24321446109684</v>
      </c>
      <c r="AH14" s="117">
        <f t="shared" si="0"/>
        <v>52.368255264256319</v>
      </c>
      <c r="AI14" s="117">
        <f t="shared" si="0"/>
        <v>93.737459564957362</v>
      </c>
      <c r="AJ14" s="117">
        <f t="shared" si="0"/>
        <v>106.37760699865288</v>
      </c>
      <c r="AK14" s="117">
        <f t="shared" si="0"/>
        <v>89.636379254966585</v>
      </c>
      <c r="AL14" s="117">
        <f t="shared" si="0"/>
        <v>77.57235161643203</v>
      </c>
      <c r="AM14" s="117">
        <f t="shared" si="0"/>
        <v>106.37760699865288</v>
      </c>
      <c r="AN14" s="117">
        <f t="shared" si="0"/>
        <v>67.053927569058132</v>
      </c>
      <c r="AO14" s="117">
        <f t="shared" si="0"/>
        <v>110.03055163639119</v>
      </c>
      <c r="AP14" s="117">
        <f t="shared" si="0"/>
        <v>3.6633103465876573</v>
      </c>
      <c r="AQ14" s="117">
        <f t="shared" si="0"/>
        <v>106.37760699865302</v>
      </c>
      <c r="AR14" s="117">
        <f t="shared" si="0"/>
        <v>18.196535172680594</v>
      </c>
      <c r="AS14" s="117">
        <f t="shared" si="0"/>
        <v>153.24321446109684</v>
      </c>
      <c r="AT14" s="117">
        <f t="shared" si="0"/>
        <v>34.840547845639882</v>
      </c>
      <c r="AU14" s="117">
        <f t="shared" si="0"/>
        <v>153.24321446109684</v>
      </c>
      <c r="AV14" s="117">
        <f t="shared" si="0"/>
        <v>120.22288646546178</v>
      </c>
      <c r="AW14" s="117">
        <f t="shared" si="0"/>
        <v>86.015585308555117</v>
      </c>
      <c r="AX14" s="117">
        <f t="shared" si="0"/>
        <v>47.632833722152618</v>
      </c>
      <c r="AY14" s="117">
        <f t="shared" si="0"/>
        <v>106.37760699865288</v>
      </c>
      <c r="AZ14" s="110">
        <f t="shared" si="0"/>
        <v>50.721291110801914</v>
      </c>
      <c r="BA14" s="107">
        <f>SUM($E14:$AZ14)</f>
        <v>3886.3992280087632</v>
      </c>
    </row>
    <row r="15" spans="1:53">
      <c r="A15" s="122" t="s">
        <v>123</v>
      </c>
      <c r="B15" s="123">
        <v>1</v>
      </c>
      <c r="C15" s="124" t="s">
        <v>293</v>
      </c>
      <c r="D15" s="124">
        <v>132.28993774510764</v>
      </c>
      <c r="E15" s="124">
        <v>79.778663632850908</v>
      </c>
      <c r="F15" s="124">
        <v>117.66293464712481</v>
      </c>
      <c r="G15" s="124">
        <v>30.686244136095624</v>
      </c>
      <c r="H15" s="124">
        <v>192.35191572428644</v>
      </c>
      <c r="I15" s="124">
        <v>105.37522521325725</v>
      </c>
      <c r="J15" s="124">
        <v>61.35681228237155</v>
      </c>
      <c r="K15" s="124">
        <v>192.35191572428644</v>
      </c>
      <c r="L15" s="124">
        <v>117.66293464712481</v>
      </c>
      <c r="M15" s="124">
        <v>117.66293464712481</v>
      </c>
      <c r="N15" s="124">
        <v>94.133482915663805</v>
      </c>
      <c r="O15" s="124">
        <v>46.021528209233594</v>
      </c>
      <c r="P15" s="124">
        <v>118.95926146170819</v>
      </c>
      <c r="Q15" s="124">
        <v>94.133482915663805</v>
      </c>
      <c r="R15" s="124">
        <v>30.686244136095624</v>
      </c>
      <c r="S15" s="124">
        <v>220.36672575243148</v>
      </c>
      <c r="T15" s="124">
        <v>30.686244136095624</v>
      </c>
      <c r="U15" s="124">
        <v>1.5675989819702259E-2</v>
      </c>
      <c r="V15" s="124">
        <v>192.35191572428681</v>
      </c>
      <c r="W15" s="124">
        <v>1.5675989819702259E-2</v>
      </c>
      <c r="X15" s="124">
        <v>192.35191572428647</v>
      </c>
      <c r="Y15" s="124">
        <v>117.66293464712481</v>
      </c>
      <c r="Z15" s="124">
        <v>192.35191572428647</v>
      </c>
      <c r="AA15" s="124">
        <v>192.35191572428644</v>
      </c>
      <c r="AB15" s="124">
        <v>192.35191572428647</v>
      </c>
      <c r="AC15" s="124">
        <v>192.35191572428644</v>
      </c>
      <c r="AD15" s="124">
        <v>192.35191572428647</v>
      </c>
      <c r="AE15" s="124">
        <v>1.5675989819702259E-2</v>
      </c>
      <c r="AF15" s="124">
        <v>192.35191572428647</v>
      </c>
      <c r="AG15" s="124">
        <v>1.5675989819702259E-2</v>
      </c>
      <c r="AH15" s="124">
        <v>117.66293464712483</v>
      </c>
      <c r="AI15" s="124">
        <v>117.66293464712481</v>
      </c>
      <c r="AJ15" s="124">
        <v>117.66293464712483</v>
      </c>
      <c r="AK15" s="124">
        <v>117.66293464712481</v>
      </c>
      <c r="AL15" s="124">
        <v>192.35191572428647</v>
      </c>
      <c r="AM15" s="124">
        <v>117.66293464712481</v>
      </c>
      <c r="AN15" s="124">
        <v>192.35191572428647</v>
      </c>
      <c r="AO15" s="124">
        <v>1.5675989819702259E-2</v>
      </c>
      <c r="AP15" s="124">
        <v>192.35191572428681</v>
      </c>
      <c r="AQ15" s="124">
        <v>1.5675989819702259E-2</v>
      </c>
      <c r="AR15" s="124">
        <v>192.35191572428647</v>
      </c>
      <c r="AS15" s="124">
        <v>1.5675989819702259E-2</v>
      </c>
      <c r="AT15" s="124">
        <v>192.35191572428647</v>
      </c>
      <c r="AU15" s="124">
        <v>192.35191572428644</v>
      </c>
      <c r="AV15" s="124">
        <v>192.35191572428647</v>
      </c>
      <c r="AW15" s="124">
        <v>117.66293464712481</v>
      </c>
      <c r="AX15" s="124">
        <v>192.35191572428647</v>
      </c>
      <c r="AY15" s="124">
        <v>117.66293464712481</v>
      </c>
      <c r="AZ15" s="100">
        <v>192.33623973446674</v>
      </c>
    </row>
    <row r="16" spans="1:53">
      <c r="A16" s="110"/>
      <c r="B16" s="119">
        <v>2</v>
      </c>
      <c r="C16" s="109" t="s">
        <v>293</v>
      </c>
      <c r="D16" s="106">
        <v>77.319267874720694</v>
      </c>
      <c r="E16" s="110"/>
      <c r="F16" s="110">
        <v>86.976690511029574</v>
      </c>
      <c r="G16" s="110">
        <v>74.688981077161628</v>
      </c>
      <c r="H16" s="110">
        <v>161.66567158819083</v>
      </c>
      <c r="I16" s="110"/>
      <c r="J16" s="110">
        <v>86.97669051102919</v>
      </c>
      <c r="K16" s="110">
        <v>130.99510344191489</v>
      </c>
      <c r="L16" s="110"/>
      <c r="M16" s="110">
        <v>74.688981077161628</v>
      </c>
      <c r="N16" s="110"/>
      <c r="O16" s="110"/>
      <c r="P16" s="110">
        <v>191.7865841033522</v>
      </c>
      <c r="Q16" s="110"/>
      <c r="R16" s="110">
        <v>74.688981077161628</v>
      </c>
      <c r="S16" s="110"/>
      <c r="T16" s="110">
        <v>40.970838291615308</v>
      </c>
      <c r="U16" s="110">
        <v>161.66567158819083</v>
      </c>
      <c r="V16" s="110"/>
      <c r="W16" s="110"/>
      <c r="X16" s="110"/>
      <c r="Y16" s="110">
        <v>0</v>
      </c>
      <c r="Z16" s="110"/>
      <c r="AA16" s="110"/>
      <c r="AB16" s="110"/>
      <c r="AC16" s="110">
        <v>0</v>
      </c>
      <c r="AD16" s="110"/>
      <c r="AE16" s="110"/>
      <c r="AF16" s="110">
        <v>192.33623973446674</v>
      </c>
      <c r="AG16" s="110"/>
      <c r="AH16" s="110">
        <v>117.64725865730512</v>
      </c>
      <c r="AI16" s="110">
        <v>74.688981077161628</v>
      </c>
      <c r="AJ16" s="110">
        <v>74.688981077161628</v>
      </c>
      <c r="AK16" s="110">
        <v>74.688981077161628</v>
      </c>
      <c r="AL16" s="110">
        <v>74.688981077161628</v>
      </c>
      <c r="AM16" s="110"/>
      <c r="AN16" s="110">
        <v>74.688981077161628</v>
      </c>
      <c r="AO16" s="110">
        <v>0</v>
      </c>
      <c r="AP16" s="110">
        <v>74.688981077161628</v>
      </c>
      <c r="AQ16" s="110"/>
      <c r="AR16" s="110">
        <v>192.33623973446674</v>
      </c>
      <c r="AS16" s="110"/>
      <c r="AT16" s="110">
        <v>192.33623973446674</v>
      </c>
      <c r="AU16" s="110"/>
      <c r="AV16" s="110"/>
      <c r="AW16" s="110"/>
      <c r="AX16" s="110">
        <v>74.688981077161628</v>
      </c>
      <c r="AY16" s="110"/>
    </row>
    <row r="17" spans="1:53">
      <c r="A17" s="110"/>
      <c r="B17" s="119">
        <v>3</v>
      </c>
      <c r="C17" s="109" t="s">
        <v>293</v>
      </c>
      <c r="D17" s="106"/>
      <c r="E17" s="110">
        <v>0</v>
      </c>
      <c r="F17" s="110"/>
      <c r="G17" s="110"/>
      <c r="H17" s="110"/>
      <c r="I17" s="110"/>
      <c r="J17" s="110"/>
      <c r="K17" s="110"/>
      <c r="L17" s="110"/>
      <c r="M17" s="110"/>
      <c r="N17" s="110"/>
      <c r="O17" s="110">
        <v>0</v>
      </c>
      <c r="P17" s="110"/>
      <c r="Q17" s="110"/>
      <c r="R17" s="110">
        <v>0</v>
      </c>
      <c r="S17" s="110"/>
      <c r="T17" s="110">
        <v>86.97669051102919</v>
      </c>
      <c r="U17" s="110"/>
      <c r="V17" s="110"/>
      <c r="W17" s="110">
        <v>74.688981077161628</v>
      </c>
      <c r="X17" s="110"/>
      <c r="Y17" s="110">
        <v>192.33623973446674</v>
      </c>
      <c r="Z17" s="110"/>
      <c r="AA17" s="110">
        <v>74.688981077161628</v>
      </c>
      <c r="AB17" s="110"/>
      <c r="AC17" s="110"/>
      <c r="AD17" s="110"/>
      <c r="AE17" s="110"/>
      <c r="AF17" s="110"/>
      <c r="AG17" s="110"/>
      <c r="AH17" s="110"/>
      <c r="AI17" s="110">
        <v>74.688981077161628</v>
      </c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BA17" s="100">
        <v>74.688981077161628</v>
      </c>
    </row>
    <row r="18" spans="1:53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3">
      <c r="A20" s="102" t="s">
        <v>294</v>
      </c>
    </row>
    <row r="21" spans="1:53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3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3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3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14.097865675674711</v>
      </c>
      <c r="AB24" s="125">
        <v>91.479947511053979</v>
      </c>
      <c r="AC24" s="125">
        <v>0</v>
      </c>
      <c r="AD24" s="125">
        <v>0</v>
      </c>
      <c r="AE24" s="125">
        <v>0</v>
      </c>
      <c r="AF24" s="125">
        <v>125.4495676065801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30.581136184298202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133.16075243892146</v>
      </c>
      <c r="AS24" s="125">
        <v>0</v>
      </c>
      <c r="AT24" s="125">
        <v>119.90960799097661</v>
      </c>
      <c r="AU24" s="125">
        <v>21.372203028728109</v>
      </c>
      <c r="AV24" s="125">
        <v>0</v>
      </c>
      <c r="AW24" s="125">
        <v>0</v>
      </c>
      <c r="AX24" s="125">
        <v>110.88397107152446</v>
      </c>
      <c r="AY24" s="125">
        <v>0</v>
      </c>
    </row>
    <row r="25" spans="1:53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3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3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3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3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3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3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3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646.93505150775763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160</v>
      </c>
      <c r="D95" s="110">
        <v>197.99012119334856</v>
      </c>
      <c r="E95" s="110">
        <v>197.99012119334856</v>
      </c>
      <c r="F95" s="110">
        <v>197.99012119334856</v>
      </c>
      <c r="G95" s="110">
        <v>197.99012119334856</v>
      </c>
      <c r="H95" s="110">
        <v>158.39209695467886</v>
      </c>
      <c r="I95" s="110">
        <v>158.39209695467886</v>
      </c>
      <c r="J95" s="110">
        <v>158.39209695467886</v>
      </c>
      <c r="K95" s="110">
        <v>158.39209695467886</v>
      </c>
      <c r="L95" s="110">
        <v>197.99012119334856</v>
      </c>
      <c r="M95" s="110">
        <v>197.99012119334856</v>
      </c>
      <c r="N95" s="110">
        <v>197.99012119334856</v>
      </c>
      <c r="O95" s="110">
        <v>197.99012119334856</v>
      </c>
      <c r="P95" s="110">
        <v>197.99012119334856</v>
      </c>
      <c r="Q95" s="110">
        <v>197.99012119334856</v>
      </c>
      <c r="R95" s="110">
        <v>197.99012119334856</v>
      </c>
      <c r="S95" s="110">
        <v>197.99012119334856</v>
      </c>
      <c r="T95" s="110">
        <v>197.99012119334856</v>
      </c>
      <c r="U95" s="110">
        <v>197.99012119334856</v>
      </c>
      <c r="V95" s="110">
        <v>197.99012119334856</v>
      </c>
      <c r="W95" s="110">
        <v>197.99012119334856</v>
      </c>
      <c r="X95" s="110">
        <v>197.99012119334856</v>
      </c>
      <c r="Y95" s="110">
        <v>197.99012119334856</v>
      </c>
      <c r="Z95" s="110">
        <v>197.99012119334856</v>
      </c>
      <c r="AA95" s="110">
        <v>197.99012119334856</v>
      </c>
      <c r="AB95" s="110">
        <v>197.99012119334856</v>
      </c>
      <c r="AC95" s="110">
        <v>197.99012119334856</v>
      </c>
      <c r="AD95" s="110">
        <v>197.99012119334856</v>
      </c>
      <c r="AE95" s="110">
        <v>197.99012119334856</v>
      </c>
      <c r="AF95" s="110">
        <v>197.99012119334856</v>
      </c>
      <c r="AG95" s="110">
        <v>197.99012119334856</v>
      </c>
      <c r="AH95" s="110">
        <v>197.99012119334856</v>
      </c>
      <c r="AI95" s="110">
        <v>197.99012119334856</v>
      </c>
      <c r="AJ95" s="110">
        <v>197.99012119334856</v>
      </c>
      <c r="AK95" s="110">
        <v>197.99012119334856</v>
      </c>
      <c r="AL95" s="110">
        <v>197.99012119334856</v>
      </c>
      <c r="AM95" s="110">
        <v>197.99012119334856</v>
      </c>
      <c r="AN95" s="110">
        <v>197.99012119334856</v>
      </c>
      <c r="AO95" s="110">
        <v>197.99012119334856</v>
      </c>
      <c r="AP95" s="110">
        <v>197.99012119334856</v>
      </c>
      <c r="AQ95" s="110">
        <v>197.99012119334856</v>
      </c>
      <c r="AR95" s="110">
        <v>197.99012119334856</v>
      </c>
      <c r="AS95" s="110">
        <v>197.99012119334856</v>
      </c>
      <c r="AT95" s="110">
        <v>197.99012119334856</v>
      </c>
      <c r="AU95" s="110">
        <v>197.99012119334856</v>
      </c>
      <c r="AV95" s="110">
        <v>158.39209695467886</v>
      </c>
      <c r="AW95" s="110">
        <v>158.39209695467886</v>
      </c>
      <c r="AX95" s="110">
        <v>158.39209695467886</v>
      </c>
      <c r="AY95" s="110">
        <v>158.39209695467886</v>
      </c>
    </row>
    <row r="96" spans="1:52">
      <c r="A96" s="109"/>
      <c r="B96" s="120">
        <v>2</v>
      </c>
      <c r="C96" s="110">
        <v>160</v>
      </c>
      <c r="D96" s="110">
        <v>160</v>
      </c>
      <c r="E96" s="110">
        <v>197.99012119334856</v>
      </c>
      <c r="F96" s="110">
        <v>197.99012119334856</v>
      </c>
      <c r="G96" s="110">
        <v>197.99012119334856</v>
      </c>
      <c r="H96" s="110">
        <v>197.99012119334856</v>
      </c>
      <c r="I96" s="110">
        <v>158.39209695467886</v>
      </c>
      <c r="J96" s="110">
        <v>158.39209695467886</v>
      </c>
      <c r="K96" s="110">
        <v>158.39209695467886</v>
      </c>
      <c r="L96" s="110">
        <v>158.39209695467886</v>
      </c>
      <c r="M96" s="110">
        <v>197.99012119334856</v>
      </c>
      <c r="N96" s="110">
        <v>197.99012119334856</v>
      </c>
      <c r="O96" s="110">
        <v>197.99012119334856</v>
      </c>
      <c r="P96" s="110">
        <v>197.99012119334856</v>
      </c>
      <c r="Q96" s="110">
        <v>197.99012119334856</v>
      </c>
      <c r="R96" s="110">
        <v>197.99012119334856</v>
      </c>
      <c r="S96" s="110">
        <v>197.99012119334856</v>
      </c>
      <c r="T96" s="110">
        <v>197.99012119334856</v>
      </c>
      <c r="U96" s="110">
        <v>197.99012119334856</v>
      </c>
      <c r="V96" s="110">
        <v>197.99012119334856</v>
      </c>
      <c r="W96" s="110">
        <v>197.99012119334856</v>
      </c>
      <c r="X96" s="110">
        <v>197.99012119334856</v>
      </c>
      <c r="Y96" s="110">
        <v>197.99012119334856</v>
      </c>
      <c r="Z96" s="110">
        <v>197.99012119334856</v>
      </c>
      <c r="AA96" s="110">
        <v>197.99012119334856</v>
      </c>
      <c r="AB96" s="110">
        <v>197.99012119334856</v>
      </c>
      <c r="AC96" s="110">
        <v>197.99012119334856</v>
      </c>
      <c r="AD96" s="110">
        <v>197.99012119334856</v>
      </c>
      <c r="AE96" s="110">
        <v>197.99012119334856</v>
      </c>
      <c r="AF96" s="110">
        <v>197.99012119334856</v>
      </c>
      <c r="AG96" s="110">
        <v>197.99012119334856</v>
      </c>
      <c r="AH96" s="110">
        <v>197.99012119334856</v>
      </c>
      <c r="AI96" s="110">
        <v>197.99012119334856</v>
      </c>
      <c r="AJ96" s="110">
        <v>197.99012119334856</v>
      </c>
      <c r="AK96" s="110">
        <v>197.99012119334856</v>
      </c>
      <c r="AL96" s="110">
        <v>197.99012119334856</v>
      </c>
      <c r="AM96" s="110">
        <v>197.99012119334856</v>
      </c>
      <c r="AN96" s="110">
        <v>197.99012119334856</v>
      </c>
      <c r="AO96" s="110">
        <v>197.99012119334856</v>
      </c>
      <c r="AP96" s="110">
        <v>197.99012119334856</v>
      </c>
      <c r="AQ96" s="110">
        <v>197.99012119334856</v>
      </c>
      <c r="AR96" s="110">
        <v>197.99012119334856</v>
      </c>
      <c r="AS96" s="110">
        <v>197.99012119334856</v>
      </c>
      <c r="AT96" s="110">
        <v>197.99012119334856</v>
      </c>
      <c r="AU96" s="110">
        <v>197.99012119334856</v>
      </c>
      <c r="AV96" s="110">
        <v>197.99012119334856</v>
      </c>
      <c r="AW96" s="110">
        <v>158.39209695467886</v>
      </c>
      <c r="AX96" s="110">
        <v>158.39209695467886</v>
      </c>
      <c r="AY96" s="110">
        <v>158.39209695467886</v>
      </c>
    </row>
    <row r="97" spans="1:52">
      <c r="A97" s="109"/>
      <c r="B97" s="127">
        <v>3</v>
      </c>
      <c r="C97" s="110">
        <v>49</v>
      </c>
      <c r="D97" s="110">
        <v>61</v>
      </c>
      <c r="E97" s="110">
        <v>100</v>
      </c>
      <c r="F97" s="110">
        <v>156.99012119334856</v>
      </c>
      <c r="G97" s="110">
        <v>195.98024238669711</v>
      </c>
      <c r="H97" s="110">
        <v>197.99012119334856</v>
      </c>
      <c r="I97" s="110">
        <v>197.99012119334856</v>
      </c>
      <c r="J97" s="110">
        <v>158.39209695467886</v>
      </c>
      <c r="K97" s="110">
        <v>158.39209695467886</v>
      </c>
      <c r="L97" s="110">
        <v>158.39209695467886</v>
      </c>
      <c r="M97" s="110">
        <v>158.39209695467886</v>
      </c>
      <c r="N97" s="110">
        <v>197.99012119334856</v>
      </c>
      <c r="O97" s="110">
        <v>197.99012119334856</v>
      </c>
      <c r="P97" s="110">
        <v>197.99012119334856</v>
      </c>
      <c r="Q97" s="110">
        <v>197.99012119334856</v>
      </c>
      <c r="R97" s="110">
        <v>197.99012119334856</v>
      </c>
      <c r="S97" s="110">
        <v>197.99012119334856</v>
      </c>
      <c r="T97" s="110">
        <v>197.99012119334856</v>
      </c>
      <c r="U97" s="110">
        <v>197.99012119334856</v>
      </c>
      <c r="V97" s="110">
        <v>197.99012119334856</v>
      </c>
      <c r="W97" s="110">
        <v>197.99012119334856</v>
      </c>
      <c r="X97" s="110">
        <v>197.99012119334856</v>
      </c>
      <c r="Y97" s="110">
        <v>197.99012119334856</v>
      </c>
      <c r="Z97" s="110">
        <v>197.99012119334856</v>
      </c>
      <c r="AA97" s="110">
        <v>197.99012119334856</v>
      </c>
      <c r="AB97" s="110">
        <v>197.99012119334856</v>
      </c>
      <c r="AC97" s="110">
        <v>197.99012119334856</v>
      </c>
      <c r="AD97" s="110">
        <v>197.99012119334856</v>
      </c>
      <c r="AE97" s="110">
        <v>197.99012119334856</v>
      </c>
      <c r="AF97" s="110">
        <v>197.99012119334856</v>
      </c>
      <c r="AG97" s="110">
        <v>197.99012119334856</v>
      </c>
      <c r="AH97" s="110">
        <v>197.99012119334856</v>
      </c>
      <c r="AI97" s="110">
        <v>197.99012119334856</v>
      </c>
      <c r="AJ97" s="110">
        <v>197.99012119334856</v>
      </c>
      <c r="AK97" s="110">
        <v>197.99012119334856</v>
      </c>
      <c r="AL97" s="110">
        <v>197.99012119334856</v>
      </c>
      <c r="AM97" s="110">
        <v>197.99012119334856</v>
      </c>
      <c r="AN97" s="110">
        <v>197.99012119334856</v>
      </c>
      <c r="AO97" s="110">
        <v>197.99012119334856</v>
      </c>
      <c r="AP97" s="110">
        <v>197.99012119334856</v>
      </c>
      <c r="AQ97" s="110">
        <v>197.99012119334856</v>
      </c>
      <c r="AR97" s="110">
        <v>197.99012119334856</v>
      </c>
      <c r="AS97" s="110">
        <v>197.99012119334856</v>
      </c>
      <c r="AT97" s="110">
        <v>197.99012119334856</v>
      </c>
      <c r="AU97" s="110">
        <v>197.99012119334856</v>
      </c>
      <c r="AV97" s="110">
        <v>197.99012119334856</v>
      </c>
      <c r="AW97" s="110">
        <v>197.99012119334856</v>
      </c>
      <c r="AX97" s="110">
        <v>158.39209695467886</v>
      </c>
      <c r="AY97" s="110">
        <v>158.39209695467886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61.980242386697114</v>
      </c>
      <c r="I98" s="110">
        <v>146.97036358004567</v>
      </c>
      <c r="J98" s="110">
        <v>197.99012119334856</v>
      </c>
      <c r="K98" s="110">
        <v>158.39209695467886</v>
      </c>
      <c r="L98" s="110">
        <v>156.78419390935773</v>
      </c>
      <c r="M98" s="110">
        <v>136.17629086403659</v>
      </c>
      <c r="N98" s="110">
        <v>109.56838781871545</v>
      </c>
      <c r="O98" s="110">
        <v>195.55850901206401</v>
      </c>
      <c r="P98" s="110">
        <v>197.99012119334856</v>
      </c>
      <c r="Q98" s="110">
        <v>197.99012119334856</v>
      </c>
      <c r="R98" s="110">
        <v>197.99012119334856</v>
      </c>
      <c r="S98" s="110">
        <v>197.99012119334856</v>
      </c>
      <c r="T98" s="110">
        <v>197.99012119334856</v>
      </c>
      <c r="U98" s="110">
        <v>197.99012119334856</v>
      </c>
      <c r="V98" s="110">
        <v>197.99012119334856</v>
      </c>
      <c r="W98" s="110">
        <v>197.99012119334856</v>
      </c>
      <c r="X98" s="110">
        <v>197.99012119334856</v>
      </c>
      <c r="Y98" s="110">
        <v>197.99012119334856</v>
      </c>
      <c r="Z98" s="110">
        <v>197.99012119334856</v>
      </c>
      <c r="AA98" s="110">
        <v>183.89225551767385</v>
      </c>
      <c r="AB98" s="110">
        <v>106.51017368229458</v>
      </c>
      <c r="AC98" s="110">
        <v>149.50029487564314</v>
      </c>
      <c r="AD98" s="110">
        <v>197.99012119334856</v>
      </c>
      <c r="AE98" s="110">
        <v>197.99012119334856</v>
      </c>
      <c r="AF98" s="110">
        <v>72.540553586768453</v>
      </c>
      <c r="AG98" s="110">
        <v>166.53067478011701</v>
      </c>
      <c r="AH98" s="110">
        <v>197.99012119334856</v>
      </c>
      <c r="AI98" s="110">
        <v>197.99012119334856</v>
      </c>
      <c r="AJ98" s="110">
        <v>197.99012119334856</v>
      </c>
      <c r="AK98" s="110">
        <v>197.99012119334856</v>
      </c>
      <c r="AL98" s="110">
        <v>167.40898500905035</v>
      </c>
      <c r="AM98" s="110">
        <v>197.99012119334856</v>
      </c>
      <c r="AN98" s="110">
        <v>197.99012119334856</v>
      </c>
      <c r="AO98" s="110">
        <v>197.99012119334856</v>
      </c>
      <c r="AP98" s="110">
        <v>197.99012119334856</v>
      </c>
      <c r="AQ98" s="110">
        <v>197.99012119334856</v>
      </c>
      <c r="AR98" s="110">
        <v>64.829368754427094</v>
      </c>
      <c r="AS98" s="110">
        <v>133.81948994777565</v>
      </c>
      <c r="AT98" s="110">
        <v>26.900003150147597</v>
      </c>
      <c r="AU98" s="110">
        <v>35.517921314768046</v>
      </c>
      <c r="AV98" s="110">
        <v>44.508042508116603</v>
      </c>
      <c r="AW98" s="110">
        <v>134.49816370146516</v>
      </c>
      <c r="AX98" s="110">
        <v>87.106150121824101</v>
      </c>
      <c r="AY98" s="110">
        <v>101.49824707650296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35.970363580045671</v>
      </c>
      <c r="K99" s="125">
        <v>67.990121193348557</v>
      </c>
      <c r="L99" s="125">
        <v>0</v>
      </c>
      <c r="M99" s="125">
        <v>0</v>
      </c>
      <c r="N99" s="125">
        <v>0</v>
      </c>
      <c r="O99" s="125">
        <v>0</v>
      </c>
      <c r="P99" s="125">
        <v>46.558509012064007</v>
      </c>
      <c r="Q99" s="125">
        <v>59.990121193348557</v>
      </c>
      <c r="R99" s="125">
        <v>62.990121193348557</v>
      </c>
      <c r="S99" s="125">
        <v>31.990121193348557</v>
      </c>
      <c r="T99" s="125">
        <v>80.990121193348557</v>
      </c>
      <c r="U99" s="125">
        <v>97.990121193348557</v>
      </c>
      <c r="V99" s="125">
        <v>35.990121193348557</v>
      </c>
      <c r="W99" s="125">
        <v>62.990121193348557</v>
      </c>
      <c r="X99" s="125">
        <v>31.990121193348557</v>
      </c>
      <c r="Y99" s="125">
        <v>38.990121193348557</v>
      </c>
      <c r="Z99" s="125">
        <v>56.990121193348557</v>
      </c>
      <c r="AA99" s="125">
        <v>32.990121193348557</v>
      </c>
      <c r="AB99" s="125">
        <v>65.892255517673846</v>
      </c>
      <c r="AC99" s="125">
        <v>0</v>
      </c>
      <c r="AD99" s="125">
        <v>26.500294875643135</v>
      </c>
      <c r="AE99" s="125">
        <v>17.990121193348557</v>
      </c>
      <c r="AF99" s="125">
        <v>72.990121193348557</v>
      </c>
      <c r="AG99" s="125">
        <v>0</v>
      </c>
      <c r="AH99" s="125">
        <v>41.53067478011701</v>
      </c>
      <c r="AI99" s="125">
        <v>89.990121193348557</v>
      </c>
      <c r="AJ99" s="125">
        <v>53.990121193348557</v>
      </c>
      <c r="AK99" s="125">
        <v>16.990121193348557</v>
      </c>
      <c r="AL99" s="125">
        <v>86.990121193348557</v>
      </c>
      <c r="AM99" s="125">
        <v>1.4089850090503546</v>
      </c>
      <c r="AN99" s="125">
        <v>77.990121193348557</v>
      </c>
      <c r="AO99" s="125">
        <v>17.990121193348557</v>
      </c>
      <c r="AP99" s="125">
        <v>19.990121193348557</v>
      </c>
      <c r="AQ99" s="125">
        <v>73.990121193348557</v>
      </c>
      <c r="AR99" s="125">
        <v>40.990121193348557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13.49816370146516</v>
      </c>
      <c r="AY99" s="125">
        <v>0</v>
      </c>
      <c r="AZ99" s="107">
        <f>SUM($D99:$AY99)</f>
        <v>1463.132033923077</v>
      </c>
    </row>
    <row r="100" spans="1:52">
      <c r="A100" s="131" t="s">
        <v>133</v>
      </c>
      <c r="B100" s="119">
        <v>1</v>
      </c>
      <c r="C100" s="106">
        <v>65.045006119432742</v>
      </c>
      <c r="D100" s="106">
        <v>170.08570910369883</v>
      </c>
      <c r="E100" s="106">
        <v>74.37182251989293</v>
      </c>
      <c r="F100" s="106">
        <v>112.50288025674706</v>
      </c>
      <c r="G100" s="106">
        <v>29.329431853724078</v>
      </c>
      <c r="H100" s="106">
        <v>181.03016611109283</v>
      </c>
      <c r="I100" s="106">
        <v>97.856717708069837</v>
      </c>
      <c r="J100" s="106">
        <v>58.658863707448155</v>
      </c>
      <c r="K100" s="106">
        <v>181.03016611109283</v>
      </c>
      <c r="L100" s="106">
        <v>112.50288025674706</v>
      </c>
      <c r="M100" s="106">
        <v>112.50288025674706</v>
      </c>
      <c r="N100" s="106">
        <v>90.00230420539765</v>
      </c>
      <c r="O100" s="106">
        <v>43.994147780586118</v>
      </c>
      <c r="P100" s="106">
        <v>110.84676287278047</v>
      </c>
      <c r="Q100" s="106">
        <v>90.00230420539765</v>
      </c>
      <c r="R100" s="106">
        <v>29.329431853724078</v>
      </c>
      <c r="S100" s="106">
        <v>205.14533241104817</v>
      </c>
      <c r="T100" s="106">
        <v>29.329431853724078</v>
      </c>
      <c r="U100" s="106">
        <v>0</v>
      </c>
      <c r="V100" s="106">
        <v>181.03016611109319</v>
      </c>
      <c r="W100" s="106">
        <v>0</v>
      </c>
      <c r="X100" s="106">
        <v>181.0301661110928</v>
      </c>
      <c r="Y100" s="106">
        <v>112.50288025674706</v>
      </c>
      <c r="Z100" s="106">
        <v>181.0301661110928</v>
      </c>
      <c r="AA100" s="106">
        <v>181.03016611109283</v>
      </c>
      <c r="AB100" s="106">
        <v>181.0301661110928</v>
      </c>
      <c r="AC100" s="106">
        <v>181.03016611109283</v>
      </c>
      <c r="AD100" s="106">
        <v>181.0301661110928</v>
      </c>
      <c r="AE100" s="106">
        <v>0</v>
      </c>
      <c r="AF100" s="106">
        <v>181.0301661110928</v>
      </c>
      <c r="AG100" s="106">
        <v>0</v>
      </c>
      <c r="AH100" s="106">
        <v>112.50288025674705</v>
      </c>
      <c r="AI100" s="106">
        <v>112.50288025674706</v>
      </c>
      <c r="AJ100" s="106">
        <v>112.50288025674705</v>
      </c>
      <c r="AK100" s="106">
        <v>112.50288025674706</v>
      </c>
      <c r="AL100" s="106">
        <v>181.0301661110928</v>
      </c>
      <c r="AM100" s="106">
        <v>112.50288025674706</v>
      </c>
      <c r="AN100" s="106">
        <v>181.0301661110928</v>
      </c>
      <c r="AO100" s="106">
        <v>0</v>
      </c>
      <c r="AP100" s="106">
        <v>181.03016611109319</v>
      </c>
      <c r="AQ100" s="106">
        <v>0</v>
      </c>
      <c r="AR100" s="106">
        <v>181.0301661110928</v>
      </c>
      <c r="AS100" s="106">
        <v>0</v>
      </c>
      <c r="AT100" s="106">
        <v>181.0301661110928</v>
      </c>
      <c r="AU100" s="106">
        <v>181.03016611109283</v>
      </c>
      <c r="AV100" s="106">
        <v>181.0301661110928</v>
      </c>
      <c r="AW100" s="106">
        <v>112.50288025674706</v>
      </c>
      <c r="AX100" s="106">
        <v>181.0301661110928</v>
      </c>
      <c r="AY100" s="106">
        <v>112.50288025674706</v>
      </c>
    </row>
    <row r="101" spans="1:52">
      <c r="A101" s="109"/>
      <c r="B101" s="119">
        <v>2</v>
      </c>
      <c r="C101" s="106">
        <v>93.126412087964923</v>
      </c>
      <c r="D101" s="106">
        <v>106.68689108673618</v>
      </c>
      <c r="E101" s="106">
        <v>35.772600190435014</v>
      </c>
      <c r="F101" s="106">
        <v>83.173448403023372</v>
      </c>
      <c r="G101" s="106">
        <v>105.2036145141162</v>
      </c>
      <c r="H101" s="106">
        <v>151.70073425736877</v>
      </c>
      <c r="I101" s="106">
        <v>119.73090036846159</v>
      </c>
      <c r="J101" s="106">
        <v>101.76106647955442</v>
      </c>
      <c r="K101" s="106">
        <v>122.37130240364468</v>
      </c>
      <c r="L101" s="106">
        <v>73.401468514737502</v>
      </c>
      <c r="M101" s="106">
        <v>68.527285854345763</v>
      </c>
      <c r="N101" s="106">
        <v>22.030166111092825</v>
      </c>
      <c r="O101" s="106">
        <v>0</v>
      </c>
      <c r="P101" s="106">
        <v>177.82990920154953</v>
      </c>
      <c r="Q101" s="106">
        <v>110.84676287278047</v>
      </c>
      <c r="R101" s="106">
        <v>137.20626213407343</v>
      </c>
      <c r="S101" s="106">
        <v>0</v>
      </c>
      <c r="T101" s="106">
        <v>74.324633033485043</v>
      </c>
      <c r="U101" s="106">
        <v>177.52824754760087</v>
      </c>
      <c r="V101" s="106">
        <v>0</v>
      </c>
      <c r="W101" s="106">
        <v>6.5584136586940645</v>
      </c>
      <c r="X101" s="106">
        <v>0</v>
      </c>
      <c r="Y101" s="106">
        <v>0</v>
      </c>
      <c r="Z101" s="106">
        <v>112.50288025674706</v>
      </c>
      <c r="AA101" s="106">
        <v>75.563212478932684</v>
      </c>
      <c r="AB101" s="106">
        <v>181.03016611109283</v>
      </c>
      <c r="AC101" s="106">
        <v>114.15083055546407</v>
      </c>
      <c r="AD101" s="106">
        <v>118.18099666655689</v>
      </c>
      <c r="AE101" s="106">
        <v>58.21116277764969</v>
      </c>
      <c r="AF101" s="106">
        <v>181.03016611109283</v>
      </c>
      <c r="AG101" s="106">
        <v>175.06033222218562</v>
      </c>
      <c r="AH101" s="106">
        <v>112.50288025674706</v>
      </c>
      <c r="AI101" s="106">
        <v>113.53304636783986</v>
      </c>
      <c r="AJ101" s="106">
        <v>123.09049833327845</v>
      </c>
      <c r="AK101" s="106">
        <v>146.12066444437124</v>
      </c>
      <c r="AL101" s="106">
        <v>156.15083055546407</v>
      </c>
      <c r="AM101" s="106">
        <v>130.18099666655687</v>
      </c>
      <c r="AN101" s="106">
        <v>68.527285854345763</v>
      </c>
      <c r="AO101" s="106">
        <v>10.55745196543856</v>
      </c>
      <c r="AP101" s="106">
        <v>68.527285854345763</v>
      </c>
      <c r="AQ101" s="106">
        <v>26.557451965438958</v>
      </c>
      <c r="AR101" s="106">
        <v>181.03016611109283</v>
      </c>
      <c r="AS101" s="106">
        <v>134.06033222218562</v>
      </c>
      <c r="AT101" s="106">
        <v>181.03016611109283</v>
      </c>
      <c r="AU101" s="106">
        <v>181.0301661110928</v>
      </c>
      <c r="AV101" s="106">
        <v>181.03016611109283</v>
      </c>
      <c r="AW101" s="106">
        <v>181.0301661110928</v>
      </c>
      <c r="AX101" s="106">
        <v>181.03016611109283</v>
      </c>
      <c r="AY101" s="106">
        <v>181.0301661110928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13.525230104927559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49.829909201549526</v>
      </c>
      <c r="R102" s="106">
        <v>0</v>
      </c>
      <c r="S102" s="106">
        <v>0</v>
      </c>
      <c r="T102" s="106">
        <v>83.173448403022988</v>
      </c>
      <c r="U102" s="106">
        <v>0</v>
      </c>
      <c r="V102" s="106">
        <v>10.52824754760087</v>
      </c>
      <c r="W102" s="106">
        <v>68.527285854345763</v>
      </c>
      <c r="X102" s="106">
        <v>0</v>
      </c>
      <c r="Y102" s="106">
        <v>181.03016611109283</v>
      </c>
      <c r="Z102" s="106">
        <v>0</v>
      </c>
      <c r="AA102" s="106">
        <v>68.527285854345763</v>
      </c>
      <c r="AB102" s="106">
        <v>8.0904983332784468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68.527285854345763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30.030166111092825</v>
      </c>
      <c r="AV102" s="106">
        <v>47.060332222185622</v>
      </c>
      <c r="AW102" s="106">
        <v>93.090498333278447</v>
      </c>
      <c r="AX102" s="106">
        <v>115.12066444437124</v>
      </c>
      <c r="AY102" s="106">
        <v>79.150830555464069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28.030166111092825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103.65348220600957</v>
      </c>
      <c r="D109" s="106">
        <v>46.578817072301362</v>
      </c>
      <c r="E109" s="106">
        <v>83.499291553476425</v>
      </c>
      <c r="F109" s="106">
        <v>31.780388054655138</v>
      </c>
      <c r="G109" s="106">
        <v>81.519624455169748</v>
      </c>
      <c r="H109" s="106">
        <v>41.976957197926964</v>
      </c>
      <c r="I109" s="106">
        <v>141.02537935130908</v>
      </c>
      <c r="J109" s="106">
        <v>83.460206810341091</v>
      </c>
      <c r="K109" s="106">
        <v>63.491884040602102</v>
      </c>
      <c r="L109" s="106">
        <v>128.8075442415213</v>
      </c>
      <c r="M109" s="106">
        <v>73.378316835880611</v>
      </c>
      <c r="N109" s="106">
        <v>84.910492144094761</v>
      </c>
      <c r="O109" s="106">
        <v>37.49873061002463</v>
      </c>
      <c r="P109" s="106">
        <v>18.332997304751117</v>
      </c>
      <c r="Q109" s="106">
        <v>123.78777869579423</v>
      </c>
      <c r="R109" s="106">
        <v>62.180159435196664</v>
      </c>
      <c r="S109" s="106">
        <v>41.976957197926978</v>
      </c>
      <c r="T109" s="106">
        <v>87.784624858797869</v>
      </c>
      <c r="U109" s="106">
        <v>76.172179325657297</v>
      </c>
      <c r="V109" s="106">
        <v>64.406894440795398</v>
      </c>
      <c r="W109" s="106">
        <v>76.624729550583297</v>
      </c>
      <c r="X109" s="106">
        <v>29.759122088139211</v>
      </c>
      <c r="Y109" s="106">
        <v>76.624729550583169</v>
      </c>
      <c r="Z109" s="106">
        <v>123.49033701302709</v>
      </c>
      <c r="AA109" s="106">
        <v>115.06969920301576</v>
      </c>
      <c r="AB109" s="106">
        <v>129.00072010265086</v>
      </c>
      <c r="AC109" s="106">
        <v>114.0030558343623</v>
      </c>
      <c r="AD109" s="106">
        <v>82.273467665984256</v>
      </c>
      <c r="AE109" s="106">
        <v>76.624729550583169</v>
      </c>
      <c r="AF109" s="106">
        <v>6.2446400694761584E-3</v>
      </c>
      <c r="AG109" s="106">
        <v>153.24321446109684</v>
      </c>
      <c r="AH109" s="106">
        <v>52.368255264256319</v>
      </c>
      <c r="AI109" s="106">
        <v>93.737459564957362</v>
      </c>
      <c r="AJ109" s="106">
        <v>106.37760699865288</v>
      </c>
      <c r="AK109" s="106">
        <v>89.636379254966585</v>
      </c>
      <c r="AL109" s="106">
        <v>77.57235161643203</v>
      </c>
      <c r="AM109" s="106">
        <v>106.37760699865288</v>
      </c>
      <c r="AN109" s="106">
        <v>67.053927569058132</v>
      </c>
      <c r="AO109" s="106">
        <v>110.03055163639119</v>
      </c>
      <c r="AP109" s="106">
        <v>3.6633103465876573</v>
      </c>
      <c r="AQ109" s="106">
        <v>106.37760699865302</v>
      </c>
      <c r="AR109" s="106">
        <v>18.196535172680594</v>
      </c>
      <c r="AS109" s="106">
        <v>153.24321446109684</v>
      </c>
      <c r="AT109" s="106">
        <v>34.840547845639882</v>
      </c>
      <c r="AU109" s="106">
        <v>153.24321446109684</v>
      </c>
      <c r="AV109" s="106">
        <v>120.22288646546178</v>
      </c>
      <c r="AW109" s="106">
        <v>86.015585308555117</v>
      </c>
      <c r="AX109" s="106">
        <v>47.632833722152618</v>
      </c>
      <c r="AY109" s="106">
        <v>106.37760699865288</v>
      </c>
    </row>
    <row r="110" spans="1:52">
      <c r="A110" s="109"/>
      <c r="B110" s="119">
        <v>2</v>
      </c>
      <c r="C110" s="106">
        <v>0</v>
      </c>
      <c r="D110" s="106">
        <v>27.653482206009571</v>
      </c>
      <c r="E110" s="106">
        <v>0</v>
      </c>
      <c r="F110" s="106">
        <v>20.954190959872939</v>
      </c>
      <c r="G110" s="106">
        <v>0</v>
      </c>
      <c r="H110" s="106">
        <v>0</v>
      </c>
      <c r="I110" s="106">
        <v>0</v>
      </c>
      <c r="J110" s="106">
        <v>61.025379351309084</v>
      </c>
      <c r="K110" s="106">
        <v>83.460206810341091</v>
      </c>
      <c r="L110" s="106">
        <v>63.491884040602102</v>
      </c>
      <c r="M110" s="106">
        <v>128.35234838300181</v>
      </c>
      <c r="N110" s="106">
        <v>73.378316835880611</v>
      </c>
      <c r="O110" s="106">
        <v>84.910492144094761</v>
      </c>
      <c r="P110" s="106">
        <v>37.49873061002463</v>
      </c>
      <c r="Q110" s="106">
        <v>18.332997304751117</v>
      </c>
      <c r="R110" s="106">
        <v>61.371581700990177</v>
      </c>
      <c r="S110" s="106">
        <v>60.101934138704799</v>
      </c>
      <c r="T110" s="106">
        <v>28.078891336631777</v>
      </c>
      <c r="U110" s="106">
        <v>5.8635161954296535</v>
      </c>
      <c r="V110" s="106">
        <v>0</v>
      </c>
      <c r="W110" s="106">
        <v>0</v>
      </c>
      <c r="X110" s="106">
        <v>0</v>
      </c>
      <c r="Y110" s="106">
        <v>0</v>
      </c>
      <c r="Z110" s="106">
        <v>1.6247295505831687</v>
      </c>
      <c r="AA110" s="106">
        <v>58.115066563610256</v>
      </c>
      <c r="AB110" s="106">
        <v>114.18476576662601</v>
      </c>
      <c r="AC110" s="106">
        <v>129.00072010265086</v>
      </c>
      <c r="AD110" s="106">
        <v>114.0030558343623</v>
      </c>
      <c r="AE110" s="106">
        <v>82.273467665984256</v>
      </c>
      <c r="AF110" s="106">
        <v>76.624729550583169</v>
      </c>
      <c r="AG110" s="106">
        <v>6.2446400694761584E-3</v>
      </c>
      <c r="AH110" s="106">
        <v>140.70670524363385</v>
      </c>
      <c r="AI110" s="106">
        <v>52.368255264256319</v>
      </c>
      <c r="AJ110" s="106">
        <v>93.737459564957362</v>
      </c>
      <c r="AK110" s="106">
        <v>106.37760699865288</v>
      </c>
      <c r="AL110" s="106">
        <v>89.636379254966585</v>
      </c>
      <c r="AM110" s="106">
        <v>77.57235161643203</v>
      </c>
      <c r="AN110" s="106">
        <v>106.37760699865288</v>
      </c>
      <c r="AO110" s="106">
        <v>67.053927569058132</v>
      </c>
      <c r="AP110" s="106">
        <v>110.03055163639119</v>
      </c>
      <c r="AQ110" s="106">
        <v>3.6633103465876573</v>
      </c>
      <c r="AR110" s="106">
        <v>106.37760699865302</v>
      </c>
      <c r="AS110" s="106">
        <v>18.196535172680594</v>
      </c>
      <c r="AT110" s="106">
        <v>153.24321446109684</v>
      </c>
      <c r="AU110" s="106">
        <v>34.840547845639882</v>
      </c>
      <c r="AV110" s="106">
        <v>153.24321446109684</v>
      </c>
      <c r="AW110" s="106">
        <v>120.22288646546178</v>
      </c>
      <c r="AX110" s="106">
        <v>86.015585308555117</v>
      </c>
      <c r="AY110" s="106">
        <v>47.632833722152618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4.6169635024305933</v>
      </c>
      <c r="L111" s="106">
        <v>7.0771703127716847</v>
      </c>
      <c r="M111" s="106">
        <v>0</v>
      </c>
      <c r="N111" s="106">
        <v>30.352348383001811</v>
      </c>
      <c r="O111" s="106">
        <v>44.110366699906649</v>
      </c>
      <c r="P111" s="106">
        <v>24.752075090420206</v>
      </c>
      <c r="Q111" s="106">
        <v>2.2508057004448361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16.184765766626015</v>
      </c>
      <c r="AD111" s="106">
        <v>75.185485869276874</v>
      </c>
      <c r="AE111" s="106">
        <v>108.18854170363917</v>
      </c>
      <c r="AF111" s="106">
        <v>82.273467665984256</v>
      </c>
      <c r="AG111" s="106">
        <v>76.624729550583169</v>
      </c>
      <c r="AH111" s="106">
        <v>0</v>
      </c>
      <c r="AI111" s="106">
        <v>48.706705243633849</v>
      </c>
      <c r="AJ111" s="106">
        <v>35.074960507890168</v>
      </c>
      <c r="AK111" s="106">
        <v>22.81242007284753</v>
      </c>
      <c r="AL111" s="106">
        <v>67.19002707150041</v>
      </c>
      <c r="AM111" s="106">
        <v>82.826406326466994</v>
      </c>
      <c r="AN111" s="106">
        <v>77.57235161643203</v>
      </c>
      <c r="AO111" s="106">
        <v>106.37760699865288</v>
      </c>
      <c r="AP111" s="106">
        <v>67.053927569058132</v>
      </c>
      <c r="AQ111" s="106">
        <v>110.03055163639119</v>
      </c>
      <c r="AR111" s="106">
        <v>3.6633103465876573</v>
      </c>
      <c r="AS111" s="106">
        <v>94.255244811907716</v>
      </c>
      <c r="AT111" s="106">
        <v>18.196535172680594</v>
      </c>
      <c r="AU111" s="106">
        <v>88.540597743228233</v>
      </c>
      <c r="AV111" s="106">
        <v>30.381145588868115</v>
      </c>
      <c r="AW111" s="106">
        <v>116.62436004996496</v>
      </c>
      <c r="AX111" s="106">
        <v>120.22288646546178</v>
      </c>
      <c r="AY111" s="106">
        <v>86.015585308555117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27.836153295610231</v>
      </c>
      <c r="AG112" s="106">
        <v>7.1096209615944872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5.7241372319984833</v>
      </c>
      <c r="AO112" s="106">
        <v>20.296488848430513</v>
      </c>
      <c r="AP112" s="106">
        <v>64.702806450225296</v>
      </c>
      <c r="AQ112" s="106">
        <v>44.756734019283428</v>
      </c>
      <c r="AR112" s="106">
        <v>66.214327466667044</v>
      </c>
      <c r="AS112" s="106">
        <v>0</v>
      </c>
      <c r="AT112" s="106">
        <v>26.100848109450794</v>
      </c>
      <c r="AU112" s="106">
        <v>0</v>
      </c>
      <c r="AV112" s="106">
        <v>0</v>
      </c>
      <c r="AW112" s="106">
        <v>0</v>
      </c>
      <c r="AX112" s="106">
        <v>39.624360049964963</v>
      </c>
      <c r="AY112" s="106">
        <v>73.847246515426747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104.90268356415672</v>
      </c>
      <c r="D122" s="106">
        <v>132.28993774510764</v>
      </c>
      <c r="E122" s="106">
        <v>79.778663632850908</v>
      </c>
      <c r="F122" s="106">
        <v>117.66293464712481</v>
      </c>
      <c r="G122" s="106">
        <v>30.686244136095624</v>
      </c>
      <c r="H122" s="106">
        <v>192.35191572428644</v>
      </c>
      <c r="I122" s="106">
        <v>105.37522521325725</v>
      </c>
      <c r="J122" s="106">
        <v>61.35681228237155</v>
      </c>
      <c r="K122" s="106">
        <v>192.35191572428644</v>
      </c>
      <c r="L122" s="106">
        <v>117.66293464712481</v>
      </c>
      <c r="M122" s="106">
        <v>117.66293464712481</v>
      </c>
      <c r="N122" s="106">
        <v>94.133482915663805</v>
      </c>
      <c r="O122" s="106">
        <v>46.021528209233594</v>
      </c>
      <c r="P122" s="106">
        <v>118.95926146170819</v>
      </c>
      <c r="Q122" s="106">
        <v>94.133482915663805</v>
      </c>
      <c r="R122" s="106">
        <v>30.686244136095624</v>
      </c>
      <c r="S122" s="106">
        <v>220.36672575243148</v>
      </c>
      <c r="T122" s="106">
        <v>30.686244136095624</v>
      </c>
      <c r="U122" s="106">
        <v>1.5675989819702259E-2</v>
      </c>
      <c r="V122" s="106">
        <v>192.35191572428681</v>
      </c>
      <c r="W122" s="106">
        <v>1.5675989819702259E-2</v>
      </c>
      <c r="X122" s="106">
        <v>192.35191572428647</v>
      </c>
      <c r="Y122" s="106">
        <v>117.66293464712481</v>
      </c>
      <c r="Z122" s="106">
        <v>192.35191572428647</v>
      </c>
      <c r="AA122" s="106">
        <v>192.35191572428644</v>
      </c>
      <c r="AB122" s="106">
        <v>192.35191572428647</v>
      </c>
      <c r="AC122" s="106">
        <v>192.35191572428644</v>
      </c>
      <c r="AD122" s="106">
        <v>192.35191572428647</v>
      </c>
      <c r="AE122" s="106">
        <v>1.5675989819702259E-2</v>
      </c>
      <c r="AF122" s="106">
        <v>192.35191572428647</v>
      </c>
      <c r="AG122" s="106">
        <v>1.5675989819702259E-2</v>
      </c>
      <c r="AH122" s="106">
        <v>117.66293464712483</v>
      </c>
      <c r="AI122" s="106">
        <v>117.66293464712481</v>
      </c>
      <c r="AJ122" s="106">
        <v>117.66293464712483</v>
      </c>
      <c r="AK122" s="106">
        <v>117.66293464712481</v>
      </c>
      <c r="AL122" s="106">
        <v>192.35191572428647</v>
      </c>
      <c r="AM122" s="106">
        <v>117.66293464712481</v>
      </c>
      <c r="AN122" s="106">
        <v>192.35191572428647</v>
      </c>
      <c r="AO122" s="106">
        <v>1.5675989819702259E-2</v>
      </c>
      <c r="AP122" s="106">
        <v>192.35191572428681</v>
      </c>
      <c r="AQ122" s="106">
        <v>1.5675989819702259E-2</v>
      </c>
      <c r="AR122" s="106">
        <v>192.35191572428647</v>
      </c>
      <c r="AS122" s="106">
        <v>1.5675989819702259E-2</v>
      </c>
      <c r="AT122" s="106">
        <v>192.35191572428647</v>
      </c>
      <c r="AU122" s="106">
        <v>192.35191572428644</v>
      </c>
      <c r="AV122" s="106">
        <v>192.35191572428647</v>
      </c>
      <c r="AW122" s="106">
        <v>117.66293464712481</v>
      </c>
      <c r="AX122" s="106">
        <v>192.35191572428647</v>
      </c>
      <c r="AY122" s="106">
        <v>117.66293464712481</v>
      </c>
    </row>
    <row r="123" spans="1:52">
      <c r="A123" s="109"/>
      <c r="B123" s="119">
        <v>2</v>
      </c>
      <c r="C123" s="106">
        <v>11.727483795809093</v>
      </c>
      <c r="D123" s="106">
        <v>77.319267874720694</v>
      </c>
      <c r="E123" s="106">
        <v>0</v>
      </c>
      <c r="F123" s="106">
        <v>86.976690511029574</v>
      </c>
      <c r="G123" s="106">
        <v>74.688981077161614</v>
      </c>
      <c r="H123" s="106">
        <v>161.66567158819083</v>
      </c>
      <c r="I123" s="106">
        <v>104.13586553867181</v>
      </c>
      <c r="J123" s="106">
        <v>98.027574452617159</v>
      </c>
      <c r="K123" s="106">
        <v>130.99510344191492</v>
      </c>
      <c r="L123" s="106">
        <v>66.539474924680036</v>
      </c>
      <c r="M123" s="106">
        <v>95.488823601192564</v>
      </c>
      <c r="N123" s="106">
        <v>0</v>
      </c>
      <c r="O123" s="106">
        <v>0</v>
      </c>
      <c r="P123" s="106">
        <v>191.7865841033522</v>
      </c>
      <c r="Q123" s="106">
        <v>61.958066869266162</v>
      </c>
      <c r="R123" s="106">
        <v>74.688981077161657</v>
      </c>
      <c r="S123" s="106">
        <v>0</v>
      </c>
      <c r="T123" s="106">
        <v>73.552939185248903</v>
      </c>
      <c r="U123" s="106">
        <v>161.66567158819083</v>
      </c>
      <c r="V123" s="106">
        <v>1.0455178389712216E-14</v>
      </c>
      <c r="W123" s="106">
        <v>0</v>
      </c>
      <c r="X123" s="106">
        <v>3.3497510321112145E-15</v>
      </c>
      <c r="Y123" s="106">
        <v>0</v>
      </c>
      <c r="Z123" s="106">
        <v>70.791082544611399</v>
      </c>
      <c r="AA123" s="106">
        <v>56.791053889835176</v>
      </c>
      <c r="AB123" s="106">
        <v>93.831230588632408</v>
      </c>
      <c r="AC123" s="106">
        <v>14.180090478556593</v>
      </c>
      <c r="AD123" s="106">
        <v>0</v>
      </c>
      <c r="AE123" s="106">
        <v>0</v>
      </c>
      <c r="AF123" s="106">
        <v>192.33623973446674</v>
      </c>
      <c r="AG123" s="106">
        <v>115.7271861737033</v>
      </c>
      <c r="AH123" s="106">
        <v>117.64725865730513</v>
      </c>
      <c r="AI123" s="106">
        <v>74.688981077161628</v>
      </c>
      <c r="AJ123" s="106">
        <v>107.35227087995679</v>
      </c>
      <c r="AK123" s="106">
        <v>77.067807349276663</v>
      </c>
      <c r="AL123" s="106">
        <v>74.688981077161614</v>
      </c>
      <c r="AM123" s="106">
        <v>50.663289802795191</v>
      </c>
      <c r="AN123" s="106">
        <v>83.859008863554976</v>
      </c>
      <c r="AO123" s="106">
        <v>9.1803729514502379</v>
      </c>
      <c r="AP123" s="106">
        <v>74.688981077161628</v>
      </c>
      <c r="AQ123" s="106">
        <v>45.663289802795404</v>
      </c>
      <c r="AR123" s="106">
        <v>192.33623973446674</v>
      </c>
      <c r="AS123" s="106">
        <v>87.444940997656374</v>
      </c>
      <c r="AT123" s="106">
        <v>192.33623973446674</v>
      </c>
      <c r="AU123" s="106">
        <v>109.44494099765637</v>
      </c>
      <c r="AV123" s="106">
        <v>23.573970256481033</v>
      </c>
      <c r="AW123" s="106">
        <v>1.9103006722123865</v>
      </c>
      <c r="AX123" s="106">
        <v>74.688981077161614</v>
      </c>
      <c r="AY123" s="106">
        <v>9.663289802795191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86.97669051102919</v>
      </c>
      <c r="U124" s="106">
        <v>0</v>
      </c>
      <c r="V124" s="106">
        <v>0</v>
      </c>
      <c r="W124" s="106">
        <v>74.688981077161628</v>
      </c>
      <c r="X124" s="106">
        <v>0</v>
      </c>
      <c r="Y124" s="106">
        <v>192.33623973446674</v>
      </c>
      <c r="Z124" s="106">
        <v>0</v>
      </c>
      <c r="AA124" s="106">
        <v>74.688981077161628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15.717754823953072</v>
      </c>
      <c r="AH124" s="106">
        <v>0</v>
      </c>
      <c r="AI124" s="106">
        <v>74.688981077161628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25.717754823953072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0.39937194746999816</v>
      </c>
      <c r="D172" s="134">
        <v>0.39835698678673714</v>
      </c>
      <c r="E172" s="134">
        <v>0.39835698678673714</v>
      </c>
      <c r="F172" s="134">
        <v>0.39835698678673714</v>
      </c>
      <c r="G172" s="134">
        <v>0.39835698678673714</v>
      </c>
      <c r="H172" s="134">
        <v>0.39835698678673714</v>
      </c>
      <c r="I172" s="134">
        <v>0.39835698678673714</v>
      </c>
      <c r="J172" s="134">
        <v>0.39835698678673714</v>
      </c>
      <c r="K172" s="134">
        <v>0.39835698678673714</v>
      </c>
      <c r="L172" s="134">
        <v>0.39835698678673714</v>
      </c>
      <c r="M172" s="134">
        <v>0.39835698678673714</v>
      </c>
      <c r="N172" s="134">
        <v>0.39835698678673714</v>
      </c>
      <c r="O172" s="134">
        <v>0.39835698678673714</v>
      </c>
      <c r="P172" s="134">
        <v>0.39835698678673714</v>
      </c>
      <c r="Q172" s="134">
        <v>0.39835698678673714</v>
      </c>
      <c r="R172" s="134">
        <v>0.39835698678673714</v>
      </c>
      <c r="S172" s="134">
        <v>0.39835698678673714</v>
      </c>
      <c r="T172" s="134">
        <v>0.39835698678673714</v>
      </c>
      <c r="U172" s="134">
        <v>0.39835698678673714</v>
      </c>
      <c r="V172" s="134">
        <v>0.39835698678673714</v>
      </c>
      <c r="W172" s="134">
        <v>0.39835698678673714</v>
      </c>
      <c r="X172" s="134">
        <v>0.39835698678673714</v>
      </c>
      <c r="Y172" s="134">
        <v>0.39835698678673714</v>
      </c>
      <c r="Z172" s="134">
        <v>0.39835698678673714</v>
      </c>
      <c r="AA172" s="134">
        <v>0.39835698678673714</v>
      </c>
      <c r="AB172" s="134">
        <v>0.39835698678673714</v>
      </c>
      <c r="AC172" s="134">
        <v>0.39835698678673714</v>
      </c>
      <c r="AD172" s="134">
        <v>0.39835698678673714</v>
      </c>
      <c r="AE172" s="134">
        <v>0.39835698678673714</v>
      </c>
      <c r="AF172" s="134">
        <v>0.39835698678673714</v>
      </c>
      <c r="AG172" s="134">
        <v>0.39835698678673714</v>
      </c>
      <c r="AH172" s="134">
        <v>0.39835698678673714</v>
      </c>
      <c r="AI172" s="134">
        <v>0.39835698678673714</v>
      </c>
      <c r="AJ172" s="134">
        <v>0.39835698678673714</v>
      </c>
      <c r="AK172" s="134">
        <v>0.39835698678673714</v>
      </c>
      <c r="AL172" s="134">
        <v>0.39835698678673714</v>
      </c>
      <c r="AM172" s="134">
        <v>0.39835698678673714</v>
      </c>
      <c r="AN172" s="134">
        <v>0.39835698678673714</v>
      </c>
      <c r="AO172" s="134">
        <v>0.39835698678673714</v>
      </c>
      <c r="AP172" s="134">
        <v>0.39835698678673714</v>
      </c>
      <c r="AQ172" s="134">
        <v>0.39835698678673714</v>
      </c>
      <c r="AR172" s="134">
        <v>0.39835698678673714</v>
      </c>
      <c r="AS172" s="134">
        <v>0.39835698678673714</v>
      </c>
      <c r="AT172" s="134">
        <v>0.39835698678673714</v>
      </c>
      <c r="AU172" s="134">
        <v>0.39835698678673714</v>
      </c>
      <c r="AV172" s="134">
        <v>0.39835698678673714</v>
      </c>
      <c r="AW172" s="134">
        <v>0.39835698678673714</v>
      </c>
      <c r="AX172" s="134">
        <v>0.39835698678673714</v>
      </c>
      <c r="AY172" s="134">
        <v>0.39835698678673714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418.99012119334856</v>
      </c>
      <c r="E175" s="124">
        <f t="shared" si="1"/>
        <v>495.98024238669711</v>
      </c>
      <c r="F175" s="124">
        <f t="shared" si="1"/>
        <v>552.97036358004561</v>
      </c>
      <c r="G175" s="124">
        <f t="shared" si="1"/>
        <v>591.96048477339423</v>
      </c>
      <c r="H175" s="124">
        <f t="shared" si="1"/>
        <v>616.35258172807301</v>
      </c>
      <c r="I175" s="124">
        <f t="shared" si="1"/>
        <v>661.74467868275201</v>
      </c>
      <c r="J175" s="124">
        <f t="shared" si="1"/>
        <v>673.16641205738506</v>
      </c>
      <c r="K175" s="124">
        <f t="shared" si="1"/>
        <v>633.56838781871545</v>
      </c>
      <c r="L175" s="124">
        <f t="shared" si="1"/>
        <v>671.55850901206395</v>
      </c>
      <c r="M175" s="124">
        <f t="shared" si="1"/>
        <v>690.54863020541256</v>
      </c>
      <c r="N175" s="124">
        <f t="shared" si="1"/>
        <v>703.53875139876106</v>
      </c>
      <c r="O175" s="124">
        <f t="shared" si="1"/>
        <v>789.52887259210956</v>
      </c>
      <c r="P175" s="124">
        <f t="shared" si="1"/>
        <v>791.96048477339423</v>
      </c>
      <c r="Q175" s="124">
        <f t="shared" si="1"/>
        <v>791.96048477339423</v>
      </c>
      <c r="R175" s="124">
        <f t="shared" si="1"/>
        <v>791.96048477339423</v>
      </c>
      <c r="S175" s="124">
        <f t="shared" si="1"/>
        <v>791.96048477339423</v>
      </c>
      <c r="T175" s="124">
        <f t="shared" si="1"/>
        <v>791.96048477339423</v>
      </c>
      <c r="U175" s="124">
        <f t="shared" si="1"/>
        <v>791.96048477339423</v>
      </c>
      <c r="V175" s="124">
        <f t="shared" si="1"/>
        <v>791.96048477339423</v>
      </c>
      <c r="W175" s="124">
        <f t="shared" si="1"/>
        <v>791.96048477339423</v>
      </c>
      <c r="X175" s="124">
        <f t="shared" si="1"/>
        <v>791.96048477339423</v>
      </c>
      <c r="Y175" s="124">
        <f t="shared" si="1"/>
        <v>791.96048477339423</v>
      </c>
      <c r="Z175" s="124">
        <f t="shared" si="1"/>
        <v>791.96048477339423</v>
      </c>
      <c r="AA175" s="124">
        <f t="shared" si="1"/>
        <v>777.86261909771952</v>
      </c>
      <c r="AB175" s="124">
        <f t="shared" si="1"/>
        <v>700.48053726234025</v>
      </c>
      <c r="AC175" s="124">
        <f t="shared" si="1"/>
        <v>743.47065845568875</v>
      </c>
      <c r="AD175" s="124">
        <f t="shared" si="1"/>
        <v>791.96048477339423</v>
      </c>
      <c r="AE175" s="124">
        <f t="shared" si="1"/>
        <v>791.96048477339423</v>
      </c>
      <c r="AF175" s="124">
        <f t="shared" si="1"/>
        <v>666.51091716681412</v>
      </c>
      <c r="AG175" s="124">
        <f t="shared" si="1"/>
        <v>760.50103836016262</v>
      </c>
      <c r="AH175" s="124">
        <f t="shared" si="1"/>
        <v>791.96048477339423</v>
      </c>
      <c r="AI175" s="124">
        <f t="shared" si="1"/>
        <v>791.96048477339423</v>
      </c>
      <c r="AJ175" s="124">
        <f t="shared" si="1"/>
        <v>791.96048477339423</v>
      </c>
      <c r="AK175" s="124">
        <f t="shared" si="1"/>
        <v>791.96048477339423</v>
      </c>
      <c r="AL175" s="124">
        <f t="shared" si="1"/>
        <v>761.37934858909603</v>
      </c>
      <c r="AM175" s="124">
        <f t="shared" si="1"/>
        <v>791.96048477339423</v>
      </c>
      <c r="AN175" s="124">
        <f t="shared" si="1"/>
        <v>791.96048477339423</v>
      </c>
      <c r="AO175" s="124">
        <f t="shared" si="1"/>
        <v>791.96048477339423</v>
      </c>
      <c r="AP175" s="124">
        <f t="shared" si="1"/>
        <v>791.96048477339423</v>
      </c>
      <c r="AQ175" s="124">
        <f t="shared" si="1"/>
        <v>791.96048477339423</v>
      </c>
      <c r="AR175" s="124">
        <f t="shared" si="1"/>
        <v>658.79973233447276</v>
      </c>
      <c r="AS175" s="124">
        <f t="shared" si="1"/>
        <v>727.78985352782126</v>
      </c>
      <c r="AT175" s="124">
        <f t="shared" si="1"/>
        <v>620.87036673019315</v>
      </c>
      <c r="AU175" s="124">
        <f t="shared" si="1"/>
        <v>629.48828489481366</v>
      </c>
      <c r="AV175" s="124">
        <f t="shared" si="1"/>
        <v>598.88038184949255</v>
      </c>
      <c r="AW175" s="124">
        <f t="shared" si="1"/>
        <v>649.27247880417144</v>
      </c>
      <c r="AX175" s="124">
        <f t="shared" si="1"/>
        <v>562.2824409858606</v>
      </c>
      <c r="AY175" s="124">
        <f t="shared" si="1"/>
        <v>576.67453794053949</v>
      </c>
    </row>
    <row r="176" spans="1:52">
      <c r="A176" s="125"/>
      <c r="B176" s="136" t="s">
        <v>299</v>
      </c>
      <c r="C176" s="125" t="s">
        <v>293</v>
      </c>
      <c r="D176" s="125">
        <v>121</v>
      </c>
      <c r="E176" s="125">
        <v>141</v>
      </c>
      <c r="F176" s="125">
        <v>159</v>
      </c>
      <c r="G176" s="125">
        <v>134</v>
      </c>
      <c r="H176" s="125">
        <v>113</v>
      </c>
      <c r="I176" s="125">
        <v>111</v>
      </c>
      <c r="J176" s="125">
        <v>130</v>
      </c>
      <c r="K176" s="125">
        <v>160</v>
      </c>
      <c r="L176" s="125">
        <v>179</v>
      </c>
      <c r="M176" s="125">
        <v>185</v>
      </c>
      <c r="N176" s="125">
        <v>112</v>
      </c>
      <c r="O176" s="125">
        <v>149</v>
      </c>
      <c r="P176" s="125">
        <v>138</v>
      </c>
      <c r="Q176" s="125">
        <v>135</v>
      </c>
      <c r="R176" s="125">
        <v>166</v>
      </c>
      <c r="S176" s="125">
        <v>117</v>
      </c>
      <c r="T176" s="125">
        <v>100</v>
      </c>
      <c r="U176" s="125">
        <v>162</v>
      </c>
      <c r="V176" s="125">
        <v>135</v>
      </c>
      <c r="W176" s="125">
        <v>166</v>
      </c>
      <c r="X176" s="125">
        <v>159</v>
      </c>
      <c r="Y176" s="125">
        <v>141</v>
      </c>
      <c r="Z176" s="125">
        <v>165</v>
      </c>
      <c r="AA176" s="125">
        <v>118</v>
      </c>
      <c r="AB176" s="125">
        <v>155</v>
      </c>
      <c r="AC176" s="125">
        <v>123</v>
      </c>
      <c r="AD176" s="125">
        <v>180</v>
      </c>
      <c r="AE176" s="125">
        <v>125</v>
      </c>
      <c r="AF176" s="125">
        <v>104</v>
      </c>
      <c r="AG176" s="125">
        <v>125</v>
      </c>
      <c r="AH176" s="125">
        <v>108</v>
      </c>
      <c r="AI176" s="125">
        <v>144</v>
      </c>
      <c r="AJ176" s="125">
        <v>181</v>
      </c>
      <c r="AK176" s="125">
        <v>111</v>
      </c>
      <c r="AL176" s="125">
        <v>166</v>
      </c>
      <c r="AM176" s="125">
        <v>120</v>
      </c>
      <c r="AN176" s="125">
        <v>180</v>
      </c>
      <c r="AO176" s="125">
        <v>178</v>
      </c>
      <c r="AP176" s="125">
        <v>124</v>
      </c>
      <c r="AQ176" s="125">
        <v>157</v>
      </c>
      <c r="AR176" s="125">
        <v>129</v>
      </c>
      <c r="AS176" s="125">
        <v>185</v>
      </c>
      <c r="AT176" s="125">
        <v>168</v>
      </c>
      <c r="AU176" s="125">
        <v>189</v>
      </c>
      <c r="AV176" s="125">
        <v>108</v>
      </c>
      <c r="AW176" s="125">
        <v>121</v>
      </c>
      <c r="AX176" s="125">
        <v>144</v>
      </c>
      <c r="AY176" s="125">
        <v>124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276.77260019043501</v>
      </c>
      <c r="E177" s="124">
        <f t="shared" si="2"/>
        <v>123.6696528152555</v>
      </c>
      <c r="F177" s="124">
        <f t="shared" si="2"/>
        <v>195.67632865977043</v>
      </c>
      <c r="G177" s="124">
        <f t="shared" si="2"/>
        <v>134.53304636784029</v>
      </c>
      <c r="H177" s="124">
        <f t="shared" si="2"/>
        <v>332.73090036846156</v>
      </c>
      <c r="I177" s="124">
        <f t="shared" si="2"/>
        <v>217.58761807653144</v>
      </c>
      <c r="J177" s="124">
        <f t="shared" si="2"/>
        <v>160.41993018700256</v>
      </c>
      <c r="K177" s="124">
        <f t="shared" si="2"/>
        <v>303.40146851473753</v>
      </c>
      <c r="L177" s="124">
        <f t="shared" si="2"/>
        <v>185.90434877148456</v>
      </c>
      <c r="M177" s="124">
        <f t="shared" si="2"/>
        <v>181.03016611109283</v>
      </c>
      <c r="N177" s="124">
        <f t="shared" si="2"/>
        <v>112.03247031649047</v>
      </c>
      <c r="O177" s="124">
        <f t="shared" si="2"/>
        <v>43.994147780586118</v>
      </c>
      <c r="P177" s="124">
        <f t="shared" si="2"/>
        <v>288.67667207432999</v>
      </c>
      <c r="Q177" s="124">
        <f t="shared" si="2"/>
        <v>250.67897627972764</v>
      </c>
      <c r="R177" s="124">
        <f t="shared" si="2"/>
        <v>166.53569398779752</v>
      </c>
      <c r="S177" s="124">
        <f t="shared" si="2"/>
        <v>205.14533241104817</v>
      </c>
      <c r="T177" s="124">
        <f t="shared" si="2"/>
        <v>186.8275132902321</v>
      </c>
      <c r="U177" s="124">
        <f t="shared" si="2"/>
        <v>177.52824754760087</v>
      </c>
      <c r="V177" s="124">
        <f t="shared" si="2"/>
        <v>191.55841365869406</v>
      </c>
      <c r="W177" s="124">
        <f t="shared" si="2"/>
        <v>75.085699513039827</v>
      </c>
      <c r="X177" s="124">
        <f t="shared" si="2"/>
        <v>181.0301661110928</v>
      </c>
      <c r="Y177" s="124">
        <f t="shared" si="2"/>
        <v>293.53304636783992</v>
      </c>
      <c r="Z177" s="124">
        <f t="shared" si="2"/>
        <v>321.56321247893266</v>
      </c>
      <c r="AA177" s="124">
        <f t="shared" si="2"/>
        <v>325.1206644443713</v>
      </c>
      <c r="AB177" s="124">
        <f t="shared" si="2"/>
        <v>370.15083055546404</v>
      </c>
      <c r="AC177" s="124">
        <f t="shared" si="2"/>
        <v>295.18099666655689</v>
      </c>
      <c r="AD177" s="124">
        <f t="shared" si="2"/>
        <v>299.21116277764969</v>
      </c>
      <c r="AE177" s="124">
        <f t="shared" si="2"/>
        <v>58.21116277764969</v>
      </c>
      <c r="AF177" s="124">
        <f t="shared" si="2"/>
        <v>362.06033222218559</v>
      </c>
      <c r="AG177" s="124">
        <f t="shared" si="2"/>
        <v>175.06033222218562</v>
      </c>
      <c r="AH177" s="124">
        <f t="shared" si="2"/>
        <v>225.00576051349412</v>
      </c>
      <c r="AI177" s="124">
        <f t="shared" si="2"/>
        <v>294.56321247893266</v>
      </c>
      <c r="AJ177" s="124">
        <f t="shared" si="2"/>
        <v>235.59337859002551</v>
      </c>
      <c r="AK177" s="124">
        <f t="shared" si="2"/>
        <v>258.62354470111831</v>
      </c>
      <c r="AL177" s="124">
        <f t="shared" si="2"/>
        <v>337.18099666655689</v>
      </c>
      <c r="AM177" s="124">
        <f t="shared" si="2"/>
        <v>242.68387692330393</v>
      </c>
      <c r="AN177" s="124">
        <f t="shared" si="2"/>
        <v>249.55745196543856</v>
      </c>
      <c r="AO177" s="124">
        <f t="shared" si="2"/>
        <v>10.55745196543856</v>
      </c>
      <c r="AP177" s="124">
        <f t="shared" si="2"/>
        <v>249.55745196543896</v>
      </c>
      <c r="AQ177" s="124">
        <f t="shared" si="2"/>
        <v>26.557451965438958</v>
      </c>
      <c r="AR177" s="124">
        <f t="shared" si="2"/>
        <v>362.06033222218559</v>
      </c>
      <c r="AS177" s="124">
        <f t="shared" si="2"/>
        <v>134.06033222218562</v>
      </c>
      <c r="AT177" s="124">
        <f t="shared" si="2"/>
        <v>362.06033222218559</v>
      </c>
      <c r="AU177" s="124">
        <f t="shared" si="2"/>
        <v>392.09049833327845</v>
      </c>
      <c r="AV177" s="124">
        <f t="shared" si="2"/>
        <v>409.12066444437119</v>
      </c>
      <c r="AW177" s="124">
        <f t="shared" si="2"/>
        <v>386.62354470111831</v>
      </c>
      <c r="AX177" s="124">
        <f t="shared" si="2"/>
        <v>477.18099666655684</v>
      </c>
      <c r="AY177" s="124">
        <f t="shared" si="2"/>
        <v>372.68387692330396</v>
      </c>
    </row>
    <row r="178" spans="1:51">
      <c r="A178" s="125"/>
      <c r="B178" s="136" t="s">
        <v>299</v>
      </c>
      <c r="C178" s="125" t="s">
        <v>293</v>
      </c>
      <c r="D178" s="125">
        <v>241</v>
      </c>
      <c r="E178" s="125">
        <v>123.6696528152555</v>
      </c>
      <c r="F178" s="125">
        <v>159</v>
      </c>
      <c r="G178" s="125">
        <v>134.53304636784029</v>
      </c>
      <c r="H178" s="125">
        <v>213</v>
      </c>
      <c r="I178" s="125">
        <v>199</v>
      </c>
      <c r="J178" s="125">
        <v>160.41993018700256</v>
      </c>
      <c r="K178" s="125">
        <v>230</v>
      </c>
      <c r="L178" s="125">
        <v>185.90434877148456</v>
      </c>
      <c r="M178" s="125">
        <v>159</v>
      </c>
      <c r="N178" s="125">
        <v>112.03247031649047</v>
      </c>
      <c r="O178" s="125">
        <v>43.994147780586118</v>
      </c>
      <c r="P178" s="125">
        <v>128</v>
      </c>
      <c r="Q178" s="125">
        <v>182</v>
      </c>
      <c r="R178" s="125">
        <v>166.53569398779752</v>
      </c>
      <c r="S178" s="125">
        <v>170</v>
      </c>
      <c r="T178" s="125">
        <v>161</v>
      </c>
      <c r="U178" s="125">
        <v>167</v>
      </c>
      <c r="V178" s="125">
        <v>185</v>
      </c>
      <c r="W178" s="125">
        <v>75.085699513039827</v>
      </c>
      <c r="X178" s="125">
        <v>181.0301661110928</v>
      </c>
      <c r="Y178" s="125">
        <v>153</v>
      </c>
      <c r="Z178" s="125">
        <v>246</v>
      </c>
      <c r="AA178" s="125">
        <v>136</v>
      </c>
      <c r="AB178" s="125">
        <v>256</v>
      </c>
      <c r="AC178" s="125">
        <v>177</v>
      </c>
      <c r="AD178" s="125">
        <v>241</v>
      </c>
      <c r="AE178" s="125">
        <v>58.21116277764969</v>
      </c>
      <c r="AF178" s="125">
        <v>187</v>
      </c>
      <c r="AG178" s="125">
        <v>175.06033222218562</v>
      </c>
      <c r="AH178" s="125">
        <v>180</v>
      </c>
      <c r="AI178" s="125">
        <v>240</v>
      </c>
      <c r="AJ178" s="125">
        <v>158</v>
      </c>
      <c r="AK178" s="125">
        <v>171</v>
      </c>
      <c r="AL178" s="125">
        <v>207</v>
      </c>
      <c r="AM178" s="125">
        <v>242.68387692330393</v>
      </c>
      <c r="AN178" s="125">
        <v>239</v>
      </c>
      <c r="AO178" s="125">
        <v>10.55745196543856</v>
      </c>
      <c r="AP178" s="125">
        <v>223</v>
      </c>
      <c r="AQ178" s="125">
        <v>26.557451965438958</v>
      </c>
      <c r="AR178" s="125">
        <v>228</v>
      </c>
      <c r="AS178" s="125">
        <v>134.06033222218562</v>
      </c>
      <c r="AT178" s="125">
        <v>151</v>
      </c>
      <c r="AU178" s="125">
        <v>164</v>
      </c>
      <c r="AV178" s="125">
        <v>135</v>
      </c>
      <c r="AW178" s="125">
        <v>159</v>
      </c>
      <c r="AX178" s="125">
        <v>217</v>
      </c>
      <c r="AY178" s="125">
        <v>182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74.232299278310933</v>
      </c>
      <c r="E179" s="124">
        <f t="shared" si="3"/>
        <v>83.499291553476425</v>
      </c>
      <c r="F179" s="124">
        <f t="shared" si="3"/>
        <v>52.73457901452808</v>
      </c>
      <c r="G179" s="124">
        <f t="shared" si="3"/>
        <v>81.519624455169748</v>
      </c>
      <c r="H179" s="124">
        <f t="shared" si="3"/>
        <v>41.976957197926964</v>
      </c>
      <c r="I179" s="124">
        <f t="shared" si="3"/>
        <v>141.02537935130908</v>
      </c>
      <c r="J179" s="124">
        <f t="shared" si="3"/>
        <v>144.48558616165019</v>
      </c>
      <c r="K179" s="124">
        <f t="shared" si="3"/>
        <v>151.56905435337379</v>
      </c>
      <c r="L179" s="124">
        <f t="shared" si="3"/>
        <v>199.37659859489509</v>
      </c>
      <c r="M179" s="124">
        <f t="shared" si="3"/>
        <v>201.73066521888242</v>
      </c>
      <c r="N179" s="124">
        <f t="shared" si="3"/>
        <v>188.6411573629772</v>
      </c>
      <c r="O179" s="124">
        <f t="shared" si="3"/>
        <v>166.51958945402603</v>
      </c>
      <c r="P179" s="124">
        <f t="shared" si="3"/>
        <v>80.583803005195961</v>
      </c>
      <c r="Q179" s="124">
        <f t="shared" si="3"/>
        <v>144.37158170099016</v>
      </c>
      <c r="R179" s="124">
        <f t="shared" si="3"/>
        <v>123.55174113618685</v>
      </c>
      <c r="S179" s="124">
        <f t="shared" si="3"/>
        <v>102.07889133663178</v>
      </c>
      <c r="T179" s="124">
        <f t="shared" si="3"/>
        <v>115.86351619542964</v>
      </c>
      <c r="U179" s="124">
        <f t="shared" si="3"/>
        <v>82.03569552108695</v>
      </c>
      <c r="V179" s="124">
        <f t="shared" si="3"/>
        <v>64.406894440795398</v>
      </c>
      <c r="W179" s="124">
        <f t="shared" si="3"/>
        <v>76.624729550583297</v>
      </c>
      <c r="X179" s="124">
        <f t="shared" si="3"/>
        <v>29.759122088139211</v>
      </c>
      <c r="Y179" s="124">
        <f t="shared" si="3"/>
        <v>76.624729550583169</v>
      </c>
      <c r="Z179" s="124">
        <f t="shared" si="3"/>
        <v>125.11506656361026</v>
      </c>
      <c r="AA179" s="124">
        <f t="shared" si="3"/>
        <v>173.18476576662601</v>
      </c>
      <c r="AB179" s="124">
        <f t="shared" si="3"/>
        <v>243.18548586927687</v>
      </c>
      <c r="AC179" s="124">
        <f t="shared" si="3"/>
        <v>259.1885417036392</v>
      </c>
      <c r="AD179" s="124">
        <f t="shared" si="3"/>
        <v>271.46200936962344</v>
      </c>
      <c r="AE179" s="124">
        <f t="shared" si="3"/>
        <v>267.08673892020659</v>
      </c>
      <c r="AF179" s="124">
        <f t="shared" si="3"/>
        <v>186.74059515224712</v>
      </c>
      <c r="AG179" s="124">
        <f t="shared" si="3"/>
        <v>236.98380961334396</v>
      </c>
      <c r="AH179" s="124">
        <f t="shared" si="3"/>
        <v>193.07496050789018</v>
      </c>
      <c r="AI179" s="124">
        <f t="shared" si="3"/>
        <v>194.81242007284754</v>
      </c>
      <c r="AJ179" s="124">
        <f t="shared" si="3"/>
        <v>235.19002707150042</v>
      </c>
      <c r="AK179" s="124">
        <f t="shared" si="3"/>
        <v>218.82640632646701</v>
      </c>
      <c r="AL179" s="124">
        <f t="shared" si="3"/>
        <v>234.39875794289901</v>
      </c>
      <c r="AM179" s="124">
        <f t="shared" si="3"/>
        <v>266.77636494155189</v>
      </c>
      <c r="AN179" s="124">
        <f t="shared" si="3"/>
        <v>256.72802341614153</v>
      </c>
      <c r="AO179" s="124">
        <f t="shared" si="3"/>
        <v>303.75857505253271</v>
      </c>
      <c r="AP179" s="124">
        <f t="shared" si="3"/>
        <v>245.45059600226227</v>
      </c>
      <c r="AQ179" s="124">
        <f t="shared" si="3"/>
        <v>264.82820300091532</v>
      </c>
      <c r="AR179" s="124">
        <f t="shared" si="3"/>
        <v>194.45177998458831</v>
      </c>
      <c r="AS179" s="124">
        <f t="shared" si="3"/>
        <v>265.69499444568515</v>
      </c>
      <c r="AT179" s="124">
        <f t="shared" si="3"/>
        <v>232.38114558886812</v>
      </c>
      <c r="AU179" s="124">
        <f t="shared" si="3"/>
        <v>276.62436004996493</v>
      </c>
      <c r="AV179" s="124">
        <f t="shared" si="3"/>
        <v>303.84724651542672</v>
      </c>
      <c r="AW179" s="124">
        <f t="shared" si="3"/>
        <v>322.86283182398188</v>
      </c>
      <c r="AX179" s="124">
        <f t="shared" si="3"/>
        <v>293.49566554613449</v>
      </c>
      <c r="AY179" s="124">
        <f t="shared" si="3"/>
        <v>313.87327254478737</v>
      </c>
    </row>
    <row r="180" spans="1:51">
      <c r="A180" s="125"/>
      <c r="B180" s="136" t="s">
        <v>299</v>
      </c>
      <c r="C180" s="125" t="s">
        <v>293</v>
      </c>
      <c r="D180" s="125">
        <v>74.232299278310933</v>
      </c>
      <c r="E180" s="125">
        <v>62.545100593603486</v>
      </c>
      <c r="F180" s="125">
        <v>52.73457901452808</v>
      </c>
      <c r="G180" s="125">
        <v>81.519624455169748</v>
      </c>
      <c r="H180" s="125">
        <v>41.976957197926964</v>
      </c>
      <c r="I180" s="125">
        <v>80</v>
      </c>
      <c r="J180" s="125">
        <v>56.408415848878491</v>
      </c>
      <c r="K180" s="125">
        <v>81</v>
      </c>
      <c r="L180" s="125">
        <v>71.024250211893289</v>
      </c>
      <c r="M180" s="125">
        <v>98</v>
      </c>
      <c r="N180" s="125">
        <v>59.620298518975773</v>
      </c>
      <c r="O180" s="125">
        <v>104.2687837535812</v>
      </c>
      <c r="P180" s="125">
        <v>60</v>
      </c>
      <c r="Q180" s="125">
        <v>83</v>
      </c>
      <c r="R180" s="125">
        <v>63.449806997482042</v>
      </c>
      <c r="S180" s="125">
        <v>74</v>
      </c>
      <c r="T180" s="125">
        <v>110</v>
      </c>
      <c r="U180" s="125">
        <v>82.03569552108695</v>
      </c>
      <c r="V180" s="125">
        <v>64.406894440795398</v>
      </c>
      <c r="W180" s="125">
        <v>76.624729550583297</v>
      </c>
      <c r="X180" s="125">
        <v>29.759122088139211</v>
      </c>
      <c r="Y180" s="125">
        <v>75</v>
      </c>
      <c r="Z180" s="125">
        <v>67</v>
      </c>
      <c r="AA180" s="125">
        <v>59</v>
      </c>
      <c r="AB180" s="125">
        <v>98</v>
      </c>
      <c r="AC180" s="125">
        <v>70</v>
      </c>
      <c r="AD180" s="125">
        <v>81</v>
      </c>
      <c r="AE180" s="125">
        <v>80.352388408028943</v>
      </c>
      <c r="AF180" s="125">
        <v>103</v>
      </c>
      <c r="AG180" s="125">
        <v>96.277104369710116</v>
      </c>
      <c r="AH180" s="125">
        <v>92</v>
      </c>
      <c r="AI180" s="125">
        <v>66</v>
      </c>
      <c r="AJ180" s="125">
        <v>106</v>
      </c>
      <c r="AK180" s="125">
        <v>62</v>
      </c>
      <c r="AL180" s="125">
        <v>74</v>
      </c>
      <c r="AM180" s="125">
        <v>77.102269094468511</v>
      </c>
      <c r="AN180" s="125">
        <v>63</v>
      </c>
      <c r="AO180" s="125">
        <v>61.971289396858097</v>
      </c>
      <c r="AP180" s="125">
        <v>87</v>
      </c>
      <c r="AQ180" s="125">
        <v>88.572958189007579</v>
      </c>
      <c r="AR180" s="125">
        <v>82</v>
      </c>
      <c r="AS180" s="125">
        <v>68.154396702456921</v>
      </c>
      <c r="AT180" s="125">
        <v>109</v>
      </c>
      <c r="AU180" s="125">
        <v>93</v>
      </c>
      <c r="AV180" s="125">
        <v>67</v>
      </c>
      <c r="AW180" s="125">
        <v>77</v>
      </c>
      <c r="AX180" s="125">
        <v>86</v>
      </c>
      <c r="AY180" s="125">
        <v>88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126.10991406635192</v>
      </c>
      <c r="E181" s="124">
        <f t="shared" si="4"/>
        <v>47.998275578195774</v>
      </c>
      <c r="F181" s="124">
        <f t="shared" si="4"/>
        <v>123.12000070298464</v>
      </c>
      <c r="G181" s="124">
        <f t="shared" si="4"/>
        <v>63.398268015330274</v>
      </c>
      <c r="H181" s="124">
        <f t="shared" si="4"/>
        <v>212.99220796116822</v>
      </c>
      <c r="I181" s="124">
        <f t="shared" si="4"/>
        <v>126.05088394158797</v>
      </c>
      <c r="J181" s="124">
        <f t="shared" si="4"/>
        <v>95.892502694386607</v>
      </c>
      <c r="K181" s="124">
        <f t="shared" si="4"/>
        <v>194.53947492468004</v>
      </c>
      <c r="L181" s="124">
        <f t="shared" si="4"/>
        <v>110.82409273592424</v>
      </c>
      <c r="M181" s="124">
        <f t="shared" si="4"/>
        <v>128.24126610422263</v>
      </c>
      <c r="N181" s="124">
        <f t="shared" si="4"/>
        <v>56.634752305639175</v>
      </c>
      <c r="O181" s="124">
        <f t="shared" si="4"/>
        <v>27.688530904482477</v>
      </c>
      <c r="P181" s="124">
        <f t="shared" si="4"/>
        <v>186.95806686926616</v>
      </c>
      <c r="Q181" s="124">
        <f t="shared" si="4"/>
        <v>93.911390349733281</v>
      </c>
      <c r="R181" s="124">
        <f t="shared" si="4"/>
        <v>63.398268015330302</v>
      </c>
      <c r="S181" s="124">
        <f t="shared" si="4"/>
        <v>132.58210089363359</v>
      </c>
      <c r="T181" s="124">
        <f t="shared" si="4"/>
        <v>115.04369450671642</v>
      </c>
      <c r="U181" s="124">
        <f t="shared" si="4"/>
        <v>97.274453137215133</v>
      </c>
      <c r="V181" s="124">
        <f t="shared" si="4"/>
        <v>115.72718617370352</v>
      </c>
      <c r="W181" s="124">
        <f t="shared" si="4"/>
        <v>44.945534978842119</v>
      </c>
      <c r="X181" s="124">
        <f t="shared" si="4"/>
        <v>115.7271861737033</v>
      </c>
      <c r="Y181" s="124">
        <f t="shared" si="4"/>
        <v>186.50883736856446</v>
      </c>
      <c r="Z181" s="124">
        <f t="shared" si="4"/>
        <v>173.79105388983518</v>
      </c>
      <c r="AA181" s="124">
        <f t="shared" si="4"/>
        <v>194.83123058863242</v>
      </c>
      <c r="AB181" s="124">
        <f t="shared" si="4"/>
        <v>172.18009047855659</v>
      </c>
      <c r="AC181" s="124">
        <f t="shared" si="4"/>
        <v>124.25853853685878</v>
      </c>
      <c r="AD181" s="124">
        <f t="shared" si="4"/>
        <v>115.7271861737033</v>
      </c>
      <c r="AE181" s="124">
        <f t="shared" si="4"/>
        <v>9.4313497502261003E-3</v>
      </c>
      <c r="AF181" s="124">
        <f t="shared" si="4"/>
        <v>231.44494099765637</v>
      </c>
      <c r="AG181" s="124">
        <f t="shared" si="4"/>
        <v>79.092361723219753</v>
      </c>
      <c r="AH181" s="124">
        <f t="shared" si="4"/>
        <v>141.5727337394726</v>
      </c>
      <c r="AI181" s="124">
        <f t="shared" si="4"/>
        <v>160.66328980279519</v>
      </c>
      <c r="AJ181" s="124">
        <f t="shared" si="4"/>
        <v>135.37882627211502</v>
      </c>
      <c r="AK181" s="124">
        <f t="shared" si="4"/>
        <v>117.15839037996946</v>
      </c>
      <c r="AL181" s="124">
        <f t="shared" si="4"/>
        <v>160.66328980279519</v>
      </c>
      <c r="AM181" s="124">
        <f t="shared" si="4"/>
        <v>101.27229688086187</v>
      </c>
      <c r="AN181" s="124">
        <f t="shared" si="4"/>
        <v>166.18037295145024</v>
      </c>
      <c r="AO181" s="124">
        <f t="shared" si="4"/>
        <v>5.5327385946822822</v>
      </c>
      <c r="AP181" s="124">
        <f t="shared" si="4"/>
        <v>160.66328980279539</v>
      </c>
      <c r="AQ181" s="124">
        <f t="shared" si="4"/>
        <v>27.482430619934515</v>
      </c>
      <c r="AR181" s="124">
        <f t="shared" si="4"/>
        <v>231.44494099765637</v>
      </c>
      <c r="AS181" s="124">
        <f t="shared" si="4"/>
        <v>52.62006914183619</v>
      </c>
      <c r="AT181" s="124">
        <f t="shared" si="4"/>
        <v>231.44494099765637</v>
      </c>
      <c r="AU181" s="124">
        <f t="shared" si="4"/>
        <v>181.57397025648106</v>
      </c>
      <c r="AV181" s="124">
        <f t="shared" si="4"/>
        <v>129.9103006722124</v>
      </c>
      <c r="AW181" s="124">
        <f t="shared" si="4"/>
        <v>71.940401597184575</v>
      </c>
      <c r="AX181" s="124">
        <f t="shared" si="4"/>
        <v>160.66328980279519</v>
      </c>
      <c r="AY181" s="124">
        <f t="shared" si="4"/>
        <v>76.604933339118091</v>
      </c>
    </row>
    <row r="182" spans="1:51">
      <c r="A182" s="125"/>
      <c r="B182" s="136" t="s">
        <v>299</v>
      </c>
      <c r="C182" s="125" t="s">
        <v>293</v>
      </c>
      <c r="D182" s="125">
        <v>126.10991406635192</v>
      </c>
      <c r="E182" s="125">
        <v>47.998275578195774</v>
      </c>
      <c r="F182" s="125">
        <v>123.12000070298464</v>
      </c>
      <c r="G182" s="125">
        <v>63.398268015330274</v>
      </c>
      <c r="H182" s="125">
        <v>108.8563424224964</v>
      </c>
      <c r="I182" s="125">
        <v>115</v>
      </c>
      <c r="J182" s="125">
        <v>95.892502694386607</v>
      </c>
      <c r="K182" s="125">
        <v>128</v>
      </c>
      <c r="L182" s="125">
        <v>90.024250211893289</v>
      </c>
      <c r="M182" s="125">
        <v>128.24126610422263</v>
      </c>
      <c r="N182" s="125">
        <v>56.634752305639175</v>
      </c>
      <c r="O182" s="125">
        <v>27.688530904482477</v>
      </c>
      <c r="P182" s="125">
        <v>125</v>
      </c>
      <c r="Q182" s="125">
        <v>93.911390349733281</v>
      </c>
      <c r="R182" s="125">
        <v>63.398268015330302</v>
      </c>
      <c r="S182" s="125">
        <v>100</v>
      </c>
      <c r="T182" s="125">
        <v>115.04369450671642</v>
      </c>
      <c r="U182" s="125">
        <v>97.274453137215133</v>
      </c>
      <c r="V182" s="125">
        <v>115.72718617370352</v>
      </c>
      <c r="W182" s="125">
        <v>44.945534978842119</v>
      </c>
      <c r="X182" s="125">
        <v>115.7271861737033</v>
      </c>
      <c r="Y182" s="125">
        <v>90</v>
      </c>
      <c r="Z182" s="125">
        <v>117</v>
      </c>
      <c r="AA182" s="125">
        <v>101</v>
      </c>
      <c r="AB182" s="125">
        <v>158</v>
      </c>
      <c r="AC182" s="125">
        <v>124.25853853685878</v>
      </c>
      <c r="AD182" s="125">
        <v>115.7271861737033</v>
      </c>
      <c r="AE182" s="125">
        <v>9.4313497502261003E-3</v>
      </c>
      <c r="AF182" s="125">
        <v>100</v>
      </c>
      <c r="AG182" s="125">
        <v>79.092361723219753</v>
      </c>
      <c r="AH182" s="125">
        <v>141.5727337394726</v>
      </c>
      <c r="AI182" s="125">
        <v>128</v>
      </c>
      <c r="AJ182" s="125">
        <v>133</v>
      </c>
      <c r="AK182" s="125">
        <v>117.15839037996946</v>
      </c>
      <c r="AL182" s="125">
        <v>110</v>
      </c>
      <c r="AM182" s="125">
        <v>92.102269094468511</v>
      </c>
      <c r="AN182" s="125">
        <v>157</v>
      </c>
      <c r="AO182" s="125">
        <v>5.5327385946822822</v>
      </c>
      <c r="AP182" s="125">
        <v>115</v>
      </c>
      <c r="AQ182" s="125">
        <v>27.482430619934515</v>
      </c>
      <c r="AR182" s="125">
        <v>144</v>
      </c>
      <c r="AS182" s="125">
        <v>52.62006914183619</v>
      </c>
      <c r="AT182" s="125">
        <v>122</v>
      </c>
      <c r="AU182" s="125">
        <v>158</v>
      </c>
      <c r="AV182" s="125">
        <v>128</v>
      </c>
      <c r="AW182" s="125">
        <v>71.940401597184575</v>
      </c>
      <c r="AX182" s="125">
        <v>151</v>
      </c>
      <c r="AY182" s="125">
        <v>76.604933339118091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99</v>
      </c>
      <c r="D186" s="106">
        <v>60</v>
      </c>
      <c r="E186" s="106">
        <v>41</v>
      </c>
      <c r="F186" s="106">
        <v>2.009878806651443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49</v>
      </c>
      <c r="D187" s="106">
        <v>61</v>
      </c>
      <c r="E187" s="106">
        <v>100</v>
      </c>
      <c r="F187" s="106">
        <v>156.99012119334856</v>
      </c>
      <c r="G187" s="106">
        <v>134</v>
      </c>
      <c r="H187" s="106">
        <v>51.019757613302886</v>
      </c>
      <c r="I187" s="106">
        <v>0</v>
      </c>
      <c r="J187" s="106">
        <v>0</v>
      </c>
      <c r="K187" s="106">
        <v>1.6079030453211374</v>
      </c>
      <c r="L187" s="106">
        <v>22.215806090642275</v>
      </c>
      <c r="M187" s="106">
        <v>48.823709135963412</v>
      </c>
      <c r="N187" s="106">
        <v>2.4316121812845495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48.489826317705422</v>
      </c>
      <c r="AC187" s="106">
        <v>0</v>
      </c>
      <c r="AD187" s="106">
        <v>0</v>
      </c>
      <c r="AE187" s="106">
        <v>0</v>
      </c>
      <c r="AF187" s="106">
        <v>31.459446413231547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64.170631245572906</v>
      </c>
      <c r="AS187" s="106">
        <v>51.180510052224349</v>
      </c>
      <c r="AT187" s="106">
        <v>141.0999968498524</v>
      </c>
      <c r="AU187" s="106">
        <v>153.48207868523195</v>
      </c>
      <c r="AV187" s="106">
        <v>63.491957491883397</v>
      </c>
      <c r="AW187" s="106">
        <v>0</v>
      </c>
      <c r="AX187" s="106">
        <v>56.893849878175899</v>
      </c>
      <c r="AY187" s="106">
        <v>22.501752923497037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61.980242386697114</v>
      </c>
      <c r="I188" s="106">
        <v>111</v>
      </c>
      <c r="J188" s="106">
        <v>130</v>
      </c>
      <c r="K188" s="106">
        <v>158.39209695467886</v>
      </c>
      <c r="L188" s="106">
        <v>156.78419390935773</v>
      </c>
      <c r="M188" s="106">
        <v>136.17629086403659</v>
      </c>
      <c r="N188" s="106">
        <v>109.56838781871545</v>
      </c>
      <c r="O188" s="106">
        <v>149</v>
      </c>
      <c r="P188" s="106">
        <v>138</v>
      </c>
      <c r="Q188" s="106">
        <v>135</v>
      </c>
      <c r="R188" s="106">
        <v>166</v>
      </c>
      <c r="S188" s="106">
        <v>117</v>
      </c>
      <c r="T188" s="106">
        <v>100</v>
      </c>
      <c r="U188" s="106">
        <v>162</v>
      </c>
      <c r="V188" s="106">
        <v>135</v>
      </c>
      <c r="W188" s="106">
        <v>166</v>
      </c>
      <c r="X188" s="106">
        <v>159</v>
      </c>
      <c r="Y188" s="106">
        <v>141</v>
      </c>
      <c r="Z188" s="106">
        <v>165</v>
      </c>
      <c r="AA188" s="106">
        <v>118</v>
      </c>
      <c r="AB188" s="106">
        <v>106.51017368229458</v>
      </c>
      <c r="AC188" s="106">
        <v>123</v>
      </c>
      <c r="AD188" s="106">
        <v>180</v>
      </c>
      <c r="AE188" s="106">
        <v>125</v>
      </c>
      <c r="AF188" s="106">
        <v>72.540553586768453</v>
      </c>
      <c r="AG188" s="106">
        <v>125</v>
      </c>
      <c r="AH188" s="106">
        <v>108</v>
      </c>
      <c r="AI188" s="106">
        <v>144</v>
      </c>
      <c r="AJ188" s="106">
        <v>181</v>
      </c>
      <c r="AK188" s="106">
        <v>111</v>
      </c>
      <c r="AL188" s="106">
        <v>166</v>
      </c>
      <c r="AM188" s="106">
        <v>120</v>
      </c>
      <c r="AN188" s="106">
        <v>180</v>
      </c>
      <c r="AO188" s="106">
        <v>178</v>
      </c>
      <c r="AP188" s="106">
        <v>124</v>
      </c>
      <c r="AQ188" s="106">
        <v>157</v>
      </c>
      <c r="AR188" s="106">
        <v>64.829368754427094</v>
      </c>
      <c r="AS188" s="106">
        <v>133.81948994777565</v>
      </c>
      <c r="AT188" s="106">
        <v>26.900003150147597</v>
      </c>
      <c r="AU188" s="106">
        <v>35.517921314768046</v>
      </c>
      <c r="AV188" s="106">
        <v>44.508042508116603</v>
      </c>
      <c r="AW188" s="106">
        <v>121</v>
      </c>
      <c r="AX188" s="106">
        <v>87.106150121824101</v>
      </c>
      <c r="AY188" s="106">
        <v>101.49824707650296</v>
      </c>
    </row>
    <row r="189" spans="1:51">
      <c r="A189" s="126" t="s">
        <v>133</v>
      </c>
      <c r="B189" s="123">
        <v>1</v>
      </c>
      <c r="C189" s="124">
        <v>49.873587912035077</v>
      </c>
      <c r="D189" s="124">
        <v>134.31310891326382</v>
      </c>
      <c r="E189" s="124">
        <v>74.37182251989293</v>
      </c>
      <c r="F189" s="124">
        <v>75.826551596976628</v>
      </c>
      <c r="G189" s="124">
        <v>29.329431853724078</v>
      </c>
      <c r="H189" s="124">
        <v>61.299265742631235</v>
      </c>
      <c r="I189" s="124">
        <v>79.26909963153841</v>
      </c>
      <c r="J189" s="124">
        <v>58.658863707448148</v>
      </c>
      <c r="K189" s="124">
        <v>107.62869759635532</v>
      </c>
      <c r="L189" s="124">
        <v>112.50288025674706</v>
      </c>
      <c r="M189" s="124">
        <v>90.472714145654237</v>
      </c>
      <c r="N189" s="124">
        <v>90.00230420539765</v>
      </c>
      <c r="O189" s="124">
        <v>43.994147780586118</v>
      </c>
      <c r="P189" s="124">
        <v>0</v>
      </c>
      <c r="Q189" s="124">
        <v>21.32332792567</v>
      </c>
      <c r="R189" s="124">
        <v>29.329431853724078</v>
      </c>
      <c r="S189" s="124">
        <v>170</v>
      </c>
      <c r="T189" s="124">
        <v>3.5019185634919694</v>
      </c>
      <c r="U189" s="124">
        <v>0</v>
      </c>
      <c r="V189" s="124">
        <v>174.47175245239913</v>
      </c>
      <c r="W189" s="124">
        <v>0</v>
      </c>
      <c r="X189" s="124">
        <v>181.0301661110928</v>
      </c>
      <c r="Y189" s="124">
        <v>0</v>
      </c>
      <c r="Z189" s="124">
        <v>105.46695363216011</v>
      </c>
      <c r="AA189" s="124">
        <v>0</v>
      </c>
      <c r="AB189" s="124">
        <v>66.879335555628728</v>
      </c>
      <c r="AC189" s="124">
        <v>62.849169444535931</v>
      </c>
      <c r="AD189" s="124">
        <v>122.81900333344311</v>
      </c>
      <c r="AE189" s="124">
        <v>0</v>
      </c>
      <c r="AF189" s="124">
        <v>5.9698338889071749</v>
      </c>
      <c r="AG189" s="124">
        <v>0</v>
      </c>
      <c r="AH189" s="124">
        <v>67.497119743252938</v>
      </c>
      <c r="AI189" s="124">
        <v>57.939667777814378</v>
      </c>
      <c r="AJ189" s="124">
        <v>34.909501666721553</v>
      </c>
      <c r="AK189" s="124">
        <v>24.879335555628757</v>
      </c>
      <c r="AL189" s="124">
        <v>50.849169444535931</v>
      </c>
      <c r="AM189" s="124">
        <v>112.50288025674706</v>
      </c>
      <c r="AN189" s="124">
        <v>170.47271414565424</v>
      </c>
      <c r="AO189" s="124">
        <v>0</v>
      </c>
      <c r="AP189" s="124">
        <v>154.47271414565424</v>
      </c>
      <c r="AQ189" s="124">
        <v>0</v>
      </c>
      <c r="AR189" s="124">
        <v>46.969833888907175</v>
      </c>
      <c r="AS189" s="124">
        <v>0</v>
      </c>
      <c r="AT189" s="124">
        <v>0</v>
      </c>
      <c r="AU189" s="124">
        <v>0</v>
      </c>
      <c r="AV189" s="124">
        <v>0</v>
      </c>
      <c r="AW189" s="124">
        <v>0</v>
      </c>
      <c r="AX189" s="124">
        <v>0</v>
      </c>
      <c r="AY189" s="124">
        <v>0</v>
      </c>
    </row>
    <row r="190" spans="1:51">
      <c r="A190" s="109"/>
      <c r="B190" s="119">
        <v>2</v>
      </c>
      <c r="C190" s="106">
        <v>93.126412087964923</v>
      </c>
      <c r="D190" s="106">
        <v>106.68689108673618</v>
      </c>
      <c r="E190" s="106">
        <v>35.772600190435014</v>
      </c>
      <c r="F190" s="106">
        <v>83.173448403023372</v>
      </c>
      <c r="G190" s="106">
        <v>105.2036145141162</v>
      </c>
      <c r="H190" s="106">
        <v>151.70073425736877</v>
      </c>
      <c r="I190" s="106">
        <v>119.73090036846159</v>
      </c>
      <c r="J190" s="106">
        <v>101.76106647955442</v>
      </c>
      <c r="K190" s="106">
        <v>122.37130240364468</v>
      </c>
      <c r="L190" s="106">
        <v>73.401468514737502</v>
      </c>
      <c r="M190" s="106">
        <v>68.527285854345763</v>
      </c>
      <c r="N190" s="106">
        <v>22.030166111092825</v>
      </c>
      <c r="O190" s="106">
        <v>0</v>
      </c>
      <c r="P190" s="106">
        <v>128</v>
      </c>
      <c r="Q190" s="106">
        <v>110.84676287278047</v>
      </c>
      <c r="R190" s="106">
        <v>137.20626213407343</v>
      </c>
      <c r="S190" s="106">
        <v>0</v>
      </c>
      <c r="T190" s="106">
        <v>74.324633033485043</v>
      </c>
      <c r="U190" s="106">
        <v>167</v>
      </c>
      <c r="V190" s="106">
        <v>0</v>
      </c>
      <c r="W190" s="106">
        <v>6.5584136586940645</v>
      </c>
      <c r="X190" s="106">
        <v>0</v>
      </c>
      <c r="Y190" s="106">
        <v>0</v>
      </c>
      <c r="Z190" s="106">
        <v>112.50288025674706</v>
      </c>
      <c r="AA190" s="106">
        <v>67.472714145654237</v>
      </c>
      <c r="AB190" s="106">
        <v>181.03016611109283</v>
      </c>
      <c r="AC190" s="106">
        <v>114.15083055546407</v>
      </c>
      <c r="AD190" s="106">
        <v>118.18099666655689</v>
      </c>
      <c r="AE190" s="106">
        <v>58.21116277764969</v>
      </c>
      <c r="AF190" s="106">
        <v>181.03016611109283</v>
      </c>
      <c r="AG190" s="106">
        <v>175.06033222218562</v>
      </c>
      <c r="AH190" s="106">
        <v>112.50288025674706</v>
      </c>
      <c r="AI190" s="106">
        <v>113.53304636783986</v>
      </c>
      <c r="AJ190" s="106">
        <v>123.09049833327845</v>
      </c>
      <c r="AK190" s="106">
        <v>146.12066444437124</v>
      </c>
      <c r="AL190" s="106">
        <v>156.15083055546407</v>
      </c>
      <c r="AM190" s="106">
        <v>130.18099666655687</v>
      </c>
      <c r="AN190" s="106">
        <v>68.527285854345763</v>
      </c>
      <c r="AO190" s="106">
        <v>10.55745196543856</v>
      </c>
      <c r="AP190" s="106">
        <v>68.527285854345763</v>
      </c>
      <c r="AQ190" s="106">
        <v>26.557451965438958</v>
      </c>
      <c r="AR190" s="106">
        <v>181.03016611109283</v>
      </c>
      <c r="AS190" s="106">
        <v>134.06033222218562</v>
      </c>
      <c r="AT190" s="106">
        <v>151</v>
      </c>
      <c r="AU190" s="106">
        <v>133.96983388890717</v>
      </c>
      <c r="AV190" s="106">
        <v>87.939667777814378</v>
      </c>
      <c r="AW190" s="106">
        <v>65.909501666721553</v>
      </c>
      <c r="AX190" s="106">
        <v>101.87933555562876</v>
      </c>
      <c r="AY190" s="106">
        <v>102.84916944453593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13.525230104927559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49.829909201549526</v>
      </c>
      <c r="R191" s="106">
        <v>0</v>
      </c>
      <c r="S191" s="106">
        <v>0</v>
      </c>
      <c r="T191" s="106">
        <v>83.173448403022988</v>
      </c>
      <c r="U191" s="106">
        <v>0</v>
      </c>
      <c r="V191" s="106">
        <v>10.52824754760087</v>
      </c>
      <c r="W191" s="106">
        <v>68.527285854345763</v>
      </c>
      <c r="X191" s="106">
        <v>0</v>
      </c>
      <c r="Y191" s="106">
        <v>153</v>
      </c>
      <c r="Z191" s="106">
        <v>0</v>
      </c>
      <c r="AA191" s="106">
        <v>68.527285854345763</v>
      </c>
      <c r="AB191" s="106">
        <v>8.0904983332784468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68.527285854345763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30.030166111092825</v>
      </c>
      <c r="AV191" s="106">
        <v>47.060332222185622</v>
      </c>
      <c r="AW191" s="106">
        <v>93.090498333278447</v>
      </c>
      <c r="AX191" s="106">
        <v>115.12066444437124</v>
      </c>
      <c r="AY191" s="106">
        <v>79.150830555464069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28.030166111092825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76</v>
      </c>
      <c r="D197" s="106">
        <v>46.578817072301362</v>
      </c>
      <c r="E197" s="106">
        <v>62.545100593603486</v>
      </c>
      <c r="F197" s="106">
        <v>31.780388054655138</v>
      </c>
      <c r="G197" s="106">
        <v>81.519624455169748</v>
      </c>
      <c r="H197" s="106">
        <v>41.976957197926964</v>
      </c>
      <c r="I197" s="106">
        <v>80</v>
      </c>
      <c r="J197" s="106">
        <v>0</v>
      </c>
      <c r="K197" s="106">
        <v>0</v>
      </c>
      <c r="L197" s="106">
        <v>0.45519585851950239</v>
      </c>
      <c r="M197" s="106">
        <v>0</v>
      </c>
      <c r="N197" s="106">
        <v>0</v>
      </c>
      <c r="O197" s="106">
        <v>0</v>
      </c>
      <c r="P197" s="106">
        <v>0</v>
      </c>
      <c r="Q197" s="106">
        <v>62.416196994804054</v>
      </c>
      <c r="R197" s="106">
        <v>2.0782252964918655</v>
      </c>
      <c r="S197" s="106">
        <v>13.898065861295201</v>
      </c>
      <c r="T197" s="106">
        <v>81.921108663368216</v>
      </c>
      <c r="U197" s="106">
        <v>76.172179325657297</v>
      </c>
      <c r="V197" s="106">
        <v>64.406894440795398</v>
      </c>
      <c r="W197" s="106">
        <v>76.624729550583297</v>
      </c>
      <c r="X197" s="106">
        <v>29.759122088139211</v>
      </c>
      <c r="Y197" s="106">
        <v>75</v>
      </c>
      <c r="Z197" s="106">
        <v>65.375270449416831</v>
      </c>
      <c r="AA197" s="106">
        <v>0.88493343638974409</v>
      </c>
      <c r="AB197" s="106">
        <v>0</v>
      </c>
      <c r="AC197" s="106">
        <v>0</v>
      </c>
      <c r="AD197" s="106">
        <v>0</v>
      </c>
      <c r="AE197" s="106">
        <v>0</v>
      </c>
      <c r="AF197" s="106">
        <v>0</v>
      </c>
      <c r="AG197" s="106">
        <v>12.536509217462985</v>
      </c>
      <c r="AH197" s="106">
        <v>0</v>
      </c>
      <c r="AI197" s="106">
        <v>0</v>
      </c>
      <c r="AJ197" s="106">
        <v>0</v>
      </c>
      <c r="AK197" s="106">
        <v>0</v>
      </c>
      <c r="AL197" s="106">
        <v>0</v>
      </c>
      <c r="AM197" s="106">
        <v>0</v>
      </c>
      <c r="AN197" s="106">
        <v>0</v>
      </c>
      <c r="AO197" s="106">
        <v>0</v>
      </c>
      <c r="AP197" s="106">
        <v>0</v>
      </c>
      <c r="AQ197" s="106">
        <v>0</v>
      </c>
      <c r="AR197" s="106">
        <v>0</v>
      </c>
      <c r="AS197" s="106">
        <v>0</v>
      </c>
      <c r="AT197" s="106">
        <v>0</v>
      </c>
      <c r="AU197" s="106">
        <v>0</v>
      </c>
      <c r="AV197" s="106">
        <v>0</v>
      </c>
      <c r="AW197" s="106">
        <v>0</v>
      </c>
      <c r="AX197" s="106">
        <v>0</v>
      </c>
      <c r="AY197" s="106">
        <v>0</v>
      </c>
    </row>
    <row r="198" spans="1:51">
      <c r="A198" s="109"/>
      <c r="B198" s="119">
        <v>2</v>
      </c>
      <c r="C198" s="106">
        <v>0</v>
      </c>
      <c r="D198" s="106">
        <v>27.653482206009571</v>
      </c>
      <c r="E198" s="106">
        <v>0</v>
      </c>
      <c r="F198" s="106">
        <v>20.954190959872939</v>
      </c>
      <c r="G198" s="106">
        <v>0</v>
      </c>
      <c r="H198" s="106">
        <v>0</v>
      </c>
      <c r="I198" s="106">
        <v>0</v>
      </c>
      <c r="J198" s="106">
        <v>56.408415848878491</v>
      </c>
      <c r="K198" s="106">
        <v>76.383036497569407</v>
      </c>
      <c r="L198" s="106">
        <v>63.491884040602102</v>
      </c>
      <c r="M198" s="106">
        <v>98</v>
      </c>
      <c r="N198" s="106">
        <v>29.267950135973962</v>
      </c>
      <c r="O198" s="106">
        <v>60.158417053674555</v>
      </c>
      <c r="P198" s="106">
        <v>35.247924909579794</v>
      </c>
      <c r="Q198" s="106">
        <v>18.332997304751117</v>
      </c>
      <c r="R198" s="106">
        <v>61.371581700990177</v>
      </c>
      <c r="S198" s="106">
        <v>60.101934138704799</v>
      </c>
      <c r="T198" s="106">
        <v>28.078891336631777</v>
      </c>
      <c r="U198" s="106">
        <v>5.8635161954296535</v>
      </c>
      <c r="V198" s="106">
        <v>0</v>
      </c>
      <c r="W198" s="106">
        <v>0</v>
      </c>
      <c r="X198" s="106">
        <v>0</v>
      </c>
      <c r="Y198" s="106">
        <v>0</v>
      </c>
      <c r="Z198" s="106">
        <v>1.6247295505831687</v>
      </c>
      <c r="AA198" s="106">
        <v>58.115066563610256</v>
      </c>
      <c r="AB198" s="106">
        <v>98</v>
      </c>
      <c r="AC198" s="106">
        <v>53.815234233373985</v>
      </c>
      <c r="AD198" s="106">
        <v>5.8145141307231256</v>
      </c>
      <c r="AE198" s="106">
        <v>0</v>
      </c>
      <c r="AF198" s="106">
        <v>0</v>
      </c>
      <c r="AG198" s="106">
        <v>6.2446400694761584E-3</v>
      </c>
      <c r="AH198" s="106">
        <v>92</v>
      </c>
      <c r="AI198" s="106">
        <v>17.293294756366151</v>
      </c>
      <c r="AJ198" s="106">
        <v>70.925039492109832</v>
      </c>
      <c r="AK198" s="106">
        <v>39.18757992715247</v>
      </c>
      <c r="AL198" s="106">
        <v>6.8099729284995902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12.122362186745299</v>
      </c>
      <c r="AS198" s="106">
        <v>0</v>
      </c>
      <c r="AT198" s="106">
        <v>64.702616717868608</v>
      </c>
      <c r="AU198" s="106">
        <v>4.4594022567717673</v>
      </c>
      <c r="AV198" s="106">
        <v>36.618854411131885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4.6169635024305933</v>
      </c>
      <c r="L199" s="106">
        <v>7.0771703127716847</v>
      </c>
      <c r="M199" s="106">
        <v>0</v>
      </c>
      <c r="N199" s="106">
        <v>30.352348383001811</v>
      </c>
      <c r="O199" s="106">
        <v>44.110366699906649</v>
      </c>
      <c r="P199" s="106">
        <v>24.752075090420206</v>
      </c>
      <c r="Q199" s="106">
        <v>2.2508057004448361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16.184765766626015</v>
      </c>
      <c r="AD199" s="106">
        <v>75.185485869276874</v>
      </c>
      <c r="AE199" s="106">
        <v>80.352388408028943</v>
      </c>
      <c r="AF199" s="106">
        <v>75.163846704389769</v>
      </c>
      <c r="AG199" s="106">
        <v>76.624729550583169</v>
      </c>
      <c r="AH199" s="106">
        <v>0</v>
      </c>
      <c r="AI199" s="106">
        <v>48.706705243633849</v>
      </c>
      <c r="AJ199" s="106">
        <v>35.074960507890168</v>
      </c>
      <c r="AK199" s="106">
        <v>22.81242007284753</v>
      </c>
      <c r="AL199" s="106">
        <v>67.19002707150041</v>
      </c>
      <c r="AM199" s="106">
        <v>77.102269094468511</v>
      </c>
      <c r="AN199" s="106">
        <v>57.275862768001517</v>
      </c>
      <c r="AO199" s="106">
        <v>41.674800548427584</v>
      </c>
      <c r="AP199" s="106">
        <v>22.297193549774704</v>
      </c>
      <c r="AQ199" s="106">
        <v>43.816224169724151</v>
      </c>
      <c r="AR199" s="106">
        <v>3.6633103465876573</v>
      </c>
      <c r="AS199" s="106">
        <v>68.154396702456921</v>
      </c>
      <c r="AT199" s="106">
        <v>18.196535172680594</v>
      </c>
      <c r="AU199" s="106">
        <v>88.540597743228233</v>
      </c>
      <c r="AV199" s="106">
        <v>30.381145588868115</v>
      </c>
      <c r="AW199" s="106">
        <v>77</v>
      </c>
      <c r="AX199" s="106">
        <v>46.375639950035037</v>
      </c>
      <c r="AY199" s="106">
        <v>14.152753484573253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27.836153295610231</v>
      </c>
      <c r="AG200" s="106">
        <v>7.1096209615944872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5.7241372319984833</v>
      </c>
      <c r="AO200" s="106">
        <v>20.296488848430513</v>
      </c>
      <c r="AP200" s="106">
        <v>64.702806450225296</v>
      </c>
      <c r="AQ200" s="106">
        <v>44.756734019283428</v>
      </c>
      <c r="AR200" s="106">
        <v>66.214327466667044</v>
      </c>
      <c r="AS200" s="106">
        <v>0</v>
      </c>
      <c r="AT200" s="106">
        <v>26.100848109450794</v>
      </c>
      <c r="AU200" s="106">
        <v>0</v>
      </c>
      <c r="AV200" s="106">
        <v>0</v>
      </c>
      <c r="AW200" s="106">
        <v>0</v>
      </c>
      <c r="AX200" s="106">
        <v>39.624360049964963</v>
      </c>
      <c r="AY200" s="106">
        <v>73.847246515426747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63.007494534310482</v>
      </c>
      <c r="D209" s="124">
        <v>79.591316762761508</v>
      </c>
      <c r="E209" s="124">
        <v>47.998275578195774</v>
      </c>
      <c r="F209" s="124">
        <v>70.791082544611399</v>
      </c>
      <c r="G209" s="124">
        <v>18.462164386238388</v>
      </c>
      <c r="H209" s="124">
        <v>11.591320635031479</v>
      </c>
      <c r="I209" s="124">
        <v>52.347384073742312</v>
      </c>
      <c r="J209" s="124">
        <v>36.914897422726554</v>
      </c>
      <c r="K209" s="124">
        <v>49.187711249023252</v>
      </c>
      <c r="L209" s="124">
        <v>49.991240020580449</v>
      </c>
      <c r="M209" s="124">
        <v>70.791082544611399</v>
      </c>
      <c r="N209" s="124">
        <v>56.634752305639175</v>
      </c>
      <c r="O209" s="124">
        <v>27.688530904482477</v>
      </c>
      <c r="P209" s="124">
        <v>9.6129416461803316</v>
      </c>
      <c r="Q209" s="124">
        <v>56.634752305639154</v>
      </c>
      <c r="R209" s="124">
        <v>18.462164386238388</v>
      </c>
      <c r="S209" s="124">
        <v>100</v>
      </c>
      <c r="T209" s="124">
        <v>18.462164386238388</v>
      </c>
      <c r="U209" s="124">
        <v>9.4313497502156451E-3</v>
      </c>
      <c r="V209" s="124">
        <v>115.72718617370352</v>
      </c>
      <c r="W209" s="124">
        <v>9.4313497502227506E-3</v>
      </c>
      <c r="X209" s="124">
        <v>115.7271861737033</v>
      </c>
      <c r="Y209" s="124">
        <v>0</v>
      </c>
      <c r="Z209" s="124">
        <v>58.936132283868126</v>
      </c>
      <c r="AA209" s="124">
        <v>21.89595558507088</v>
      </c>
      <c r="AB209" s="124">
        <v>101.54709569514671</v>
      </c>
      <c r="AC209" s="124">
        <v>115.72718617370329</v>
      </c>
      <c r="AD209" s="124">
        <v>115.7271861737033</v>
      </c>
      <c r="AE209" s="124">
        <v>9.4313497502261003E-3</v>
      </c>
      <c r="AF209" s="124">
        <v>0</v>
      </c>
      <c r="AG209" s="124">
        <v>9.4313497502156451E-3</v>
      </c>
      <c r="AH209" s="124">
        <v>70.791082544611413</v>
      </c>
      <c r="AI209" s="124">
        <v>38.127792741816215</v>
      </c>
      <c r="AJ209" s="124">
        <v>68.412256272496379</v>
      </c>
      <c r="AK209" s="124">
        <v>70.791082544611399</v>
      </c>
      <c r="AL209" s="124">
        <v>65.063896370908111</v>
      </c>
      <c r="AM209" s="124">
        <v>61.621054758218037</v>
      </c>
      <c r="AN209" s="124">
        <v>106.54681322225306</v>
      </c>
      <c r="AO209" s="124">
        <v>9.4313497502254151E-3</v>
      </c>
      <c r="AP209" s="124">
        <v>70.063896370908111</v>
      </c>
      <c r="AQ209" s="124">
        <v>9.4313497502261003E-3</v>
      </c>
      <c r="AR209" s="124">
        <v>28.282245176046928</v>
      </c>
      <c r="AS209" s="124">
        <v>9.4313497502227506E-3</v>
      </c>
      <c r="AT209" s="124">
        <v>6.2822451760469278</v>
      </c>
      <c r="AU209" s="124">
        <v>92.153215917222255</v>
      </c>
      <c r="AV209" s="124">
        <v>113.81688550149092</v>
      </c>
      <c r="AW209" s="124">
        <v>70.791082544611399</v>
      </c>
      <c r="AX209" s="124">
        <v>106.06389637090811</v>
      </c>
      <c r="AY209" s="124">
        <v>70.791082544611399</v>
      </c>
    </row>
    <row r="210" spans="1:51">
      <c r="A210" s="109"/>
      <c r="B210" s="119">
        <v>2</v>
      </c>
      <c r="C210" s="106">
        <v>7.0438557533539692</v>
      </c>
      <c r="D210" s="110">
        <v>46.51859730359039</v>
      </c>
      <c r="E210" s="110">
        <v>0</v>
      </c>
      <c r="F210" s="110">
        <v>52.328918158373241</v>
      </c>
      <c r="G210" s="110">
        <v>44.936103629091882</v>
      </c>
      <c r="H210" s="110">
        <v>97.265021787464917</v>
      </c>
      <c r="I210" s="110">
        <v>62.652615926257688</v>
      </c>
      <c r="J210" s="110">
        <v>58.977605271660053</v>
      </c>
      <c r="K210" s="110">
        <v>78.812288750976748</v>
      </c>
      <c r="L210" s="110">
        <v>40.03301019131284</v>
      </c>
      <c r="M210" s="110">
        <v>57.450183559611226</v>
      </c>
      <c r="N210" s="110">
        <v>0</v>
      </c>
      <c r="O210" s="110">
        <v>0</v>
      </c>
      <c r="P210" s="110">
        <v>115.38705835381967</v>
      </c>
      <c r="Q210" s="110">
        <v>37.276638044094128</v>
      </c>
      <c r="R210" s="110">
        <v>44.93610362909191</v>
      </c>
      <c r="S210" s="110">
        <v>0</v>
      </c>
      <c r="T210" s="110">
        <v>44.252611962105021</v>
      </c>
      <c r="U210" s="110">
        <v>97.265021787464917</v>
      </c>
      <c r="V210" s="110">
        <v>6.2902850300686475E-15</v>
      </c>
      <c r="W210" s="110">
        <v>0</v>
      </c>
      <c r="X210" s="110">
        <v>2.0153543044736281E-15</v>
      </c>
      <c r="Y210" s="110">
        <v>0</v>
      </c>
      <c r="Z210" s="110">
        <v>42.59096021076882</v>
      </c>
      <c r="AA210" s="110">
        <v>34.167940785837224</v>
      </c>
      <c r="AB210" s="110">
        <v>56.452904304853284</v>
      </c>
      <c r="AC210" s="110">
        <v>8.531352363155488</v>
      </c>
      <c r="AD210" s="110">
        <v>0</v>
      </c>
      <c r="AE210" s="110">
        <v>0</v>
      </c>
      <c r="AF210" s="110">
        <v>100</v>
      </c>
      <c r="AG210" s="110">
        <v>69.62645300023911</v>
      </c>
      <c r="AH210" s="110">
        <v>70.781651194861183</v>
      </c>
      <c r="AI210" s="110">
        <v>44.936103629091896</v>
      </c>
      <c r="AJ210" s="110">
        <v>64.587743727503621</v>
      </c>
      <c r="AK210" s="110">
        <v>46.367307835358055</v>
      </c>
      <c r="AL210" s="110">
        <v>44.936103629091882</v>
      </c>
      <c r="AM210" s="110">
        <v>30.481214336250474</v>
      </c>
      <c r="AN210" s="110">
        <v>50.453186777746936</v>
      </c>
      <c r="AO210" s="110">
        <v>5.5233072449320568</v>
      </c>
      <c r="AP210" s="110">
        <v>44.936103629091896</v>
      </c>
      <c r="AQ210" s="110">
        <v>27.472999270184285</v>
      </c>
      <c r="AR210" s="110">
        <v>115.71775482395307</v>
      </c>
      <c r="AS210" s="110">
        <v>52.610637792085967</v>
      </c>
      <c r="AT210" s="110">
        <v>115.71775482395307</v>
      </c>
      <c r="AU210" s="110">
        <v>65.846784082777745</v>
      </c>
      <c r="AV210" s="110">
        <v>14.183114498509084</v>
      </c>
      <c r="AW210" s="110">
        <v>1.1493190525731818</v>
      </c>
      <c r="AX210" s="110">
        <v>44.936103629091882</v>
      </c>
      <c r="AY210" s="110">
        <v>5.8138507945066955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52.328918158373007</v>
      </c>
      <c r="U211" s="110">
        <v>0</v>
      </c>
      <c r="V211" s="110">
        <v>0</v>
      </c>
      <c r="W211" s="110">
        <v>44.936103629091896</v>
      </c>
      <c r="X211" s="110">
        <v>0</v>
      </c>
      <c r="Y211" s="110">
        <v>90</v>
      </c>
      <c r="Z211" s="110">
        <v>0</v>
      </c>
      <c r="AA211" s="110">
        <v>44.936103629091896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9.4564773732304239</v>
      </c>
      <c r="AH211" s="110">
        <v>0</v>
      </c>
      <c r="AI211" s="110">
        <v>44.936103629091896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15.472907505363052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54274.539509759677</v>
      </c>
      <c r="E259" s="124">
        <f t="shared" ref="E259:AX259" si="5">F$14*$B$259</f>
        <v>20657.252235525841</v>
      </c>
      <c r="F259" s="124">
        <f t="shared" si="5"/>
        <v>52987.755895860333</v>
      </c>
      <c r="G259" s="124">
        <f t="shared" si="5"/>
        <v>27285.022178652525</v>
      </c>
      <c r="H259" s="124">
        <f t="shared" si="5"/>
        <v>91666.496578350911</v>
      </c>
      <c r="I259" s="124">
        <f t="shared" si="5"/>
        <v>54249.134426721706</v>
      </c>
      <c r="J259" s="124">
        <f t="shared" si="5"/>
        <v>41269.724626391369</v>
      </c>
      <c r="K259" s="124">
        <f t="shared" si="5"/>
        <v>83724.903756988846</v>
      </c>
      <c r="L259" s="124">
        <f t="shared" si="5"/>
        <v>47695.905943322396</v>
      </c>
      <c r="M259" s="124">
        <f t="shared" si="5"/>
        <v>55191.819893661595</v>
      </c>
      <c r="N259" s="124">
        <f t="shared" si="5"/>
        <v>24374.174896516008</v>
      </c>
      <c r="O259" s="124">
        <f t="shared" si="5"/>
        <v>11916.448248088227</v>
      </c>
      <c r="P259" s="124">
        <f t="shared" si="5"/>
        <v>80462.056152266246</v>
      </c>
      <c r="Q259" s="124">
        <f t="shared" si="5"/>
        <v>40417.103632877828</v>
      </c>
      <c r="R259" s="124">
        <f t="shared" si="5"/>
        <v>27285.022178652536</v>
      </c>
      <c r="S259" s="124">
        <f t="shared" si="5"/>
        <v>57060.006158218617</v>
      </c>
      <c r="T259" s="124">
        <f t="shared" si="5"/>
        <v>49511.916561677244</v>
      </c>
      <c r="U259" s="124">
        <f t="shared" si="5"/>
        <v>41864.481386517007</v>
      </c>
      <c r="V259" s="124">
        <f t="shared" si="5"/>
        <v>49806.074207879145</v>
      </c>
      <c r="W259" s="124">
        <f t="shared" si="5"/>
        <v>19343.429357290486</v>
      </c>
      <c r="X259" s="124">
        <f t="shared" si="5"/>
        <v>49806.074207879057</v>
      </c>
      <c r="Y259" s="124">
        <f t="shared" si="5"/>
        <v>80268.719058467614</v>
      </c>
      <c r="Z259" s="124">
        <f t="shared" si="5"/>
        <v>74795.304481960236</v>
      </c>
      <c r="AA259" s="124">
        <f t="shared" si="5"/>
        <v>83850.468066723057</v>
      </c>
      <c r="AB259" s="124">
        <f t="shared" si="5"/>
        <v>74101.986292335496</v>
      </c>
      <c r="AC259" s="124">
        <f t="shared" si="5"/>
        <v>53477.753982889764</v>
      </c>
      <c r="AD259" s="124">
        <f t="shared" si="5"/>
        <v>49806.074207879057</v>
      </c>
      <c r="AE259" s="124">
        <f t="shared" si="5"/>
        <v>4.0590160451595025</v>
      </c>
      <c r="AF259" s="124">
        <f t="shared" si="5"/>
        <v>99608.089399712946</v>
      </c>
      <c r="AG259" s="124">
        <f t="shared" si="5"/>
        <v>34039.365921766606</v>
      </c>
      <c r="AH259" s="124">
        <f t="shared" si="5"/>
        <v>60929.348717222289</v>
      </c>
      <c r="AI259" s="124">
        <f t="shared" si="5"/>
        <v>69145.444549124368</v>
      </c>
      <c r="AJ259" s="124">
        <f t="shared" si="5"/>
        <v>58263.64651572828</v>
      </c>
      <c r="AK259" s="124">
        <f t="shared" si="5"/>
        <v>50422.028550680821</v>
      </c>
      <c r="AL259" s="124">
        <f t="shared" si="5"/>
        <v>69145.444549124368</v>
      </c>
      <c r="AM259" s="124">
        <f t="shared" si="5"/>
        <v>43585.052919887785</v>
      </c>
      <c r="AN259" s="124">
        <f t="shared" si="5"/>
        <v>71519.85856365427</v>
      </c>
      <c r="AO259" s="124">
        <f t="shared" si="5"/>
        <v>2381.1517252819772</v>
      </c>
      <c r="AP259" s="124">
        <f t="shared" si="5"/>
        <v>69145.44454912447</v>
      </c>
      <c r="AQ259" s="124">
        <f t="shared" si="5"/>
        <v>11827.747862242386</v>
      </c>
      <c r="AR259" s="124">
        <f t="shared" si="5"/>
        <v>99608.089399712946</v>
      </c>
      <c r="AS259" s="124">
        <f t="shared" si="5"/>
        <v>22646.356099665925</v>
      </c>
      <c r="AT259" s="124">
        <f t="shared" si="5"/>
        <v>99608.089399712946</v>
      </c>
      <c r="AU259" s="124">
        <f t="shared" si="5"/>
        <v>78144.876202550164</v>
      </c>
      <c r="AV259" s="124">
        <f t="shared" si="5"/>
        <v>55910.130450560828</v>
      </c>
      <c r="AW259" s="124">
        <f t="shared" si="5"/>
        <v>30961.341919399201</v>
      </c>
      <c r="AX259" s="124">
        <f t="shared" si="5"/>
        <v>69145.444549124368</v>
      </c>
      <c r="AY259" s="124">
        <f>AZ$14*$B$259</f>
        <v>32968.839222021241</v>
      </c>
      <c r="AZ259" s="139">
        <f>SUM($D259:$AY259)</f>
        <v>2526159.4982056962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20025.763283027016</v>
      </c>
      <c r="E260" s="125">
        <f t="shared" ref="E260:AY260" si="6">(E$175-E$176+E$177-E$178+E$179-E$180+E$181-E$182)*$B$260</f>
        <v>22556.066000794206</v>
      </c>
      <c r="F260" s="125">
        <f t="shared" si="6"/>
        <v>25838.801534388964</v>
      </c>
      <c r="G260" s="125">
        <f t="shared" si="6"/>
        <v>27477.629086403653</v>
      </c>
      <c r="H260" s="125">
        <f t="shared" si="6"/>
        <v>43633.160858112387</v>
      </c>
      <c r="I260" s="125">
        <f t="shared" si="6"/>
        <v>38484.513603130828</v>
      </c>
      <c r="J260" s="125">
        <f t="shared" si="6"/>
        <v>37874.614942209409</v>
      </c>
      <c r="K260" s="125">
        <f t="shared" si="6"/>
        <v>41044.703136690405</v>
      </c>
      <c r="L260" s="125">
        <f t="shared" si="6"/>
        <v>38502.641995145801</v>
      </c>
      <c r="M260" s="125">
        <f t="shared" si="6"/>
        <v>37878.567692123273</v>
      </c>
      <c r="N260" s="125">
        <f t="shared" si="6"/>
        <v>43233.576614565747</v>
      </c>
      <c r="O260" s="125">
        <f t="shared" si="6"/>
        <v>42166.780697553259</v>
      </c>
      <c r="P260" s="125">
        <f t="shared" si="6"/>
        <v>53830.741603331182</v>
      </c>
      <c r="Q260" s="125">
        <f t="shared" si="6"/>
        <v>47220.662565246726</v>
      </c>
      <c r="R260" s="125">
        <f t="shared" si="6"/>
        <v>41163.745134725941</v>
      </c>
      <c r="S260" s="125">
        <f t="shared" si="6"/>
        <v>46246.008564882475</v>
      </c>
      <c r="T260" s="125">
        <f t="shared" si="6"/>
        <v>43419.090855543356</v>
      </c>
      <c r="U260" s="125">
        <f t="shared" si="6"/>
        <v>38429.323939259702</v>
      </c>
      <c r="V260" s="125">
        <f t="shared" si="6"/>
        <v>39811.133905925293</v>
      </c>
      <c r="W260" s="125">
        <f t="shared" si="6"/>
        <v>37557.629086403656</v>
      </c>
      <c r="X260" s="125">
        <f t="shared" si="6"/>
        <v>37977.629086403656</v>
      </c>
      <c r="Y260" s="125">
        <f t="shared" si="6"/>
        <v>53377.625883622903</v>
      </c>
      <c r="Z260" s="125">
        <f t="shared" si="6"/>
        <v>49045.789062346346</v>
      </c>
      <c r="AA260" s="125">
        <f t="shared" si="6"/>
        <v>63419.956793840953</v>
      </c>
      <c r="AB260" s="125">
        <f t="shared" si="6"/>
        <v>49139.816649938271</v>
      </c>
      <c r="AC260" s="125">
        <f t="shared" si="6"/>
        <v>55670.411809553094</v>
      </c>
      <c r="AD260" s="125">
        <f t="shared" si="6"/>
        <v>51638.019415240044</v>
      </c>
      <c r="AE260" s="125">
        <f t="shared" si="6"/>
        <v>51221.690117134312</v>
      </c>
      <c r="AF260" s="125">
        <f t="shared" si="6"/>
        <v>57165.407132334192</v>
      </c>
      <c r="AG260" s="125">
        <f t="shared" si="6"/>
        <v>46572.464616227786</v>
      </c>
      <c r="AH260" s="125">
        <f t="shared" si="6"/>
        <v>49802.472347686715</v>
      </c>
      <c r="AI260" s="125">
        <f t="shared" si="6"/>
        <v>51839.964427678176</v>
      </c>
      <c r="AJ260" s="125">
        <f t="shared" si="6"/>
        <v>49207.363002422106</v>
      </c>
      <c r="AK260" s="125">
        <f t="shared" si="6"/>
        <v>55524.626148058785</v>
      </c>
      <c r="AL260" s="125">
        <f t="shared" si="6"/>
        <v>56197.343580080822</v>
      </c>
      <c r="AM260" s="125">
        <f t="shared" si="6"/>
        <v>52248.276504412264</v>
      </c>
      <c r="AN260" s="125">
        <f t="shared" si="6"/>
        <v>49525.579986385463</v>
      </c>
      <c r="AO260" s="125">
        <f t="shared" si="6"/>
        <v>51344.866225744132</v>
      </c>
      <c r="AP260" s="125">
        <f t="shared" si="6"/>
        <v>53917.909352633447</v>
      </c>
      <c r="AQ260" s="125">
        <f t="shared" si="6"/>
        <v>48672.943775118118</v>
      </c>
      <c r="AR260" s="125">
        <f t="shared" si="6"/>
        <v>51825.407132334192</v>
      </c>
      <c r="AS260" s="125">
        <f t="shared" si="6"/>
        <v>44419.827076262976</v>
      </c>
      <c r="AT260" s="125">
        <f t="shared" si="6"/>
        <v>53805.407132334192</v>
      </c>
      <c r="AU260" s="125">
        <f t="shared" si="6"/>
        <v>52546.626812072289</v>
      </c>
      <c r="AV260" s="125">
        <f t="shared" si="6"/>
        <v>60225.515608890157</v>
      </c>
      <c r="AW260" s="125">
        <f t="shared" si="6"/>
        <v>60105.531319756301</v>
      </c>
      <c r="AX260" s="125">
        <f t="shared" si="6"/>
        <v>53737.343580080822</v>
      </c>
      <c r="AY260" s="125">
        <f t="shared" si="6"/>
        <v>52153.901244517852</v>
      </c>
      <c r="AZ260" s="141">
        <f>SUM($D260:$AY260)</f>
        <v>2228724.8709225743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2000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216.7656674757711</v>
      </c>
      <c r="E9" s="117">
        <v>216.7656674757711</v>
      </c>
      <c r="F9" s="117">
        <v>216.7656674757711</v>
      </c>
      <c r="G9" s="117">
        <v>216.7656674757711</v>
      </c>
      <c r="H9" s="117">
        <v>216.7656674757711</v>
      </c>
      <c r="I9" s="117">
        <v>216.7656674757711</v>
      </c>
      <c r="J9" s="117">
        <v>216.7656674757711</v>
      </c>
      <c r="K9" s="117">
        <v>216.7656674757711</v>
      </c>
      <c r="L9" s="117">
        <v>173.4125339806169</v>
      </c>
      <c r="M9" s="117">
        <v>173.4125339806169</v>
      </c>
      <c r="N9" s="117">
        <v>81.539331812586241</v>
      </c>
      <c r="O9" s="117">
        <v>173.4125339806169</v>
      </c>
      <c r="P9" s="117">
        <v>216.7656674757711</v>
      </c>
      <c r="Q9" s="117">
        <v>216.7656674757711</v>
      </c>
      <c r="R9" s="117">
        <v>216.7656674757711</v>
      </c>
      <c r="S9" s="117">
        <v>216.7656674757711</v>
      </c>
      <c r="T9" s="117">
        <v>216.7656674757711</v>
      </c>
      <c r="U9" s="117">
        <v>216.7656674757711</v>
      </c>
      <c r="V9" s="117">
        <v>216.7656674757711</v>
      </c>
      <c r="W9" s="117">
        <v>216.7656674757711</v>
      </c>
      <c r="X9" s="117">
        <v>216.7656674757711</v>
      </c>
      <c r="Y9" s="117">
        <v>216.7656674757711</v>
      </c>
      <c r="Z9" s="117">
        <v>216.7656674757711</v>
      </c>
      <c r="AA9" s="117">
        <v>216.7656674757711</v>
      </c>
      <c r="AB9" s="117">
        <v>216.7656674757711</v>
      </c>
      <c r="AC9" s="117">
        <v>216.7656674757711</v>
      </c>
      <c r="AD9" s="117">
        <v>216.7656674757711</v>
      </c>
      <c r="AE9" s="117">
        <v>216.7656674757711</v>
      </c>
      <c r="AF9" s="117">
        <v>216.7656674757711</v>
      </c>
      <c r="AG9" s="117">
        <v>216.7656674757711</v>
      </c>
      <c r="AH9" s="117">
        <v>216.7656674757711</v>
      </c>
      <c r="AI9" s="117">
        <v>216.7656674757711</v>
      </c>
      <c r="AJ9" s="117">
        <v>216.7656674757711</v>
      </c>
      <c r="AK9" s="117">
        <v>216.7656674757711</v>
      </c>
      <c r="AL9" s="117">
        <v>216.7656674757711</v>
      </c>
      <c r="AM9" s="117">
        <v>216.7656674757711</v>
      </c>
      <c r="AN9" s="117">
        <v>216.7656674757711</v>
      </c>
      <c r="AO9" s="117">
        <v>216.7656674757711</v>
      </c>
      <c r="AP9" s="117">
        <v>216.7656674757711</v>
      </c>
      <c r="AQ9" s="117">
        <v>216.7656674757711</v>
      </c>
      <c r="AR9" s="117">
        <v>216.7656674757711</v>
      </c>
      <c r="AS9" s="117">
        <v>216.7656674757711</v>
      </c>
      <c r="AT9" s="117">
        <v>216.7656674757711</v>
      </c>
      <c r="AU9" s="117">
        <v>216.7656674757711</v>
      </c>
      <c r="AV9" s="117">
        <v>216.7656674757711</v>
      </c>
      <c r="AW9" s="117">
        <v>216.7656674757711</v>
      </c>
      <c r="AX9" s="117">
        <v>216.7656674757711</v>
      </c>
      <c r="AY9" s="117">
        <v>216.7656674757711</v>
      </c>
    </row>
    <row r="10" spans="1:53">
      <c r="A10" s="118" t="s">
        <v>133</v>
      </c>
      <c r="B10" s="119">
        <v>1</v>
      </c>
      <c r="C10" s="106" t="s">
        <v>293</v>
      </c>
      <c r="D10" s="100">
        <v>101.84599914050744</v>
      </c>
      <c r="E10" s="100">
        <v>152.01457356010673</v>
      </c>
      <c r="F10" s="100">
        <v>152.01457356010624</v>
      </c>
      <c r="G10" s="100">
        <v>152.01457356010624</v>
      </c>
      <c r="H10" s="100">
        <v>110.97458504030877</v>
      </c>
      <c r="I10" s="100">
        <v>152.01457356010624</v>
      </c>
      <c r="J10" s="100">
        <v>110.97458504030877</v>
      </c>
      <c r="K10" s="100">
        <v>152.01457356010624</v>
      </c>
      <c r="L10" s="100">
        <v>152.01457356010624</v>
      </c>
      <c r="M10" s="100">
        <v>152.01457356010624</v>
      </c>
      <c r="N10" s="100">
        <v>121.61165884808499</v>
      </c>
      <c r="O10" s="100">
        <v>121.61165884808499</v>
      </c>
      <c r="P10" s="100">
        <v>57.182333799478485</v>
      </c>
      <c r="Q10" s="100">
        <v>110.97458504030875</v>
      </c>
      <c r="R10" s="100">
        <v>152.01457356010624</v>
      </c>
      <c r="S10" s="100">
        <v>152.01457356010624</v>
      </c>
      <c r="T10" s="100">
        <v>152.01457356010624</v>
      </c>
      <c r="U10" s="100">
        <v>0</v>
      </c>
      <c r="V10" s="100">
        <v>152.01457356010673</v>
      </c>
      <c r="W10" s="100">
        <v>12.330509448923197</v>
      </c>
      <c r="X10" s="100">
        <v>152.01457356010624</v>
      </c>
      <c r="Y10" s="100">
        <v>152.01457356010624</v>
      </c>
      <c r="Z10" s="100">
        <v>152.01457356010624</v>
      </c>
      <c r="AA10" s="100">
        <v>152.01457356010624</v>
      </c>
      <c r="AB10" s="100">
        <v>152.01457356010624</v>
      </c>
      <c r="AC10" s="100">
        <v>152.01457356010624</v>
      </c>
      <c r="AD10" s="100">
        <v>152.01457356010624</v>
      </c>
      <c r="AE10" s="100">
        <v>12.330509448923197</v>
      </c>
      <c r="AF10" s="100">
        <v>152.01457356010624</v>
      </c>
      <c r="AG10" s="100">
        <v>152.01457356010624</v>
      </c>
      <c r="AH10" s="100">
        <v>152.01457356010624</v>
      </c>
      <c r="AI10" s="100">
        <v>12.330509448923197</v>
      </c>
      <c r="AJ10" s="100">
        <v>152.01457356010624</v>
      </c>
      <c r="AK10" s="100">
        <v>12.330509448923197</v>
      </c>
      <c r="AL10" s="100">
        <v>152.01457356010624</v>
      </c>
      <c r="AM10" s="100">
        <v>152.01457356010624</v>
      </c>
      <c r="AN10" s="100">
        <v>152.01457356010624</v>
      </c>
      <c r="AO10" s="100">
        <v>0</v>
      </c>
      <c r="AP10" s="100">
        <v>152.01457356010673</v>
      </c>
      <c r="AQ10" s="100">
        <v>12.330509448923197</v>
      </c>
      <c r="AR10" s="100">
        <v>152.01457356010624</v>
      </c>
      <c r="AS10" s="100">
        <v>152.01457356010624</v>
      </c>
      <c r="AT10" s="100">
        <v>152.01457356010624</v>
      </c>
      <c r="AU10" s="100">
        <v>12.330509448923197</v>
      </c>
      <c r="AV10" s="100">
        <v>152.01457356010624</v>
      </c>
      <c r="AW10" s="100">
        <v>152.01457356010624</v>
      </c>
      <c r="AX10" s="100">
        <v>152.01457356010624</v>
      </c>
      <c r="AY10" s="100">
        <v>152.01457356010624</v>
      </c>
      <c r="AZ10" s="100">
        <v>152.01457356010624</v>
      </c>
    </row>
    <row r="11" spans="1:53">
      <c r="B11" s="119">
        <v>2</v>
      </c>
      <c r="C11" s="106" t="s">
        <v>293</v>
      </c>
      <c r="E11" s="100">
        <v>49.063223362910918</v>
      </c>
      <c r="G11" s="100">
        <v>0</v>
      </c>
      <c r="K11" s="100">
        <v>0</v>
      </c>
      <c r="O11" s="100">
        <v>0</v>
      </c>
      <c r="R11" s="100">
        <v>10.637073807776233</v>
      </c>
      <c r="S11" s="100">
        <v>0</v>
      </c>
      <c r="T11" s="100">
        <v>0</v>
      </c>
      <c r="U11" s="100">
        <v>0</v>
      </c>
      <c r="Y11" s="100">
        <v>0</v>
      </c>
      <c r="AA11" s="100">
        <v>0</v>
      </c>
      <c r="AC11" s="100">
        <v>0</v>
      </c>
      <c r="AE11" s="100">
        <v>0</v>
      </c>
      <c r="AF11" s="100">
        <v>139.68406411118303</v>
      </c>
      <c r="AG11" s="100">
        <v>0</v>
      </c>
      <c r="AJ11" s="100">
        <v>139.68406411118303</v>
      </c>
      <c r="AL11" s="100">
        <v>139.68406411118303</v>
      </c>
      <c r="AM11" s="100">
        <v>0</v>
      </c>
      <c r="AP11" s="100">
        <v>0</v>
      </c>
      <c r="AR11" s="100">
        <v>139.68406411118303</v>
      </c>
      <c r="AV11" s="100">
        <v>139.68406411118303</v>
      </c>
      <c r="AW11" s="100">
        <v>0</v>
      </c>
      <c r="AY11" s="100">
        <v>0</v>
      </c>
      <c r="AZ11" s="100">
        <v>0</v>
      </c>
      <c r="BA11" s="100">
        <v>0</v>
      </c>
    </row>
    <row r="12" spans="1:53">
      <c r="B12" s="120">
        <v>3</v>
      </c>
      <c r="C12" s="106" t="s">
        <v>293</v>
      </c>
      <c r="J12" s="100">
        <v>41.039988519797475</v>
      </c>
      <c r="L12" s="100">
        <v>41.039988519797475</v>
      </c>
      <c r="X12" s="100">
        <v>0</v>
      </c>
      <c r="Y12" s="100">
        <v>139.68406411118303</v>
      </c>
      <c r="AG12" s="100">
        <v>0</v>
      </c>
      <c r="AL12" s="100">
        <v>0</v>
      </c>
      <c r="AR12" s="100">
        <v>0</v>
      </c>
      <c r="AY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90.087291953118054</v>
      </c>
      <c r="E14" s="117">
        <f t="shared" ref="E14:AZ14" si="0">D$172*SUM(D$122:D$169)</f>
        <v>43.894995466463563</v>
      </c>
      <c r="F14" s="117">
        <f t="shared" si="0"/>
        <v>109.54427283696943</v>
      </c>
      <c r="G14" s="117">
        <f t="shared" si="0"/>
        <v>88.402037955440349</v>
      </c>
      <c r="H14" s="117">
        <f t="shared" si="0"/>
        <v>88.402037955440349</v>
      </c>
      <c r="I14" s="117">
        <f t="shared" si="0"/>
        <v>64.537862245729471</v>
      </c>
      <c r="J14" s="117">
        <f t="shared" si="0"/>
        <v>88.402037955440335</v>
      </c>
      <c r="K14" s="117">
        <f t="shared" si="0"/>
        <v>88.402037955440335</v>
      </c>
      <c r="L14" s="117">
        <f t="shared" si="0"/>
        <v>88.402037955440335</v>
      </c>
      <c r="M14" s="117">
        <f t="shared" si="0"/>
        <v>112.26621366515121</v>
      </c>
      <c r="N14" s="117">
        <f t="shared" si="0"/>
        <v>88.402037955440349</v>
      </c>
      <c r="O14" s="117">
        <f t="shared" si="0"/>
        <v>70.723170954173227</v>
      </c>
      <c r="P14" s="117">
        <f t="shared" si="0"/>
        <v>70.723170954173227</v>
      </c>
      <c r="Q14" s="117">
        <f t="shared" si="0"/>
        <v>33.258425244599849</v>
      </c>
      <c r="R14" s="117">
        <f t="shared" si="0"/>
        <v>64.537862245729457</v>
      </c>
      <c r="S14" s="117">
        <f t="shared" si="0"/>
        <v>94.587346663884105</v>
      </c>
      <c r="T14" s="117">
        <f t="shared" si="0"/>
        <v>88.402037955440349</v>
      </c>
      <c r="U14" s="117">
        <f t="shared" si="0"/>
        <v>88.402037955440349</v>
      </c>
      <c r="V14" s="117">
        <f t="shared" si="0"/>
        <v>7.702949104718409E-3</v>
      </c>
      <c r="W14" s="117">
        <f t="shared" si="0"/>
        <v>88.402037955440619</v>
      </c>
      <c r="X14" s="117">
        <f t="shared" si="0"/>
        <v>7.1777206487296779</v>
      </c>
      <c r="Y14" s="117">
        <f t="shared" si="0"/>
        <v>88.402037955440321</v>
      </c>
      <c r="Z14" s="117">
        <f t="shared" si="0"/>
        <v>169.62635526215104</v>
      </c>
      <c r="AA14" s="117">
        <f t="shared" si="0"/>
        <v>119.29582450637326</v>
      </c>
      <c r="AB14" s="117">
        <f t="shared" si="0"/>
        <v>89.494329003953709</v>
      </c>
      <c r="AC14" s="117">
        <f t="shared" si="0"/>
        <v>88.402037955440321</v>
      </c>
      <c r="AD14" s="117">
        <f t="shared" si="0"/>
        <v>88.402037955440349</v>
      </c>
      <c r="AE14" s="117">
        <f t="shared" si="0"/>
        <v>88.402037955440321</v>
      </c>
      <c r="AF14" s="117">
        <f t="shared" si="0"/>
        <v>7.1777206487296779</v>
      </c>
      <c r="AG14" s="117">
        <f t="shared" si="0"/>
        <v>169.62635526215098</v>
      </c>
      <c r="AH14" s="117">
        <f t="shared" si="0"/>
        <v>122.73288095586346</v>
      </c>
      <c r="AI14" s="117">
        <f t="shared" si="0"/>
        <v>88.402037955440321</v>
      </c>
      <c r="AJ14" s="117">
        <f t="shared" si="0"/>
        <v>7.1777206487296779</v>
      </c>
      <c r="AK14" s="117">
        <f t="shared" si="0"/>
        <v>169.62635526215098</v>
      </c>
      <c r="AL14" s="117">
        <f t="shared" si="0"/>
        <v>46.383884232280835</v>
      </c>
      <c r="AM14" s="117">
        <f t="shared" si="0"/>
        <v>169.62635526215098</v>
      </c>
      <c r="AN14" s="117">
        <f t="shared" si="0"/>
        <v>105.8353276365517</v>
      </c>
      <c r="AO14" s="117">
        <f t="shared" si="0"/>
        <v>88.402037955440321</v>
      </c>
      <c r="AP14" s="117">
        <f t="shared" si="0"/>
        <v>7.7029491047068766E-3</v>
      </c>
      <c r="AQ14" s="117">
        <f t="shared" si="0"/>
        <v>88.402037955440619</v>
      </c>
      <c r="AR14" s="117">
        <f t="shared" si="0"/>
        <v>7.1777206487296779</v>
      </c>
      <c r="AS14" s="117">
        <f t="shared" si="0"/>
        <v>169.62635526215098</v>
      </c>
      <c r="AT14" s="117">
        <f t="shared" si="0"/>
        <v>126.77885455913132</v>
      </c>
      <c r="AU14" s="117">
        <f t="shared" si="0"/>
        <v>90.275350625957074</v>
      </c>
      <c r="AV14" s="117">
        <f t="shared" si="0"/>
        <v>7.1777206487296779</v>
      </c>
      <c r="AW14" s="117">
        <f t="shared" si="0"/>
        <v>169.62635526215098</v>
      </c>
      <c r="AX14" s="117">
        <f t="shared" si="0"/>
        <v>102.84879323857493</v>
      </c>
      <c r="AY14" s="117">
        <f t="shared" si="0"/>
        <v>88.402037955440321</v>
      </c>
      <c r="AZ14" s="110">
        <f t="shared" si="0"/>
        <v>88.402037955440349</v>
      </c>
      <c r="BA14" s="107">
        <f>SUM($E14:$AZ14)</f>
        <v>4112.6173889482488</v>
      </c>
    </row>
    <row r="15" spans="1:53">
      <c r="A15" s="122" t="s">
        <v>123</v>
      </c>
      <c r="B15" s="123">
        <v>1</v>
      </c>
      <c r="C15" s="124" t="s">
        <v>293</v>
      </c>
      <c r="D15" s="124">
        <v>108.1729836838206</v>
      </c>
      <c r="E15" s="124">
        <v>217.85427035016841</v>
      </c>
      <c r="F15" s="124">
        <v>217.85427035016767</v>
      </c>
      <c r="G15" s="124">
        <v>217.85427035016767</v>
      </c>
      <c r="H15" s="124">
        <v>159.04439778401928</v>
      </c>
      <c r="I15" s="124">
        <v>217.85427035016767</v>
      </c>
      <c r="J15" s="124">
        <v>159.04439778401928</v>
      </c>
      <c r="K15" s="124">
        <v>217.85427035016767</v>
      </c>
      <c r="L15" s="124">
        <v>217.85427035016767</v>
      </c>
      <c r="M15" s="124">
        <v>217.85427035016767</v>
      </c>
      <c r="N15" s="124">
        <v>174.28721284499977</v>
      </c>
      <c r="O15" s="124">
        <v>174.28721284499977</v>
      </c>
      <c r="P15" s="124">
        <v>81.960666656916175</v>
      </c>
      <c r="Q15" s="124">
        <v>159.04439778401928</v>
      </c>
      <c r="R15" s="124">
        <v>217.85427035016767</v>
      </c>
      <c r="S15" s="124">
        <v>217.85427035016767</v>
      </c>
      <c r="T15" s="124">
        <v>217.85427035016767</v>
      </c>
      <c r="U15" s="124">
        <v>1.8982824328057483E-2</v>
      </c>
      <c r="V15" s="124">
        <v>217.85427035016838</v>
      </c>
      <c r="W15" s="124">
        <v>17.688473375404858</v>
      </c>
      <c r="X15" s="124">
        <v>217.85427035016764</v>
      </c>
      <c r="Y15" s="124">
        <v>217.8542703501677</v>
      </c>
      <c r="Z15" s="124">
        <v>217.85427035016764</v>
      </c>
      <c r="AA15" s="124">
        <v>217.8542703501677</v>
      </c>
      <c r="AB15" s="124">
        <v>217.85427035016764</v>
      </c>
      <c r="AC15" s="124">
        <v>217.8542703501677</v>
      </c>
      <c r="AD15" s="124">
        <v>217.85427035016764</v>
      </c>
      <c r="AE15" s="124">
        <v>17.688473375404858</v>
      </c>
      <c r="AF15" s="124">
        <v>217.85427035016764</v>
      </c>
      <c r="AG15" s="124">
        <v>217.8542703501677</v>
      </c>
      <c r="AH15" s="124">
        <v>217.85427035016764</v>
      </c>
      <c r="AI15" s="124">
        <v>17.688473375404858</v>
      </c>
      <c r="AJ15" s="124">
        <v>217.85427035016764</v>
      </c>
      <c r="AK15" s="124">
        <v>17.688473375404858</v>
      </c>
      <c r="AL15" s="124">
        <v>217.85427035016764</v>
      </c>
      <c r="AM15" s="124">
        <v>217.8542703501677</v>
      </c>
      <c r="AN15" s="124">
        <v>217.85427035016764</v>
      </c>
      <c r="AO15" s="124">
        <v>1.8982824328057483E-2</v>
      </c>
      <c r="AP15" s="124">
        <v>217.85427035016838</v>
      </c>
      <c r="AQ15" s="124">
        <v>17.688473375404858</v>
      </c>
      <c r="AR15" s="124">
        <v>217.85427035016764</v>
      </c>
      <c r="AS15" s="124">
        <v>217.8542703501677</v>
      </c>
      <c r="AT15" s="124">
        <v>217.85427035016764</v>
      </c>
      <c r="AU15" s="124">
        <v>17.688473375404858</v>
      </c>
      <c r="AV15" s="124">
        <v>217.85427035016764</v>
      </c>
      <c r="AW15" s="124">
        <v>217.8542703501677</v>
      </c>
      <c r="AX15" s="124">
        <v>217.85427035016764</v>
      </c>
      <c r="AY15" s="124">
        <v>217.8542703501677</v>
      </c>
      <c r="AZ15" s="100">
        <v>217.83528752583959</v>
      </c>
    </row>
    <row r="16" spans="1:53">
      <c r="A16" s="110"/>
      <c r="B16" s="119">
        <v>2</v>
      </c>
      <c r="C16" s="109" t="s">
        <v>293</v>
      </c>
      <c r="D16" s="106"/>
      <c r="E16" s="110">
        <v>52.102035883029842</v>
      </c>
      <c r="F16" s="110"/>
      <c r="G16" s="110">
        <v>0</v>
      </c>
      <c r="H16" s="110"/>
      <c r="I16" s="110"/>
      <c r="J16" s="110"/>
      <c r="K16" s="110">
        <v>0</v>
      </c>
      <c r="L16" s="110"/>
      <c r="M16" s="110"/>
      <c r="N16" s="110"/>
      <c r="O16" s="110">
        <v>0</v>
      </c>
      <c r="P16" s="110"/>
      <c r="Q16" s="110"/>
      <c r="R16" s="110">
        <v>15.24281506098049</v>
      </c>
      <c r="S16" s="110">
        <v>0</v>
      </c>
      <c r="T16" s="110">
        <v>0</v>
      </c>
      <c r="U16" s="110">
        <v>0</v>
      </c>
      <c r="V16" s="110"/>
      <c r="W16" s="110"/>
      <c r="X16" s="110"/>
      <c r="Y16" s="110">
        <v>0</v>
      </c>
      <c r="Z16" s="110"/>
      <c r="AA16" s="110">
        <v>0</v>
      </c>
      <c r="AB16" s="110"/>
      <c r="AC16" s="110">
        <v>0</v>
      </c>
      <c r="AD16" s="110"/>
      <c r="AE16" s="110">
        <v>0</v>
      </c>
      <c r="AF16" s="110">
        <v>200.16579697476283</v>
      </c>
      <c r="AG16" s="110">
        <v>0</v>
      </c>
      <c r="AH16" s="110"/>
      <c r="AI16" s="110"/>
      <c r="AJ16" s="110">
        <v>200.16579697476283</v>
      </c>
      <c r="AK16" s="110"/>
      <c r="AL16" s="110">
        <v>200.16579697476283</v>
      </c>
      <c r="AM16" s="110">
        <v>0</v>
      </c>
      <c r="AN16" s="110"/>
      <c r="AO16" s="110"/>
      <c r="AP16" s="110">
        <v>0</v>
      </c>
      <c r="AQ16" s="110"/>
      <c r="AR16" s="110">
        <v>200.16579697476283</v>
      </c>
      <c r="AS16" s="110"/>
      <c r="AT16" s="110"/>
      <c r="AU16" s="110"/>
      <c r="AV16" s="110">
        <v>200.16579697476283</v>
      </c>
      <c r="AW16" s="110">
        <v>0</v>
      </c>
      <c r="AX16" s="110"/>
      <c r="AY16" s="110">
        <v>0</v>
      </c>
      <c r="AZ16" s="100">
        <v>0</v>
      </c>
      <c r="BA16" s="100">
        <v>0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>
        <v>58.809872566148385</v>
      </c>
      <c r="K17" s="110"/>
      <c r="L17" s="110">
        <v>58.809872566148385</v>
      </c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>
        <v>0</v>
      </c>
      <c r="Y17" s="110">
        <v>200.16579697476283</v>
      </c>
      <c r="Z17" s="110"/>
      <c r="AA17" s="110"/>
      <c r="AB17" s="110"/>
      <c r="AC17" s="110"/>
      <c r="AD17" s="110"/>
      <c r="AE17" s="110"/>
      <c r="AF17" s="110"/>
      <c r="AG17" s="110">
        <v>0</v>
      </c>
      <c r="AH17" s="110"/>
      <c r="AI17" s="110"/>
      <c r="AJ17" s="110"/>
      <c r="AK17" s="110"/>
      <c r="AL17" s="110">
        <v>0</v>
      </c>
      <c r="AM17" s="110"/>
      <c r="AN17" s="110"/>
      <c r="AO17" s="110"/>
      <c r="AP17" s="110"/>
      <c r="AQ17" s="110"/>
      <c r="AR17" s="110">
        <v>0</v>
      </c>
      <c r="AS17" s="110"/>
      <c r="AT17" s="110"/>
      <c r="AU17" s="110"/>
      <c r="AV17" s="110"/>
      <c r="AW17" s="110"/>
      <c r="AX17" s="110"/>
      <c r="AY17" s="110">
        <v>0</v>
      </c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216.53258344327236</v>
      </c>
      <c r="D95" s="110">
        <v>216.7656674757711</v>
      </c>
      <c r="E95" s="110">
        <v>216.7656674757711</v>
      </c>
      <c r="F95" s="110">
        <v>216.7656674757711</v>
      </c>
      <c r="G95" s="110">
        <v>216.7656674757711</v>
      </c>
      <c r="H95" s="110">
        <v>216.7656674757711</v>
      </c>
      <c r="I95" s="110">
        <v>216.7656674757711</v>
      </c>
      <c r="J95" s="110">
        <v>216.7656674757711</v>
      </c>
      <c r="K95" s="110">
        <v>216.7656674757711</v>
      </c>
      <c r="L95" s="110">
        <v>173.4125339806169</v>
      </c>
      <c r="M95" s="110">
        <v>173.4125339806169</v>
      </c>
      <c r="N95" s="110">
        <v>81.539331812586241</v>
      </c>
      <c r="O95" s="110">
        <v>173.4125339806169</v>
      </c>
      <c r="P95" s="110">
        <v>216.7656674757711</v>
      </c>
      <c r="Q95" s="110">
        <v>216.7656674757711</v>
      </c>
      <c r="R95" s="110">
        <v>216.7656674757711</v>
      </c>
      <c r="S95" s="110">
        <v>216.7656674757711</v>
      </c>
      <c r="T95" s="110">
        <v>216.7656674757711</v>
      </c>
      <c r="U95" s="110">
        <v>216.7656674757711</v>
      </c>
      <c r="V95" s="110">
        <v>216.7656674757711</v>
      </c>
      <c r="W95" s="110">
        <v>216.7656674757711</v>
      </c>
      <c r="X95" s="110">
        <v>216.7656674757711</v>
      </c>
      <c r="Y95" s="110">
        <v>216.7656674757711</v>
      </c>
      <c r="Z95" s="110">
        <v>216.7656674757711</v>
      </c>
      <c r="AA95" s="110">
        <v>216.7656674757711</v>
      </c>
      <c r="AB95" s="110">
        <v>216.7656674757711</v>
      </c>
      <c r="AC95" s="110">
        <v>216.7656674757711</v>
      </c>
      <c r="AD95" s="110">
        <v>216.7656674757711</v>
      </c>
      <c r="AE95" s="110">
        <v>216.7656674757711</v>
      </c>
      <c r="AF95" s="110">
        <v>216.7656674757711</v>
      </c>
      <c r="AG95" s="110">
        <v>216.7656674757711</v>
      </c>
      <c r="AH95" s="110">
        <v>216.7656674757711</v>
      </c>
      <c r="AI95" s="110">
        <v>216.7656674757711</v>
      </c>
      <c r="AJ95" s="110">
        <v>216.7656674757711</v>
      </c>
      <c r="AK95" s="110">
        <v>216.7656674757711</v>
      </c>
      <c r="AL95" s="110">
        <v>216.7656674757711</v>
      </c>
      <c r="AM95" s="110">
        <v>216.7656674757711</v>
      </c>
      <c r="AN95" s="110">
        <v>216.7656674757711</v>
      </c>
      <c r="AO95" s="110">
        <v>216.7656674757711</v>
      </c>
      <c r="AP95" s="110">
        <v>216.7656674757711</v>
      </c>
      <c r="AQ95" s="110">
        <v>216.7656674757711</v>
      </c>
      <c r="AR95" s="110">
        <v>216.7656674757711</v>
      </c>
      <c r="AS95" s="110">
        <v>216.7656674757711</v>
      </c>
      <c r="AT95" s="110">
        <v>216.7656674757711</v>
      </c>
      <c r="AU95" s="110">
        <v>216.7656674757711</v>
      </c>
      <c r="AV95" s="110">
        <v>216.7656674757711</v>
      </c>
      <c r="AW95" s="110">
        <v>216.7656674757711</v>
      </c>
      <c r="AX95" s="110">
        <v>216.7656674757711</v>
      </c>
      <c r="AY95" s="110">
        <v>216.7656674757711</v>
      </c>
    </row>
    <row r="96" spans="1:52">
      <c r="A96" s="109"/>
      <c r="B96" s="120">
        <v>2</v>
      </c>
      <c r="C96" s="110">
        <v>177.62681448798432</v>
      </c>
      <c r="D96" s="110">
        <v>189.15939793125668</v>
      </c>
      <c r="E96" s="110">
        <v>216.7656674757711</v>
      </c>
      <c r="F96" s="110">
        <v>216.7656674757711</v>
      </c>
      <c r="G96" s="110">
        <v>216.7656674757711</v>
      </c>
      <c r="H96" s="110">
        <v>216.7656674757711</v>
      </c>
      <c r="I96" s="110">
        <v>216.7656674757711</v>
      </c>
      <c r="J96" s="110">
        <v>216.7656674757711</v>
      </c>
      <c r="K96" s="110">
        <v>216.7656674757711</v>
      </c>
      <c r="L96" s="110">
        <v>216.7656674757711</v>
      </c>
      <c r="M96" s="110">
        <v>173.4125339806169</v>
      </c>
      <c r="N96" s="110">
        <v>173.4125339806169</v>
      </c>
      <c r="O96" s="110">
        <v>81.539331812586241</v>
      </c>
      <c r="P96" s="110">
        <v>173.4125339806169</v>
      </c>
      <c r="Q96" s="110">
        <v>216.7656674757711</v>
      </c>
      <c r="R96" s="110">
        <v>216.7656674757711</v>
      </c>
      <c r="S96" s="110">
        <v>216.7656674757711</v>
      </c>
      <c r="T96" s="110">
        <v>216.7656674757711</v>
      </c>
      <c r="U96" s="110">
        <v>216.7656674757711</v>
      </c>
      <c r="V96" s="110">
        <v>216.7656674757711</v>
      </c>
      <c r="W96" s="110">
        <v>216.7656674757711</v>
      </c>
      <c r="X96" s="110">
        <v>216.7656674757711</v>
      </c>
      <c r="Y96" s="110">
        <v>216.7656674757711</v>
      </c>
      <c r="Z96" s="110">
        <v>216.7656674757711</v>
      </c>
      <c r="AA96" s="110">
        <v>216.7656674757711</v>
      </c>
      <c r="AB96" s="110">
        <v>216.7656674757711</v>
      </c>
      <c r="AC96" s="110">
        <v>216.7656674757711</v>
      </c>
      <c r="AD96" s="110">
        <v>216.7656674757711</v>
      </c>
      <c r="AE96" s="110">
        <v>216.7656674757711</v>
      </c>
      <c r="AF96" s="110">
        <v>216.7656674757711</v>
      </c>
      <c r="AG96" s="110">
        <v>216.7656674757711</v>
      </c>
      <c r="AH96" s="110">
        <v>216.7656674757711</v>
      </c>
      <c r="AI96" s="110">
        <v>216.7656674757711</v>
      </c>
      <c r="AJ96" s="110">
        <v>216.7656674757711</v>
      </c>
      <c r="AK96" s="110">
        <v>216.7656674757711</v>
      </c>
      <c r="AL96" s="110">
        <v>216.7656674757711</v>
      </c>
      <c r="AM96" s="110">
        <v>216.7656674757711</v>
      </c>
      <c r="AN96" s="110">
        <v>216.7656674757711</v>
      </c>
      <c r="AO96" s="110">
        <v>216.7656674757711</v>
      </c>
      <c r="AP96" s="110">
        <v>216.7656674757711</v>
      </c>
      <c r="AQ96" s="110">
        <v>216.7656674757711</v>
      </c>
      <c r="AR96" s="110">
        <v>216.7656674757711</v>
      </c>
      <c r="AS96" s="110">
        <v>216.7656674757711</v>
      </c>
      <c r="AT96" s="110">
        <v>216.7656674757711</v>
      </c>
      <c r="AU96" s="110">
        <v>216.7656674757711</v>
      </c>
      <c r="AV96" s="110">
        <v>216.7656674757711</v>
      </c>
      <c r="AW96" s="110">
        <v>216.7656674757711</v>
      </c>
      <c r="AX96" s="110">
        <v>216.7656674757711</v>
      </c>
      <c r="AY96" s="110">
        <v>216.7656674757711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22.159397931256677</v>
      </c>
      <c r="F97" s="110">
        <v>58.925065407027773</v>
      </c>
      <c r="G97" s="110">
        <v>101.69073288279887</v>
      </c>
      <c r="H97" s="110">
        <v>110.45640035856997</v>
      </c>
      <c r="I97" s="110">
        <v>139.22206783434106</v>
      </c>
      <c r="J97" s="110">
        <v>168.98773531011216</v>
      </c>
      <c r="K97" s="110">
        <v>216.7656674757711</v>
      </c>
      <c r="L97" s="110">
        <v>216.7656674757711</v>
      </c>
      <c r="M97" s="110">
        <v>216.7656674757711</v>
      </c>
      <c r="N97" s="110">
        <v>173.4125339806169</v>
      </c>
      <c r="O97" s="110">
        <v>173.4125339806169</v>
      </c>
      <c r="P97" s="110">
        <v>47.649137511245485</v>
      </c>
      <c r="Q97" s="110">
        <v>39.061671491862398</v>
      </c>
      <c r="R97" s="110">
        <v>94.827338967633494</v>
      </c>
      <c r="S97" s="110">
        <v>135.59300644340459</v>
      </c>
      <c r="T97" s="110">
        <v>156.35867391917569</v>
      </c>
      <c r="U97" s="110">
        <v>191.12434139494678</v>
      </c>
      <c r="V97" s="110">
        <v>214.89000887071788</v>
      </c>
      <c r="W97" s="110">
        <v>216.7656674757711</v>
      </c>
      <c r="X97" s="110">
        <v>210.42134382226007</v>
      </c>
      <c r="Y97" s="110">
        <v>216.7656674757711</v>
      </c>
      <c r="Z97" s="110">
        <v>216.7656674757711</v>
      </c>
      <c r="AA97" s="110">
        <v>216.7656674757711</v>
      </c>
      <c r="AB97" s="110">
        <v>216.7656674757711</v>
      </c>
      <c r="AC97" s="110">
        <v>216.7656674757711</v>
      </c>
      <c r="AD97" s="110">
        <v>216.7656674757711</v>
      </c>
      <c r="AE97" s="110">
        <v>216.7656674757711</v>
      </c>
      <c r="AF97" s="110">
        <v>216.7656674757711</v>
      </c>
      <c r="AG97" s="110">
        <v>216.7656674757711</v>
      </c>
      <c r="AH97" s="110">
        <v>216.7656674757711</v>
      </c>
      <c r="AI97" s="110">
        <v>216.7656674757711</v>
      </c>
      <c r="AJ97" s="110">
        <v>216.7656674757711</v>
      </c>
      <c r="AK97" s="110">
        <v>216.7656674757711</v>
      </c>
      <c r="AL97" s="110">
        <v>216.7656674757711</v>
      </c>
      <c r="AM97" s="110">
        <v>216.7656674757711</v>
      </c>
      <c r="AN97" s="110">
        <v>216.7656674757711</v>
      </c>
      <c r="AO97" s="110">
        <v>216.7656674757711</v>
      </c>
      <c r="AP97" s="110">
        <v>216.7656674757711</v>
      </c>
      <c r="AQ97" s="110">
        <v>216.7656674757711</v>
      </c>
      <c r="AR97" s="110">
        <v>216.7656674757711</v>
      </c>
      <c r="AS97" s="110">
        <v>216.7656674757711</v>
      </c>
      <c r="AT97" s="110">
        <v>216.7656674757711</v>
      </c>
      <c r="AU97" s="110">
        <v>216.7656674757711</v>
      </c>
      <c r="AV97" s="110">
        <v>216.7656674757711</v>
      </c>
      <c r="AW97" s="110">
        <v>216.7656674757711</v>
      </c>
      <c r="AX97" s="110">
        <v>216.7656674757711</v>
      </c>
      <c r="AY97" s="110">
        <v>216.7656674757711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6.9877353101121571</v>
      </c>
      <c r="L98" s="110">
        <v>22.753402785883253</v>
      </c>
      <c r="M98" s="110">
        <v>45.519070261654349</v>
      </c>
      <c r="N98" s="110">
        <v>58.284737737425445</v>
      </c>
      <c r="O98" s="110">
        <v>4.6972717180423444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9.8900088707178782</v>
      </c>
      <c r="X98" s="110">
        <v>0</v>
      </c>
      <c r="Y98" s="110">
        <v>5.4213438222600701</v>
      </c>
      <c r="Z98" s="110">
        <v>7.187011298031166</v>
      </c>
      <c r="AA98" s="110">
        <v>35.952678773802262</v>
      </c>
      <c r="AB98" s="110">
        <v>56.718346249573358</v>
      </c>
      <c r="AC98" s="110">
        <v>93.484013725344454</v>
      </c>
      <c r="AD98" s="110">
        <v>132.24968120111555</v>
      </c>
      <c r="AE98" s="110">
        <v>139.01534867688665</v>
      </c>
      <c r="AF98" s="110">
        <v>122.78101615265774</v>
      </c>
      <c r="AG98" s="110">
        <v>161.54668362842884</v>
      </c>
      <c r="AH98" s="110">
        <v>207.31235110419993</v>
      </c>
      <c r="AI98" s="110">
        <v>202.07801857997103</v>
      </c>
      <c r="AJ98" s="110">
        <v>213.84368605574213</v>
      </c>
      <c r="AK98" s="110">
        <v>216.7656674757711</v>
      </c>
      <c r="AL98" s="110">
        <v>216.7656674757711</v>
      </c>
      <c r="AM98" s="110">
        <v>216.7656674757711</v>
      </c>
      <c r="AN98" s="110">
        <v>216.7656674757711</v>
      </c>
      <c r="AO98" s="110">
        <v>216.7656674757711</v>
      </c>
      <c r="AP98" s="110">
        <v>198.53133495154219</v>
      </c>
      <c r="AQ98" s="110">
        <v>210.29700242731329</v>
      </c>
      <c r="AR98" s="110">
        <v>216.06266990308438</v>
      </c>
      <c r="AS98" s="110">
        <v>216.7656674757711</v>
      </c>
      <c r="AT98" s="110">
        <v>216.7656674757711</v>
      </c>
      <c r="AU98" s="110">
        <v>216.7656674757711</v>
      </c>
      <c r="AV98" s="110">
        <v>216.7656674757711</v>
      </c>
      <c r="AW98" s="110">
        <v>216.7656674757711</v>
      </c>
      <c r="AX98" s="110">
        <v>216.7656674757711</v>
      </c>
      <c r="AY98" s="110">
        <v>216.7656674757711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61.843686055742126</v>
      </c>
      <c r="AL99" s="125">
        <v>18.765667475771096</v>
      </c>
      <c r="AM99" s="125">
        <v>18.765667475771096</v>
      </c>
      <c r="AN99" s="125">
        <v>38.765667475771096</v>
      </c>
      <c r="AO99" s="125">
        <v>13.765667475771096</v>
      </c>
      <c r="AP99" s="125">
        <v>0</v>
      </c>
      <c r="AQ99" s="125">
        <v>0</v>
      </c>
      <c r="AR99" s="125">
        <v>0</v>
      </c>
      <c r="AS99" s="125">
        <v>2.0626699030843838</v>
      </c>
      <c r="AT99" s="125">
        <v>29.765667475771096</v>
      </c>
      <c r="AU99" s="125">
        <v>6.765667475771096</v>
      </c>
      <c r="AV99" s="125">
        <v>0.76566747577109595</v>
      </c>
      <c r="AW99" s="125">
        <v>11.765667475771096</v>
      </c>
      <c r="AX99" s="125">
        <v>27.765667475771096</v>
      </c>
      <c r="AY99" s="125">
        <v>7.765667475771096</v>
      </c>
      <c r="AZ99" s="107">
        <f>SUM($D99:$AY99)</f>
        <v>238.56303071653747</v>
      </c>
    </row>
    <row r="100" spans="1:52">
      <c r="A100" s="131" t="s">
        <v>133</v>
      </c>
      <c r="B100" s="119">
        <v>1</v>
      </c>
      <c r="C100" s="106">
        <v>150.90922250341836</v>
      </c>
      <c r="D100" s="106">
        <v>101.84599914050744</v>
      </c>
      <c r="E100" s="106">
        <v>152.01457356010673</v>
      </c>
      <c r="F100" s="106">
        <v>152.01457356010624</v>
      </c>
      <c r="G100" s="106">
        <v>152.01457356010624</v>
      </c>
      <c r="H100" s="106">
        <v>110.97458504030877</v>
      </c>
      <c r="I100" s="106">
        <v>152.01457356010624</v>
      </c>
      <c r="J100" s="106">
        <v>110.97458504030877</v>
      </c>
      <c r="K100" s="106">
        <v>152.01457356010624</v>
      </c>
      <c r="L100" s="106">
        <v>152.01457356010624</v>
      </c>
      <c r="M100" s="106">
        <v>152.01457356010624</v>
      </c>
      <c r="N100" s="106">
        <v>121.61165884808499</v>
      </c>
      <c r="O100" s="106">
        <v>121.61165884808499</v>
      </c>
      <c r="P100" s="106">
        <v>57.182333799478485</v>
      </c>
      <c r="Q100" s="106">
        <v>110.97458504030875</v>
      </c>
      <c r="R100" s="106">
        <v>152.01457356010624</v>
      </c>
      <c r="S100" s="106">
        <v>152.01457356010624</v>
      </c>
      <c r="T100" s="106">
        <v>152.01457356010624</v>
      </c>
      <c r="U100" s="106">
        <v>0</v>
      </c>
      <c r="V100" s="106">
        <v>152.01457356010673</v>
      </c>
      <c r="W100" s="106">
        <v>12.330509448923197</v>
      </c>
      <c r="X100" s="106">
        <v>152.01457356010624</v>
      </c>
      <c r="Y100" s="106">
        <v>152.01457356010624</v>
      </c>
      <c r="Z100" s="106">
        <v>152.01457356010624</v>
      </c>
      <c r="AA100" s="106">
        <v>152.01457356010624</v>
      </c>
      <c r="AB100" s="106">
        <v>152.01457356010624</v>
      </c>
      <c r="AC100" s="106">
        <v>152.01457356010624</v>
      </c>
      <c r="AD100" s="106">
        <v>152.01457356010624</v>
      </c>
      <c r="AE100" s="106">
        <v>12.330509448923197</v>
      </c>
      <c r="AF100" s="106">
        <v>152.01457356010624</v>
      </c>
      <c r="AG100" s="106">
        <v>152.01457356010624</v>
      </c>
      <c r="AH100" s="106">
        <v>152.01457356010624</v>
      </c>
      <c r="AI100" s="106">
        <v>12.330509448923197</v>
      </c>
      <c r="AJ100" s="106">
        <v>152.01457356010624</v>
      </c>
      <c r="AK100" s="106">
        <v>12.330509448923197</v>
      </c>
      <c r="AL100" s="106">
        <v>152.01457356010624</v>
      </c>
      <c r="AM100" s="106">
        <v>152.01457356010624</v>
      </c>
      <c r="AN100" s="106">
        <v>152.01457356010624</v>
      </c>
      <c r="AO100" s="106">
        <v>0</v>
      </c>
      <c r="AP100" s="106">
        <v>152.01457356010673</v>
      </c>
      <c r="AQ100" s="106">
        <v>12.330509448923197</v>
      </c>
      <c r="AR100" s="106">
        <v>152.01457356010624</v>
      </c>
      <c r="AS100" s="106">
        <v>152.01457356010624</v>
      </c>
      <c r="AT100" s="106">
        <v>152.01457356010624</v>
      </c>
      <c r="AU100" s="106">
        <v>12.330509448923197</v>
      </c>
      <c r="AV100" s="106">
        <v>152.01457356010624</v>
      </c>
      <c r="AW100" s="106">
        <v>152.01457356010624</v>
      </c>
      <c r="AX100" s="106">
        <v>152.01457356010624</v>
      </c>
      <c r="AY100" s="106">
        <v>152.01457356010624</v>
      </c>
    </row>
    <row r="101" spans="1:52">
      <c r="A101" s="109"/>
      <c r="B101" s="119">
        <v>2</v>
      </c>
      <c r="C101" s="106">
        <v>0</v>
      </c>
      <c r="D101" s="106">
        <v>0</v>
      </c>
      <c r="E101" s="106">
        <v>49.063223362910918</v>
      </c>
      <c r="F101" s="106">
        <v>55.077796923017644</v>
      </c>
      <c r="G101" s="106">
        <v>7.0923704831238865</v>
      </c>
      <c r="H101" s="106">
        <v>0</v>
      </c>
      <c r="I101" s="106">
        <v>0</v>
      </c>
      <c r="J101" s="106">
        <v>0</v>
      </c>
      <c r="K101" s="106">
        <v>6.0145735601062427</v>
      </c>
      <c r="L101" s="106">
        <v>0</v>
      </c>
      <c r="M101" s="106">
        <v>18.054562079903718</v>
      </c>
      <c r="N101" s="106">
        <v>10.069135640009961</v>
      </c>
      <c r="O101" s="106">
        <v>1.4210854715202004E-14</v>
      </c>
      <c r="P101" s="106">
        <v>0</v>
      </c>
      <c r="Q101" s="106">
        <v>0</v>
      </c>
      <c r="R101" s="106">
        <v>10.637073807776233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71.698637671289276</v>
      </c>
      <c r="AA101" s="106">
        <v>13.713211231395519</v>
      </c>
      <c r="AB101" s="106">
        <v>0</v>
      </c>
      <c r="AC101" s="106">
        <v>0</v>
      </c>
      <c r="AD101" s="106">
        <v>0</v>
      </c>
      <c r="AE101" s="106">
        <v>0</v>
      </c>
      <c r="AF101" s="106">
        <v>139.68406411118303</v>
      </c>
      <c r="AG101" s="106">
        <v>87.698637671289276</v>
      </c>
      <c r="AH101" s="106">
        <v>21.713211231395519</v>
      </c>
      <c r="AI101" s="106">
        <v>0</v>
      </c>
      <c r="AJ101" s="106">
        <v>139.68406411118303</v>
      </c>
      <c r="AK101" s="106">
        <v>127.69863767128928</v>
      </c>
      <c r="AL101" s="106">
        <v>139.68406411118303</v>
      </c>
      <c r="AM101" s="106">
        <v>146.69863767128928</v>
      </c>
      <c r="AN101" s="106">
        <v>83.713211231395519</v>
      </c>
      <c r="AO101" s="106">
        <v>38.727784791501762</v>
      </c>
      <c r="AP101" s="106">
        <v>0</v>
      </c>
      <c r="AQ101" s="106">
        <v>0</v>
      </c>
      <c r="AR101" s="106">
        <v>139.68406411118303</v>
      </c>
      <c r="AS101" s="106">
        <v>59.698637671289276</v>
      </c>
      <c r="AT101" s="106">
        <v>0</v>
      </c>
      <c r="AU101" s="106">
        <v>0</v>
      </c>
      <c r="AV101" s="106">
        <v>139.68406411118303</v>
      </c>
      <c r="AW101" s="106">
        <v>57.698637671289276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41.039988519797475</v>
      </c>
      <c r="K102" s="106">
        <v>0</v>
      </c>
      <c r="L102" s="106">
        <v>41.039988519797475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139.68406411118303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90.087291953118054</v>
      </c>
      <c r="D109" s="106">
        <v>90.087291953118054</v>
      </c>
      <c r="E109" s="106">
        <v>43.894995466463563</v>
      </c>
      <c r="F109" s="106">
        <v>109.54427283696943</v>
      </c>
      <c r="G109" s="106">
        <v>88.402037955440349</v>
      </c>
      <c r="H109" s="106">
        <v>88.402037955440349</v>
      </c>
      <c r="I109" s="106">
        <v>64.537862245729471</v>
      </c>
      <c r="J109" s="106">
        <v>88.402037955440335</v>
      </c>
      <c r="K109" s="106">
        <v>88.402037955440335</v>
      </c>
      <c r="L109" s="106">
        <v>88.402037955440335</v>
      </c>
      <c r="M109" s="106">
        <v>112.26621366515121</v>
      </c>
      <c r="N109" s="106">
        <v>88.402037955440349</v>
      </c>
      <c r="O109" s="106">
        <v>70.723170954173227</v>
      </c>
      <c r="P109" s="106">
        <v>70.723170954173227</v>
      </c>
      <c r="Q109" s="106">
        <v>33.258425244599849</v>
      </c>
      <c r="R109" s="106">
        <v>64.537862245729457</v>
      </c>
      <c r="S109" s="106">
        <v>94.587346663884105</v>
      </c>
      <c r="T109" s="106">
        <v>88.402037955440349</v>
      </c>
      <c r="U109" s="106">
        <v>88.402037955440349</v>
      </c>
      <c r="V109" s="106">
        <v>7.702949104718409E-3</v>
      </c>
      <c r="W109" s="106">
        <v>88.402037955440619</v>
      </c>
      <c r="X109" s="106">
        <v>7.1777206487296779</v>
      </c>
      <c r="Y109" s="106">
        <v>88.402037955440321</v>
      </c>
      <c r="Z109" s="106">
        <v>169.62635526215104</v>
      </c>
      <c r="AA109" s="106">
        <v>119.29582450637326</v>
      </c>
      <c r="AB109" s="106">
        <v>89.494329003953709</v>
      </c>
      <c r="AC109" s="106">
        <v>88.402037955440321</v>
      </c>
      <c r="AD109" s="106">
        <v>88.402037955440349</v>
      </c>
      <c r="AE109" s="106">
        <v>88.402037955440321</v>
      </c>
      <c r="AF109" s="106">
        <v>7.1777206487296779</v>
      </c>
      <c r="AG109" s="106">
        <v>169.62635526215098</v>
      </c>
      <c r="AH109" s="106">
        <v>122.73288095586346</v>
      </c>
      <c r="AI109" s="106">
        <v>88.402037955440321</v>
      </c>
      <c r="AJ109" s="106">
        <v>7.1777206487296779</v>
      </c>
      <c r="AK109" s="106">
        <v>169.62635526215098</v>
      </c>
      <c r="AL109" s="106">
        <v>46.383884232280835</v>
      </c>
      <c r="AM109" s="106">
        <v>169.62635526215098</v>
      </c>
      <c r="AN109" s="106">
        <v>105.8353276365517</v>
      </c>
      <c r="AO109" s="106">
        <v>88.402037955440321</v>
      </c>
      <c r="AP109" s="106">
        <v>7.7029491047068766E-3</v>
      </c>
      <c r="AQ109" s="106">
        <v>88.402037955440619</v>
      </c>
      <c r="AR109" s="106">
        <v>7.1777206487296779</v>
      </c>
      <c r="AS109" s="106">
        <v>169.62635526215098</v>
      </c>
      <c r="AT109" s="106">
        <v>126.77885455913132</v>
      </c>
      <c r="AU109" s="106">
        <v>90.275350625957074</v>
      </c>
      <c r="AV109" s="106">
        <v>7.1777206487296779</v>
      </c>
      <c r="AW109" s="106">
        <v>169.62635526215098</v>
      </c>
      <c r="AX109" s="106">
        <v>102.84879323857493</v>
      </c>
      <c r="AY109" s="106">
        <v>88.402037955440321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35.626355262151037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50.62635526215098</v>
      </c>
      <c r="AI110" s="106">
        <v>12.566585522864131</v>
      </c>
      <c r="AJ110" s="106">
        <v>0</v>
      </c>
      <c r="AK110" s="106">
        <v>0</v>
      </c>
      <c r="AL110" s="106">
        <v>0.81853885779941038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28.593237154403027</v>
      </c>
      <c r="AU110" s="106">
        <v>0</v>
      </c>
      <c r="AV110" s="106">
        <v>0</v>
      </c>
      <c r="AW110" s="106">
        <v>0</v>
      </c>
      <c r="AX110" s="106">
        <v>1.6081712632623351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220.76984106785579</v>
      </c>
      <c r="D122" s="106">
        <v>108.1729836838206</v>
      </c>
      <c r="E122" s="106">
        <v>217.85427035016841</v>
      </c>
      <c r="F122" s="106">
        <v>217.85427035016767</v>
      </c>
      <c r="G122" s="106">
        <v>217.85427035016767</v>
      </c>
      <c r="H122" s="106">
        <v>159.04439778401928</v>
      </c>
      <c r="I122" s="106">
        <v>217.85427035016767</v>
      </c>
      <c r="J122" s="106">
        <v>159.04439778401928</v>
      </c>
      <c r="K122" s="106">
        <v>217.85427035016767</v>
      </c>
      <c r="L122" s="106">
        <v>217.85427035016767</v>
      </c>
      <c r="M122" s="106">
        <v>217.85427035016767</v>
      </c>
      <c r="N122" s="106">
        <v>174.28721284499977</v>
      </c>
      <c r="O122" s="106">
        <v>174.28721284499977</v>
      </c>
      <c r="P122" s="106">
        <v>81.960666656916175</v>
      </c>
      <c r="Q122" s="106">
        <v>159.04439778401928</v>
      </c>
      <c r="R122" s="106">
        <v>217.85427035016767</v>
      </c>
      <c r="S122" s="106">
        <v>217.85427035016767</v>
      </c>
      <c r="T122" s="106">
        <v>217.85427035016767</v>
      </c>
      <c r="U122" s="106">
        <v>1.8982824328057483E-2</v>
      </c>
      <c r="V122" s="106">
        <v>217.85427035016838</v>
      </c>
      <c r="W122" s="106">
        <v>17.688473375404858</v>
      </c>
      <c r="X122" s="106">
        <v>217.85427035016764</v>
      </c>
      <c r="Y122" s="106">
        <v>217.8542703501677</v>
      </c>
      <c r="Z122" s="106">
        <v>217.85427035016764</v>
      </c>
      <c r="AA122" s="106">
        <v>217.8542703501677</v>
      </c>
      <c r="AB122" s="106">
        <v>217.85427035016764</v>
      </c>
      <c r="AC122" s="106">
        <v>217.8542703501677</v>
      </c>
      <c r="AD122" s="106">
        <v>217.85427035016764</v>
      </c>
      <c r="AE122" s="106">
        <v>17.688473375404858</v>
      </c>
      <c r="AF122" s="106">
        <v>217.85427035016764</v>
      </c>
      <c r="AG122" s="106">
        <v>217.8542703501677</v>
      </c>
      <c r="AH122" s="106">
        <v>217.85427035016764</v>
      </c>
      <c r="AI122" s="106">
        <v>17.688473375404858</v>
      </c>
      <c r="AJ122" s="106">
        <v>217.85427035016764</v>
      </c>
      <c r="AK122" s="106">
        <v>17.688473375404858</v>
      </c>
      <c r="AL122" s="106">
        <v>217.85427035016764</v>
      </c>
      <c r="AM122" s="106">
        <v>217.8542703501677</v>
      </c>
      <c r="AN122" s="106">
        <v>217.85427035016764</v>
      </c>
      <c r="AO122" s="106">
        <v>1.8982824328057483E-2</v>
      </c>
      <c r="AP122" s="106">
        <v>217.85427035016838</v>
      </c>
      <c r="AQ122" s="106">
        <v>17.688473375404858</v>
      </c>
      <c r="AR122" s="106">
        <v>217.85427035016764</v>
      </c>
      <c r="AS122" s="106">
        <v>217.8542703501677</v>
      </c>
      <c r="AT122" s="106">
        <v>217.85427035016764</v>
      </c>
      <c r="AU122" s="106">
        <v>17.688473375404858</v>
      </c>
      <c r="AV122" s="106">
        <v>217.85427035016764</v>
      </c>
      <c r="AW122" s="106">
        <v>217.8542703501677</v>
      </c>
      <c r="AX122" s="106">
        <v>217.85427035016764</v>
      </c>
      <c r="AY122" s="106">
        <v>217.8542703501677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52.102035883029842</v>
      </c>
      <c r="F123" s="106">
        <v>2.8421709430404007E-14</v>
      </c>
      <c r="G123" s="106">
        <v>2.8421709430404007E-14</v>
      </c>
      <c r="H123" s="106">
        <v>2.8421709430404007E-14</v>
      </c>
      <c r="I123" s="106">
        <v>0</v>
      </c>
      <c r="J123" s="106">
        <v>0</v>
      </c>
      <c r="K123" s="106">
        <v>0</v>
      </c>
      <c r="L123" s="106">
        <v>0</v>
      </c>
      <c r="M123" s="106">
        <v>2.8421709430404007E-14</v>
      </c>
      <c r="N123" s="106">
        <v>2.8421709430404007E-14</v>
      </c>
      <c r="O123" s="106">
        <v>0</v>
      </c>
      <c r="P123" s="106">
        <v>0</v>
      </c>
      <c r="Q123" s="106">
        <v>0</v>
      </c>
      <c r="R123" s="106">
        <v>15.24281506098049</v>
      </c>
      <c r="S123" s="106">
        <v>2.8421709430404007E-14</v>
      </c>
      <c r="T123" s="106">
        <v>2.8421709430404007E-14</v>
      </c>
      <c r="U123" s="106">
        <v>2.8421709430404007E-14</v>
      </c>
      <c r="V123" s="106">
        <v>0</v>
      </c>
      <c r="W123" s="106">
        <v>0</v>
      </c>
      <c r="X123" s="106">
        <v>0</v>
      </c>
      <c r="Y123" s="106">
        <v>0</v>
      </c>
      <c r="Z123" s="106">
        <v>76.133350351038189</v>
      </c>
      <c r="AA123" s="106">
        <v>2.6917961948325626</v>
      </c>
      <c r="AB123" s="106">
        <v>0</v>
      </c>
      <c r="AC123" s="106">
        <v>0</v>
      </c>
      <c r="AD123" s="106">
        <v>0</v>
      </c>
      <c r="AE123" s="106">
        <v>0</v>
      </c>
      <c r="AF123" s="106">
        <v>200.16579697476283</v>
      </c>
      <c r="AG123" s="106">
        <v>84.603487943719585</v>
      </c>
      <c r="AH123" s="106">
        <v>0</v>
      </c>
      <c r="AI123" s="106">
        <v>0</v>
      </c>
      <c r="AJ123" s="106">
        <v>200.16579697476283</v>
      </c>
      <c r="AK123" s="106">
        <v>96.61802327486069</v>
      </c>
      <c r="AL123" s="106">
        <v>200.16579697476283</v>
      </c>
      <c r="AM123" s="106">
        <v>42.961867069127777</v>
      </c>
      <c r="AN123" s="106">
        <v>0</v>
      </c>
      <c r="AO123" s="106">
        <v>0</v>
      </c>
      <c r="AP123" s="106">
        <v>0</v>
      </c>
      <c r="AQ123" s="106">
        <v>0</v>
      </c>
      <c r="AR123" s="106">
        <v>200.16579697476283</v>
      </c>
      <c r="AS123" s="106">
        <v>94.574215401838217</v>
      </c>
      <c r="AT123" s="106">
        <v>4.6165130851266412</v>
      </c>
      <c r="AU123" s="106">
        <v>0</v>
      </c>
      <c r="AV123" s="106">
        <v>200.16579697476283</v>
      </c>
      <c r="AW123" s="106">
        <v>35.601977102848309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58.809872566148385</v>
      </c>
      <c r="K124" s="106">
        <v>0</v>
      </c>
      <c r="L124" s="106">
        <v>58.809872566148385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200.16579697476283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0.40805977626911838</v>
      </c>
      <c r="D172" s="134">
        <v>0.40578519674343533</v>
      </c>
      <c r="E172" s="134">
        <v>0.40578519674343533</v>
      </c>
      <c r="F172" s="134">
        <v>0.40578519674343533</v>
      </c>
      <c r="G172" s="134">
        <v>0.40578519674343533</v>
      </c>
      <c r="H172" s="134">
        <v>0.40578519674343533</v>
      </c>
      <c r="I172" s="134">
        <v>0.40578519674343533</v>
      </c>
      <c r="J172" s="134">
        <v>0.40578519674343533</v>
      </c>
      <c r="K172" s="134">
        <v>0.40578519674343533</v>
      </c>
      <c r="L172" s="134">
        <v>0.40578519674343533</v>
      </c>
      <c r="M172" s="134">
        <v>0.40578519674343533</v>
      </c>
      <c r="N172" s="134">
        <v>0.40578519674343533</v>
      </c>
      <c r="O172" s="134">
        <v>0.40578519674343533</v>
      </c>
      <c r="P172" s="134">
        <v>0.40578519674343533</v>
      </c>
      <c r="Q172" s="134">
        <v>0.40578519674343533</v>
      </c>
      <c r="R172" s="134">
        <v>0.40578519674343533</v>
      </c>
      <c r="S172" s="134">
        <v>0.40578519674343533</v>
      </c>
      <c r="T172" s="134">
        <v>0.40578519674343533</v>
      </c>
      <c r="U172" s="134">
        <v>0.40578519674343533</v>
      </c>
      <c r="V172" s="134">
        <v>0.40578519674343533</v>
      </c>
      <c r="W172" s="134">
        <v>0.40578519674343533</v>
      </c>
      <c r="X172" s="134">
        <v>0.40578519674343533</v>
      </c>
      <c r="Y172" s="134">
        <v>0.40578519674343533</v>
      </c>
      <c r="Z172" s="134">
        <v>0.40578519674343533</v>
      </c>
      <c r="AA172" s="134">
        <v>0.40578519674343533</v>
      </c>
      <c r="AB172" s="134">
        <v>0.40578519674343533</v>
      </c>
      <c r="AC172" s="134">
        <v>0.40578519674343533</v>
      </c>
      <c r="AD172" s="134">
        <v>0.40578519674343533</v>
      </c>
      <c r="AE172" s="134">
        <v>0.40578519674343533</v>
      </c>
      <c r="AF172" s="134">
        <v>0.40578519674343533</v>
      </c>
      <c r="AG172" s="134">
        <v>0.40578519674343533</v>
      </c>
      <c r="AH172" s="134">
        <v>0.40578519674343533</v>
      </c>
      <c r="AI172" s="134">
        <v>0.40578519674343533</v>
      </c>
      <c r="AJ172" s="134">
        <v>0.40578519674343533</v>
      </c>
      <c r="AK172" s="134">
        <v>0.40578519674343533</v>
      </c>
      <c r="AL172" s="134">
        <v>0.40578519674343533</v>
      </c>
      <c r="AM172" s="134">
        <v>0.40578519674343533</v>
      </c>
      <c r="AN172" s="134">
        <v>0.40578519674343533</v>
      </c>
      <c r="AO172" s="134">
        <v>0.40578519674343533</v>
      </c>
      <c r="AP172" s="134">
        <v>0.40578519674343533</v>
      </c>
      <c r="AQ172" s="134">
        <v>0.40578519674343533</v>
      </c>
      <c r="AR172" s="134">
        <v>0.40578519674343533</v>
      </c>
      <c r="AS172" s="134">
        <v>0.40578519674343533</v>
      </c>
      <c r="AT172" s="134">
        <v>0.40578519674343533</v>
      </c>
      <c r="AU172" s="134">
        <v>0.40578519674343533</v>
      </c>
      <c r="AV172" s="134">
        <v>0.40578519674343533</v>
      </c>
      <c r="AW172" s="134">
        <v>0.40578519674343533</v>
      </c>
      <c r="AX172" s="134">
        <v>0.40578519674343533</v>
      </c>
      <c r="AY172" s="134">
        <v>0.40578519674343533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405.92506540702777</v>
      </c>
      <c r="E175" s="124">
        <f t="shared" si="1"/>
        <v>455.6907328827989</v>
      </c>
      <c r="F175" s="124">
        <f t="shared" si="1"/>
        <v>492.45640035856997</v>
      </c>
      <c r="G175" s="124">
        <f t="shared" si="1"/>
        <v>535.22206783434103</v>
      </c>
      <c r="H175" s="124">
        <f t="shared" si="1"/>
        <v>543.98773531011216</v>
      </c>
      <c r="I175" s="124">
        <f t="shared" si="1"/>
        <v>572.75340278588328</v>
      </c>
      <c r="J175" s="124">
        <f t="shared" si="1"/>
        <v>602.51907026165441</v>
      </c>
      <c r="K175" s="124">
        <f t="shared" si="1"/>
        <v>657.28473773742542</v>
      </c>
      <c r="L175" s="124">
        <f t="shared" si="1"/>
        <v>629.69727171804243</v>
      </c>
      <c r="M175" s="124">
        <f t="shared" si="1"/>
        <v>609.10980569865933</v>
      </c>
      <c r="N175" s="124">
        <f t="shared" si="1"/>
        <v>486.6491375112455</v>
      </c>
      <c r="O175" s="124">
        <f t="shared" si="1"/>
        <v>433.0616714918624</v>
      </c>
      <c r="P175" s="124">
        <f t="shared" si="1"/>
        <v>437.82733896763352</v>
      </c>
      <c r="Q175" s="124">
        <f t="shared" si="1"/>
        <v>472.59300644340459</v>
      </c>
      <c r="R175" s="124">
        <f t="shared" si="1"/>
        <v>528.35867391917566</v>
      </c>
      <c r="S175" s="124">
        <f t="shared" si="1"/>
        <v>569.12434139494678</v>
      </c>
      <c r="T175" s="124">
        <f t="shared" si="1"/>
        <v>589.89000887071791</v>
      </c>
      <c r="U175" s="124">
        <f t="shared" si="1"/>
        <v>624.65567634648892</v>
      </c>
      <c r="V175" s="124">
        <f t="shared" si="1"/>
        <v>648.42134382226004</v>
      </c>
      <c r="W175" s="124">
        <f t="shared" si="1"/>
        <v>660.18701129803117</v>
      </c>
      <c r="X175" s="124">
        <f t="shared" si="1"/>
        <v>643.95267877380229</v>
      </c>
      <c r="Y175" s="124">
        <f t="shared" si="1"/>
        <v>655.7183462495733</v>
      </c>
      <c r="Z175" s="124">
        <f t="shared" si="1"/>
        <v>657.48401372534443</v>
      </c>
      <c r="AA175" s="124">
        <f t="shared" si="1"/>
        <v>686.24968120111555</v>
      </c>
      <c r="AB175" s="124">
        <f t="shared" si="1"/>
        <v>707.01534867688656</v>
      </c>
      <c r="AC175" s="124">
        <f t="shared" si="1"/>
        <v>743.78101615265768</v>
      </c>
      <c r="AD175" s="124">
        <f t="shared" si="1"/>
        <v>782.54668362842881</v>
      </c>
      <c r="AE175" s="124">
        <f t="shared" si="1"/>
        <v>789.31235110419993</v>
      </c>
      <c r="AF175" s="124">
        <f t="shared" si="1"/>
        <v>773.07801857997106</v>
      </c>
      <c r="AG175" s="124">
        <f t="shared" si="1"/>
        <v>811.84368605574207</v>
      </c>
      <c r="AH175" s="124">
        <f t="shared" si="1"/>
        <v>857.60935353151319</v>
      </c>
      <c r="AI175" s="124">
        <f t="shared" si="1"/>
        <v>852.37502100728432</v>
      </c>
      <c r="AJ175" s="124">
        <f t="shared" si="1"/>
        <v>864.14068848305533</v>
      </c>
      <c r="AK175" s="124">
        <f t="shared" si="1"/>
        <v>867.06266990308438</v>
      </c>
      <c r="AL175" s="124">
        <f t="shared" si="1"/>
        <v>867.06266990308438</v>
      </c>
      <c r="AM175" s="124">
        <f t="shared" si="1"/>
        <v>867.06266990308438</v>
      </c>
      <c r="AN175" s="124">
        <f t="shared" si="1"/>
        <v>867.06266990308438</v>
      </c>
      <c r="AO175" s="124">
        <f t="shared" si="1"/>
        <v>867.06266990308438</v>
      </c>
      <c r="AP175" s="124">
        <f t="shared" si="1"/>
        <v>848.82833737885539</v>
      </c>
      <c r="AQ175" s="124">
        <f t="shared" si="1"/>
        <v>860.59400485462652</v>
      </c>
      <c r="AR175" s="124">
        <f t="shared" si="1"/>
        <v>866.35967233039764</v>
      </c>
      <c r="AS175" s="124">
        <f t="shared" si="1"/>
        <v>867.06266990308438</v>
      </c>
      <c r="AT175" s="124">
        <f t="shared" si="1"/>
        <v>867.06266990308438</v>
      </c>
      <c r="AU175" s="124">
        <f t="shared" si="1"/>
        <v>867.06266990308438</v>
      </c>
      <c r="AV175" s="124">
        <f t="shared" si="1"/>
        <v>867.06266990308438</v>
      </c>
      <c r="AW175" s="124">
        <f t="shared" si="1"/>
        <v>867.06266990308438</v>
      </c>
      <c r="AX175" s="124">
        <f t="shared" si="1"/>
        <v>867.06266990308438</v>
      </c>
      <c r="AY175" s="124">
        <f t="shared" si="1"/>
        <v>867.06266990308438</v>
      </c>
    </row>
    <row r="176" spans="1:52">
      <c r="A176" s="125"/>
      <c r="B176" s="136" t="s">
        <v>299</v>
      </c>
      <c r="C176" s="125" t="s">
        <v>293</v>
      </c>
      <c r="D176" s="125">
        <v>167</v>
      </c>
      <c r="E176" s="125">
        <v>180</v>
      </c>
      <c r="F176" s="125">
        <v>174</v>
      </c>
      <c r="G176" s="125">
        <v>208</v>
      </c>
      <c r="H176" s="125">
        <v>188</v>
      </c>
      <c r="I176" s="125">
        <v>187</v>
      </c>
      <c r="J176" s="125">
        <v>162</v>
      </c>
      <c r="K176" s="125">
        <v>201</v>
      </c>
      <c r="L176" s="125">
        <v>194</v>
      </c>
      <c r="M176" s="125">
        <v>204</v>
      </c>
      <c r="N176" s="125">
        <v>227</v>
      </c>
      <c r="O176" s="125">
        <v>212</v>
      </c>
      <c r="P176" s="125">
        <v>182</v>
      </c>
      <c r="Q176" s="125">
        <v>161</v>
      </c>
      <c r="R176" s="125">
        <v>176</v>
      </c>
      <c r="S176" s="125">
        <v>196</v>
      </c>
      <c r="T176" s="125">
        <v>182</v>
      </c>
      <c r="U176" s="125">
        <v>193</v>
      </c>
      <c r="V176" s="125">
        <v>205</v>
      </c>
      <c r="W176" s="125">
        <v>233</v>
      </c>
      <c r="X176" s="125">
        <v>205</v>
      </c>
      <c r="Y176" s="125">
        <v>215</v>
      </c>
      <c r="Z176" s="125">
        <v>188</v>
      </c>
      <c r="AA176" s="125">
        <v>196</v>
      </c>
      <c r="AB176" s="125">
        <v>180</v>
      </c>
      <c r="AC176" s="125">
        <v>178</v>
      </c>
      <c r="AD176" s="125">
        <v>210</v>
      </c>
      <c r="AE176" s="125">
        <v>233</v>
      </c>
      <c r="AF176" s="125">
        <v>178</v>
      </c>
      <c r="AG176" s="125">
        <v>171</v>
      </c>
      <c r="AH176" s="125">
        <v>222</v>
      </c>
      <c r="AI176" s="125">
        <v>205</v>
      </c>
      <c r="AJ176" s="125">
        <v>152</v>
      </c>
      <c r="AK176" s="125">
        <v>198</v>
      </c>
      <c r="AL176" s="125">
        <v>198</v>
      </c>
      <c r="AM176" s="125">
        <v>178</v>
      </c>
      <c r="AN176" s="125">
        <v>203</v>
      </c>
      <c r="AO176" s="125">
        <v>235</v>
      </c>
      <c r="AP176" s="125">
        <v>205</v>
      </c>
      <c r="AQ176" s="125">
        <v>211</v>
      </c>
      <c r="AR176" s="125">
        <v>214</v>
      </c>
      <c r="AS176" s="125">
        <v>187</v>
      </c>
      <c r="AT176" s="125">
        <v>210</v>
      </c>
      <c r="AU176" s="125">
        <v>216</v>
      </c>
      <c r="AV176" s="125">
        <v>205</v>
      </c>
      <c r="AW176" s="125">
        <v>189</v>
      </c>
      <c r="AX176" s="125">
        <v>209</v>
      </c>
      <c r="AY176" s="125">
        <v>218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101.84599914050744</v>
      </c>
      <c r="E177" s="124">
        <f t="shared" si="2"/>
        <v>201.07779692301764</v>
      </c>
      <c r="F177" s="124">
        <f t="shared" si="2"/>
        <v>207.09237048312389</v>
      </c>
      <c r="G177" s="124">
        <f t="shared" si="2"/>
        <v>159.10694404323013</v>
      </c>
      <c r="H177" s="124">
        <f t="shared" si="2"/>
        <v>110.97458504030877</v>
      </c>
      <c r="I177" s="124">
        <f t="shared" si="2"/>
        <v>152.01457356010624</v>
      </c>
      <c r="J177" s="124">
        <f t="shared" si="2"/>
        <v>152.01457356010624</v>
      </c>
      <c r="K177" s="124">
        <f t="shared" si="2"/>
        <v>158.02914712021249</v>
      </c>
      <c r="L177" s="124">
        <f t="shared" si="2"/>
        <v>193.05456207990372</v>
      </c>
      <c r="M177" s="124">
        <f t="shared" si="2"/>
        <v>170.06913564000996</v>
      </c>
      <c r="N177" s="124">
        <f t="shared" si="2"/>
        <v>131.68079448809493</v>
      </c>
      <c r="O177" s="124">
        <f t="shared" si="2"/>
        <v>121.611658848085</v>
      </c>
      <c r="P177" s="124">
        <f t="shared" si="2"/>
        <v>57.182333799478485</v>
      </c>
      <c r="Q177" s="124">
        <f t="shared" si="2"/>
        <v>110.97458504030875</v>
      </c>
      <c r="R177" s="124">
        <f t="shared" si="2"/>
        <v>162.65164736788248</v>
      </c>
      <c r="S177" s="124">
        <f t="shared" si="2"/>
        <v>152.01457356010624</v>
      </c>
      <c r="T177" s="124">
        <f t="shared" si="2"/>
        <v>152.01457356010624</v>
      </c>
      <c r="U177" s="124">
        <f t="shared" si="2"/>
        <v>0</v>
      </c>
      <c r="V177" s="124">
        <f t="shared" si="2"/>
        <v>152.01457356010673</v>
      </c>
      <c r="W177" s="124">
        <f t="shared" si="2"/>
        <v>12.330509448923197</v>
      </c>
      <c r="X177" s="124">
        <f t="shared" si="2"/>
        <v>152.01457356010624</v>
      </c>
      <c r="Y177" s="124">
        <f t="shared" si="2"/>
        <v>291.69863767128925</v>
      </c>
      <c r="Z177" s="124">
        <f t="shared" si="2"/>
        <v>223.71321123139552</v>
      </c>
      <c r="AA177" s="124">
        <f t="shared" si="2"/>
        <v>165.72778479150176</v>
      </c>
      <c r="AB177" s="124">
        <f t="shared" si="2"/>
        <v>152.01457356010624</v>
      </c>
      <c r="AC177" s="124">
        <f t="shared" si="2"/>
        <v>152.01457356010624</v>
      </c>
      <c r="AD177" s="124">
        <f t="shared" si="2"/>
        <v>152.01457356010624</v>
      </c>
      <c r="AE177" s="124">
        <f t="shared" si="2"/>
        <v>12.330509448923197</v>
      </c>
      <c r="AF177" s="124">
        <f t="shared" si="2"/>
        <v>291.69863767128925</v>
      </c>
      <c r="AG177" s="124">
        <f t="shared" si="2"/>
        <v>239.71321123139552</v>
      </c>
      <c r="AH177" s="124">
        <f t="shared" si="2"/>
        <v>173.72778479150176</v>
      </c>
      <c r="AI177" s="124">
        <f t="shared" si="2"/>
        <v>12.330509448923197</v>
      </c>
      <c r="AJ177" s="124">
        <f t="shared" si="2"/>
        <v>291.69863767128925</v>
      </c>
      <c r="AK177" s="124">
        <f t="shared" si="2"/>
        <v>140.02914712021249</v>
      </c>
      <c r="AL177" s="124">
        <f t="shared" si="2"/>
        <v>291.69863767128925</v>
      </c>
      <c r="AM177" s="124">
        <f t="shared" si="2"/>
        <v>298.71321123139552</v>
      </c>
      <c r="AN177" s="124">
        <f t="shared" si="2"/>
        <v>235.72778479150176</v>
      </c>
      <c r="AO177" s="124">
        <f t="shared" si="2"/>
        <v>38.727784791501762</v>
      </c>
      <c r="AP177" s="124">
        <f t="shared" si="2"/>
        <v>152.01457356010673</v>
      </c>
      <c r="AQ177" s="124">
        <f t="shared" si="2"/>
        <v>12.330509448923197</v>
      </c>
      <c r="AR177" s="124">
        <f t="shared" si="2"/>
        <v>291.69863767128925</v>
      </c>
      <c r="AS177" s="124">
        <f t="shared" si="2"/>
        <v>211.71321123139552</v>
      </c>
      <c r="AT177" s="124">
        <f t="shared" si="2"/>
        <v>152.01457356010624</v>
      </c>
      <c r="AU177" s="124">
        <f t="shared" si="2"/>
        <v>12.330509448923197</v>
      </c>
      <c r="AV177" s="124">
        <f t="shared" si="2"/>
        <v>291.69863767128925</v>
      </c>
      <c r="AW177" s="124">
        <f t="shared" si="2"/>
        <v>209.71321123139552</v>
      </c>
      <c r="AX177" s="124">
        <f t="shared" si="2"/>
        <v>152.01457356010624</v>
      </c>
      <c r="AY177" s="124">
        <f t="shared" si="2"/>
        <v>152.01457356010624</v>
      </c>
    </row>
    <row r="178" spans="1:51">
      <c r="A178" s="125"/>
      <c r="B178" s="136" t="s">
        <v>299</v>
      </c>
      <c r="C178" s="125" t="s">
        <v>293</v>
      </c>
      <c r="D178" s="125">
        <v>101.84599914050744</v>
      </c>
      <c r="E178" s="125">
        <v>146</v>
      </c>
      <c r="F178" s="125">
        <v>200</v>
      </c>
      <c r="G178" s="125">
        <v>159.10694404323013</v>
      </c>
      <c r="H178" s="125">
        <v>110.97458504030877</v>
      </c>
      <c r="I178" s="125">
        <v>152.01457356010624</v>
      </c>
      <c r="J178" s="125">
        <v>146</v>
      </c>
      <c r="K178" s="125">
        <v>158.02914712021249</v>
      </c>
      <c r="L178" s="125">
        <v>175</v>
      </c>
      <c r="M178" s="125">
        <v>160</v>
      </c>
      <c r="N178" s="125">
        <v>131.68079448809493</v>
      </c>
      <c r="O178" s="125">
        <v>121.611658848085</v>
      </c>
      <c r="P178" s="125">
        <v>57.182333799478485</v>
      </c>
      <c r="Q178" s="125">
        <v>110.97458504030875</v>
      </c>
      <c r="R178" s="125">
        <v>162.65164736788248</v>
      </c>
      <c r="S178" s="125">
        <v>152.01457356010624</v>
      </c>
      <c r="T178" s="125">
        <v>152.01457356010624</v>
      </c>
      <c r="U178" s="125">
        <v>0</v>
      </c>
      <c r="V178" s="125">
        <v>152.01457356010673</v>
      </c>
      <c r="W178" s="125">
        <v>12.330509448923197</v>
      </c>
      <c r="X178" s="125">
        <v>152.01457356010624</v>
      </c>
      <c r="Y178" s="125">
        <v>220</v>
      </c>
      <c r="Z178" s="125">
        <v>210</v>
      </c>
      <c r="AA178" s="125">
        <v>165.72778479150176</v>
      </c>
      <c r="AB178" s="125">
        <v>152.01457356010624</v>
      </c>
      <c r="AC178" s="125">
        <v>152.01457356010624</v>
      </c>
      <c r="AD178" s="125">
        <v>152.01457356010624</v>
      </c>
      <c r="AE178" s="125">
        <v>12.330509448923197</v>
      </c>
      <c r="AF178" s="125">
        <v>204</v>
      </c>
      <c r="AG178" s="125">
        <v>218</v>
      </c>
      <c r="AH178" s="125">
        <v>173.72778479150176</v>
      </c>
      <c r="AI178" s="125">
        <v>12.330509448923197</v>
      </c>
      <c r="AJ178" s="125">
        <v>164</v>
      </c>
      <c r="AK178" s="125">
        <v>140.02914712021249</v>
      </c>
      <c r="AL178" s="125">
        <v>145</v>
      </c>
      <c r="AM178" s="125">
        <v>215</v>
      </c>
      <c r="AN178" s="125">
        <v>197</v>
      </c>
      <c r="AO178" s="125">
        <v>38.727784791501762</v>
      </c>
      <c r="AP178" s="125">
        <v>152.01457356010673</v>
      </c>
      <c r="AQ178" s="125">
        <v>12.330509448923197</v>
      </c>
      <c r="AR178" s="125">
        <v>232</v>
      </c>
      <c r="AS178" s="125">
        <v>211.71321123139552</v>
      </c>
      <c r="AT178" s="125">
        <v>152.01457356010624</v>
      </c>
      <c r="AU178" s="125">
        <v>12.330509448923197</v>
      </c>
      <c r="AV178" s="125">
        <v>234</v>
      </c>
      <c r="AW178" s="125">
        <v>209.71321123139552</v>
      </c>
      <c r="AX178" s="125">
        <v>152.01457356010624</v>
      </c>
      <c r="AY178" s="125">
        <v>152.01457356010624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90.087291953118054</v>
      </c>
      <c r="E179" s="124">
        <f t="shared" si="3"/>
        <v>43.894995466463563</v>
      </c>
      <c r="F179" s="124">
        <f t="shared" si="3"/>
        <v>109.54427283696943</v>
      </c>
      <c r="G179" s="124">
        <f t="shared" si="3"/>
        <v>88.402037955440349</v>
      </c>
      <c r="H179" s="124">
        <f t="shared" si="3"/>
        <v>88.402037955440349</v>
      </c>
      <c r="I179" s="124">
        <f t="shared" si="3"/>
        <v>64.537862245729471</v>
      </c>
      <c r="J179" s="124">
        <f t="shared" si="3"/>
        <v>88.402037955440335</v>
      </c>
      <c r="K179" s="124">
        <f t="shared" si="3"/>
        <v>88.402037955440335</v>
      </c>
      <c r="L179" s="124">
        <f t="shared" si="3"/>
        <v>88.402037955440335</v>
      </c>
      <c r="M179" s="124">
        <f t="shared" si="3"/>
        <v>112.26621366515121</v>
      </c>
      <c r="N179" s="124">
        <f t="shared" si="3"/>
        <v>88.402037955440349</v>
      </c>
      <c r="O179" s="124">
        <f t="shared" si="3"/>
        <v>70.723170954173227</v>
      </c>
      <c r="P179" s="124">
        <f t="shared" si="3"/>
        <v>70.723170954173227</v>
      </c>
      <c r="Q179" s="124">
        <f t="shared" si="3"/>
        <v>33.258425244599849</v>
      </c>
      <c r="R179" s="124">
        <f t="shared" si="3"/>
        <v>64.537862245729457</v>
      </c>
      <c r="S179" s="124">
        <f t="shared" si="3"/>
        <v>94.587346663884105</v>
      </c>
      <c r="T179" s="124">
        <f t="shared" si="3"/>
        <v>88.402037955440349</v>
      </c>
      <c r="U179" s="124">
        <f t="shared" si="3"/>
        <v>88.402037955440349</v>
      </c>
      <c r="V179" s="124">
        <f t="shared" si="3"/>
        <v>7.702949104718409E-3</v>
      </c>
      <c r="W179" s="124">
        <f t="shared" si="3"/>
        <v>88.402037955440619</v>
      </c>
      <c r="X179" s="124">
        <f t="shared" si="3"/>
        <v>7.1777206487296779</v>
      </c>
      <c r="Y179" s="124">
        <f t="shared" si="3"/>
        <v>88.402037955440321</v>
      </c>
      <c r="Z179" s="124">
        <f t="shared" si="3"/>
        <v>169.62635526215104</v>
      </c>
      <c r="AA179" s="124">
        <f t="shared" si="3"/>
        <v>154.9221797685243</v>
      </c>
      <c r="AB179" s="124">
        <f t="shared" si="3"/>
        <v>89.494329003953709</v>
      </c>
      <c r="AC179" s="124">
        <f t="shared" si="3"/>
        <v>88.402037955440321</v>
      </c>
      <c r="AD179" s="124">
        <f t="shared" si="3"/>
        <v>88.402037955440349</v>
      </c>
      <c r="AE179" s="124">
        <f t="shared" si="3"/>
        <v>88.402037955440321</v>
      </c>
      <c r="AF179" s="124">
        <f t="shared" si="3"/>
        <v>7.1777206487296779</v>
      </c>
      <c r="AG179" s="124">
        <f t="shared" si="3"/>
        <v>169.62635526215098</v>
      </c>
      <c r="AH179" s="124">
        <f t="shared" si="3"/>
        <v>173.35923621801444</v>
      </c>
      <c r="AI179" s="124">
        <f t="shared" si="3"/>
        <v>100.96862347830445</v>
      </c>
      <c r="AJ179" s="124">
        <f t="shared" si="3"/>
        <v>7.1777206487296779</v>
      </c>
      <c r="AK179" s="124">
        <f t="shared" si="3"/>
        <v>169.62635526215098</v>
      </c>
      <c r="AL179" s="124">
        <f t="shared" si="3"/>
        <v>47.202423090080245</v>
      </c>
      <c r="AM179" s="124">
        <f t="shared" si="3"/>
        <v>169.62635526215098</v>
      </c>
      <c r="AN179" s="124">
        <f t="shared" si="3"/>
        <v>105.8353276365517</v>
      </c>
      <c r="AO179" s="124">
        <f t="shared" si="3"/>
        <v>88.402037955440321</v>
      </c>
      <c r="AP179" s="124">
        <f t="shared" si="3"/>
        <v>7.7029491047068766E-3</v>
      </c>
      <c r="AQ179" s="124">
        <f t="shared" si="3"/>
        <v>88.402037955440619</v>
      </c>
      <c r="AR179" s="124">
        <f t="shared" si="3"/>
        <v>7.1777206487296779</v>
      </c>
      <c r="AS179" s="124">
        <f t="shared" si="3"/>
        <v>169.62635526215098</v>
      </c>
      <c r="AT179" s="124">
        <f t="shared" si="3"/>
        <v>155.37209171353436</v>
      </c>
      <c r="AU179" s="124">
        <f t="shared" si="3"/>
        <v>90.275350625957074</v>
      </c>
      <c r="AV179" s="124">
        <f t="shared" si="3"/>
        <v>7.1777206487296779</v>
      </c>
      <c r="AW179" s="124">
        <f t="shared" si="3"/>
        <v>169.62635526215098</v>
      </c>
      <c r="AX179" s="124">
        <f t="shared" si="3"/>
        <v>104.45696450183726</v>
      </c>
      <c r="AY179" s="124">
        <f t="shared" si="3"/>
        <v>88.402037955440321</v>
      </c>
    </row>
    <row r="180" spans="1:51">
      <c r="A180" s="125"/>
      <c r="B180" s="136" t="s">
        <v>299</v>
      </c>
      <c r="C180" s="125" t="s">
        <v>293</v>
      </c>
      <c r="D180" s="125">
        <v>90.087291953118054</v>
      </c>
      <c r="E180" s="125">
        <v>43.894995466463563</v>
      </c>
      <c r="F180" s="125">
        <v>109.54427283696943</v>
      </c>
      <c r="G180" s="125">
        <v>88.402037955440349</v>
      </c>
      <c r="H180" s="125">
        <v>88.402037955440349</v>
      </c>
      <c r="I180" s="125">
        <v>64.537862245729471</v>
      </c>
      <c r="J180" s="125">
        <v>88.402037955440335</v>
      </c>
      <c r="K180" s="125">
        <v>88.402037955440335</v>
      </c>
      <c r="L180" s="125">
        <v>88.402037955440335</v>
      </c>
      <c r="M180" s="125">
        <v>112.26621366515121</v>
      </c>
      <c r="N180" s="125">
        <v>88.402037955440349</v>
      </c>
      <c r="O180" s="125">
        <v>70.723170954173227</v>
      </c>
      <c r="P180" s="125">
        <v>70.723170954173227</v>
      </c>
      <c r="Q180" s="125">
        <v>33.258425244599849</v>
      </c>
      <c r="R180" s="125">
        <v>64.537862245729457</v>
      </c>
      <c r="S180" s="125">
        <v>94.587346663884105</v>
      </c>
      <c r="T180" s="125">
        <v>88.402037955440349</v>
      </c>
      <c r="U180" s="125">
        <v>88.402037955440349</v>
      </c>
      <c r="V180" s="125">
        <v>7.702949104718409E-3</v>
      </c>
      <c r="W180" s="125">
        <v>88.402037955440619</v>
      </c>
      <c r="X180" s="125">
        <v>7.1777206487296779</v>
      </c>
      <c r="Y180" s="125">
        <v>88.402037955440321</v>
      </c>
      <c r="Z180" s="125">
        <v>134</v>
      </c>
      <c r="AA180" s="125">
        <v>154.9221797685243</v>
      </c>
      <c r="AB180" s="125">
        <v>89.494329003953709</v>
      </c>
      <c r="AC180" s="125">
        <v>88.402037955440321</v>
      </c>
      <c r="AD180" s="125">
        <v>88.402037955440349</v>
      </c>
      <c r="AE180" s="125">
        <v>88.402037955440321</v>
      </c>
      <c r="AF180" s="125">
        <v>7.1777206487296779</v>
      </c>
      <c r="AG180" s="125">
        <v>119</v>
      </c>
      <c r="AH180" s="125">
        <v>160.79265069515031</v>
      </c>
      <c r="AI180" s="125">
        <v>100.96862347830445</v>
      </c>
      <c r="AJ180" s="125">
        <v>7.1777206487296779</v>
      </c>
      <c r="AK180" s="125">
        <v>168.80781640435157</v>
      </c>
      <c r="AL180" s="125">
        <v>47.202423090080245</v>
      </c>
      <c r="AM180" s="125">
        <v>169.62635526215098</v>
      </c>
      <c r="AN180" s="125">
        <v>105.8353276365517</v>
      </c>
      <c r="AO180" s="125">
        <v>88.402037955440321</v>
      </c>
      <c r="AP180" s="125">
        <v>7.7029491047068766E-3</v>
      </c>
      <c r="AQ180" s="125">
        <v>88.402037955440619</v>
      </c>
      <c r="AR180" s="125">
        <v>7.1777206487296779</v>
      </c>
      <c r="AS180" s="125">
        <v>141.03311810774795</v>
      </c>
      <c r="AT180" s="125">
        <v>155.37209171353436</v>
      </c>
      <c r="AU180" s="125">
        <v>90.275350625957074</v>
      </c>
      <c r="AV180" s="125">
        <v>7.1777206487296779</v>
      </c>
      <c r="AW180" s="125">
        <v>168.01818399888865</v>
      </c>
      <c r="AX180" s="125">
        <v>104.45696450183726</v>
      </c>
      <c r="AY180" s="125">
        <v>88.402037955440321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64.277988217357034</v>
      </c>
      <c r="E181" s="124">
        <f t="shared" si="4"/>
        <v>160.41203339622879</v>
      </c>
      <c r="F181" s="124">
        <f t="shared" si="4"/>
        <v>129.45223239472733</v>
      </c>
      <c r="G181" s="124">
        <f t="shared" si="4"/>
        <v>129.45223239472733</v>
      </c>
      <c r="H181" s="124">
        <f t="shared" si="4"/>
        <v>94.506535538289839</v>
      </c>
      <c r="I181" s="124">
        <f t="shared" si="4"/>
        <v>129.45223239472733</v>
      </c>
      <c r="J181" s="124">
        <f t="shared" si="4"/>
        <v>129.45223239472733</v>
      </c>
      <c r="K181" s="124">
        <f t="shared" si="4"/>
        <v>129.45223239472733</v>
      </c>
      <c r="L181" s="124">
        <f t="shared" si="4"/>
        <v>164.39792925116481</v>
      </c>
      <c r="M181" s="124">
        <f t="shared" si="4"/>
        <v>129.45223239472733</v>
      </c>
      <c r="N181" s="124">
        <f t="shared" si="4"/>
        <v>103.56404189082656</v>
      </c>
      <c r="O181" s="124">
        <f t="shared" si="4"/>
        <v>103.56404189082654</v>
      </c>
      <c r="P181" s="124">
        <f t="shared" si="4"/>
        <v>48.702241412316319</v>
      </c>
      <c r="Q181" s="124">
        <f t="shared" si="4"/>
        <v>94.506535538289825</v>
      </c>
      <c r="R181" s="124">
        <f t="shared" si="4"/>
        <v>138.50973874726404</v>
      </c>
      <c r="S181" s="124">
        <f t="shared" si="4"/>
        <v>129.45223239472733</v>
      </c>
      <c r="T181" s="124">
        <f t="shared" si="4"/>
        <v>129.45223239472733</v>
      </c>
      <c r="U181" s="124">
        <f t="shared" si="4"/>
        <v>1.1279875223367495E-2</v>
      </c>
      <c r="V181" s="124">
        <f t="shared" si="4"/>
        <v>129.45223239472773</v>
      </c>
      <c r="W181" s="124">
        <f t="shared" si="4"/>
        <v>10.510752726675179</v>
      </c>
      <c r="X181" s="124">
        <f t="shared" si="4"/>
        <v>129.4522323947273</v>
      </c>
      <c r="Y181" s="124">
        <f t="shared" si="4"/>
        <v>248.39371206277951</v>
      </c>
      <c r="Z181" s="124">
        <f t="shared" si="4"/>
        <v>174.69179619483259</v>
      </c>
      <c r="AA181" s="124">
        <f t="shared" si="4"/>
        <v>131.05173754104655</v>
      </c>
      <c r="AB181" s="124">
        <f t="shared" si="4"/>
        <v>129.4522323947273</v>
      </c>
      <c r="AC181" s="124">
        <f t="shared" si="4"/>
        <v>129.45223239472733</v>
      </c>
      <c r="AD181" s="124">
        <f t="shared" si="4"/>
        <v>129.4522323947273</v>
      </c>
      <c r="AE181" s="124">
        <f t="shared" si="4"/>
        <v>10.510752726675179</v>
      </c>
      <c r="AF181" s="124">
        <f t="shared" si="4"/>
        <v>248.39371206277943</v>
      </c>
      <c r="AG181" s="124">
        <f t="shared" si="4"/>
        <v>179.72487733802382</v>
      </c>
      <c r="AH181" s="124">
        <f t="shared" si="4"/>
        <v>129.4522323947273</v>
      </c>
      <c r="AI181" s="124">
        <f t="shared" si="4"/>
        <v>10.510752726675179</v>
      </c>
      <c r="AJ181" s="124">
        <f t="shared" si="4"/>
        <v>248.39371206277943</v>
      </c>
      <c r="AK181" s="124">
        <f t="shared" si="4"/>
        <v>67.922612417984709</v>
      </c>
      <c r="AL181" s="124">
        <f t="shared" si="4"/>
        <v>248.39371206277943</v>
      </c>
      <c r="AM181" s="124">
        <f t="shared" si="4"/>
        <v>154.98080978274379</v>
      </c>
      <c r="AN181" s="124">
        <f t="shared" si="4"/>
        <v>129.4522323947273</v>
      </c>
      <c r="AO181" s="124">
        <f t="shared" si="4"/>
        <v>1.1279875223350605E-2</v>
      </c>
      <c r="AP181" s="124">
        <f t="shared" si="4"/>
        <v>129.45223239472773</v>
      </c>
      <c r="AQ181" s="124">
        <f t="shared" si="4"/>
        <v>10.510752726675179</v>
      </c>
      <c r="AR181" s="124">
        <f t="shared" si="4"/>
        <v>248.39371206277943</v>
      </c>
      <c r="AS181" s="124">
        <f t="shared" si="4"/>
        <v>185.64963119287461</v>
      </c>
      <c r="AT181" s="124">
        <f t="shared" si="4"/>
        <v>132.19543280933718</v>
      </c>
      <c r="AU181" s="124">
        <f t="shared" si="4"/>
        <v>10.510752726675179</v>
      </c>
      <c r="AV181" s="124">
        <f t="shared" si="4"/>
        <v>248.39371206277943</v>
      </c>
      <c r="AW181" s="124">
        <f t="shared" si="4"/>
        <v>150.60745421444105</v>
      </c>
      <c r="AX181" s="124">
        <f t="shared" si="4"/>
        <v>129.4522323947273</v>
      </c>
      <c r="AY181" s="124">
        <f t="shared" si="4"/>
        <v>129.45223239472733</v>
      </c>
    </row>
    <row r="182" spans="1:51">
      <c r="A182" s="125"/>
      <c r="B182" s="136" t="s">
        <v>299</v>
      </c>
      <c r="C182" s="125" t="s">
        <v>293</v>
      </c>
      <c r="D182" s="125">
        <v>64.277988217357034</v>
      </c>
      <c r="E182" s="125">
        <v>160.41203339622879</v>
      </c>
      <c r="F182" s="125">
        <v>129.45223239472733</v>
      </c>
      <c r="G182" s="125">
        <v>129.45223239472733</v>
      </c>
      <c r="H182" s="125">
        <v>94.506535538289839</v>
      </c>
      <c r="I182" s="125">
        <v>129.45223239472733</v>
      </c>
      <c r="J182" s="125">
        <v>129.45223239472733</v>
      </c>
      <c r="K182" s="125">
        <v>129.45223239472733</v>
      </c>
      <c r="L182" s="125">
        <v>164.39792925116481</v>
      </c>
      <c r="M182" s="125">
        <v>129.45223239472733</v>
      </c>
      <c r="N182" s="125">
        <v>103.56404189082656</v>
      </c>
      <c r="O182" s="125">
        <v>103.56404189082654</v>
      </c>
      <c r="P182" s="125">
        <v>48.702241412316319</v>
      </c>
      <c r="Q182" s="125">
        <v>94.506535538289825</v>
      </c>
      <c r="R182" s="125">
        <v>138.50973874726404</v>
      </c>
      <c r="S182" s="125">
        <v>129.45223239472733</v>
      </c>
      <c r="T182" s="125">
        <v>129.45223239472733</v>
      </c>
      <c r="U182" s="125">
        <v>1.1279875223367495E-2</v>
      </c>
      <c r="V182" s="125">
        <v>129.45223239472773</v>
      </c>
      <c r="W182" s="125">
        <v>10.510752726675179</v>
      </c>
      <c r="X182" s="125">
        <v>129.4522323947273</v>
      </c>
      <c r="Y182" s="125">
        <v>172.2603617117413</v>
      </c>
      <c r="Z182" s="125">
        <v>172</v>
      </c>
      <c r="AA182" s="125">
        <v>131.05173754104655</v>
      </c>
      <c r="AB182" s="125">
        <v>129.4522323947273</v>
      </c>
      <c r="AC182" s="125">
        <v>129.45223239472733</v>
      </c>
      <c r="AD182" s="125">
        <v>129.4522323947273</v>
      </c>
      <c r="AE182" s="125">
        <v>10.510752726675179</v>
      </c>
      <c r="AF182" s="125">
        <v>163.79022411905987</v>
      </c>
      <c r="AG182" s="125">
        <v>179.72487733802382</v>
      </c>
      <c r="AH182" s="125">
        <v>129.4522323947273</v>
      </c>
      <c r="AI182" s="125">
        <v>10.510752726675179</v>
      </c>
      <c r="AJ182" s="125">
        <v>151.77568878791877</v>
      </c>
      <c r="AK182" s="125">
        <v>67.922612417984709</v>
      </c>
      <c r="AL182" s="125">
        <v>205.43184499365168</v>
      </c>
      <c r="AM182" s="125">
        <v>154.98080978274379</v>
      </c>
      <c r="AN182" s="125">
        <v>129.4522323947273</v>
      </c>
      <c r="AO182" s="125">
        <v>1.1279875223350605E-2</v>
      </c>
      <c r="AP182" s="125">
        <v>129.45223239472773</v>
      </c>
      <c r="AQ182" s="125">
        <v>10.510752726675179</v>
      </c>
      <c r="AR182" s="125">
        <v>153.81949666094124</v>
      </c>
      <c r="AS182" s="125">
        <v>181.03311810774795</v>
      </c>
      <c r="AT182" s="125">
        <v>132.19543280933718</v>
      </c>
      <c r="AU182" s="125">
        <v>10.510752726675179</v>
      </c>
      <c r="AV182" s="125">
        <v>212.79173495993115</v>
      </c>
      <c r="AW182" s="125">
        <v>150.60745421444105</v>
      </c>
      <c r="AX182" s="125">
        <v>129.4522323947273</v>
      </c>
      <c r="AY182" s="125">
        <v>129.45223239472733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27.373185512015681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177.62681448798432</v>
      </c>
      <c r="D186" s="106">
        <v>167</v>
      </c>
      <c r="E186" s="106">
        <v>157.84060206874332</v>
      </c>
      <c r="F186" s="106">
        <v>115.07493459297223</v>
      </c>
      <c r="G186" s="106">
        <v>106.30926711720113</v>
      </c>
      <c r="H186" s="106">
        <v>77.543599641430035</v>
      </c>
      <c r="I186" s="106">
        <v>47.777932165658939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33.890194301340756</v>
      </c>
      <c r="P186" s="106">
        <v>134.3508624887545</v>
      </c>
      <c r="Q186" s="106">
        <v>121.9383285081376</v>
      </c>
      <c r="R186" s="106">
        <v>81.172661032366506</v>
      </c>
      <c r="S186" s="106">
        <v>60.40699355659541</v>
      </c>
      <c r="T186" s="106">
        <v>25.641326080824314</v>
      </c>
      <c r="U186" s="106">
        <v>1.8756586050532178</v>
      </c>
      <c r="V186" s="106">
        <v>0</v>
      </c>
      <c r="W186" s="106">
        <v>6.3443236535110259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22.159397931256677</v>
      </c>
      <c r="F187" s="106">
        <v>58.925065407027773</v>
      </c>
      <c r="G187" s="106">
        <v>101.69073288279887</v>
      </c>
      <c r="H187" s="106">
        <v>110.45640035856997</v>
      </c>
      <c r="I187" s="106">
        <v>139.22206783434106</v>
      </c>
      <c r="J187" s="106">
        <v>162</v>
      </c>
      <c r="K187" s="106">
        <v>194.01226468988784</v>
      </c>
      <c r="L187" s="106">
        <v>171.24659721411675</v>
      </c>
      <c r="M187" s="106">
        <v>158.48092973834565</v>
      </c>
      <c r="N187" s="106">
        <v>168.71526226257456</v>
      </c>
      <c r="O187" s="106">
        <v>173.4125339806169</v>
      </c>
      <c r="P187" s="106">
        <v>47.649137511245485</v>
      </c>
      <c r="Q187" s="106">
        <v>39.061671491862398</v>
      </c>
      <c r="R187" s="106">
        <v>94.827338967633494</v>
      </c>
      <c r="S187" s="106">
        <v>135.59300644340459</v>
      </c>
      <c r="T187" s="106">
        <v>156.35867391917569</v>
      </c>
      <c r="U187" s="106">
        <v>191.12434139494678</v>
      </c>
      <c r="V187" s="106">
        <v>205</v>
      </c>
      <c r="W187" s="106">
        <v>216.7656674757711</v>
      </c>
      <c r="X187" s="106">
        <v>205</v>
      </c>
      <c r="Y187" s="106">
        <v>209.57865617773993</v>
      </c>
      <c r="Z187" s="106">
        <v>180.81298870196883</v>
      </c>
      <c r="AA187" s="106">
        <v>160.04732122619774</v>
      </c>
      <c r="AB187" s="106">
        <v>123.28165375042664</v>
      </c>
      <c r="AC187" s="106">
        <v>84.515986274655546</v>
      </c>
      <c r="AD187" s="106">
        <v>77.75031879888445</v>
      </c>
      <c r="AE187" s="106">
        <v>93.984651323113354</v>
      </c>
      <c r="AF187" s="106">
        <v>55.218983847342258</v>
      </c>
      <c r="AG187" s="106">
        <v>9.4533163715711623</v>
      </c>
      <c r="AH187" s="106">
        <v>14.687648895800066</v>
      </c>
      <c r="AI187" s="106">
        <v>2.9219814200289704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18.234332524228904</v>
      </c>
      <c r="AP187" s="106">
        <v>6.4686650484578081</v>
      </c>
      <c r="AQ187" s="106">
        <v>0.70299757268671215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1.234332524228904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6.9877353101121571</v>
      </c>
      <c r="L188" s="106">
        <v>22.753402785883253</v>
      </c>
      <c r="M188" s="106">
        <v>45.519070261654349</v>
      </c>
      <c r="N188" s="106">
        <v>58.284737737425445</v>
      </c>
      <c r="O188" s="106">
        <v>4.6972717180423444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9.8900088707178782</v>
      </c>
      <c r="X188" s="106">
        <v>0</v>
      </c>
      <c r="Y188" s="106">
        <v>5.4213438222600701</v>
      </c>
      <c r="Z188" s="106">
        <v>7.187011298031166</v>
      </c>
      <c r="AA188" s="106">
        <v>35.952678773802262</v>
      </c>
      <c r="AB188" s="106">
        <v>56.718346249573358</v>
      </c>
      <c r="AC188" s="106">
        <v>93.484013725344454</v>
      </c>
      <c r="AD188" s="106">
        <v>132.24968120111555</v>
      </c>
      <c r="AE188" s="106">
        <v>139.01534867688665</v>
      </c>
      <c r="AF188" s="106">
        <v>122.78101615265774</v>
      </c>
      <c r="AG188" s="106">
        <v>161.54668362842884</v>
      </c>
      <c r="AH188" s="106">
        <v>207.31235110419993</v>
      </c>
      <c r="AI188" s="106">
        <v>202.07801857997103</v>
      </c>
      <c r="AJ188" s="106">
        <v>152</v>
      </c>
      <c r="AK188" s="106">
        <v>198</v>
      </c>
      <c r="AL188" s="106">
        <v>198</v>
      </c>
      <c r="AM188" s="106">
        <v>178</v>
      </c>
      <c r="AN188" s="106">
        <v>203</v>
      </c>
      <c r="AO188" s="106">
        <v>216.7656674757711</v>
      </c>
      <c r="AP188" s="106">
        <v>198.53133495154219</v>
      </c>
      <c r="AQ188" s="106">
        <v>210.29700242731329</v>
      </c>
      <c r="AR188" s="106">
        <v>214</v>
      </c>
      <c r="AS188" s="106">
        <v>187</v>
      </c>
      <c r="AT188" s="106">
        <v>210</v>
      </c>
      <c r="AU188" s="106">
        <v>216</v>
      </c>
      <c r="AV188" s="106">
        <v>205</v>
      </c>
      <c r="AW188" s="106">
        <v>189</v>
      </c>
      <c r="AX188" s="106">
        <v>209</v>
      </c>
      <c r="AY188" s="106">
        <v>216.7656674757711</v>
      </c>
    </row>
    <row r="189" spans="1:51">
      <c r="A189" s="126" t="s">
        <v>133</v>
      </c>
      <c r="B189" s="123">
        <v>1</v>
      </c>
      <c r="C189" s="124">
        <v>150.90922250341836</v>
      </c>
      <c r="D189" s="124">
        <v>101.84599914050744</v>
      </c>
      <c r="E189" s="124">
        <v>96.936776637089082</v>
      </c>
      <c r="F189" s="124">
        <v>144.92220307698236</v>
      </c>
      <c r="G189" s="124">
        <v>152.01457356010624</v>
      </c>
      <c r="H189" s="124">
        <v>110.97458504030877</v>
      </c>
      <c r="I189" s="124">
        <v>152.01457356010624</v>
      </c>
      <c r="J189" s="124">
        <v>104.96001148020252</v>
      </c>
      <c r="K189" s="124">
        <v>152.01457356010624</v>
      </c>
      <c r="L189" s="124">
        <v>133.96001148020252</v>
      </c>
      <c r="M189" s="124">
        <v>141.94543792009628</v>
      </c>
      <c r="N189" s="124">
        <v>121.61165884808497</v>
      </c>
      <c r="O189" s="124">
        <v>121.61165884808499</v>
      </c>
      <c r="P189" s="124">
        <v>57.182333799478485</v>
      </c>
      <c r="Q189" s="124">
        <v>110.97458504030875</v>
      </c>
      <c r="R189" s="124">
        <v>152.01457356010624</v>
      </c>
      <c r="S189" s="124">
        <v>152.01457356010624</v>
      </c>
      <c r="T189" s="124">
        <v>152.01457356010624</v>
      </c>
      <c r="U189" s="124">
        <v>0</v>
      </c>
      <c r="V189" s="124">
        <v>152.01457356010673</v>
      </c>
      <c r="W189" s="124">
        <v>12.330509448923197</v>
      </c>
      <c r="X189" s="124">
        <v>152.01457356010624</v>
      </c>
      <c r="Y189" s="124">
        <v>80.315935888816966</v>
      </c>
      <c r="Z189" s="124">
        <v>138.30136232871072</v>
      </c>
      <c r="AA189" s="124">
        <v>152.01457356010624</v>
      </c>
      <c r="AB189" s="124">
        <v>152.01457356010624</v>
      </c>
      <c r="AC189" s="124">
        <v>152.01457356010624</v>
      </c>
      <c r="AD189" s="124">
        <v>152.01457356010624</v>
      </c>
      <c r="AE189" s="124">
        <v>12.330509448923197</v>
      </c>
      <c r="AF189" s="124">
        <v>64.315935888816966</v>
      </c>
      <c r="AG189" s="124">
        <v>130.30136232871072</v>
      </c>
      <c r="AH189" s="124">
        <v>152.01457356010624</v>
      </c>
      <c r="AI189" s="124">
        <v>12.330509448923197</v>
      </c>
      <c r="AJ189" s="124">
        <v>24.315935888816966</v>
      </c>
      <c r="AK189" s="124">
        <v>12.330509448923197</v>
      </c>
      <c r="AL189" s="124">
        <v>5.3159358888169663</v>
      </c>
      <c r="AM189" s="124">
        <v>68.301362328710724</v>
      </c>
      <c r="AN189" s="124">
        <v>113.28678876860448</v>
      </c>
      <c r="AO189" s="124">
        <v>0</v>
      </c>
      <c r="AP189" s="124">
        <v>152.01457356010673</v>
      </c>
      <c r="AQ189" s="124">
        <v>12.330509448923197</v>
      </c>
      <c r="AR189" s="124">
        <v>92.315935888816966</v>
      </c>
      <c r="AS189" s="124">
        <v>152.01457356010624</v>
      </c>
      <c r="AT189" s="124">
        <v>152.01457356010624</v>
      </c>
      <c r="AU189" s="124">
        <v>12.330509448923197</v>
      </c>
      <c r="AV189" s="124">
        <v>94.315935888816966</v>
      </c>
      <c r="AW189" s="124">
        <v>152.01457356010624</v>
      </c>
      <c r="AX189" s="124">
        <v>152.01457356010624</v>
      </c>
      <c r="AY189" s="124">
        <v>152.01457356010624</v>
      </c>
    </row>
    <row r="190" spans="1:51">
      <c r="A190" s="109"/>
      <c r="B190" s="119">
        <v>2</v>
      </c>
      <c r="C190" s="106">
        <v>0</v>
      </c>
      <c r="D190" s="106">
        <v>0</v>
      </c>
      <c r="E190" s="106">
        <v>49.063223362910918</v>
      </c>
      <c r="F190" s="106">
        <v>55.077796923017644</v>
      </c>
      <c r="G190" s="106">
        <v>7.0923704831238865</v>
      </c>
      <c r="H190" s="106">
        <v>0</v>
      </c>
      <c r="I190" s="106">
        <v>0</v>
      </c>
      <c r="J190" s="106">
        <v>0</v>
      </c>
      <c r="K190" s="106">
        <v>6.0145735601062427</v>
      </c>
      <c r="L190" s="106">
        <v>0</v>
      </c>
      <c r="M190" s="106">
        <v>18.054562079903718</v>
      </c>
      <c r="N190" s="106">
        <v>10.069135640009961</v>
      </c>
      <c r="O190" s="106">
        <v>1.4210854715202004E-14</v>
      </c>
      <c r="P190" s="106">
        <v>0</v>
      </c>
      <c r="Q190" s="106">
        <v>0</v>
      </c>
      <c r="R190" s="106">
        <v>10.637073807776233</v>
      </c>
      <c r="S190" s="106">
        <v>0</v>
      </c>
      <c r="T190" s="106">
        <v>0</v>
      </c>
      <c r="U190" s="106">
        <v>0</v>
      </c>
      <c r="V190" s="106">
        <v>0</v>
      </c>
      <c r="W190" s="106">
        <v>0</v>
      </c>
      <c r="X190" s="106">
        <v>0</v>
      </c>
      <c r="Y190" s="106">
        <v>0</v>
      </c>
      <c r="Z190" s="106">
        <v>71.698637671289276</v>
      </c>
      <c r="AA190" s="106">
        <v>13.713211231395519</v>
      </c>
      <c r="AB190" s="106">
        <v>0</v>
      </c>
      <c r="AC190" s="106">
        <v>0</v>
      </c>
      <c r="AD190" s="106">
        <v>0</v>
      </c>
      <c r="AE190" s="106">
        <v>0</v>
      </c>
      <c r="AF190" s="106">
        <v>139.68406411118303</v>
      </c>
      <c r="AG190" s="106">
        <v>87.698637671289276</v>
      </c>
      <c r="AH190" s="106">
        <v>21.713211231395519</v>
      </c>
      <c r="AI190" s="106">
        <v>0</v>
      </c>
      <c r="AJ190" s="106">
        <v>139.68406411118303</v>
      </c>
      <c r="AK190" s="106">
        <v>127.69863767128928</v>
      </c>
      <c r="AL190" s="106">
        <v>139.68406411118303</v>
      </c>
      <c r="AM190" s="106">
        <v>146.69863767128928</v>
      </c>
      <c r="AN190" s="106">
        <v>83.713211231395519</v>
      </c>
      <c r="AO190" s="106">
        <v>38.727784791501762</v>
      </c>
      <c r="AP190" s="106">
        <v>0</v>
      </c>
      <c r="AQ190" s="106">
        <v>0</v>
      </c>
      <c r="AR190" s="106">
        <v>139.68406411118303</v>
      </c>
      <c r="AS190" s="106">
        <v>59.698637671289276</v>
      </c>
      <c r="AT190" s="106">
        <v>0</v>
      </c>
      <c r="AU190" s="106">
        <v>0</v>
      </c>
      <c r="AV190" s="106">
        <v>139.68406411118303</v>
      </c>
      <c r="AW190" s="106">
        <v>57.698637671289276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41.039988519797475</v>
      </c>
      <c r="K191" s="106">
        <v>0</v>
      </c>
      <c r="L191" s="106">
        <v>41.039988519797475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139.68406411118303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90.087291953118054</v>
      </c>
      <c r="D197" s="106">
        <v>90.087291953118054</v>
      </c>
      <c r="E197" s="106">
        <v>43.894995466463563</v>
      </c>
      <c r="F197" s="106">
        <v>109.54427283696943</v>
      </c>
      <c r="G197" s="106">
        <v>88.402037955440349</v>
      </c>
      <c r="H197" s="106">
        <v>88.402037955440349</v>
      </c>
      <c r="I197" s="106">
        <v>64.537862245729471</v>
      </c>
      <c r="J197" s="106">
        <v>88.402037955440335</v>
      </c>
      <c r="K197" s="106">
        <v>88.402037955440335</v>
      </c>
      <c r="L197" s="106">
        <v>88.402037955440335</v>
      </c>
      <c r="M197" s="106">
        <v>112.26621366515121</v>
      </c>
      <c r="N197" s="106">
        <v>88.402037955440349</v>
      </c>
      <c r="O197" s="106">
        <v>70.723170954173227</v>
      </c>
      <c r="P197" s="106">
        <v>70.723170954173227</v>
      </c>
      <c r="Q197" s="106">
        <v>33.258425244599849</v>
      </c>
      <c r="R197" s="106">
        <v>64.537862245729457</v>
      </c>
      <c r="S197" s="106">
        <v>94.587346663884105</v>
      </c>
      <c r="T197" s="106">
        <v>88.402037955440349</v>
      </c>
      <c r="U197" s="106">
        <v>88.402037955440349</v>
      </c>
      <c r="V197" s="106">
        <v>7.702949104718409E-3</v>
      </c>
      <c r="W197" s="106">
        <v>88.402037955440619</v>
      </c>
      <c r="X197" s="106">
        <v>7.1777206487296779</v>
      </c>
      <c r="Y197" s="106">
        <v>88.402037955440321</v>
      </c>
      <c r="Z197" s="106">
        <v>134</v>
      </c>
      <c r="AA197" s="106">
        <v>119.29582450637326</v>
      </c>
      <c r="AB197" s="106">
        <v>89.494329003953709</v>
      </c>
      <c r="AC197" s="106">
        <v>88.402037955440321</v>
      </c>
      <c r="AD197" s="106">
        <v>88.402037955440349</v>
      </c>
      <c r="AE197" s="106">
        <v>88.402037955440321</v>
      </c>
      <c r="AF197" s="106">
        <v>7.1777206487296779</v>
      </c>
      <c r="AG197" s="106">
        <v>119</v>
      </c>
      <c r="AH197" s="106">
        <v>110.16629543299933</v>
      </c>
      <c r="AI197" s="106">
        <v>88.402037955440321</v>
      </c>
      <c r="AJ197" s="106">
        <v>7.1777206487296779</v>
      </c>
      <c r="AK197" s="106">
        <v>168.80781640435157</v>
      </c>
      <c r="AL197" s="106">
        <v>46.383884232280835</v>
      </c>
      <c r="AM197" s="106">
        <v>169.62635526215098</v>
      </c>
      <c r="AN197" s="106">
        <v>105.8353276365517</v>
      </c>
      <c r="AO197" s="106">
        <v>88.402037955440321</v>
      </c>
      <c r="AP197" s="106">
        <v>7.7029491047068766E-3</v>
      </c>
      <c r="AQ197" s="106">
        <v>88.402037955440619</v>
      </c>
      <c r="AR197" s="106">
        <v>7.1777206487296779</v>
      </c>
      <c r="AS197" s="106">
        <v>141.03311810774795</v>
      </c>
      <c r="AT197" s="106">
        <v>126.77885455913132</v>
      </c>
      <c r="AU197" s="106">
        <v>90.275350625957074</v>
      </c>
      <c r="AV197" s="106">
        <v>7.1777206487296779</v>
      </c>
      <c r="AW197" s="106">
        <v>168.01818399888865</v>
      </c>
      <c r="AX197" s="106">
        <v>102.84879323857493</v>
      </c>
      <c r="AY197" s="106">
        <v>88.402037955440321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0</v>
      </c>
      <c r="P198" s="106">
        <v>0</v>
      </c>
      <c r="Q198" s="106">
        <v>0</v>
      </c>
      <c r="R198" s="106">
        <v>0</v>
      </c>
      <c r="S198" s="106">
        <v>0</v>
      </c>
      <c r="T198" s="106">
        <v>0</v>
      </c>
      <c r="U198" s="106">
        <v>0</v>
      </c>
      <c r="V198" s="106">
        <v>0</v>
      </c>
      <c r="W198" s="106">
        <v>0</v>
      </c>
      <c r="X198" s="106">
        <v>0</v>
      </c>
      <c r="Y198" s="106">
        <v>0</v>
      </c>
      <c r="Z198" s="106">
        <v>0</v>
      </c>
      <c r="AA198" s="106">
        <v>35.626355262151037</v>
      </c>
      <c r="AB198" s="106">
        <v>0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50.62635526215098</v>
      </c>
      <c r="AI198" s="106">
        <v>12.566585522864131</v>
      </c>
      <c r="AJ198" s="106">
        <v>0</v>
      </c>
      <c r="AK198" s="106">
        <v>0</v>
      </c>
      <c r="AL198" s="106">
        <v>0.81853885779941038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28.593237154403027</v>
      </c>
      <c r="AU198" s="106">
        <v>0</v>
      </c>
      <c r="AV198" s="106">
        <v>0</v>
      </c>
      <c r="AW198" s="106">
        <v>0</v>
      </c>
      <c r="AX198" s="106">
        <v>1.6081712632623351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130.68254911473772</v>
      </c>
      <c r="D209" s="124">
        <v>64.277988217357034</v>
      </c>
      <c r="E209" s="124">
        <v>129.45223239472773</v>
      </c>
      <c r="F209" s="124">
        <v>129.4522323947273</v>
      </c>
      <c r="G209" s="124">
        <v>129.4522323947273</v>
      </c>
      <c r="H209" s="124">
        <v>94.506535538289825</v>
      </c>
      <c r="I209" s="124">
        <v>129.45223239472733</v>
      </c>
      <c r="J209" s="124">
        <v>94.506535538289825</v>
      </c>
      <c r="K209" s="124">
        <v>129.45223239472733</v>
      </c>
      <c r="L209" s="124">
        <v>129.4522323947273</v>
      </c>
      <c r="M209" s="124">
        <v>129.4522323947273</v>
      </c>
      <c r="N209" s="124">
        <v>103.56404189082654</v>
      </c>
      <c r="O209" s="124">
        <v>103.56404189082654</v>
      </c>
      <c r="P209" s="124">
        <v>48.702241412316319</v>
      </c>
      <c r="Q209" s="124">
        <v>94.506535538289825</v>
      </c>
      <c r="R209" s="124">
        <v>129.4522323947273</v>
      </c>
      <c r="S209" s="124">
        <v>129.4522323947273</v>
      </c>
      <c r="T209" s="124">
        <v>129.4522323947273</v>
      </c>
      <c r="U209" s="124">
        <v>1.1279875223350605E-2</v>
      </c>
      <c r="V209" s="124">
        <v>129.45223239472773</v>
      </c>
      <c r="W209" s="124">
        <v>10.510752726675179</v>
      </c>
      <c r="X209" s="124">
        <v>129.4522323947273</v>
      </c>
      <c r="Y209" s="124">
        <v>53.318882043689143</v>
      </c>
      <c r="Z209" s="124">
        <v>126.76043619989474</v>
      </c>
      <c r="AA209" s="124">
        <v>129.45223239472733</v>
      </c>
      <c r="AB209" s="124">
        <v>129.4522323947273</v>
      </c>
      <c r="AC209" s="124">
        <v>129.45223239472733</v>
      </c>
      <c r="AD209" s="124">
        <v>129.4522323947273</v>
      </c>
      <c r="AE209" s="124">
        <v>10.510752726675179</v>
      </c>
      <c r="AF209" s="124">
        <v>44.848744451007718</v>
      </c>
      <c r="AG209" s="124">
        <v>129.45223239472733</v>
      </c>
      <c r="AH209" s="124">
        <v>129.4522323947273</v>
      </c>
      <c r="AI209" s="124">
        <v>10.510752726675179</v>
      </c>
      <c r="AJ209" s="124">
        <v>32.834209119866614</v>
      </c>
      <c r="AK209" s="124">
        <v>10.510752726675179</v>
      </c>
      <c r="AL209" s="124">
        <v>86.490365325599527</v>
      </c>
      <c r="AM209" s="124">
        <v>129.45223239472733</v>
      </c>
      <c r="AN209" s="124">
        <v>129.4522323947273</v>
      </c>
      <c r="AO209" s="124">
        <v>1.1279875223350605E-2</v>
      </c>
      <c r="AP209" s="124">
        <v>129.45223239472773</v>
      </c>
      <c r="AQ209" s="124">
        <v>10.510752726675179</v>
      </c>
      <c r="AR209" s="124">
        <v>34.878016992889087</v>
      </c>
      <c r="AS209" s="124">
        <v>124.83571930960069</v>
      </c>
      <c r="AT209" s="124">
        <v>129.4522323947273</v>
      </c>
      <c r="AU209" s="124">
        <v>10.510752726675179</v>
      </c>
      <c r="AV209" s="124">
        <v>93.850255291878995</v>
      </c>
      <c r="AW209" s="124">
        <v>129.45223239472733</v>
      </c>
      <c r="AX209" s="124">
        <v>129.4522323947273</v>
      </c>
      <c r="AY209" s="124">
        <v>129.45223239472733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30.959801001501049</v>
      </c>
      <c r="F210" s="110">
        <v>1.6888600477402764E-14</v>
      </c>
      <c r="G210" s="110">
        <v>1.6888600477402764E-14</v>
      </c>
      <c r="H210" s="110">
        <v>1.6888600477402764E-14</v>
      </c>
      <c r="I210" s="110">
        <v>0</v>
      </c>
      <c r="J210" s="110">
        <v>0</v>
      </c>
      <c r="K210" s="110">
        <v>0</v>
      </c>
      <c r="L210" s="110">
        <v>0</v>
      </c>
      <c r="M210" s="110">
        <v>1.6888600477402764E-14</v>
      </c>
      <c r="N210" s="110">
        <v>1.6888600477402764E-14</v>
      </c>
      <c r="O210" s="110">
        <v>0</v>
      </c>
      <c r="P210" s="110">
        <v>0</v>
      </c>
      <c r="Q210" s="110">
        <v>0</v>
      </c>
      <c r="R210" s="110">
        <v>9.0575063525367216</v>
      </c>
      <c r="S210" s="110">
        <v>1.6888600477402764E-14</v>
      </c>
      <c r="T210" s="110">
        <v>1.6888600477402764E-14</v>
      </c>
      <c r="U210" s="110">
        <v>1.6888600477402764E-14</v>
      </c>
      <c r="V210" s="110">
        <v>0</v>
      </c>
      <c r="W210" s="110">
        <v>0</v>
      </c>
      <c r="X210" s="110">
        <v>0</v>
      </c>
      <c r="Y210" s="110">
        <v>0</v>
      </c>
      <c r="Z210" s="110">
        <v>45.239563800105259</v>
      </c>
      <c r="AA210" s="110">
        <v>1.5995051463192005</v>
      </c>
      <c r="AB210" s="110">
        <v>0</v>
      </c>
      <c r="AC210" s="110">
        <v>0</v>
      </c>
      <c r="AD210" s="110">
        <v>0</v>
      </c>
      <c r="AE210" s="110">
        <v>0</v>
      </c>
      <c r="AF210" s="110">
        <v>118.94147966805215</v>
      </c>
      <c r="AG210" s="110">
        <v>50.27264494329647</v>
      </c>
      <c r="AH210" s="110">
        <v>0</v>
      </c>
      <c r="AI210" s="110">
        <v>0</v>
      </c>
      <c r="AJ210" s="110">
        <v>118.94147966805215</v>
      </c>
      <c r="AK210" s="110">
        <v>57.411859691309523</v>
      </c>
      <c r="AL210" s="110">
        <v>118.94147966805215</v>
      </c>
      <c r="AM210" s="110">
        <v>25.528577388016444</v>
      </c>
      <c r="AN210" s="110">
        <v>0</v>
      </c>
      <c r="AO210" s="110">
        <v>0</v>
      </c>
      <c r="AP210" s="110">
        <v>0</v>
      </c>
      <c r="AQ210" s="110">
        <v>0</v>
      </c>
      <c r="AR210" s="110">
        <v>118.94147966805215</v>
      </c>
      <c r="AS210" s="110">
        <v>56.197398798147262</v>
      </c>
      <c r="AT210" s="110">
        <v>2.7432004146098832</v>
      </c>
      <c r="AU210" s="110">
        <v>0</v>
      </c>
      <c r="AV210" s="110">
        <v>118.94147966805215</v>
      </c>
      <c r="AW210" s="110">
        <v>21.155221819713727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34.9456968564375</v>
      </c>
      <c r="K211" s="110">
        <v>0</v>
      </c>
      <c r="L211" s="110">
        <v>34.9456968564375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118.94147966805215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28531.747053201314</v>
      </c>
      <c r="E259" s="124">
        <f t="shared" ref="E259:AX259" si="5">F$14*$B$259</f>
        <v>71203.777344030124</v>
      </c>
      <c r="F259" s="124">
        <f t="shared" si="5"/>
        <v>57461.324671036229</v>
      </c>
      <c r="G259" s="124">
        <f t="shared" si="5"/>
        <v>57461.324671036229</v>
      </c>
      <c r="H259" s="124">
        <f t="shared" si="5"/>
        <v>41949.610459724157</v>
      </c>
      <c r="I259" s="124">
        <f t="shared" si="5"/>
        <v>57461.324671036215</v>
      </c>
      <c r="J259" s="124">
        <f t="shared" si="5"/>
        <v>57461.324671036215</v>
      </c>
      <c r="K259" s="124">
        <f t="shared" si="5"/>
        <v>57461.324671036215</v>
      </c>
      <c r="L259" s="124">
        <f t="shared" si="5"/>
        <v>72973.038882348294</v>
      </c>
      <c r="M259" s="124">
        <f t="shared" si="5"/>
        <v>57461.324671036229</v>
      </c>
      <c r="N259" s="124">
        <f t="shared" si="5"/>
        <v>45970.061120212595</v>
      </c>
      <c r="O259" s="124">
        <f t="shared" si="5"/>
        <v>45970.061120212595</v>
      </c>
      <c r="P259" s="124">
        <f t="shared" si="5"/>
        <v>21617.9764089899</v>
      </c>
      <c r="Q259" s="124">
        <f t="shared" si="5"/>
        <v>41949.61045972415</v>
      </c>
      <c r="R259" s="124">
        <f t="shared" si="5"/>
        <v>61481.775331524666</v>
      </c>
      <c r="S259" s="124">
        <f t="shared" si="5"/>
        <v>57461.324671036229</v>
      </c>
      <c r="T259" s="124">
        <f t="shared" si="5"/>
        <v>57461.324671036229</v>
      </c>
      <c r="U259" s="124">
        <f t="shared" si="5"/>
        <v>5.0069169180669659</v>
      </c>
      <c r="V259" s="124">
        <f t="shared" si="5"/>
        <v>57461.324671036404</v>
      </c>
      <c r="W259" s="124">
        <f t="shared" si="5"/>
        <v>4665.5184216742909</v>
      </c>
      <c r="X259" s="124">
        <f t="shared" si="5"/>
        <v>57461.324671036207</v>
      </c>
      <c r="Y259" s="124">
        <f t="shared" si="5"/>
        <v>110257.13092039818</v>
      </c>
      <c r="Z259" s="124">
        <f t="shared" si="5"/>
        <v>77542.285929142628</v>
      </c>
      <c r="AA259" s="124">
        <f t="shared" si="5"/>
        <v>58171.313852569911</v>
      </c>
      <c r="AB259" s="124">
        <f t="shared" si="5"/>
        <v>57461.324671036207</v>
      </c>
      <c r="AC259" s="124">
        <f t="shared" si="5"/>
        <v>57461.324671036229</v>
      </c>
      <c r="AD259" s="124">
        <f t="shared" si="5"/>
        <v>57461.324671036207</v>
      </c>
      <c r="AE259" s="124">
        <f t="shared" si="5"/>
        <v>4665.5184216742909</v>
      </c>
      <c r="AF259" s="124">
        <f t="shared" si="5"/>
        <v>110257.13092039814</v>
      </c>
      <c r="AG259" s="124">
        <f t="shared" si="5"/>
        <v>79776.372621311253</v>
      </c>
      <c r="AH259" s="124">
        <f t="shared" si="5"/>
        <v>57461.324671036207</v>
      </c>
      <c r="AI259" s="124">
        <f t="shared" si="5"/>
        <v>4665.5184216742909</v>
      </c>
      <c r="AJ259" s="124">
        <f t="shared" si="5"/>
        <v>110257.13092039814</v>
      </c>
      <c r="AK259" s="124">
        <f t="shared" si="5"/>
        <v>30149.524750982542</v>
      </c>
      <c r="AL259" s="124">
        <f t="shared" si="5"/>
        <v>110257.13092039814</v>
      </c>
      <c r="AM259" s="124">
        <f t="shared" si="5"/>
        <v>68792.962963758604</v>
      </c>
      <c r="AN259" s="124">
        <f t="shared" si="5"/>
        <v>57461.324671036207</v>
      </c>
      <c r="AO259" s="124">
        <f t="shared" si="5"/>
        <v>5.0069169180594697</v>
      </c>
      <c r="AP259" s="124">
        <f t="shared" si="5"/>
        <v>57461.324671036404</v>
      </c>
      <c r="AQ259" s="124">
        <f t="shared" si="5"/>
        <v>4665.5184216742909</v>
      </c>
      <c r="AR259" s="124">
        <f t="shared" si="5"/>
        <v>110257.13092039814</v>
      </c>
      <c r="AS259" s="124">
        <f t="shared" si="5"/>
        <v>82406.255463435358</v>
      </c>
      <c r="AT259" s="124">
        <f t="shared" si="5"/>
        <v>58678.977906872096</v>
      </c>
      <c r="AU259" s="124">
        <f t="shared" si="5"/>
        <v>4665.5184216742909</v>
      </c>
      <c r="AV259" s="124">
        <f t="shared" si="5"/>
        <v>110257.13092039814</v>
      </c>
      <c r="AW259" s="124">
        <f t="shared" si="5"/>
        <v>66851.715605073696</v>
      </c>
      <c r="AX259" s="124">
        <f t="shared" si="5"/>
        <v>57461.324671036207</v>
      </c>
      <c r="AY259" s="124">
        <f>AZ$14*$B$259</f>
        <v>57461.324671036229</v>
      </c>
      <c r="AZ259" s="139">
        <f>SUM($D259:$AY259)</f>
        <v>2673201.3028163617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14335.503924421664</v>
      </c>
      <c r="E260" s="125">
        <f t="shared" ref="E260:AY260" si="6">(E$175-E$176+E$177-E$178+E$179-E$180+E$181-E$182)*$B$260</f>
        <v>19846.111788348993</v>
      </c>
      <c r="F260" s="125">
        <f t="shared" si="6"/>
        <v>19532.926250501627</v>
      </c>
      <c r="G260" s="125">
        <f t="shared" si="6"/>
        <v>19633.324070060462</v>
      </c>
      <c r="H260" s="125">
        <f t="shared" si="6"/>
        <v>21359.26411860673</v>
      </c>
      <c r="I260" s="125">
        <f t="shared" si="6"/>
        <v>23145.204167152999</v>
      </c>
      <c r="J260" s="125">
        <f t="shared" si="6"/>
        <v>26792.018629305632</v>
      </c>
      <c r="K260" s="125">
        <f t="shared" si="6"/>
        <v>27377.084264245528</v>
      </c>
      <c r="L260" s="125">
        <f t="shared" si="6"/>
        <v>27225.110027876774</v>
      </c>
      <c r="M260" s="125">
        <f t="shared" si="6"/>
        <v>24910.736480320164</v>
      </c>
      <c r="N260" s="125">
        <f t="shared" si="6"/>
        <v>15578.94825067473</v>
      </c>
      <c r="O260" s="125">
        <f t="shared" si="6"/>
        <v>13263.700289511744</v>
      </c>
      <c r="P260" s="125">
        <f t="shared" si="6"/>
        <v>15349.640338058012</v>
      </c>
      <c r="Q260" s="125">
        <f t="shared" si="6"/>
        <v>18695.580386604277</v>
      </c>
      <c r="R260" s="125">
        <f t="shared" si="6"/>
        <v>21141.520435150538</v>
      </c>
      <c r="S260" s="125">
        <f t="shared" si="6"/>
        <v>22387.460483696806</v>
      </c>
      <c r="T260" s="125">
        <f t="shared" si="6"/>
        <v>24473.400532243071</v>
      </c>
      <c r="U260" s="125">
        <f t="shared" si="6"/>
        <v>25899.34058078934</v>
      </c>
      <c r="V260" s="125">
        <f t="shared" si="6"/>
        <v>26605.280629335608</v>
      </c>
      <c r="W260" s="125">
        <f t="shared" si="6"/>
        <v>25631.220677881869</v>
      </c>
      <c r="X260" s="125">
        <f t="shared" si="6"/>
        <v>26337.160726428137</v>
      </c>
      <c r="Y260" s="125">
        <f t="shared" si="6"/>
        <v>35313.020056314046</v>
      </c>
      <c r="Z260" s="125">
        <f t="shared" si="6"/>
        <v>31290.922584823416</v>
      </c>
      <c r="AA260" s="125">
        <f t="shared" si="6"/>
        <v>29414.980872066932</v>
      </c>
      <c r="AB260" s="125">
        <f t="shared" si="6"/>
        <v>31620.920920613193</v>
      </c>
      <c r="AC260" s="125">
        <f t="shared" si="6"/>
        <v>33946.860969159461</v>
      </c>
      <c r="AD260" s="125">
        <f t="shared" si="6"/>
        <v>34352.801017705729</v>
      </c>
      <c r="AE260" s="125">
        <f t="shared" si="6"/>
        <v>33378.741066251998</v>
      </c>
      <c r="AF260" s="125">
        <f t="shared" si="6"/>
        <v>46042.80865169879</v>
      </c>
      <c r="AG260" s="125">
        <f t="shared" si="6"/>
        <v>42790.995152957323</v>
      </c>
      <c r="AH260" s="125">
        <f t="shared" si="6"/>
        <v>38890.556343262637</v>
      </c>
      <c r="AI260" s="125">
        <f t="shared" si="6"/>
        <v>38842.501260437057</v>
      </c>
      <c r="AJ260" s="125">
        <f t="shared" si="6"/>
        <v>56187.440965752314</v>
      </c>
      <c r="AK260" s="125">
        <f t="shared" si="6"/>
        <v>40192.872525653038</v>
      </c>
      <c r="AL260" s="125">
        <f t="shared" si="6"/>
        <v>51523.39047861009</v>
      </c>
      <c r="AM260" s="125">
        <f t="shared" si="6"/>
        <v>46366.5528680688</v>
      </c>
      <c r="AN260" s="125">
        <f t="shared" si="6"/>
        <v>42167.427281675169</v>
      </c>
      <c r="AO260" s="125">
        <f t="shared" si="6"/>
        <v>37923.760194185066</v>
      </c>
      <c r="AP260" s="125">
        <f t="shared" si="6"/>
        <v>38629.700242731327</v>
      </c>
      <c r="AQ260" s="125">
        <f t="shared" si="6"/>
        <v>38975.640291277588</v>
      </c>
      <c r="AR260" s="125">
        <f t="shared" si="6"/>
        <v>48397.951524211501</v>
      </c>
      <c r="AS260" s="125">
        <f t="shared" si="6"/>
        <v>42796.345208556857</v>
      </c>
      <c r="AT260" s="125">
        <f t="shared" si="6"/>
        <v>39423.760194185066</v>
      </c>
      <c r="AU260" s="125">
        <f t="shared" si="6"/>
        <v>39063.760194185066</v>
      </c>
      <c r="AV260" s="125">
        <f t="shared" si="6"/>
        <v>45321.797080633311</v>
      </c>
      <c r="AW260" s="125">
        <f t="shared" si="6"/>
        <v>40780.250469980812</v>
      </c>
      <c r="AX260" s="125">
        <f t="shared" si="6"/>
        <v>39483.760194185059</v>
      </c>
      <c r="AY260" s="125">
        <f t="shared" si="6"/>
        <v>38943.760194185059</v>
      </c>
      <c r="AZ260" s="141">
        <f>SUM($D260:$AY260)</f>
        <v>1541583.8158545808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59</v>
      </c>
    </row>
    <row r="3" spans="1:54">
      <c r="A3" s="100" t="s">
        <v>286</v>
      </c>
      <c r="B3" s="108">
        <v>5500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1278.0043791273222</v>
      </c>
      <c r="E9" s="117">
        <v>1278.0043791273222</v>
      </c>
      <c r="F9" s="117">
        <v>1278.0043791273222</v>
      </c>
      <c r="G9" s="117">
        <v>1278.0043791273222</v>
      </c>
      <c r="H9" s="117">
        <v>1278.0043791273222</v>
      </c>
      <c r="I9" s="117">
        <v>1278.0043791273222</v>
      </c>
      <c r="J9" s="117">
        <v>1278.0043791273222</v>
      </c>
      <c r="K9" s="117">
        <v>1278.0043791273222</v>
      </c>
      <c r="L9" s="117">
        <v>1278.0043791273222</v>
      </c>
      <c r="M9" s="117">
        <v>1278.0043791273222</v>
      </c>
      <c r="N9" s="117">
        <v>1278.0043791273222</v>
      </c>
      <c r="O9" s="117">
        <v>1278.0043791273222</v>
      </c>
      <c r="P9" s="117">
        <v>1278.0043791273222</v>
      </c>
      <c r="Q9" s="117">
        <v>1278.0043791273222</v>
      </c>
      <c r="R9" s="117">
        <v>1278.0043791273222</v>
      </c>
      <c r="S9" s="117">
        <v>1278.0043791273222</v>
      </c>
      <c r="T9" s="117">
        <v>1278.0043791273222</v>
      </c>
      <c r="U9" s="117">
        <v>1278.0043791273222</v>
      </c>
      <c r="V9" s="117">
        <v>1278.0043791273222</v>
      </c>
      <c r="W9" s="117">
        <v>1278.0043791273222</v>
      </c>
      <c r="X9" s="117">
        <v>1278.0043791273222</v>
      </c>
      <c r="Y9" s="117">
        <v>1278.0043791273222</v>
      </c>
      <c r="Z9" s="117">
        <v>1278.0043791273222</v>
      </c>
      <c r="AA9" s="117">
        <v>1278.0043791273222</v>
      </c>
      <c r="AB9" s="117">
        <v>1278.0043791273222</v>
      </c>
      <c r="AC9" s="117">
        <v>1278.0043791273222</v>
      </c>
      <c r="AD9" s="117">
        <v>1278.0043791273222</v>
      </c>
      <c r="AE9" s="117">
        <v>1278.0043791273222</v>
      </c>
      <c r="AF9" s="117">
        <v>1278.0043791273222</v>
      </c>
      <c r="AG9" s="117">
        <v>1278.0043791273222</v>
      </c>
      <c r="AH9" s="117">
        <v>1278.0043791273222</v>
      </c>
      <c r="AI9" s="117">
        <v>1278.0043791273222</v>
      </c>
      <c r="AJ9" s="117">
        <v>1278.0043791273222</v>
      </c>
      <c r="AK9" s="117">
        <v>1278.0043791273222</v>
      </c>
      <c r="AL9" s="117">
        <v>1278.0043791273222</v>
      </c>
      <c r="AM9" s="117">
        <v>1278.0043791273222</v>
      </c>
      <c r="AN9" s="117">
        <v>1278.0043791273222</v>
      </c>
      <c r="AO9" s="117">
        <v>1278.0043791273222</v>
      </c>
      <c r="AP9" s="117">
        <v>1278.0043791273222</v>
      </c>
      <c r="AQ9" s="117">
        <v>1278.0043791273222</v>
      </c>
      <c r="AR9" s="117">
        <v>1278.0043791273222</v>
      </c>
      <c r="AS9" s="117">
        <v>1278.0043791273222</v>
      </c>
      <c r="AT9" s="117">
        <v>1278.0043791273222</v>
      </c>
      <c r="AU9" s="117">
        <v>1278.0043791273222</v>
      </c>
      <c r="AV9" s="117">
        <v>1278.0043791273222</v>
      </c>
      <c r="AW9" s="117">
        <v>1278.0043791273222</v>
      </c>
      <c r="AX9" s="117">
        <v>1278.0043791273222</v>
      </c>
      <c r="AY9" s="117">
        <v>1278.0043791273222</v>
      </c>
    </row>
    <row r="10" spans="1:54">
      <c r="A10" s="118" t="s">
        <v>133</v>
      </c>
      <c r="B10" s="119">
        <v>1</v>
      </c>
      <c r="C10" s="106" t="s">
        <v>293</v>
      </c>
      <c r="D10" s="100">
        <v>607.88626862268802</v>
      </c>
      <c r="E10" s="100">
        <v>190.3266208789978</v>
      </c>
      <c r="F10" s="100">
        <v>0</v>
      </c>
      <c r="G10" s="100">
        <v>728.53584003484445</v>
      </c>
      <c r="H10" s="100">
        <v>0</v>
      </c>
      <c r="I10" s="100">
        <v>728.53584003484445</v>
      </c>
      <c r="J10" s="100">
        <v>728.53584003484445</v>
      </c>
      <c r="K10" s="100">
        <v>190.32662087899757</v>
      </c>
      <c r="L10" s="100">
        <v>0</v>
      </c>
      <c r="M10" s="100">
        <v>0</v>
      </c>
      <c r="N10" s="100">
        <v>0</v>
      </c>
      <c r="O10" s="100">
        <v>1401.4398818916025</v>
      </c>
      <c r="P10" s="100">
        <v>728.53584003484445</v>
      </c>
      <c r="Q10" s="100">
        <v>190.32662087899757</v>
      </c>
      <c r="R10" s="100">
        <v>0</v>
      </c>
      <c r="S10" s="100">
        <v>1401.4398818916025</v>
      </c>
      <c r="T10" s="100">
        <v>0</v>
      </c>
      <c r="U10" s="100">
        <v>728.53584003484445</v>
      </c>
      <c r="V10" s="100">
        <v>0</v>
      </c>
      <c r="W10" s="100">
        <v>728.53584003484445</v>
      </c>
      <c r="X10" s="100">
        <v>728.53584003484445</v>
      </c>
      <c r="Y10" s="100">
        <v>190.32662087899757</v>
      </c>
      <c r="Z10" s="100">
        <v>728.53584003484445</v>
      </c>
      <c r="AA10" s="100">
        <v>190.32662087899757</v>
      </c>
      <c r="AB10" s="100">
        <v>728.53584003484445</v>
      </c>
      <c r="AC10" s="100">
        <v>728.53584003484445</v>
      </c>
      <c r="AD10" s="100">
        <v>728.53584003484445</v>
      </c>
      <c r="AE10" s="100">
        <v>190.32662087899757</v>
      </c>
      <c r="AF10" s="100">
        <v>0</v>
      </c>
      <c r="AG10" s="100">
        <v>728.53584003484445</v>
      </c>
      <c r="AH10" s="100">
        <v>728.53584003484445</v>
      </c>
      <c r="AI10" s="100">
        <v>728.53584003484445</v>
      </c>
      <c r="AJ10" s="100">
        <v>0</v>
      </c>
      <c r="AK10" s="100">
        <v>728.53584003484445</v>
      </c>
      <c r="AL10" s="100">
        <v>728.53584003484445</v>
      </c>
      <c r="AM10" s="100">
        <v>728.53584003484445</v>
      </c>
      <c r="AN10" s="100">
        <v>0</v>
      </c>
      <c r="AO10" s="100">
        <v>728.53584003484445</v>
      </c>
      <c r="AP10" s="100">
        <v>0</v>
      </c>
      <c r="AQ10" s="100">
        <v>728.53584003484445</v>
      </c>
      <c r="AR10" s="100">
        <v>0</v>
      </c>
      <c r="AS10" s="100">
        <v>190.32662087899757</v>
      </c>
      <c r="AT10" s="100">
        <v>728.53584003484445</v>
      </c>
      <c r="AU10" s="100">
        <v>728.53584003484445</v>
      </c>
      <c r="AV10" s="100">
        <v>728.53584003484445</v>
      </c>
      <c r="AW10" s="100">
        <v>728.53584003484445</v>
      </c>
      <c r="AX10" s="100">
        <v>0</v>
      </c>
      <c r="AY10" s="100">
        <v>728.53584003484445</v>
      </c>
      <c r="AZ10" s="100">
        <v>0</v>
      </c>
    </row>
    <row r="11" spans="1:54">
      <c r="B11" s="119">
        <v>2</v>
      </c>
      <c r="C11" s="106" t="s">
        <v>293</v>
      </c>
      <c r="D11" s="100">
        <v>382.33592716214122</v>
      </c>
      <c r="E11" s="100">
        <v>0</v>
      </c>
      <c r="F11" s="100">
        <v>0</v>
      </c>
      <c r="G11" s="100">
        <v>728.53584003484445</v>
      </c>
      <c r="L11" s="100">
        <v>538.20921915584688</v>
      </c>
      <c r="M11" s="100">
        <v>0</v>
      </c>
      <c r="N11" s="100">
        <v>0</v>
      </c>
      <c r="Q11" s="100">
        <v>0</v>
      </c>
      <c r="R11" s="100">
        <v>538.20921915584688</v>
      </c>
      <c r="S11" s="100">
        <v>0</v>
      </c>
      <c r="U11" s="100">
        <v>0</v>
      </c>
      <c r="V11" s="100">
        <v>0</v>
      </c>
      <c r="W11" s="100">
        <v>728.53584003484445</v>
      </c>
      <c r="Y11" s="100">
        <v>0</v>
      </c>
      <c r="Z11" s="100">
        <v>538.20921915584688</v>
      </c>
      <c r="AB11" s="100">
        <v>538.20921915584688</v>
      </c>
      <c r="AC11" s="100">
        <v>0</v>
      </c>
      <c r="AD11" s="100">
        <v>0</v>
      </c>
      <c r="AE11" s="100">
        <v>0</v>
      </c>
      <c r="AF11" s="100">
        <v>538.20921915584688</v>
      </c>
      <c r="AG11" s="100">
        <v>728.53584003484445</v>
      </c>
      <c r="AH11" s="100">
        <v>0</v>
      </c>
      <c r="AI11" s="100">
        <v>0</v>
      </c>
      <c r="AJ11" s="100">
        <v>0</v>
      </c>
      <c r="AK11" s="100">
        <v>728.53584003484445</v>
      </c>
      <c r="AL11" s="100">
        <v>0</v>
      </c>
      <c r="AM11" s="100">
        <v>0</v>
      </c>
      <c r="AN11" s="100">
        <v>0</v>
      </c>
      <c r="AO11" s="100">
        <v>728.53584003484445</v>
      </c>
      <c r="AP11" s="100">
        <v>0</v>
      </c>
      <c r="AQ11" s="100">
        <v>728.53584003484445</v>
      </c>
      <c r="AR11" s="100">
        <v>0</v>
      </c>
      <c r="AS11" s="100">
        <v>728.53584003484445</v>
      </c>
      <c r="AT11" s="100">
        <v>538.20921915584688</v>
      </c>
      <c r="AU11" s="100">
        <v>0</v>
      </c>
      <c r="AV11" s="100">
        <v>0</v>
      </c>
      <c r="AW11" s="100">
        <v>0</v>
      </c>
      <c r="BA11" s="100">
        <v>0</v>
      </c>
    </row>
    <row r="12" spans="1:54">
      <c r="B12" s="120">
        <v>3</v>
      </c>
      <c r="C12" s="106" t="s">
        <v>293</v>
      </c>
      <c r="G12" s="100">
        <v>288.53366830424807</v>
      </c>
      <c r="I12" s="100">
        <v>0</v>
      </c>
      <c r="J12" s="100">
        <v>728.53584003484445</v>
      </c>
      <c r="L12" s="100">
        <v>0</v>
      </c>
      <c r="N12" s="100">
        <v>728.53584003484445</v>
      </c>
      <c r="Q12" s="100">
        <v>0</v>
      </c>
      <c r="V12" s="100">
        <v>728.53584003484445</v>
      </c>
      <c r="X12" s="100">
        <v>0</v>
      </c>
      <c r="Y12" s="100">
        <v>0</v>
      </c>
      <c r="AB12" s="100">
        <v>0</v>
      </c>
      <c r="AC12" s="100">
        <v>0</v>
      </c>
      <c r="AH12" s="100">
        <v>0</v>
      </c>
      <c r="AL12" s="100">
        <v>0</v>
      </c>
      <c r="AY12" s="100">
        <v>0</v>
      </c>
      <c r="AZ12" s="100">
        <v>728.53584003484445</v>
      </c>
      <c r="BA12" s="100">
        <v>0</v>
      </c>
      <c r="BB12" s="100">
        <v>728.53584003484445</v>
      </c>
    </row>
    <row r="13" spans="1:54">
      <c r="B13" s="120">
        <v>4</v>
      </c>
      <c r="C13" s="106" t="s">
        <v>293</v>
      </c>
      <c r="D13" s="100">
        <v>0</v>
      </c>
      <c r="L13" s="100">
        <v>0</v>
      </c>
      <c r="N13" s="100">
        <v>0</v>
      </c>
      <c r="Q13" s="100">
        <v>0</v>
      </c>
      <c r="V13" s="100">
        <v>0</v>
      </c>
      <c r="AS13" s="100">
        <v>0</v>
      </c>
    </row>
    <row r="14" spans="1:54">
      <c r="A14" s="115" t="s">
        <v>134</v>
      </c>
      <c r="B14" s="121">
        <v>1</v>
      </c>
      <c r="C14" s="117" t="s">
        <v>293</v>
      </c>
      <c r="D14" s="117">
        <v>362.12744127958661</v>
      </c>
      <c r="E14" s="117">
        <f t="shared" ref="E14:AZ14" si="0">D$172*SUM(D$122:D$169)</f>
        <v>427.00436855357214</v>
      </c>
      <c r="F14" s="117">
        <f t="shared" si="0"/>
        <v>118.06872615069967</v>
      </c>
      <c r="G14" s="117">
        <f t="shared" si="0"/>
        <v>3.1276817257271702E-2</v>
      </c>
      <c r="H14" s="117">
        <f t="shared" si="0"/>
        <v>1031.9995500235377</v>
      </c>
      <c r="I14" s="117">
        <f t="shared" si="0"/>
        <v>356.50108026948993</v>
      </c>
      <c r="J14" s="117">
        <f t="shared" si="0"/>
        <v>430.72763868965006</v>
      </c>
      <c r="K14" s="117">
        <f t="shared" si="0"/>
        <v>861.42400056204292</v>
      </c>
      <c r="L14" s="117">
        <f t="shared" si="0"/>
        <v>371.49685859014375</v>
      </c>
      <c r="M14" s="117">
        <f t="shared" si="0"/>
        <v>318.21020485121329</v>
      </c>
      <c r="N14" s="117">
        <f t="shared" si="0"/>
        <v>3.1276817257280286E-2</v>
      </c>
      <c r="O14" s="117">
        <f t="shared" si="0"/>
        <v>430.72763868965006</v>
      </c>
      <c r="P14" s="117">
        <f t="shared" si="0"/>
        <v>828.53555257769244</v>
      </c>
      <c r="Q14" s="117">
        <f t="shared" si="0"/>
        <v>658.03891381497544</v>
      </c>
      <c r="R14" s="117">
        <f t="shared" si="0"/>
        <v>265.7719620099565</v>
      </c>
      <c r="S14" s="117">
        <f t="shared" si="0"/>
        <v>318.21020485121329</v>
      </c>
      <c r="T14" s="117">
        <f t="shared" si="0"/>
        <v>828.53555257769244</v>
      </c>
      <c r="U14" s="117">
        <f t="shared" si="0"/>
        <v>194.41147136486791</v>
      </c>
      <c r="V14" s="117">
        <f t="shared" si="0"/>
        <v>430.72763868965006</v>
      </c>
      <c r="W14" s="117">
        <f t="shared" si="0"/>
        <v>430.72763868965006</v>
      </c>
      <c r="X14" s="117">
        <f t="shared" si="0"/>
        <v>861.42400056204292</v>
      </c>
      <c r="Y14" s="117">
        <f t="shared" si="0"/>
        <v>677.5432832533628</v>
      </c>
      <c r="Z14" s="117">
        <f t="shared" si="0"/>
        <v>258.19295741630725</v>
      </c>
      <c r="AA14" s="117">
        <f t="shared" si="0"/>
        <v>748.90656672360603</v>
      </c>
      <c r="AB14" s="117">
        <f t="shared" si="0"/>
        <v>315.96641437154682</v>
      </c>
      <c r="AC14" s="117">
        <f t="shared" si="0"/>
        <v>748.90656672360615</v>
      </c>
      <c r="AD14" s="117">
        <f t="shared" si="0"/>
        <v>648.01106054348804</v>
      </c>
      <c r="AE14" s="117">
        <f t="shared" si="0"/>
        <v>511.97267776866863</v>
      </c>
      <c r="AF14" s="117">
        <f t="shared" si="0"/>
        <v>172.16417299630183</v>
      </c>
      <c r="AG14" s="117">
        <f t="shared" si="0"/>
        <v>318.21020485121329</v>
      </c>
      <c r="AH14" s="117">
        <f t="shared" si="0"/>
        <v>861.42400056204292</v>
      </c>
      <c r="AI14" s="117">
        <f t="shared" si="0"/>
        <v>657.17800973819715</v>
      </c>
      <c r="AJ14" s="117">
        <f t="shared" si="0"/>
        <v>558.7647084486124</v>
      </c>
      <c r="AK14" s="117">
        <f t="shared" si="0"/>
        <v>72.7311957506341</v>
      </c>
      <c r="AL14" s="117">
        <f t="shared" si="0"/>
        <v>861.42400056204292</v>
      </c>
      <c r="AM14" s="117">
        <f t="shared" si="0"/>
        <v>619.48058855055001</v>
      </c>
      <c r="AN14" s="117">
        <f t="shared" si="0"/>
        <v>548.66761502047893</v>
      </c>
      <c r="AO14" s="117">
        <f t="shared" si="0"/>
        <v>96.0405575328883</v>
      </c>
      <c r="AP14" s="117">
        <f t="shared" si="0"/>
        <v>861.42400056204292</v>
      </c>
      <c r="AQ14" s="117">
        <f t="shared" si="0"/>
        <v>193.11726359627758</v>
      </c>
      <c r="AR14" s="117">
        <f t="shared" si="0"/>
        <v>861.42400056204292</v>
      </c>
      <c r="AS14" s="117">
        <f t="shared" si="0"/>
        <v>234.28111431842103</v>
      </c>
      <c r="AT14" s="117">
        <f t="shared" si="0"/>
        <v>543.24507252808678</v>
      </c>
      <c r="AU14" s="117">
        <f t="shared" si="0"/>
        <v>756.91538903264723</v>
      </c>
      <c r="AV14" s="117">
        <f t="shared" si="0"/>
        <v>668.58186717600029</v>
      </c>
      <c r="AW14" s="117">
        <f t="shared" si="0"/>
        <v>524.06338163557382</v>
      </c>
      <c r="AX14" s="117">
        <f t="shared" si="0"/>
        <v>479.86271060254558</v>
      </c>
      <c r="AY14" s="117">
        <f t="shared" si="0"/>
        <v>3.1276817257320962E-2</v>
      </c>
      <c r="AZ14" s="110">
        <f t="shared" si="0"/>
        <v>430.72763868965006</v>
      </c>
      <c r="BA14" s="107">
        <f>SUM($E14:$AZ14)</f>
        <v>23391.863851486345</v>
      </c>
    </row>
    <row r="15" spans="1:54">
      <c r="A15" s="122" t="s">
        <v>123</v>
      </c>
      <c r="B15" s="123">
        <v>1</v>
      </c>
      <c r="C15" s="124" t="s">
        <v>293</v>
      </c>
      <c r="D15" s="124">
        <v>604.99197323866679</v>
      </c>
      <c r="E15" s="124">
        <v>259.74556132911255</v>
      </c>
      <c r="F15" s="124">
        <v>7.2182208110147791E-2</v>
      </c>
      <c r="G15" s="124">
        <v>994.05485535649882</v>
      </c>
      <c r="H15" s="124">
        <v>7.2182208110147791E-2</v>
      </c>
      <c r="I15" s="124">
        <v>994.05485535649882</v>
      </c>
      <c r="J15" s="124">
        <v>994.05485535649882</v>
      </c>
      <c r="K15" s="124">
        <v>259.74556132911255</v>
      </c>
      <c r="L15" s="124">
        <v>7.2182208110147791E-2</v>
      </c>
      <c r="M15" s="124">
        <v>7.2182208110147791E-2</v>
      </c>
      <c r="N15" s="124">
        <v>7.2182208110147791E-2</v>
      </c>
      <c r="O15" s="124">
        <v>1912.1359181428479</v>
      </c>
      <c r="P15" s="124">
        <v>994.05485535649882</v>
      </c>
      <c r="Q15" s="124">
        <v>259.74556132911255</v>
      </c>
      <c r="R15" s="124">
        <v>7.2182208110147791E-2</v>
      </c>
      <c r="S15" s="124">
        <v>1912.1359181428479</v>
      </c>
      <c r="T15" s="124">
        <v>7.2182208110147791E-2</v>
      </c>
      <c r="U15" s="124">
        <v>994.05485535649882</v>
      </c>
      <c r="V15" s="124">
        <v>7.2182208110147791E-2</v>
      </c>
      <c r="W15" s="124">
        <v>994.05485535649882</v>
      </c>
      <c r="X15" s="124">
        <v>994.05485535649882</v>
      </c>
      <c r="Y15" s="124">
        <v>259.74556132911255</v>
      </c>
      <c r="Z15" s="124">
        <v>994.05485535649882</v>
      </c>
      <c r="AA15" s="124">
        <v>259.74556132911255</v>
      </c>
      <c r="AB15" s="124">
        <v>994.05485535649882</v>
      </c>
      <c r="AC15" s="124">
        <v>994.05485535649882</v>
      </c>
      <c r="AD15" s="124">
        <v>994.05485535649882</v>
      </c>
      <c r="AE15" s="124">
        <v>259.74556132911255</v>
      </c>
      <c r="AF15" s="124">
        <v>7.2182208110147791E-2</v>
      </c>
      <c r="AG15" s="124">
        <v>994.05485535649882</v>
      </c>
      <c r="AH15" s="124">
        <v>994.05485535649882</v>
      </c>
      <c r="AI15" s="124">
        <v>994.05485535649882</v>
      </c>
      <c r="AJ15" s="124">
        <v>7.2182208110147791E-2</v>
      </c>
      <c r="AK15" s="124">
        <v>994.05485535649882</v>
      </c>
      <c r="AL15" s="124">
        <v>994.05485535649882</v>
      </c>
      <c r="AM15" s="124">
        <v>994.05485535649882</v>
      </c>
      <c r="AN15" s="124">
        <v>7.2182208110147791E-2</v>
      </c>
      <c r="AO15" s="124">
        <v>994.05485535649882</v>
      </c>
      <c r="AP15" s="124">
        <v>7.2182208110147791E-2</v>
      </c>
      <c r="AQ15" s="124">
        <v>994.05485535649882</v>
      </c>
      <c r="AR15" s="124">
        <v>7.2182208110147791E-2</v>
      </c>
      <c r="AS15" s="124">
        <v>259.74556132911255</v>
      </c>
      <c r="AT15" s="124">
        <v>994.05485535649882</v>
      </c>
      <c r="AU15" s="124">
        <v>994.05485535649882</v>
      </c>
      <c r="AV15" s="124">
        <v>994.05485535649882</v>
      </c>
      <c r="AW15" s="124">
        <v>994.05485535649882</v>
      </c>
      <c r="AX15" s="124">
        <v>7.2182208110147791E-2</v>
      </c>
      <c r="AY15" s="124">
        <v>994.05485535649882</v>
      </c>
      <c r="AZ15" s="100">
        <v>0</v>
      </c>
    </row>
    <row r="16" spans="1:54">
      <c r="A16" s="110"/>
      <c r="B16" s="119">
        <v>2</v>
      </c>
      <c r="C16" s="109" t="s">
        <v>293</v>
      </c>
      <c r="D16" s="106">
        <v>380.47013249110347</v>
      </c>
      <c r="E16" s="110">
        <v>0</v>
      </c>
      <c r="F16" s="110">
        <v>0</v>
      </c>
      <c r="G16" s="110">
        <v>993.9826731483887</v>
      </c>
      <c r="H16" s="110"/>
      <c r="I16" s="110"/>
      <c r="J16" s="110"/>
      <c r="K16" s="110"/>
      <c r="L16" s="110">
        <v>734.30929402738627</v>
      </c>
      <c r="M16" s="110">
        <v>0</v>
      </c>
      <c r="N16" s="110">
        <v>0</v>
      </c>
      <c r="O16" s="110"/>
      <c r="P16" s="110"/>
      <c r="Q16" s="110">
        <v>0</v>
      </c>
      <c r="R16" s="110">
        <v>734.30929402738627</v>
      </c>
      <c r="S16" s="110">
        <v>0</v>
      </c>
      <c r="T16" s="110"/>
      <c r="U16" s="110">
        <v>0</v>
      </c>
      <c r="V16" s="110">
        <v>0</v>
      </c>
      <c r="W16" s="110">
        <v>993.9826731483887</v>
      </c>
      <c r="X16" s="110"/>
      <c r="Y16" s="110">
        <v>0</v>
      </c>
      <c r="Z16" s="110">
        <v>734.30929402738627</v>
      </c>
      <c r="AA16" s="110"/>
      <c r="AB16" s="110">
        <v>734.30929402738627</v>
      </c>
      <c r="AC16" s="110">
        <v>0</v>
      </c>
      <c r="AD16" s="110">
        <v>0</v>
      </c>
      <c r="AE16" s="110">
        <v>0</v>
      </c>
      <c r="AF16" s="110">
        <v>734.30929402738627</v>
      </c>
      <c r="AG16" s="110">
        <v>993.9826731483887</v>
      </c>
      <c r="AH16" s="110">
        <v>0</v>
      </c>
      <c r="AI16" s="110">
        <v>0</v>
      </c>
      <c r="AJ16" s="110">
        <v>0</v>
      </c>
      <c r="AK16" s="110">
        <v>993.9826731483887</v>
      </c>
      <c r="AL16" s="110">
        <v>0</v>
      </c>
      <c r="AM16" s="110">
        <v>0</v>
      </c>
      <c r="AN16" s="110">
        <v>0</v>
      </c>
      <c r="AO16" s="110">
        <v>993.9826731483887</v>
      </c>
      <c r="AP16" s="110">
        <v>0</v>
      </c>
      <c r="AQ16" s="110">
        <v>993.9826731483887</v>
      </c>
      <c r="AR16" s="110">
        <v>0</v>
      </c>
      <c r="AS16" s="110">
        <v>993.9826731483887</v>
      </c>
      <c r="AT16" s="110">
        <v>734.30929402738627</v>
      </c>
      <c r="AU16" s="110">
        <v>0</v>
      </c>
      <c r="AV16" s="110">
        <v>0</v>
      </c>
      <c r="AW16" s="110">
        <v>0</v>
      </c>
      <c r="AX16" s="110"/>
      <c r="AY16" s="110"/>
      <c r="BA16" s="100">
        <v>0</v>
      </c>
    </row>
    <row r="17" spans="1:54">
      <c r="A17" s="110"/>
      <c r="B17" s="119">
        <v>3</v>
      </c>
      <c r="C17" s="109" t="s">
        <v>293</v>
      </c>
      <c r="D17" s="106"/>
      <c r="E17" s="110"/>
      <c r="F17" s="110"/>
      <c r="G17" s="110">
        <v>393.6628112909998</v>
      </c>
      <c r="H17" s="110"/>
      <c r="I17" s="110">
        <v>0</v>
      </c>
      <c r="J17" s="110">
        <v>993.9826731483887</v>
      </c>
      <c r="K17" s="110"/>
      <c r="L17" s="110">
        <v>0</v>
      </c>
      <c r="M17" s="110"/>
      <c r="N17" s="110">
        <v>993.9826731483887</v>
      </c>
      <c r="O17" s="110"/>
      <c r="P17" s="110"/>
      <c r="Q17" s="110">
        <v>0</v>
      </c>
      <c r="R17" s="110"/>
      <c r="S17" s="110"/>
      <c r="T17" s="110"/>
      <c r="U17" s="110"/>
      <c r="V17" s="110">
        <v>993.9826731483887</v>
      </c>
      <c r="W17" s="110"/>
      <c r="X17" s="110">
        <v>0</v>
      </c>
      <c r="Y17" s="110">
        <v>0</v>
      </c>
      <c r="Z17" s="110"/>
      <c r="AA17" s="110"/>
      <c r="AB17" s="110">
        <v>0</v>
      </c>
      <c r="AC17" s="110">
        <v>0</v>
      </c>
      <c r="AD17" s="110"/>
      <c r="AE17" s="110"/>
      <c r="AF17" s="110"/>
      <c r="AG17" s="110"/>
      <c r="AH17" s="110">
        <v>0</v>
      </c>
      <c r="AI17" s="110"/>
      <c r="AJ17" s="110"/>
      <c r="AK17" s="110"/>
      <c r="AL17" s="110">
        <v>0</v>
      </c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>
        <v>0</v>
      </c>
      <c r="AZ17" s="100">
        <v>993.9826731483887</v>
      </c>
      <c r="BA17" s="100">
        <v>0</v>
      </c>
      <c r="BB17" s="100">
        <v>993.9826731483887</v>
      </c>
    </row>
    <row r="18" spans="1:54">
      <c r="A18" s="125"/>
      <c r="B18" s="116">
        <v>4</v>
      </c>
      <c r="C18" s="125" t="s">
        <v>293</v>
      </c>
      <c r="D18" s="125">
        <v>0</v>
      </c>
      <c r="E18" s="125"/>
      <c r="F18" s="125"/>
      <c r="G18" s="125"/>
      <c r="H18" s="125"/>
      <c r="I18" s="125"/>
      <c r="J18" s="125"/>
      <c r="K18" s="125"/>
      <c r="L18" s="125">
        <v>0</v>
      </c>
      <c r="M18" s="125"/>
      <c r="N18" s="125">
        <v>0</v>
      </c>
      <c r="O18" s="125"/>
      <c r="P18" s="125"/>
      <c r="Q18" s="125">
        <v>0</v>
      </c>
      <c r="R18" s="125"/>
      <c r="S18" s="125"/>
      <c r="T18" s="125"/>
      <c r="U18" s="125"/>
      <c r="V18" s="125">
        <v>0</v>
      </c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>
        <v>0</v>
      </c>
      <c r="AT18" s="125"/>
      <c r="AU18" s="125"/>
      <c r="AV18" s="125"/>
      <c r="AW18" s="125"/>
      <c r="AX18" s="125"/>
      <c r="AY18" s="125"/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>
        <v>663.48304509335753</v>
      </c>
      <c r="K21" s="124"/>
      <c r="L21" s="124"/>
      <c r="M21" s="124"/>
      <c r="N21" s="124"/>
      <c r="O21" s="124"/>
      <c r="P21" s="124"/>
      <c r="Q21" s="124"/>
      <c r="R21" s="124"/>
      <c r="S21" s="124">
        <v>127.30696551913661</v>
      </c>
      <c r="T21" s="124"/>
      <c r="U21" s="124"/>
      <c r="V21" s="124"/>
      <c r="W21" s="124">
        <v>430.75423734241394</v>
      </c>
      <c r="X21" s="124">
        <v>642.34493273375756</v>
      </c>
      <c r="Y21" s="124"/>
      <c r="Z21" s="124">
        <v>986.84861955765768</v>
      </c>
      <c r="AA21" s="124"/>
      <c r="AB21" s="124">
        <v>1278.0043791273222</v>
      </c>
      <c r="AC21" s="124">
        <v>1278.0043791273222</v>
      </c>
      <c r="AD21" s="124">
        <v>1259.5950745186656</v>
      </c>
      <c r="AE21" s="124"/>
      <c r="AF21" s="124"/>
      <c r="AG21" s="124">
        <v>1278.0043791273222</v>
      </c>
      <c r="AH21" s="124">
        <v>1158.5950745186656</v>
      </c>
      <c r="AI21" s="124">
        <v>1090.1857699100092</v>
      </c>
      <c r="AJ21" s="124"/>
      <c r="AK21" s="124">
        <v>1278.0043791273222</v>
      </c>
      <c r="AL21" s="124">
        <v>1242.5950745186656</v>
      </c>
      <c r="AM21" s="124">
        <v>1278.0043791273222</v>
      </c>
      <c r="AN21" s="124"/>
      <c r="AO21" s="124">
        <v>1278.0043791273222</v>
      </c>
      <c r="AP21" s="124"/>
      <c r="AQ21" s="124">
        <v>1251.6173233553309</v>
      </c>
      <c r="AR21" s="124"/>
      <c r="AS21" s="124"/>
      <c r="AT21" s="124">
        <v>1216.9848136968274</v>
      </c>
      <c r="AU21" s="124">
        <v>1278.0043791273222</v>
      </c>
      <c r="AV21" s="124">
        <v>1231.5950745186656</v>
      </c>
      <c r="AW21" s="124">
        <v>1009.1857699100092</v>
      </c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>
        <v>874.97073192702919</v>
      </c>
      <c r="H22" s="110"/>
      <c r="I22" s="110"/>
      <c r="J22" s="110">
        <v>920.67179326756218</v>
      </c>
      <c r="K22" s="110"/>
      <c r="L22" s="110"/>
      <c r="M22" s="110"/>
      <c r="N22" s="110"/>
      <c r="O22" s="110">
        <v>192.25628681329545</v>
      </c>
      <c r="P22" s="110">
        <v>362.59507451866557</v>
      </c>
      <c r="Q22" s="110"/>
      <c r="R22" s="110"/>
      <c r="S22" s="110">
        <v>695.18367168661644</v>
      </c>
      <c r="T22" s="110"/>
      <c r="U22" s="110"/>
      <c r="V22" s="110"/>
      <c r="W22" s="110">
        <v>1072.7105509901521</v>
      </c>
      <c r="X22" s="110">
        <v>0</v>
      </c>
      <c r="Y22" s="110"/>
      <c r="Z22" s="110">
        <v>139.00437912732218</v>
      </c>
      <c r="AA22" s="110"/>
      <c r="AB22" s="110">
        <v>84.004379127322181</v>
      </c>
      <c r="AC22" s="110">
        <v>0</v>
      </c>
      <c r="AD22" s="110">
        <v>0</v>
      </c>
      <c r="AE22" s="110"/>
      <c r="AF22" s="110">
        <v>129.09738785151058</v>
      </c>
      <c r="AG22" s="110">
        <v>188.91137040313379</v>
      </c>
      <c r="AH22" s="110">
        <v>0</v>
      </c>
      <c r="AI22" s="110">
        <v>0</v>
      </c>
      <c r="AJ22" s="110"/>
      <c r="AK22" s="110">
        <v>227.00437912732218</v>
      </c>
      <c r="AL22" s="110">
        <v>0</v>
      </c>
      <c r="AM22" s="110">
        <v>0</v>
      </c>
      <c r="AN22" s="110"/>
      <c r="AO22" s="110">
        <v>158.00437912732218</v>
      </c>
      <c r="AP22" s="110"/>
      <c r="AQ22" s="110">
        <v>0</v>
      </c>
      <c r="AR22" s="110"/>
      <c r="AS22" s="110"/>
      <c r="AT22" s="110">
        <v>28.004379127322181</v>
      </c>
      <c r="AU22" s="110">
        <v>0</v>
      </c>
      <c r="AV22" s="110">
        <v>0</v>
      </c>
      <c r="AW22" s="110">
        <v>0</v>
      </c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>
        <v>0</v>
      </c>
      <c r="H23" s="110"/>
      <c r="I23" s="110"/>
      <c r="J23" s="110">
        <v>0</v>
      </c>
      <c r="K23" s="110"/>
      <c r="L23" s="110"/>
      <c r="M23" s="110"/>
      <c r="N23" s="110"/>
      <c r="O23" s="110">
        <v>0</v>
      </c>
      <c r="P23" s="110">
        <v>0</v>
      </c>
      <c r="Q23" s="110"/>
      <c r="R23" s="110"/>
      <c r="S23" s="110">
        <v>0</v>
      </c>
      <c r="T23" s="110"/>
      <c r="U23" s="110"/>
      <c r="V23" s="110"/>
      <c r="W23" s="110">
        <v>0</v>
      </c>
      <c r="X23" s="110">
        <v>0</v>
      </c>
      <c r="Y23" s="110"/>
      <c r="Z23" s="110">
        <v>0</v>
      </c>
      <c r="AA23" s="110"/>
      <c r="AB23" s="110">
        <v>0</v>
      </c>
      <c r="AC23" s="110">
        <v>0</v>
      </c>
      <c r="AD23" s="110">
        <v>0</v>
      </c>
      <c r="AE23" s="110"/>
      <c r="AF23" s="110">
        <v>0</v>
      </c>
      <c r="AG23" s="110">
        <v>0</v>
      </c>
      <c r="AH23" s="110">
        <v>0</v>
      </c>
      <c r="AI23" s="110">
        <v>0</v>
      </c>
      <c r="AJ23" s="110"/>
      <c r="AK23" s="110">
        <v>0</v>
      </c>
      <c r="AL23" s="110">
        <v>0</v>
      </c>
      <c r="AM23" s="110">
        <v>0</v>
      </c>
      <c r="AN23" s="110"/>
      <c r="AO23" s="110">
        <v>0</v>
      </c>
      <c r="AP23" s="110"/>
      <c r="AQ23" s="110">
        <v>0</v>
      </c>
      <c r="AR23" s="110"/>
      <c r="AS23" s="110"/>
      <c r="AT23" s="110">
        <v>0</v>
      </c>
      <c r="AU23" s="110">
        <v>0</v>
      </c>
      <c r="AV23" s="110">
        <v>0</v>
      </c>
      <c r="AW23" s="110">
        <v>0</v>
      </c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>
        <v>19.735315668100156</v>
      </c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>
        <v>162.56047953749714</v>
      </c>
      <c r="AH27" s="110"/>
      <c r="AI27" s="110"/>
      <c r="AJ27" s="110"/>
      <c r="AK27" s="110">
        <v>422.6583940369843</v>
      </c>
      <c r="AL27" s="110"/>
      <c r="AM27" s="110">
        <v>112.181390782687</v>
      </c>
      <c r="AN27" s="110"/>
      <c r="AO27" s="110">
        <v>358.83941535455097</v>
      </c>
      <c r="AP27" s="110"/>
      <c r="AQ27" s="110"/>
      <c r="AR27" s="110"/>
      <c r="AS27" s="110"/>
      <c r="AT27" s="110"/>
      <c r="AU27" s="110">
        <v>16.571129960848111</v>
      </c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>
        <v>16.788901595177322</v>
      </c>
      <c r="AC28" s="110">
        <v>103.59069539134339</v>
      </c>
      <c r="AD28" s="110"/>
      <c r="AE28" s="110"/>
      <c r="AF28" s="110"/>
      <c r="AG28" s="110">
        <v>325.46608724966211</v>
      </c>
      <c r="AH28" s="110"/>
      <c r="AI28" s="110"/>
      <c r="AJ28" s="110"/>
      <c r="AK28" s="110">
        <v>64.582880601880674</v>
      </c>
      <c r="AL28" s="110"/>
      <c r="AM28" s="110">
        <v>0</v>
      </c>
      <c r="AN28" s="110"/>
      <c r="AO28" s="110">
        <v>0</v>
      </c>
      <c r="AP28" s="110"/>
      <c r="AQ28" s="110"/>
      <c r="AR28" s="110"/>
      <c r="AS28" s="110"/>
      <c r="AT28" s="110"/>
      <c r="AU28" s="110">
        <v>0</v>
      </c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>
        <v>0</v>
      </c>
      <c r="K29" s="110"/>
      <c r="L29" s="110"/>
      <c r="M29" s="110"/>
      <c r="N29" s="110"/>
      <c r="O29" s="110"/>
      <c r="P29" s="110"/>
      <c r="Q29" s="110"/>
      <c r="R29" s="110"/>
      <c r="S29" s="110">
        <v>0</v>
      </c>
      <c r="T29" s="110"/>
      <c r="U29" s="110"/>
      <c r="V29" s="110"/>
      <c r="W29" s="110">
        <v>0</v>
      </c>
      <c r="X29" s="110">
        <v>0</v>
      </c>
      <c r="Y29" s="110"/>
      <c r="Z29" s="110">
        <v>0</v>
      </c>
      <c r="AA29" s="110"/>
      <c r="AB29" s="110">
        <v>0</v>
      </c>
      <c r="AC29" s="110">
        <v>0</v>
      </c>
      <c r="AD29" s="110">
        <v>0</v>
      </c>
      <c r="AE29" s="110"/>
      <c r="AF29" s="110"/>
      <c r="AG29" s="110">
        <v>0</v>
      </c>
      <c r="AH29" s="110">
        <v>0</v>
      </c>
      <c r="AI29" s="110">
        <v>0</v>
      </c>
      <c r="AJ29" s="110"/>
      <c r="AK29" s="110">
        <v>0</v>
      </c>
      <c r="AL29" s="110">
        <v>0</v>
      </c>
      <c r="AM29" s="110">
        <v>0</v>
      </c>
      <c r="AN29" s="110"/>
      <c r="AO29" s="110">
        <v>0</v>
      </c>
      <c r="AP29" s="110"/>
      <c r="AQ29" s="110">
        <v>0</v>
      </c>
      <c r="AR29" s="110"/>
      <c r="AS29" s="110"/>
      <c r="AT29" s="110">
        <v>0</v>
      </c>
      <c r="AU29" s="110">
        <v>0</v>
      </c>
      <c r="AV29" s="110">
        <v>0</v>
      </c>
      <c r="AW29" s="110">
        <v>0</v>
      </c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>
        <v>0</v>
      </c>
      <c r="H30" s="110"/>
      <c r="I30" s="110"/>
      <c r="J30" s="110">
        <v>0</v>
      </c>
      <c r="K30" s="110"/>
      <c r="L30" s="110"/>
      <c r="M30" s="110"/>
      <c r="N30" s="110"/>
      <c r="O30" s="110">
        <v>0</v>
      </c>
      <c r="P30" s="110">
        <v>0</v>
      </c>
      <c r="Q30" s="110"/>
      <c r="R30" s="110"/>
      <c r="S30" s="110">
        <v>0</v>
      </c>
      <c r="T30" s="110"/>
      <c r="U30" s="110"/>
      <c r="V30" s="110"/>
      <c r="W30" s="110">
        <v>0</v>
      </c>
      <c r="X30" s="110">
        <v>0</v>
      </c>
      <c r="Y30" s="110"/>
      <c r="Z30" s="110">
        <v>0</v>
      </c>
      <c r="AA30" s="110"/>
      <c r="AB30" s="110">
        <v>0</v>
      </c>
      <c r="AC30" s="110">
        <v>0</v>
      </c>
      <c r="AD30" s="110">
        <v>0</v>
      </c>
      <c r="AE30" s="110"/>
      <c r="AF30" s="110">
        <v>0</v>
      </c>
      <c r="AG30" s="110">
        <v>0</v>
      </c>
      <c r="AH30" s="110">
        <v>0</v>
      </c>
      <c r="AI30" s="110">
        <v>0</v>
      </c>
      <c r="AJ30" s="110"/>
      <c r="AK30" s="110">
        <v>0</v>
      </c>
      <c r="AL30" s="110">
        <v>0</v>
      </c>
      <c r="AM30" s="110">
        <v>0</v>
      </c>
      <c r="AN30" s="110"/>
      <c r="AO30" s="110">
        <v>0</v>
      </c>
      <c r="AP30" s="110"/>
      <c r="AQ30" s="110">
        <v>0</v>
      </c>
      <c r="AR30" s="110"/>
      <c r="AS30" s="110"/>
      <c r="AT30" s="110">
        <v>0</v>
      </c>
      <c r="AU30" s="110">
        <v>0</v>
      </c>
      <c r="AV30" s="110">
        <v>0</v>
      </c>
      <c r="AW30" s="110">
        <v>0</v>
      </c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>
        <v>0</v>
      </c>
      <c r="H31" s="110"/>
      <c r="I31" s="110"/>
      <c r="J31" s="110">
        <v>0</v>
      </c>
      <c r="K31" s="110"/>
      <c r="L31" s="110"/>
      <c r="M31" s="110"/>
      <c r="N31" s="110"/>
      <c r="O31" s="110">
        <v>0</v>
      </c>
      <c r="P31" s="110">
        <v>0</v>
      </c>
      <c r="Q31" s="110"/>
      <c r="R31" s="110"/>
      <c r="S31" s="110">
        <v>0</v>
      </c>
      <c r="T31" s="110"/>
      <c r="U31" s="110"/>
      <c r="V31" s="110"/>
      <c r="W31" s="110">
        <v>0</v>
      </c>
      <c r="X31" s="110">
        <v>0</v>
      </c>
      <c r="Y31" s="110"/>
      <c r="Z31" s="110">
        <v>0</v>
      </c>
      <c r="AA31" s="110"/>
      <c r="AB31" s="110">
        <v>0</v>
      </c>
      <c r="AC31" s="110">
        <v>0</v>
      </c>
      <c r="AD31" s="110">
        <v>0</v>
      </c>
      <c r="AE31" s="110"/>
      <c r="AF31" s="110">
        <v>0</v>
      </c>
      <c r="AG31" s="110">
        <v>0</v>
      </c>
      <c r="AH31" s="110">
        <v>0</v>
      </c>
      <c r="AI31" s="110">
        <v>0</v>
      </c>
      <c r="AJ31" s="110"/>
      <c r="AK31" s="110">
        <v>0</v>
      </c>
      <c r="AL31" s="110">
        <v>0</v>
      </c>
      <c r="AM31" s="110">
        <v>0</v>
      </c>
      <c r="AN31" s="110"/>
      <c r="AO31" s="110">
        <v>0</v>
      </c>
      <c r="AP31" s="110"/>
      <c r="AQ31" s="110">
        <v>0</v>
      </c>
      <c r="AR31" s="110"/>
      <c r="AS31" s="110"/>
      <c r="AT31" s="110">
        <v>0</v>
      </c>
      <c r="AU31" s="110">
        <v>0</v>
      </c>
      <c r="AV31" s="110">
        <v>0</v>
      </c>
      <c r="AW31" s="110">
        <v>0</v>
      </c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>
        <v>0</v>
      </c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>
        <v>0</v>
      </c>
      <c r="AH39" s="106"/>
      <c r="AI39" s="106"/>
      <c r="AJ39" s="106"/>
      <c r="AK39" s="106">
        <v>0</v>
      </c>
      <c r="AL39" s="106"/>
      <c r="AM39" s="106">
        <v>0</v>
      </c>
      <c r="AN39" s="106"/>
      <c r="AO39" s="106">
        <v>0</v>
      </c>
      <c r="AP39" s="106"/>
      <c r="AQ39" s="106"/>
      <c r="AR39" s="106"/>
      <c r="AS39" s="106"/>
      <c r="AT39" s="106"/>
      <c r="AU39" s="106">
        <v>0</v>
      </c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>
        <v>0</v>
      </c>
      <c r="AC40" s="106">
        <v>0</v>
      </c>
      <c r="AD40" s="106"/>
      <c r="AE40" s="106"/>
      <c r="AF40" s="106"/>
      <c r="AG40" s="106">
        <v>0</v>
      </c>
      <c r="AH40" s="106"/>
      <c r="AI40" s="106"/>
      <c r="AJ40" s="106"/>
      <c r="AK40" s="106">
        <v>0</v>
      </c>
      <c r="AL40" s="106"/>
      <c r="AM40" s="106">
        <v>0</v>
      </c>
      <c r="AN40" s="106"/>
      <c r="AO40" s="106">
        <v>0</v>
      </c>
      <c r="AP40" s="106"/>
      <c r="AQ40" s="106"/>
      <c r="AR40" s="106"/>
      <c r="AS40" s="106"/>
      <c r="AT40" s="106"/>
      <c r="AU40" s="106">
        <v>0</v>
      </c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>
        <v>0</v>
      </c>
      <c r="K41" s="106"/>
      <c r="L41" s="106"/>
      <c r="M41" s="106"/>
      <c r="N41" s="106"/>
      <c r="O41" s="106"/>
      <c r="P41" s="106"/>
      <c r="Q41" s="106"/>
      <c r="R41" s="106"/>
      <c r="S41" s="106">
        <v>0</v>
      </c>
      <c r="T41" s="106"/>
      <c r="U41" s="106"/>
      <c r="V41" s="106"/>
      <c r="W41" s="106">
        <v>0</v>
      </c>
      <c r="X41" s="106">
        <v>0</v>
      </c>
      <c r="Y41" s="106"/>
      <c r="Z41" s="106">
        <v>0</v>
      </c>
      <c r="AA41" s="106"/>
      <c r="AB41" s="106">
        <v>0</v>
      </c>
      <c r="AC41" s="106">
        <v>0</v>
      </c>
      <c r="AD41" s="106">
        <v>0</v>
      </c>
      <c r="AE41" s="106"/>
      <c r="AF41" s="106"/>
      <c r="AG41" s="106">
        <v>0</v>
      </c>
      <c r="AH41" s="106">
        <v>0</v>
      </c>
      <c r="AI41" s="106">
        <v>0</v>
      </c>
      <c r="AJ41" s="106"/>
      <c r="AK41" s="106">
        <v>0</v>
      </c>
      <c r="AL41" s="106">
        <v>0</v>
      </c>
      <c r="AM41" s="106">
        <v>0</v>
      </c>
      <c r="AN41" s="106"/>
      <c r="AO41" s="106">
        <v>0</v>
      </c>
      <c r="AP41" s="106"/>
      <c r="AQ41" s="106">
        <v>0</v>
      </c>
      <c r="AR41" s="106"/>
      <c r="AS41" s="106"/>
      <c r="AT41" s="106">
        <v>0</v>
      </c>
      <c r="AU41" s="106">
        <v>0</v>
      </c>
      <c r="AV41" s="106">
        <v>0</v>
      </c>
      <c r="AW41" s="106">
        <v>0</v>
      </c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>
        <v>0</v>
      </c>
      <c r="H42" s="106"/>
      <c r="I42" s="106"/>
      <c r="J42" s="106">
        <v>0</v>
      </c>
      <c r="K42" s="106"/>
      <c r="L42" s="106"/>
      <c r="M42" s="106"/>
      <c r="N42" s="106"/>
      <c r="O42" s="106">
        <v>0</v>
      </c>
      <c r="P42" s="106">
        <v>0</v>
      </c>
      <c r="Q42" s="106"/>
      <c r="R42" s="106"/>
      <c r="S42" s="106">
        <v>0</v>
      </c>
      <c r="T42" s="106"/>
      <c r="U42" s="106"/>
      <c r="V42" s="106"/>
      <c r="W42" s="106">
        <v>0</v>
      </c>
      <c r="X42" s="106">
        <v>0</v>
      </c>
      <c r="Y42" s="106"/>
      <c r="Z42" s="106">
        <v>0</v>
      </c>
      <c r="AA42" s="106"/>
      <c r="AB42" s="106">
        <v>0</v>
      </c>
      <c r="AC42" s="106">
        <v>0</v>
      </c>
      <c r="AD42" s="106">
        <v>0</v>
      </c>
      <c r="AE42" s="106"/>
      <c r="AF42" s="106">
        <v>0</v>
      </c>
      <c r="AG42" s="106">
        <v>0</v>
      </c>
      <c r="AH42" s="106">
        <v>0</v>
      </c>
      <c r="AI42" s="106">
        <v>0</v>
      </c>
      <c r="AJ42" s="106"/>
      <c r="AK42" s="106">
        <v>0</v>
      </c>
      <c r="AL42" s="106">
        <v>0</v>
      </c>
      <c r="AM42" s="106">
        <v>0</v>
      </c>
      <c r="AN42" s="106"/>
      <c r="AO42" s="106">
        <v>0</v>
      </c>
      <c r="AP42" s="106"/>
      <c r="AQ42" s="106">
        <v>0</v>
      </c>
      <c r="AR42" s="106"/>
      <c r="AS42" s="106"/>
      <c r="AT42" s="106">
        <v>0</v>
      </c>
      <c r="AU42" s="106">
        <v>0</v>
      </c>
      <c r="AV42" s="106">
        <v>0</v>
      </c>
      <c r="AW42" s="106">
        <v>0</v>
      </c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>
        <v>0</v>
      </c>
      <c r="H43" s="106"/>
      <c r="I43" s="106"/>
      <c r="J43" s="106">
        <v>0</v>
      </c>
      <c r="K43" s="106"/>
      <c r="L43" s="106"/>
      <c r="M43" s="106"/>
      <c r="N43" s="106"/>
      <c r="O43" s="106">
        <v>0</v>
      </c>
      <c r="P43" s="106">
        <v>0</v>
      </c>
      <c r="Q43" s="106"/>
      <c r="R43" s="106"/>
      <c r="S43" s="106">
        <v>0</v>
      </c>
      <c r="T43" s="106"/>
      <c r="U43" s="106"/>
      <c r="V43" s="106"/>
      <c r="W43" s="106">
        <v>0</v>
      </c>
      <c r="X43" s="106">
        <v>0</v>
      </c>
      <c r="Y43" s="106"/>
      <c r="Z43" s="106">
        <v>0</v>
      </c>
      <c r="AA43" s="106"/>
      <c r="AB43" s="106">
        <v>0</v>
      </c>
      <c r="AC43" s="106">
        <v>0</v>
      </c>
      <c r="AD43" s="106">
        <v>0</v>
      </c>
      <c r="AE43" s="106"/>
      <c r="AF43" s="106">
        <v>0</v>
      </c>
      <c r="AG43" s="106">
        <v>0</v>
      </c>
      <c r="AH43" s="106">
        <v>0</v>
      </c>
      <c r="AI43" s="106">
        <v>0</v>
      </c>
      <c r="AJ43" s="106"/>
      <c r="AK43" s="106">
        <v>0</v>
      </c>
      <c r="AL43" s="106">
        <v>0</v>
      </c>
      <c r="AM43" s="106">
        <v>0</v>
      </c>
      <c r="AN43" s="106"/>
      <c r="AO43" s="106">
        <v>0</v>
      </c>
      <c r="AP43" s="106"/>
      <c r="AQ43" s="106">
        <v>0</v>
      </c>
      <c r="AR43" s="106"/>
      <c r="AS43" s="106"/>
      <c r="AT43" s="106">
        <v>0</v>
      </c>
      <c r="AU43" s="106">
        <v>0</v>
      </c>
      <c r="AV43" s="106">
        <v>0</v>
      </c>
      <c r="AW43" s="106">
        <v>0</v>
      </c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>
        <v>0</v>
      </c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>
        <v>0</v>
      </c>
      <c r="AH87" s="110"/>
      <c r="AI87" s="110"/>
      <c r="AJ87" s="110"/>
      <c r="AK87" s="110">
        <v>0</v>
      </c>
      <c r="AL87" s="110"/>
      <c r="AM87" s="110">
        <v>0</v>
      </c>
      <c r="AN87" s="110"/>
      <c r="AO87" s="110">
        <v>0</v>
      </c>
      <c r="AP87" s="110"/>
      <c r="AQ87" s="110"/>
      <c r="AR87" s="110"/>
      <c r="AS87" s="110"/>
      <c r="AT87" s="110"/>
      <c r="AU87" s="110">
        <v>0</v>
      </c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>
        <v>0</v>
      </c>
      <c r="AC88" s="110">
        <v>0</v>
      </c>
      <c r="AD88" s="110"/>
      <c r="AE88" s="110"/>
      <c r="AF88" s="110"/>
      <c r="AG88" s="110">
        <v>0</v>
      </c>
      <c r="AH88" s="110"/>
      <c r="AI88" s="110"/>
      <c r="AJ88" s="110"/>
      <c r="AK88" s="110">
        <v>0</v>
      </c>
      <c r="AL88" s="110"/>
      <c r="AM88" s="110">
        <v>0</v>
      </c>
      <c r="AN88" s="110"/>
      <c r="AO88" s="110">
        <v>0</v>
      </c>
      <c r="AP88" s="110"/>
      <c r="AQ88" s="110"/>
      <c r="AR88" s="110"/>
      <c r="AS88" s="110"/>
      <c r="AT88" s="110"/>
      <c r="AU88" s="110">
        <v>0</v>
      </c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>
        <v>0</v>
      </c>
      <c r="K89" s="110"/>
      <c r="L89" s="110"/>
      <c r="M89" s="110"/>
      <c r="N89" s="110"/>
      <c r="O89" s="110"/>
      <c r="P89" s="110"/>
      <c r="Q89" s="110"/>
      <c r="R89" s="110"/>
      <c r="S89" s="110">
        <v>0</v>
      </c>
      <c r="T89" s="110"/>
      <c r="U89" s="110"/>
      <c r="V89" s="110"/>
      <c r="W89" s="110">
        <v>0</v>
      </c>
      <c r="X89" s="110">
        <v>0</v>
      </c>
      <c r="Y89" s="110"/>
      <c r="Z89" s="110">
        <v>0</v>
      </c>
      <c r="AA89" s="110"/>
      <c r="AB89" s="110">
        <v>0</v>
      </c>
      <c r="AC89" s="110">
        <v>0</v>
      </c>
      <c r="AD89" s="110">
        <v>0</v>
      </c>
      <c r="AE89" s="110"/>
      <c r="AF89" s="110"/>
      <c r="AG89" s="110">
        <v>0</v>
      </c>
      <c r="AH89" s="110">
        <v>0</v>
      </c>
      <c r="AI89" s="110">
        <v>0</v>
      </c>
      <c r="AJ89" s="110"/>
      <c r="AK89" s="110">
        <v>0</v>
      </c>
      <c r="AL89" s="110">
        <v>0</v>
      </c>
      <c r="AM89" s="110">
        <v>0</v>
      </c>
      <c r="AN89" s="110"/>
      <c r="AO89" s="110">
        <v>0</v>
      </c>
      <c r="AP89" s="110"/>
      <c r="AQ89" s="110">
        <v>0</v>
      </c>
      <c r="AR89" s="110"/>
      <c r="AS89" s="110"/>
      <c r="AT89" s="110">
        <v>0</v>
      </c>
      <c r="AU89" s="110">
        <v>0</v>
      </c>
      <c r="AV89" s="110">
        <v>0</v>
      </c>
      <c r="AW89" s="110">
        <v>0</v>
      </c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>
        <v>0</v>
      </c>
      <c r="H90" s="110"/>
      <c r="I90" s="110"/>
      <c r="J90" s="110">
        <v>0</v>
      </c>
      <c r="K90" s="110"/>
      <c r="L90" s="110"/>
      <c r="M90" s="110"/>
      <c r="N90" s="110"/>
      <c r="O90" s="110">
        <v>0</v>
      </c>
      <c r="P90" s="110">
        <v>0</v>
      </c>
      <c r="Q90" s="110"/>
      <c r="R90" s="110"/>
      <c r="S90" s="110">
        <v>0</v>
      </c>
      <c r="T90" s="110"/>
      <c r="U90" s="110"/>
      <c r="V90" s="110"/>
      <c r="W90" s="110">
        <v>0</v>
      </c>
      <c r="X90" s="110">
        <v>0</v>
      </c>
      <c r="Y90" s="110"/>
      <c r="Z90" s="110">
        <v>0</v>
      </c>
      <c r="AA90" s="110"/>
      <c r="AB90" s="110">
        <v>0</v>
      </c>
      <c r="AC90" s="110">
        <v>0</v>
      </c>
      <c r="AD90" s="110">
        <v>0</v>
      </c>
      <c r="AE90" s="110"/>
      <c r="AF90" s="110">
        <v>0</v>
      </c>
      <c r="AG90" s="110">
        <v>0</v>
      </c>
      <c r="AH90" s="110">
        <v>0</v>
      </c>
      <c r="AI90" s="110">
        <v>0</v>
      </c>
      <c r="AJ90" s="110"/>
      <c r="AK90" s="110">
        <v>0</v>
      </c>
      <c r="AL90" s="110">
        <v>0</v>
      </c>
      <c r="AM90" s="110">
        <v>0</v>
      </c>
      <c r="AN90" s="110"/>
      <c r="AO90" s="110">
        <v>0</v>
      </c>
      <c r="AP90" s="110"/>
      <c r="AQ90" s="110">
        <v>0</v>
      </c>
      <c r="AR90" s="110"/>
      <c r="AS90" s="110"/>
      <c r="AT90" s="110">
        <v>0</v>
      </c>
      <c r="AU90" s="110">
        <v>0</v>
      </c>
      <c r="AV90" s="110">
        <v>0</v>
      </c>
      <c r="AW90" s="110">
        <v>0</v>
      </c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>
        <v>0</v>
      </c>
      <c r="H91" s="110"/>
      <c r="I91" s="110"/>
      <c r="J91" s="110">
        <v>0</v>
      </c>
      <c r="K91" s="110"/>
      <c r="L91" s="110"/>
      <c r="M91" s="110"/>
      <c r="N91" s="110"/>
      <c r="O91" s="110">
        <v>0</v>
      </c>
      <c r="P91" s="110">
        <v>0</v>
      </c>
      <c r="Q91" s="110"/>
      <c r="R91" s="110"/>
      <c r="S91" s="110">
        <v>0</v>
      </c>
      <c r="T91" s="110"/>
      <c r="U91" s="110"/>
      <c r="V91" s="110"/>
      <c r="W91" s="110">
        <v>0</v>
      </c>
      <c r="X91" s="110">
        <v>0</v>
      </c>
      <c r="Y91" s="110"/>
      <c r="Z91" s="110">
        <v>0</v>
      </c>
      <c r="AA91" s="110"/>
      <c r="AB91" s="110">
        <v>0</v>
      </c>
      <c r="AC91" s="110">
        <v>0</v>
      </c>
      <c r="AD91" s="110">
        <v>0</v>
      </c>
      <c r="AE91" s="110"/>
      <c r="AF91" s="110">
        <v>0</v>
      </c>
      <c r="AG91" s="110">
        <v>0</v>
      </c>
      <c r="AH91" s="110">
        <v>0</v>
      </c>
      <c r="AI91" s="110">
        <v>0</v>
      </c>
      <c r="AJ91" s="110"/>
      <c r="AK91" s="110">
        <v>0</v>
      </c>
      <c r="AL91" s="110">
        <v>0</v>
      </c>
      <c r="AM91" s="110">
        <v>0</v>
      </c>
      <c r="AN91" s="110"/>
      <c r="AO91" s="110">
        <v>0</v>
      </c>
      <c r="AP91" s="110"/>
      <c r="AQ91" s="110">
        <v>0</v>
      </c>
      <c r="AR91" s="110"/>
      <c r="AS91" s="110"/>
      <c r="AT91" s="110">
        <v>0</v>
      </c>
      <c r="AU91" s="110">
        <v>0</v>
      </c>
      <c r="AV91" s="110">
        <v>0</v>
      </c>
      <c r="AW91" s="110">
        <v>0</v>
      </c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27932.515882357737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1064.5387501435528</v>
      </c>
      <c r="D95" s="110">
        <v>1278.0043791273222</v>
      </c>
      <c r="E95" s="110">
        <v>1278.0043791273222</v>
      </c>
      <c r="F95" s="110">
        <v>1278.0043791273222</v>
      </c>
      <c r="G95" s="110">
        <v>1278.0043791273222</v>
      </c>
      <c r="H95" s="110">
        <v>1278.0043791273222</v>
      </c>
      <c r="I95" s="110">
        <v>1278.0043791273222</v>
      </c>
      <c r="J95" s="110">
        <v>614.52133403396465</v>
      </c>
      <c r="K95" s="110">
        <v>1278.0043791273222</v>
      </c>
      <c r="L95" s="110">
        <v>1278.0043791273222</v>
      </c>
      <c r="M95" s="110">
        <v>1278.0043791273222</v>
      </c>
      <c r="N95" s="110">
        <v>1278.0043791273222</v>
      </c>
      <c r="O95" s="110">
        <v>1278.0043791273222</v>
      </c>
      <c r="P95" s="110">
        <v>1278.0043791273222</v>
      </c>
      <c r="Q95" s="110">
        <v>1278.0043791273222</v>
      </c>
      <c r="R95" s="110">
        <v>1278.0043791273222</v>
      </c>
      <c r="S95" s="110">
        <v>1150.6974136081856</v>
      </c>
      <c r="T95" s="110">
        <v>1278.0043791273222</v>
      </c>
      <c r="U95" s="110">
        <v>1278.0043791273222</v>
      </c>
      <c r="V95" s="110">
        <v>1278.0043791273222</v>
      </c>
      <c r="W95" s="110">
        <v>847.25014178490824</v>
      </c>
      <c r="X95" s="110">
        <v>635.65944639356462</v>
      </c>
      <c r="Y95" s="110">
        <v>1278.0043791273222</v>
      </c>
      <c r="Z95" s="110">
        <v>291.1557595696645</v>
      </c>
      <c r="AA95" s="110">
        <v>1278.0043791273222</v>
      </c>
      <c r="AB95" s="110">
        <v>0</v>
      </c>
      <c r="AC95" s="110">
        <v>0</v>
      </c>
      <c r="AD95" s="110">
        <v>18.409304608656612</v>
      </c>
      <c r="AE95" s="110">
        <v>1278.0043791273222</v>
      </c>
      <c r="AF95" s="110">
        <v>1278.0043791273222</v>
      </c>
      <c r="AG95" s="110">
        <v>0</v>
      </c>
      <c r="AH95" s="110">
        <v>119.40930460865661</v>
      </c>
      <c r="AI95" s="110">
        <v>187.818609217313</v>
      </c>
      <c r="AJ95" s="110">
        <v>1278.0043791273222</v>
      </c>
      <c r="AK95" s="110">
        <v>0</v>
      </c>
      <c r="AL95" s="110">
        <v>35.409304608656612</v>
      </c>
      <c r="AM95" s="110">
        <v>0</v>
      </c>
      <c r="AN95" s="110">
        <v>1278.0043791273222</v>
      </c>
      <c r="AO95" s="110">
        <v>0</v>
      </c>
      <c r="AP95" s="110">
        <v>1278.0043791273222</v>
      </c>
      <c r="AQ95" s="110">
        <v>26.387055771991299</v>
      </c>
      <c r="AR95" s="110">
        <v>1278.0043791273222</v>
      </c>
      <c r="AS95" s="110">
        <v>1278.0043791273222</v>
      </c>
      <c r="AT95" s="110">
        <v>61.019565430494822</v>
      </c>
      <c r="AU95" s="110">
        <v>0</v>
      </c>
      <c r="AV95" s="110">
        <v>46.409304608656612</v>
      </c>
      <c r="AW95" s="110">
        <v>268.818609217313</v>
      </c>
      <c r="AX95" s="110">
        <v>1278.0043791273222</v>
      </c>
      <c r="AY95" s="110">
        <v>1278.0043791273222</v>
      </c>
    </row>
    <row r="96" spans="1:52">
      <c r="A96" s="109"/>
      <c r="B96" s="120">
        <v>2</v>
      </c>
      <c r="C96" s="110">
        <v>111.07750028710552</v>
      </c>
      <c r="D96" s="110">
        <v>63.616250430658283</v>
      </c>
      <c r="E96" s="110">
        <v>402.62062955798046</v>
      </c>
      <c r="F96" s="110">
        <v>699.62500868530265</v>
      </c>
      <c r="G96" s="110">
        <v>94.658655885595635</v>
      </c>
      <c r="H96" s="110">
        <v>324.66303501291782</v>
      </c>
      <c r="I96" s="110">
        <v>647.66741414024</v>
      </c>
      <c r="J96" s="110">
        <v>0</v>
      </c>
      <c r="K96" s="110">
        <v>0</v>
      </c>
      <c r="L96" s="110">
        <v>270.00437912732218</v>
      </c>
      <c r="M96" s="110">
        <v>300.00875825464436</v>
      </c>
      <c r="N96" s="110">
        <v>350.01313738196654</v>
      </c>
      <c r="O96" s="110">
        <v>274.76122969599328</v>
      </c>
      <c r="P96" s="110">
        <v>203.17053430464989</v>
      </c>
      <c r="Q96" s="110">
        <v>560.17491343197207</v>
      </c>
      <c r="R96" s="110">
        <v>629.17929255929425</v>
      </c>
      <c r="S96" s="110">
        <v>0</v>
      </c>
      <c r="T96" s="110">
        <v>198.69741360818557</v>
      </c>
      <c r="U96" s="110">
        <v>463.70179273550775</v>
      </c>
      <c r="V96" s="110">
        <v>886.70617186282993</v>
      </c>
      <c r="W96" s="110">
        <v>0</v>
      </c>
      <c r="X96" s="110">
        <v>0</v>
      </c>
      <c r="Y96" s="110">
        <v>0</v>
      </c>
      <c r="Z96" s="110">
        <v>0</v>
      </c>
      <c r="AA96" s="110">
        <v>0</v>
      </c>
      <c r="AB96" s="110">
        <v>0</v>
      </c>
      <c r="AC96" s="110">
        <v>0</v>
      </c>
      <c r="AD96" s="110">
        <v>0</v>
      </c>
      <c r="AE96" s="110">
        <v>0</v>
      </c>
      <c r="AF96" s="110">
        <v>108.90699127581161</v>
      </c>
      <c r="AG96" s="110">
        <v>0</v>
      </c>
      <c r="AH96" s="110">
        <v>0</v>
      </c>
      <c r="AI96" s="110">
        <v>0</v>
      </c>
      <c r="AJ96" s="110">
        <v>0</v>
      </c>
      <c r="AK96" s="110">
        <v>0</v>
      </c>
      <c r="AL96" s="110">
        <v>0</v>
      </c>
      <c r="AM96" s="110">
        <v>0</v>
      </c>
      <c r="AN96" s="110">
        <v>0</v>
      </c>
      <c r="AO96" s="110">
        <v>0</v>
      </c>
      <c r="AP96" s="110">
        <v>0</v>
      </c>
      <c r="AQ96" s="110">
        <v>0</v>
      </c>
      <c r="AR96" s="110">
        <v>0</v>
      </c>
      <c r="AS96" s="110">
        <v>0</v>
      </c>
      <c r="AT96" s="110">
        <v>0</v>
      </c>
      <c r="AU96" s="110">
        <v>0</v>
      </c>
      <c r="AV96" s="110">
        <v>0</v>
      </c>
      <c r="AW96" s="110">
        <v>0</v>
      </c>
      <c r="AX96" s="110">
        <v>0</v>
      </c>
      <c r="AY96" s="110">
        <v>233.00437912732218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225.5503414605468</v>
      </c>
      <c r="D100" s="106">
        <v>607.88626862268802</v>
      </c>
      <c r="E100" s="106">
        <v>190.3266208789978</v>
      </c>
      <c r="F100" s="106">
        <v>0</v>
      </c>
      <c r="G100" s="106">
        <v>728.53584003484445</v>
      </c>
      <c r="H100" s="106">
        <v>0</v>
      </c>
      <c r="I100" s="106">
        <v>728.53584003484445</v>
      </c>
      <c r="J100" s="106">
        <v>728.53584003484445</v>
      </c>
      <c r="K100" s="106">
        <v>190.32662087899757</v>
      </c>
      <c r="L100" s="106">
        <v>0</v>
      </c>
      <c r="M100" s="106">
        <v>0</v>
      </c>
      <c r="N100" s="106">
        <v>0</v>
      </c>
      <c r="O100" s="106">
        <v>1401.4398818916025</v>
      </c>
      <c r="P100" s="106">
        <v>728.53584003484445</v>
      </c>
      <c r="Q100" s="106">
        <v>190.32662087899757</v>
      </c>
      <c r="R100" s="106">
        <v>0</v>
      </c>
      <c r="S100" s="106">
        <v>1401.4398818916025</v>
      </c>
      <c r="T100" s="106">
        <v>0</v>
      </c>
      <c r="U100" s="106">
        <v>728.53584003484445</v>
      </c>
      <c r="V100" s="106">
        <v>0</v>
      </c>
      <c r="W100" s="106">
        <v>728.53584003484445</v>
      </c>
      <c r="X100" s="106">
        <v>728.53584003484445</v>
      </c>
      <c r="Y100" s="106">
        <v>190.32662087899757</v>
      </c>
      <c r="Z100" s="106">
        <v>728.53584003484445</v>
      </c>
      <c r="AA100" s="106">
        <v>190.32662087899757</v>
      </c>
      <c r="AB100" s="106">
        <v>728.53584003484445</v>
      </c>
      <c r="AC100" s="106">
        <v>728.53584003484445</v>
      </c>
      <c r="AD100" s="106">
        <v>728.53584003484445</v>
      </c>
      <c r="AE100" s="106">
        <v>190.32662087899757</v>
      </c>
      <c r="AF100" s="106">
        <v>0</v>
      </c>
      <c r="AG100" s="106">
        <v>728.53584003484445</v>
      </c>
      <c r="AH100" s="106">
        <v>728.53584003484445</v>
      </c>
      <c r="AI100" s="106">
        <v>728.53584003484445</v>
      </c>
      <c r="AJ100" s="106">
        <v>0</v>
      </c>
      <c r="AK100" s="106">
        <v>728.53584003484445</v>
      </c>
      <c r="AL100" s="106">
        <v>728.53584003484445</v>
      </c>
      <c r="AM100" s="106">
        <v>728.53584003484445</v>
      </c>
      <c r="AN100" s="106">
        <v>0</v>
      </c>
      <c r="AO100" s="106">
        <v>728.53584003484445</v>
      </c>
      <c r="AP100" s="106">
        <v>0</v>
      </c>
      <c r="AQ100" s="106">
        <v>728.53584003484445</v>
      </c>
      <c r="AR100" s="106">
        <v>0</v>
      </c>
      <c r="AS100" s="106">
        <v>190.32662087899757</v>
      </c>
      <c r="AT100" s="106">
        <v>728.53584003484445</v>
      </c>
      <c r="AU100" s="106">
        <v>728.53584003484445</v>
      </c>
      <c r="AV100" s="106">
        <v>728.53584003484445</v>
      </c>
      <c r="AW100" s="106">
        <v>728.53584003484445</v>
      </c>
      <c r="AX100" s="106">
        <v>0</v>
      </c>
      <c r="AY100" s="106">
        <v>728.53584003484445</v>
      </c>
    </row>
    <row r="101" spans="1:52">
      <c r="A101" s="109"/>
      <c r="B101" s="119">
        <v>2</v>
      </c>
      <c r="C101" s="106">
        <v>0</v>
      </c>
      <c r="D101" s="106">
        <v>382.33592716214122</v>
      </c>
      <c r="E101" s="106">
        <v>238.22219578482924</v>
      </c>
      <c r="F101" s="106">
        <v>0</v>
      </c>
      <c r="G101" s="106">
        <v>728.53584003484445</v>
      </c>
      <c r="H101" s="106">
        <v>728.53584003484445</v>
      </c>
      <c r="I101" s="106">
        <v>0</v>
      </c>
      <c r="J101" s="106">
        <v>407.14118840878143</v>
      </c>
      <c r="K101" s="106">
        <v>728.53584003484445</v>
      </c>
      <c r="L101" s="106">
        <v>728.53584003484445</v>
      </c>
      <c r="M101" s="106">
        <v>0</v>
      </c>
      <c r="N101" s="106">
        <v>0</v>
      </c>
      <c r="O101" s="106">
        <v>0</v>
      </c>
      <c r="P101" s="106">
        <v>739.43988189160245</v>
      </c>
      <c r="Q101" s="106">
        <v>728.53584003484445</v>
      </c>
      <c r="R101" s="106">
        <v>728.53584003484445</v>
      </c>
      <c r="S101" s="106">
        <v>0</v>
      </c>
      <c r="T101" s="106">
        <v>934.95144385289382</v>
      </c>
      <c r="U101" s="106">
        <v>0</v>
      </c>
      <c r="V101" s="106">
        <v>231.48728388773827</v>
      </c>
      <c r="W101" s="106">
        <v>728.53584003484445</v>
      </c>
      <c r="X101" s="106">
        <v>728.53584003484445</v>
      </c>
      <c r="Y101" s="106">
        <v>728.53584003484445</v>
      </c>
      <c r="Z101" s="106">
        <v>728.53584003484445</v>
      </c>
      <c r="AA101" s="106">
        <v>728.53584003484445</v>
      </c>
      <c r="AB101" s="106">
        <v>728.53584003484445</v>
      </c>
      <c r="AC101" s="106">
        <v>728.53584003484445</v>
      </c>
      <c r="AD101" s="106">
        <v>728.53584003484445</v>
      </c>
      <c r="AE101" s="106">
        <v>728.53584003484445</v>
      </c>
      <c r="AF101" s="106">
        <v>728.53584003484445</v>
      </c>
      <c r="AG101" s="106">
        <v>728.53584003484445</v>
      </c>
      <c r="AH101" s="106">
        <v>728.53584003484445</v>
      </c>
      <c r="AI101" s="106">
        <v>728.53584003484445</v>
      </c>
      <c r="AJ101" s="106">
        <v>728.53584003484445</v>
      </c>
      <c r="AK101" s="106">
        <v>728.53584003484445</v>
      </c>
      <c r="AL101" s="106">
        <v>728.53584003484445</v>
      </c>
      <c r="AM101" s="106">
        <v>728.53584003484445</v>
      </c>
      <c r="AN101" s="106">
        <v>728.53584003484445</v>
      </c>
      <c r="AO101" s="106">
        <v>708.8005243667443</v>
      </c>
      <c r="AP101" s="106">
        <v>728.53584003484445</v>
      </c>
      <c r="AQ101" s="106">
        <v>728.53584003484445</v>
      </c>
      <c r="AR101" s="106">
        <v>728.53584003484445</v>
      </c>
      <c r="AS101" s="106">
        <v>728.53584003484445</v>
      </c>
      <c r="AT101" s="106">
        <v>728.53584003484445</v>
      </c>
      <c r="AU101" s="106">
        <v>728.53584003484445</v>
      </c>
      <c r="AV101" s="106">
        <v>728.53584003484445</v>
      </c>
      <c r="AW101" s="106">
        <v>728.53584003484445</v>
      </c>
      <c r="AX101" s="106">
        <v>728.53584003484445</v>
      </c>
      <c r="AY101" s="106">
        <v>0</v>
      </c>
    </row>
    <row r="102" spans="1:52">
      <c r="A102" s="109"/>
      <c r="B102" s="120">
        <v>3</v>
      </c>
      <c r="C102" s="106">
        <v>382.33592716214122</v>
      </c>
      <c r="D102" s="106">
        <v>0</v>
      </c>
      <c r="E102" s="106">
        <v>0</v>
      </c>
      <c r="F102" s="106">
        <v>0</v>
      </c>
      <c r="G102" s="106">
        <v>288.53366830424807</v>
      </c>
      <c r="H102" s="106">
        <v>441.06950833909252</v>
      </c>
      <c r="I102" s="106">
        <v>374.60534837393698</v>
      </c>
      <c r="J102" s="106">
        <v>728.53584003484445</v>
      </c>
      <c r="K102" s="106">
        <v>407.14118840878143</v>
      </c>
      <c r="L102" s="106">
        <v>579.21286847847034</v>
      </c>
      <c r="M102" s="106">
        <v>728.53584003484445</v>
      </c>
      <c r="N102" s="106">
        <v>728.53584003484445</v>
      </c>
      <c r="O102" s="106">
        <v>0</v>
      </c>
      <c r="P102" s="106">
        <v>0</v>
      </c>
      <c r="Q102" s="106">
        <v>187.43988189160245</v>
      </c>
      <c r="R102" s="106">
        <v>210.97572192644691</v>
      </c>
      <c r="S102" s="106">
        <v>217.51156196129136</v>
      </c>
      <c r="T102" s="106">
        <v>0</v>
      </c>
      <c r="U102" s="106">
        <v>285.95144385289382</v>
      </c>
      <c r="V102" s="106">
        <v>728.53584003484445</v>
      </c>
      <c r="W102" s="106">
        <v>231.48728388773827</v>
      </c>
      <c r="X102" s="106">
        <v>522.55896395742718</v>
      </c>
      <c r="Y102" s="106">
        <v>595.09480399227164</v>
      </c>
      <c r="Z102" s="106">
        <v>659.63064402711609</v>
      </c>
      <c r="AA102" s="106">
        <v>728.53584003484445</v>
      </c>
      <c r="AB102" s="106">
        <v>728.53584003484445</v>
      </c>
      <c r="AC102" s="106">
        <v>728.53584003484445</v>
      </c>
      <c r="AD102" s="106">
        <v>728.53584003484445</v>
      </c>
      <c r="AE102" s="106">
        <v>728.53584003484445</v>
      </c>
      <c r="AF102" s="106">
        <v>728.53584003484445</v>
      </c>
      <c r="AG102" s="106">
        <v>565.97536049734731</v>
      </c>
      <c r="AH102" s="106">
        <v>607.51120053219176</v>
      </c>
      <c r="AI102" s="106">
        <v>591.04704056703622</v>
      </c>
      <c r="AJ102" s="106">
        <v>650.58288060188067</v>
      </c>
      <c r="AK102" s="106">
        <v>305.87744599786015</v>
      </c>
      <c r="AL102" s="106">
        <v>382.4132860327046</v>
      </c>
      <c r="AM102" s="106">
        <v>402.76773528486206</v>
      </c>
      <c r="AN102" s="106">
        <v>345.30357531970651</v>
      </c>
      <c r="AO102" s="106">
        <v>0</v>
      </c>
      <c r="AP102" s="106">
        <v>48.800524366744298</v>
      </c>
      <c r="AQ102" s="106">
        <v>86.336364401588753</v>
      </c>
      <c r="AR102" s="106">
        <v>111.87220443643321</v>
      </c>
      <c r="AS102" s="106">
        <v>51.408044471277663</v>
      </c>
      <c r="AT102" s="106">
        <v>226.94388450612212</v>
      </c>
      <c r="AU102" s="106">
        <v>186.90859458011846</v>
      </c>
      <c r="AV102" s="106">
        <v>271.44443461496292</v>
      </c>
      <c r="AW102" s="106">
        <v>225.98027464980737</v>
      </c>
      <c r="AX102" s="106">
        <v>184.51611468465182</v>
      </c>
      <c r="AY102" s="106">
        <v>189.05195471949628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37.535840034844455</v>
      </c>
      <c r="L103" s="106">
        <v>0</v>
      </c>
      <c r="M103" s="106">
        <v>26.212868478470341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102.53584003484445</v>
      </c>
      <c r="X103" s="106">
        <v>0</v>
      </c>
      <c r="Y103" s="106">
        <v>0</v>
      </c>
      <c r="Z103" s="106">
        <v>0</v>
      </c>
      <c r="AA103" s="106">
        <v>28.630644027116091</v>
      </c>
      <c r="AB103" s="106">
        <v>153.37758246678322</v>
      </c>
      <c r="AC103" s="106">
        <v>47.322727110284291</v>
      </c>
      <c r="AD103" s="106">
        <v>124.85856714512875</v>
      </c>
      <c r="AE103" s="106">
        <v>124.3944071799732</v>
      </c>
      <c r="AF103" s="106">
        <v>285.93024721481765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362.12744127958661</v>
      </c>
      <c r="D109" s="106">
        <v>362.12744127958661</v>
      </c>
      <c r="E109" s="106">
        <v>427.00436855357214</v>
      </c>
      <c r="F109" s="106">
        <v>118.06872615069967</v>
      </c>
      <c r="G109" s="106">
        <v>3.1276817257271702E-2</v>
      </c>
      <c r="H109" s="106">
        <v>1031.9995500235377</v>
      </c>
      <c r="I109" s="106">
        <v>356.50108026948993</v>
      </c>
      <c r="J109" s="106">
        <v>430.72763868965006</v>
      </c>
      <c r="K109" s="106">
        <v>861.42400056204292</v>
      </c>
      <c r="L109" s="106">
        <v>371.49685859014375</v>
      </c>
      <c r="M109" s="106">
        <v>318.21020485121329</v>
      </c>
      <c r="N109" s="106">
        <v>3.1276817257280286E-2</v>
      </c>
      <c r="O109" s="106">
        <v>430.72763868965006</v>
      </c>
      <c r="P109" s="106">
        <v>828.53555257769244</v>
      </c>
      <c r="Q109" s="106">
        <v>658.03891381497544</v>
      </c>
      <c r="R109" s="106">
        <v>265.7719620099565</v>
      </c>
      <c r="S109" s="106">
        <v>318.21020485121329</v>
      </c>
      <c r="T109" s="106">
        <v>828.53555257769244</v>
      </c>
      <c r="U109" s="106">
        <v>194.41147136486791</v>
      </c>
      <c r="V109" s="106">
        <v>430.72763868965006</v>
      </c>
      <c r="W109" s="106">
        <v>430.72763868965006</v>
      </c>
      <c r="X109" s="106">
        <v>861.42400056204292</v>
      </c>
      <c r="Y109" s="106">
        <v>677.5432832533628</v>
      </c>
      <c r="Z109" s="106">
        <v>258.19295741630725</v>
      </c>
      <c r="AA109" s="106">
        <v>748.90656672360603</v>
      </c>
      <c r="AB109" s="106">
        <v>315.96641437154682</v>
      </c>
      <c r="AC109" s="106">
        <v>748.90656672360615</v>
      </c>
      <c r="AD109" s="106">
        <v>648.01106054348804</v>
      </c>
      <c r="AE109" s="106">
        <v>511.97267776866863</v>
      </c>
      <c r="AF109" s="106">
        <v>172.16417299630183</v>
      </c>
      <c r="AG109" s="106">
        <v>318.21020485121329</v>
      </c>
      <c r="AH109" s="106">
        <v>861.42400056204292</v>
      </c>
      <c r="AI109" s="106">
        <v>657.17800973819715</v>
      </c>
      <c r="AJ109" s="106">
        <v>558.7647084486124</v>
      </c>
      <c r="AK109" s="106">
        <v>72.7311957506341</v>
      </c>
      <c r="AL109" s="106">
        <v>861.42400056204292</v>
      </c>
      <c r="AM109" s="106">
        <v>619.48058855055001</v>
      </c>
      <c r="AN109" s="106">
        <v>548.66761502047893</v>
      </c>
      <c r="AO109" s="106">
        <v>96.0405575328883</v>
      </c>
      <c r="AP109" s="106">
        <v>861.42400056204292</v>
      </c>
      <c r="AQ109" s="106">
        <v>193.11726359627758</v>
      </c>
      <c r="AR109" s="106">
        <v>861.42400056204292</v>
      </c>
      <c r="AS109" s="106">
        <v>234.28111431842103</v>
      </c>
      <c r="AT109" s="106">
        <v>543.24507252808678</v>
      </c>
      <c r="AU109" s="106">
        <v>756.91538903264723</v>
      </c>
      <c r="AV109" s="106">
        <v>668.58186717600029</v>
      </c>
      <c r="AW109" s="106">
        <v>524.06338163557382</v>
      </c>
      <c r="AX109" s="106">
        <v>479.86271060254558</v>
      </c>
      <c r="AY109" s="106">
        <v>3.1276817257320962E-2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647.99955002353772</v>
      </c>
      <c r="J110" s="106">
        <v>356.50108026948993</v>
      </c>
      <c r="K110" s="106">
        <v>430.72763868965006</v>
      </c>
      <c r="L110" s="106">
        <v>861.42400056204292</v>
      </c>
      <c r="M110" s="106">
        <v>371.49685859014375</v>
      </c>
      <c r="N110" s="106">
        <v>318.21020485121329</v>
      </c>
      <c r="O110" s="106">
        <v>3.1276817257280286E-2</v>
      </c>
      <c r="P110" s="106">
        <v>203.6585911422346</v>
      </c>
      <c r="Q110" s="106">
        <v>609.19414371992707</v>
      </c>
      <c r="R110" s="106">
        <v>658.03891381497544</v>
      </c>
      <c r="S110" s="106">
        <v>265.7719620099565</v>
      </c>
      <c r="T110" s="106">
        <v>318.21020485121329</v>
      </c>
      <c r="U110" s="106">
        <v>744.75077697376469</v>
      </c>
      <c r="V110" s="106">
        <v>194.41147136486791</v>
      </c>
      <c r="W110" s="106">
        <v>430.72763868965006</v>
      </c>
      <c r="X110" s="106">
        <v>430.72763868965006</v>
      </c>
      <c r="Y110" s="106">
        <v>819.04152627997564</v>
      </c>
      <c r="Z110" s="106">
        <v>677.5432832533628</v>
      </c>
      <c r="AA110" s="106">
        <v>258.19295741630725</v>
      </c>
      <c r="AB110" s="106">
        <v>748.90656672360603</v>
      </c>
      <c r="AC110" s="106">
        <v>315.96641437154682</v>
      </c>
      <c r="AD110" s="106">
        <v>748.90656672360615</v>
      </c>
      <c r="AE110" s="106">
        <v>648.01106054348804</v>
      </c>
      <c r="AF110" s="106">
        <v>511.97267776866863</v>
      </c>
      <c r="AG110" s="106">
        <v>172.16417299630183</v>
      </c>
      <c r="AH110" s="106">
        <v>318.21020485121329</v>
      </c>
      <c r="AI110" s="106">
        <v>861.42400056204292</v>
      </c>
      <c r="AJ110" s="106">
        <v>657.17800973819715</v>
      </c>
      <c r="AK110" s="106">
        <v>558.7647084486124</v>
      </c>
      <c r="AL110" s="106">
        <v>72.7311957506341</v>
      </c>
      <c r="AM110" s="106">
        <v>861.42400056204292</v>
      </c>
      <c r="AN110" s="106">
        <v>619.48058855055001</v>
      </c>
      <c r="AO110" s="106">
        <v>548.66761502047893</v>
      </c>
      <c r="AP110" s="106">
        <v>96.0405575328883</v>
      </c>
      <c r="AQ110" s="106">
        <v>861.42400056204292</v>
      </c>
      <c r="AR110" s="106">
        <v>193.11726359627758</v>
      </c>
      <c r="AS110" s="106">
        <v>861.42400056204292</v>
      </c>
      <c r="AT110" s="106">
        <v>234.28111431842103</v>
      </c>
      <c r="AU110" s="106">
        <v>543.24507252808678</v>
      </c>
      <c r="AV110" s="106">
        <v>756.91538903264723</v>
      </c>
      <c r="AW110" s="106">
        <v>668.58186717600029</v>
      </c>
      <c r="AX110" s="106">
        <v>524.06338163557382</v>
      </c>
      <c r="AY110" s="106">
        <v>479.86271060254558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245.99955002353772</v>
      </c>
      <c r="K111" s="106">
        <v>175.50063029302765</v>
      </c>
      <c r="L111" s="106">
        <v>108.22826898267772</v>
      </c>
      <c r="M111" s="106">
        <v>457.65226954472064</v>
      </c>
      <c r="N111" s="106">
        <v>371.49685859014375</v>
      </c>
      <c r="O111" s="106">
        <v>202.89967563532724</v>
      </c>
      <c r="P111" s="106">
        <v>0</v>
      </c>
      <c r="Q111" s="106">
        <v>0</v>
      </c>
      <c r="R111" s="106">
        <v>85.194143719927069</v>
      </c>
      <c r="S111" s="106">
        <v>234.23305753490251</v>
      </c>
      <c r="T111" s="106">
        <v>70.00501954485901</v>
      </c>
      <c r="U111" s="106">
        <v>0</v>
      </c>
      <c r="V111" s="106">
        <v>273.75077697376469</v>
      </c>
      <c r="W111" s="106">
        <v>12.162248338632594</v>
      </c>
      <c r="X111" s="106">
        <v>28.889887028282658</v>
      </c>
      <c r="Y111" s="106">
        <v>0</v>
      </c>
      <c r="Z111" s="106">
        <v>428.04152627997564</v>
      </c>
      <c r="AA111" s="106">
        <v>628.58480953333844</v>
      </c>
      <c r="AB111" s="106">
        <v>258.19295741630725</v>
      </c>
      <c r="AC111" s="106">
        <v>706.68433367325179</v>
      </c>
      <c r="AD111" s="106">
        <v>315.96641437154682</v>
      </c>
      <c r="AE111" s="106">
        <v>748.90656672360615</v>
      </c>
      <c r="AF111" s="106">
        <v>648.01106054348804</v>
      </c>
      <c r="AG111" s="106">
        <v>511.97267776866863</v>
      </c>
      <c r="AH111" s="106">
        <v>172.16417299630183</v>
      </c>
      <c r="AI111" s="106">
        <v>318.21020485121329</v>
      </c>
      <c r="AJ111" s="106">
        <v>861.42400056204292</v>
      </c>
      <c r="AK111" s="106">
        <v>657.17800973819715</v>
      </c>
      <c r="AL111" s="106">
        <v>558.7647084486124</v>
      </c>
      <c r="AM111" s="106">
        <v>72.7311957506341</v>
      </c>
      <c r="AN111" s="106">
        <v>861.42400056204292</v>
      </c>
      <c r="AO111" s="106">
        <v>619.48058855055001</v>
      </c>
      <c r="AP111" s="106">
        <v>548.66761502047893</v>
      </c>
      <c r="AQ111" s="106">
        <v>96.0405575328883</v>
      </c>
      <c r="AR111" s="106">
        <v>861.42400056204292</v>
      </c>
      <c r="AS111" s="106">
        <v>193.11726359627758</v>
      </c>
      <c r="AT111" s="106">
        <v>861.42400056204292</v>
      </c>
      <c r="AU111" s="106">
        <v>234.28111431842103</v>
      </c>
      <c r="AV111" s="106">
        <v>543.24507252808678</v>
      </c>
      <c r="AW111" s="106">
        <v>756.91538903264723</v>
      </c>
      <c r="AX111" s="106">
        <v>668.58186717600029</v>
      </c>
      <c r="AY111" s="106">
        <v>524.06338163557382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35.957361598027148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109.58480953333844</v>
      </c>
      <c r="AC112" s="106">
        <v>0</v>
      </c>
      <c r="AD112" s="106">
        <v>276.68433367325179</v>
      </c>
      <c r="AE112" s="106">
        <v>2.650748044798604</v>
      </c>
      <c r="AF112" s="106">
        <v>303.55731476840475</v>
      </c>
      <c r="AG112" s="106">
        <v>486.56837531189279</v>
      </c>
      <c r="AH112" s="106">
        <v>447.54105308056143</v>
      </c>
      <c r="AI112" s="106">
        <v>137.70522607686326</v>
      </c>
      <c r="AJ112" s="106">
        <v>40.915430928076546</v>
      </c>
      <c r="AK112" s="106">
        <v>460.33943149011947</v>
      </c>
      <c r="AL112" s="106">
        <v>657.17800973819715</v>
      </c>
      <c r="AM112" s="106">
        <v>558.7647084486124</v>
      </c>
      <c r="AN112" s="106">
        <v>72.7311957506341</v>
      </c>
      <c r="AO112" s="106">
        <v>810.437345989606</v>
      </c>
      <c r="AP112" s="106">
        <v>619.48058855055001</v>
      </c>
      <c r="AQ112" s="106">
        <v>548.66761502047893</v>
      </c>
      <c r="AR112" s="106">
        <v>96.0405575328883</v>
      </c>
      <c r="AS112" s="106">
        <v>676.05010765556619</v>
      </c>
      <c r="AT112" s="106">
        <v>193.11726359627758</v>
      </c>
      <c r="AU112" s="106">
        <v>778.59137181388667</v>
      </c>
      <c r="AV112" s="106">
        <v>234.28111431842103</v>
      </c>
      <c r="AW112" s="106">
        <v>491.11755866039448</v>
      </c>
      <c r="AX112" s="106">
        <v>756.91538903264723</v>
      </c>
      <c r="AY112" s="106">
        <v>668.58186717600029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45.339431490119466</v>
      </c>
      <c r="AM113" s="106">
        <v>261.51744122831661</v>
      </c>
      <c r="AN113" s="106">
        <v>375.28214967692901</v>
      </c>
      <c r="AO113" s="106">
        <v>0</v>
      </c>
      <c r="AP113" s="106">
        <v>222.437345989606</v>
      </c>
      <c r="AQ113" s="106">
        <v>242.91793454015601</v>
      </c>
      <c r="AR113" s="106">
        <v>277.58554956063495</v>
      </c>
      <c r="AS113" s="106">
        <v>0</v>
      </c>
      <c r="AT113" s="106">
        <v>176.05010765556619</v>
      </c>
      <c r="AU113" s="106">
        <v>0</v>
      </c>
      <c r="AV113" s="106">
        <v>312.59137181388667</v>
      </c>
      <c r="AW113" s="106">
        <v>0</v>
      </c>
      <c r="AX113" s="106">
        <v>56.117558660394479</v>
      </c>
      <c r="AY113" s="106">
        <v>392.03294769304171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452.87161761833772</v>
      </c>
      <c r="D122" s="106">
        <v>604.99197323866679</v>
      </c>
      <c r="E122" s="106">
        <v>259.74556132911255</v>
      </c>
      <c r="F122" s="106">
        <v>7.2182208110147791E-2</v>
      </c>
      <c r="G122" s="106">
        <v>994.05485535649882</v>
      </c>
      <c r="H122" s="106">
        <v>7.2182208110147791E-2</v>
      </c>
      <c r="I122" s="106">
        <v>994.05485535649882</v>
      </c>
      <c r="J122" s="106">
        <v>994.05485535649882</v>
      </c>
      <c r="K122" s="106">
        <v>259.74556132911255</v>
      </c>
      <c r="L122" s="106">
        <v>7.2182208110147791E-2</v>
      </c>
      <c r="M122" s="106">
        <v>7.2182208110147791E-2</v>
      </c>
      <c r="N122" s="106">
        <v>7.2182208110147791E-2</v>
      </c>
      <c r="O122" s="106">
        <v>1912.1359181428479</v>
      </c>
      <c r="P122" s="106">
        <v>994.05485535649882</v>
      </c>
      <c r="Q122" s="106">
        <v>259.74556132911255</v>
      </c>
      <c r="R122" s="106">
        <v>7.2182208110147791E-2</v>
      </c>
      <c r="S122" s="106">
        <v>1912.1359181428479</v>
      </c>
      <c r="T122" s="106">
        <v>7.2182208110147791E-2</v>
      </c>
      <c r="U122" s="106">
        <v>994.05485535649882</v>
      </c>
      <c r="V122" s="106">
        <v>7.2182208110147791E-2</v>
      </c>
      <c r="W122" s="106">
        <v>994.05485535649882</v>
      </c>
      <c r="X122" s="106">
        <v>994.05485535649882</v>
      </c>
      <c r="Y122" s="106">
        <v>259.74556132911255</v>
      </c>
      <c r="Z122" s="106">
        <v>994.05485535649882</v>
      </c>
      <c r="AA122" s="106">
        <v>259.74556132911255</v>
      </c>
      <c r="AB122" s="106">
        <v>994.05485535649882</v>
      </c>
      <c r="AC122" s="106">
        <v>994.05485535649882</v>
      </c>
      <c r="AD122" s="106">
        <v>994.05485535649882</v>
      </c>
      <c r="AE122" s="106">
        <v>259.74556132911255</v>
      </c>
      <c r="AF122" s="106">
        <v>7.2182208110147791E-2</v>
      </c>
      <c r="AG122" s="106">
        <v>994.05485535649882</v>
      </c>
      <c r="AH122" s="106">
        <v>994.05485535649882</v>
      </c>
      <c r="AI122" s="106">
        <v>994.05485535649882</v>
      </c>
      <c r="AJ122" s="106">
        <v>7.2182208110147791E-2</v>
      </c>
      <c r="AK122" s="106">
        <v>994.05485535649882</v>
      </c>
      <c r="AL122" s="106">
        <v>994.05485535649882</v>
      </c>
      <c r="AM122" s="106">
        <v>994.05485535649882</v>
      </c>
      <c r="AN122" s="106">
        <v>7.2182208110147791E-2</v>
      </c>
      <c r="AO122" s="106">
        <v>994.05485535649882</v>
      </c>
      <c r="AP122" s="106">
        <v>7.2182208110147791E-2</v>
      </c>
      <c r="AQ122" s="106">
        <v>994.05485535649882</v>
      </c>
      <c r="AR122" s="106">
        <v>7.2182208110147791E-2</v>
      </c>
      <c r="AS122" s="106">
        <v>259.74556132911255</v>
      </c>
      <c r="AT122" s="106">
        <v>994.05485535649882</v>
      </c>
      <c r="AU122" s="106">
        <v>994.05485535649882</v>
      </c>
      <c r="AV122" s="106">
        <v>994.05485535649882</v>
      </c>
      <c r="AW122" s="106">
        <v>994.05485535649882</v>
      </c>
      <c r="AX122" s="106">
        <v>7.2182208110147791E-2</v>
      </c>
      <c r="AY122" s="106">
        <v>994.05485535649882</v>
      </c>
    </row>
    <row r="123" spans="1:52">
      <c r="A123" s="109"/>
      <c r="B123" s="119">
        <v>2</v>
      </c>
      <c r="C123" s="106">
        <v>0</v>
      </c>
      <c r="D123" s="106">
        <v>380.47013249110358</v>
      </c>
      <c r="E123" s="106">
        <v>12.739368713710917</v>
      </c>
      <c r="F123" s="106">
        <v>0</v>
      </c>
      <c r="G123" s="106">
        <v>993.9826731483887</v>
      </c>
      <c r="H123" s="106">
        <v>563.32721666684881</v>
      </c>
      <c r="I123" s="106">
        <v>1.9817480989559044E-14</v>
      </c>
      <c r="J123" s="106">
        <v>0</v>
      </c>
      <c r="K123" s="106">
        <v>563.32721666684881</v>
      </c>
      <c r="L123" s="106">
        <v>734.30929402738627</v>
      </c>
      <c r="M123" s="106">
        <v>1.9817480989559044E-14</v>
      </c>
      <c r="N123" s="106">
        <v>0</v>
      </c>
      <c r="O123" s="106">
        <v>0</v>
      </c>
      <c r="P123" s="106">
        <v>524.60036556515547</v>
      </c>
      <c r="Q123" s="106">
        <v>353.6163071066789</v>
      </c>
      <c r="R123" s="106">
        <v>734.30929402738627</v>
      </c>
      <c r="S123" s="106">
        <v>1.9817480989559044E-14</v>
      </c>
      <c r="T123" s="106">
        <v>448.60036556515547</v>
      </c>
      <c r="U123" s="106">
        <v>0</v>
      </c>
      <c r="V123" s="106">
        <v>0</v>
      </c>
      <c r="W123" s="106">
        <v>993.9826731483887</v>
      </c>
      <c r="X123" s="106">
        <v>563.32721666684881</v>
      </c>
      <c r="Y123" s="106">
        <v>336.12510004598079</v>
      </c>
      <c r="Z123" s="106">
        <v>734.30929402738627</v>
      </c>
      <c r="AA123" s="106">
        <v>469.45758266027906</v>
      </c>
      <c r="AB123" s="106">
        <v>734.30929402738639</v>
      </c>
      <c r="AC123" s="106">
        <v>501.45758266027912</v>
      </c>
      <c r="AD123" s="106">
        <v>187.50137747328995</v>
      </c>
      <c r="AE123" s="106">
        <v>137.58355506112014</v>
      </c>
      <c r="AF123" s="106">
        <v>734.30929402738627</v>
      </c>
      <c r="AG123" s="106">
        <v>993.98267314838881</v>
      </c>
      <c r="AH123" s="106">
        <v>522.61352794284483</v>
      </c>
      <c r="AI123" s="106">
        <v>295.4903735611465</v>
      </c>
      <c r="AJ123" s="106">
        <v>167.78052046903304</v>
      </c>
      <c r="AK123" s="106">
        <v>993.9826731483887</v>
      </c>
      <c r="AL123" s="106">
        <v>435.61352794284471</v>
      </c>
      <c r="AM123" s="106">
        <v>272.18779474879352</v>
      </c>
      <c r="AN123" s="106">
        <v>221.57503508481352</v>
      </c>
      <c r="AO123" s="106">
        <v>993.9826731483887</v>
      </c>
      <c r="AP123" s="106">
        <v>445.61352794284471</v>
      </c>
      <c r="AQ123" s="106">
        <v>993.98267314838881</v>
      </c>
      <c r="AR123" s="106">
        <v>540.61352794284483</v>
      </c>
      <c r="AS123" s="106">
        <v>993.98267314838881</v>
      </c>
      <c r="AT123" s="106">
        <v>752.79245597680085</v>
      </c>
      <c r="AU123" s="106">
        <v>548.93192230065256</v>
      </c>
      <c r="AV123" s="106">
        <v>215.40491048115109</v>
      </c>
      <c r="AW123" s="106">
        <v>113.39638420207609</v>
      </c>
      <c r="AX123" s="106">
        <v>1.1368683772161603E-13</v>
      </c>
      <c r="AY123" s="106">
        <v>0</v>
      </c>
    </row>
    <row r="124" spans="1:52">
      <c r="A124" s="109"/>
      <c r="B124" s="119">
        <v>3</v>
      </c>
      <c r="C124" s="106">
        <v>380.47013249110347</v>
      </c>
      <c r="D124" s="106">
        <v>0</v>
      </c>
      <c r="E124" s="106">
        <v>0</v>
      </c>
      <c r="F124" s="106">
        <v>0</v>
      </c>
      <c r="G124" s="106">
        <v>393.6628112909998</v>
      </c>
      <c r="H124" s="106">
        <v>259.35168080921278</v>
      </c>
      <c r="I124" s="106">
        <v>0</v>
      </c>
      <c r="J124" s="106">
        <v>993.9826731483887</v>
      </c>
      <c r="K124" s="106">
        <v>0</v>
      </c>
      <c r="L124" s="106">
        <v>0</v>
      </c>
      <c r="M124" s="106">
        <v>0</v>
      </c>
      <c r="N124" s="106">
        <v>993.9826731483887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993.9826731483887</v>
      </c>
      <c r="W124" s="106">
        <v>0</v>
      </c>
      <c r="X124" s="106">
        <v>6.2863112759958995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34.286311275995899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0.43454854053817549</v>
      </c>
      <c r="D172" s="134">
        <v>0.43330369181203565</v>
      </c>
      <c r="E172" s="134">
        <v>0.43330369181203565</v>
      </c>
      <c r="F172" s="134">
        <v>0.43330369181203565</v>
      </c>
      <c r="G172" s="134">
        <v>0.43330369181203565</v>
      </c>
      <c r="H172" s="134">
        <v>0.43330369181203565</v>
      </c>
      <c r="I172" s="134">
        <v>0.43330369181203565</v>
      </c>
      <c r="J172" s="134">
        <v>0.43330369181203565</v>
      </c>
      <c r="K172" s="134">
        <v>0.43330369181203565</v>
      </c>
      <c r="L172" s="134">
        <v>0.43330369181203565</v>
      </c>
      <c r="M172" s="134">
        <v>0.43330369181203565</v>
      </c>
      <c r="N172" s="134">
        <v>0.43330369181203565</v>
      </c>
      <c r="O172" s="134">
        <v>0.43330369181203565</v>
      </c>
      <c r="P172" s="134">
        <v>0.43330369181203565</v>
      </c>
      <c r="Q172" s="134">
        <v>0.43330369181203565</v>
      </c>
      <c r="R172" s="134">
        <v>0.43330369181203565</v>
      </c>
      <c r="S172" s="134">
        <v>0.43330369181203565</v>
      </c>
      <c r="T172" s="134">
        <v>0.43330369181203565</v>
      </c>
      <c r="U172" s="134">
        <v>0.43330369181203565</v>
      </c>
      <c r="V172" s="134">
        <v>0.43330369181203565</v>
      </c>
      <c r="W172" s="134">
        <v>0.43330369181203565</v>
      </c>
      <c r="X172" s="134">
        <v>0.43330369181203565</v>
      </c>
      <c r="Y172" s="134">
        <v>0.43330369181203565</v>
      </c>
      <c r="Z172" s="134">
        <v>0.43330369181203565</v>
      </c>
      <c r="AA172" s="134">
        <v>0.43330369181203565</v>
      </c>
      <c r="AB172" s="134">
        <v>0.43330369181203565</v>
      </c>
      <c r="AC172" s="134">
        <v>0.43330369181203565</v>
      </c>
      <c r="AD172" s="134">
        <v>0.43330369181203565</v>
      </c>
      <c r="AE172" s="134">
        <v>0.43330369181203565</v>
      </c>
      <c r="AF172" s="134">
        <v>0.43330369181203565</v>
      </c>
      <c r="AG172" s="134">
        <v>0.43330369181203565</v>
      </c>
      <c r="AH172" s="134">
        <v>0.43330369181203565</v>
      </c>
      <c r="AI172" s="134">
        <v>0.43330369181203565</v>
      </c>
      <c r="AJ172" s="134">
        <v>0.43330369181203565</v>
      </c>
      <c r="AK172" s="134">
        <v>0.43330369181203565</v>
      </c>
      <c r="AL172" s="134">
        <v>0.43330369181203565</v>
      </c>
      <c r="AM172" s="134">
        <v>0.43330369181203565</v>
      </c>
      <c r="AN172" s="134">
        <v>0.43330369181203565</v>
      </c>
      <c r="AO172" s="134">
        <v>0.43330369181203565</v>
      </c>
      <c r="AP172" s="134">
        <v>0.43330369181203565</v>
      </c>
      <c r="AQ172" s="134">
        <v>0.43330369181203565</v>
      </c>
      <c r="AR172" s="134">
        <v>0.43330369181203565</v>
      </c>
      <c r="AS172" s="134">
        <v>0.43330369181203565</v>
      </c>
      <c r="AT172" s="134">
        <v>0.43330369181203565</v>
      </c>
      <c r="AU172" s="134">
        <v>0.43330369181203565</v>
      </c>
      <c r="AV172" s="134">
        <v>0.43330369181203565</v>
      </c>
      <c r="AW172" s="134">
        <v>0.43330369181203565</v>
      </c>
      <c r="AX172" s="134">
        <v>0.43330369181203565</v>
      </c>
      <c r="AY172" s="134">
        <v>0.43330369181203565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1341.6206295579805</v>
      </c>
      <c r="E175" s="124">
        <f t="shared" si="1"/>
        <v>1680.6250086853026</v>
      </c>
      <c r="F175" s="124">
        <f t="shared" si="1"/>
        <v>1977.6293878126248</v>
      </c>
      <c r="G175" s="124">
        <f t="shared" si="1"/>
        <v>1372.6630350129178</v>
      </c>
      <c r="H175" s="124">
        <f t="shared" si="1"/>
        <v>1602.66741414024</v>
      </c>
      <c r="I175" s="124">
        <f t="shared" si="1"/>
        <v>1925.6717932675622</v>
      </c>
      <c r="J175" s="124">
        <f t="shared" si="1"/>
        <v>614.52133403396465</v>
      </c>
      <c r="K175" s="124">
        <f t="shared" si="1"/>
        <v>1278.0043791273222</v>
      </c>
      <c r="L175" s="124">
        <f t="shared" si="1"/>
        <v>1548.0087582546444</v>
      </c>
      <c r="M175" s="124">
        <f t="shared" si="1"/>
        <v>1578.0131373819665</v>
      </c>
      <c r="N175" s="124">
        <f t="shared" si="1"/>
        <v>1628.0175165092887</v>
      </c>
      <c r="O175" s="124">
        <f t="shared" si="1"/>
        <v>1552.7656088233155</v>
      </c>
      <c r="P175" s="124">
        <f t="shared" si="1"/>
        <v>1481.1749134319721</v>
      </c>
      <c r="Q175" s="124">
        <f t="shared" si="1"/>
        <v>1838.1792925592943</v>
      </c>
      <c r="R175" s="124">
        <f t="shared" si="1"/>
        <v>1907.1836716866164</v>
      </c>
      <c r="S175" s="124">
        <f t="shared" si="1"/>
        <v>1150.6974136081856</v>
      </c>
      <c r="T175" s="124">
        <f t="shared" si="1"/>
        <v>1476.7017927355078</v>
      </c>
      <c r="U175" s="124">
        <f t="shared" si="1"/>
        <v>1741.7061718628299</v>
      </c>
      <c r="V175" s="124">
        <f t="shared" si="1"/>
        <v>2164.7105509901521</v>
      </c>
      <c r="W175" s="124">
        <f t="shared" si="1"/>
        <v>847.25014178490824</v>
      </c>
      <c r="X175" s="124">
        <f t="shared" si="1"/>
        <v>635.65944639356462</v>
      </c>
      <c r="Y175" s="124">
        <f t="shared" si="1"/>
        <v>1278.0043791273222</v>
      </c>
      <c r="Z175" s="124">
        <f t="shared" si="1"/>
        <v>291.1557595696645</v>
      </c>
      <c r="AA175" s="124">
        <f t="shared" si="1"/>
        <v>1278.0043791273222</v>
      </c>
      <c r="AB175" s="124">
        <f t="shared" si="1"/>
        <v>0</v>
      </c>
      <c r="AC175" s="124">
        <f t="shared" si="1"/>
        <v>0</v>
      </c>
      <c r="AD175" s="124">
        <f t="shared" si="1"/>
        <v>18.409304608656612</v>
      </c>
      <c r="AE175" s="124">
        <f t="shared" si="1"/>
        <v>1278.0043791273222</v>
      </c>
      <c r="AF175" s="124">
        <f t="shared" si="1"/>
        <v>1386.9113704031338</v>
      </c>
      <c r="AG175" s="124">
        <f t="shared" si="1"/>
        <v>0</v>
      </c>
      <c r="AH175" s="124">
        <f t="shared" si="1"/>
        <v>119.40930460865661</v>
      </c>
      <c r="AI175" s="124">
        <f t="shared" si="1"/>
        <v>187.818609217313</v>
      </c>
      <c r="AJ175" s="124">
        <f t="shared" si="1"/>
        <v>1278.0043791273222</v>
      </c>
      <c r="AK175" s="124">
        <f t="shared" si="1"/>
        <v>0</v>
      </c>
      <c r="AL175" s="124">
        <f t="shared" si="1"/>
        <v>35.409304608656612</v>
      </c>
      <c r="AM175" s="124">
        <f t="shared" si="1"/>
        <v>0</v>
      </c>
      <c r="AN175" s="124">
        <f t="shared" si="1"/>
        <v>1278.0043791273222</v>
      </c>
      <c r="AO175" s="124">
        <f t="shared" si="1"/>
        <v>0</v>
      </c>
      <c r="AP175" s="124">
        <f t="shared" si="1"/>
        <v>1278.0043791273222</v>
      </c>
      <c r="AQ175" s="124">
        <f t="shared" si="1"/>
        <v>26.387055771991299</v>
      </c>
      <c r="AR175" s="124">
        <f t="shared" si="1"/>
        <v>1278.0043791273222</v>
      </c>
      <c r="AS175" s="124">
        <f t="shared" si="1"/>
        <v>1278.0043791273222</v>
      </c>
      <c r="AT175" s="124">
        <f t="shared" si="1"/>
        <v>61.019565430494822</v>
      </c>
      <c r="AU175" s="124">
        <f t="shared" si="1"/>
        <v>0</v>
      </c>
      <c r="AV175" s="124">
        <f t="shared" si="1"/>
        <v>46.409304608656612</v>
      </c>
      <c r="AW175" s="124">
        <f t="shared" si="1"/>
        <v>268.818609217313</v>
      </c>
      <c r="AX175" s="124">
        <f t="shared" si="1"/>
        <v>1278.0043791273222</v>
      </c>
      <c r="AY175" s="124">
        <f t="shared" si="1"/>
        <v>1511.0087582546444</v>
      </c>
    </row>
    <row r="176" spans="1:52">
      <c r="A176" s="125"/>
      <c r="B176" s="136" t="s">
        <v>299</v>
      </c>
      <c r="C176" s="125" t="s">
        <v>293</v>
      </c>
      <c r="D176" s="125">
        <v>939</v>
      </c>
      <c r="E176" s="125">
        <v>981</v>
      </c>
      <c r="F176" s="125">
        <v>1008</v>
      </c>
      <c r="G176" s="125">
        <v>1048</v>
      </c>
      <c r="H176" s="125">
        <v>955</v>
      </c>
      <c r="I176" s="125">
        <v>1005</v>
      </c>
      <c r="J176" s="125">
        <v>614.52133403396465</v>
      </c>
      <c r="K176" s="125">
        <v>1008</v>
      </c>
      <c r="L176" s="125">
        <v>1248</v>
      </c>
      <c r="M176" s="125">
        <v>1228</v>
      </c>
      <c r="N176" s="125">
        <v>1161</v>
      </c>
      <c r="O176" s="125">
        <v>987</v>
      </c>
      <c r="P176" s="125">
        <v>921</v>
      </c>
      <c r="Q176" s="125">
        <v>1209</v>
      </c>
      <c r="R176" s="125">
        <v>1212</v>
      </c>
      <c r="S176" s="125">
        <v>952</v>
      </c>
      <c r="T176" s="125">
        <v>1013</v>
      </c>
      <c r="U176" s="125">
        <v>855</v>
      </c>
      <c r="V176" s="125">
        <v>1092</v>
      </c>
      <c r="W176" s="125">
        <v>847.25014178490824</v>
      </c>
      <c r="X176" s="125">
        <v>635.65944639356462</v>
      </c>
      <c r="Y176" s="125">
        <v>1139</v>
      </c>
      <c r="Z176" s="125">
        <v>291.1557595696645</v>
      </c>
      <c r="AA176" s="125">
        <v>1194</v>
      </c>
      <c r="AB176" s="125">
        <v>0</v>
      </c>
      <c r="AC176" s="125">
        <v>0</v>
      </c>
      <c r="AD176" s="125">
        <v>18.409304608656612</v>
      </c>
      <c r="AE176" s="125">
        <v>1040</v>
      </c>
      <c r="AF176" s="125">
        <v>1198</v>
      </c>
      <c r="AG176" s="125">
        <v>0</v>
      </c>
      <c r="AH176" s="125">
        <v>119.40930460865661</v>
      </c>
      <c r="AI176" s="125">
        <v>187.818609217313</v>
      </c>
      <c r="AJ176" s="125">
        <v>1051</v>
      </c>
      <c r="AK176" s="125">
        <v>0</v>
      </c>
      <c r="AL176" s="125">
        <v>35.409304608656612</v>
      </c>
      <c r="AM176" s="125">
        <v>0</v>
      </c>
      <c r="AN176" s="125">
        <v>1120</v>
      </c>
      <c r="AO176" s="125">
        <v>0</v>
      </c>
      <c r="AP176" s="125">
        <v>1278.0043791273222</v>
      </c>
      <c r="AQ176" s="125">
        <v>26.387055771991299</v>
      </c>
      <c r="AR176" s="125">
        <v>1278.0043791273222</v>
      </c>
      <c r="AS176" s="125">
        <v>1250</v>
      </c>
      <c r="AT176" s="125">
        <v>61.019565430494822</v>
      </c>
      <c r="AU176" s="125">
        <v>0</v>
      </c>
      <c r="AV176" s="125">
        <v>46.409304608656612</v>
      </c>
      <c r="AW176" s="125">
        <v>268.818609217313</v>
      </c>
      <c r="AX176" s="125">
        <v>1045</v>
      </c>
      <c r="AY176" s="125">
        <v>1138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990.22219578482918</v>
      </c>
      <c r="E177" s="124">
        <f t="shared" si="2"/>
        <v>428.54881666382704</v>
      </c>
      <c r="F177" s="124">
        <f t="shared" si="2"/>
        <v>0</v>
      </c>
      <c r="G177" s="124">
        <f t="shared" si="2"/>
        <v>1745.605348373937</v>
      </c>
      <c r="H177" s="124">
        <f t="shared" si="2"/>
        <v>1169.605348373937</v>
      </c>
      <c r="I177" s="124">
        <f t="shared" si="2"/>
        <v>1103.1411884087815</v>
      </c>
      <c r="J177" s="124">
        <f t="shared" si="2"/>
        <v>1864.2128684784702</v>
      </c>
      <c r="K177" s="124">
        <f t="shared" si="2"/>
        <v>1363.539489357468</v>
      </c>
      <c r="L177" s="124">
        <f t="shared" si="2"/>
        <v>1307.7487085133148</v>
      </c>
      <c r="M177" s="124">
        <f t="shared" si="2"/>
        <v>754.7487085133148</v>
      </c>
      <c r="N177" s="124">
        <f t="shared" si="2"/>
        <v>728.53584003484445</v>
      </c>
      <c r="O177" s="124">
        <f t="shared" si="2"/>
        <v>1401.4398818916025</v>
      </c>
      <c r="P177" s="124">
        <f t="shared" si="2"/>
        <v>1467.975721926447</v>
      </c>
      <c r="Q177" s="124">
        <f t="shared" si="2"/>
        <v>1106.3023428054444</v>
      </c>
      <c r="R177" s="124">
        <f t="shared" si="2"/>
        <v>939.51156196129136</v>
      </c>
      <c r="S177" s="124">
        <f t="shared" si="2"/>
        <v>1618.9514438528938</v>
      </c>
      <c r="T177" s="124">
        <f t="shared" si="2"/>
        <v>934.95144385289382</v>
      </c>
      <c r="U177" s="124">
        <f t="shared" si="2"/>
        <v>1014.4872838877383</v>
      </c>
      <c r="V177" s="124">
        <f t="shared" si="2"/>
        <v>960.02312392258273</v>
      </c>
      <c r="W177" s="124">
        <f t="shared" si="2"/>
        <v>1791.0948039922719</v>
      </c>
      <c r="X177" s="124">
        <f t="shared" si="2"/>
        <v>1979.630644027116</v>
      </c>
      <c r="Y177" s="124">
        <f t="shared" si="2"/>
        <v>1513.9572649061138</v>
      </c>
      <c r="Z177" s="124">
        <f t="shared" si="2"/>
        <v>2116.7023240968051</v>
      </c>
      <c r="AA177" s="124">
        <f t="shared" si="2"/>
        <v>1676.0289449758025</v>
      </c>
      <c r="AB177" s="124">
        <f t="shared" si="2"/>
        <v>2338.9851025713165</v>
      </c>
      <c r="AC177" s="124">
        <f t="shared" si="2"/>
        <v>2232.9302472148174</v>
      </c>
      <c r="AD177" s="124">
        <f t="shared" si="2"/>
        <v>2310.466087249662</v>
      </c>
      <c r="AE177" s="124">
        <f t="shared" si="2"/>
        <v>1771.7927081286598</v>
      </c>
      <c r="AF177" s="124">
        <f t="shared" si="2"/>
        <v>1743.0019272845066</v>
      </c>
      <c r="AG177" s="124">
        <f t="shared" si="2"/>
        <v>2023.0470405670362</v>
      </c>
      <c r="AH177" s="124">
        <f t="shared" si="2"/>
        <v>2064.5828806018808</v>
      </c>
      <c r="AI177" s="124">
        <f t="shared" si="2"/>
        <v>2048.1187206367249</v>
      </c>
      <c r="AJ177" s="124">
        <f t="shared" si="2"/>
        <v>1379.1187206367251</v>
      </c>
      <c r="AK177" s="124">
        <f t="shared" si="2"/>
        <v>1762.9491260675491</v>
      </c>
      <c r="AL177" s="124">
        <f t="shared" si="2"/>
        <v>1839.4849661023936</v>
      </c>
      <c r="AM177" s="124">
        <f t="shared" si="2"/>
        <v>1859.839415354551</v>
      </c>
      <c r="AN177" s="124">
        <f t="shared" si="2"/>
        <v>1073.839415354551</v>
      </c>
      <c r="AO177" s="124">
        <f t="shared" si="2"/>
        <v>1437.3363644015888</v>
      </c>
      <c r="AP177" s="124">
        <f t="shared" si="2"/>
        <v>777.33636440158875</v>
      </c>
      <c r="AQ177" s="124">
        <f t="shared" si="2"/>
        <v>1543.4080444712777</v>
      </c>
      <c r="AR177" s="124">
        <f t="shared" si="2"/>
        <v>840.40804447127766</v>
      </c>
      <c r="AS177" s="124">
        <f t="shared" si="2"/>
        <v>970.27050538511969</v>
      </c>
      <c r="AT177" s="124">
        <f t="shared" si="2"/>
        <v>1684.0155645758109</v>
      </c>
      <c r="AU177" s="124">
        <f t="shared" si="2"/>
        <v>1643.9802746498074</v>
      </c>
      <c r="AV177" s="124">
        <f t="shared" si="2"/>
        <v>1728.5161146846517</v>
      </c>
      <c r="AW177" s="124">
        <f t="shared" si="2"/>
        <v>1683.0519547194963</v>
      </c>
      <c r="AX177" s="124">
        <f t="shared" si="2"/>
        <v>913.05195471949628</v>
      </c>
      <c r="AY177" s="124">
        <f t="shared" si="2"/>
        <v>917.58779475434073</v>
      </c>
    </row>
    <row r="178" spans="1:51">
      <c r="A178" s="125"/>
      <c r="B178" s="136" t="s">
        <v>299</v>
      </c>
      <c r="C178" s="125" t="s">
        <v>293</v>
      </c>
      <c r="D178" s="125">
        <v>752</v>
      </c>
      <c r="E178" s="125">
        <v>428.54881666382704</v>
      </c>
      <c r="F178" s="125">
        <v>0</v>
      </c>
      <c r="G178" s="125">
        <v>576</v>
      </c>
      <c r="H178" s="125">
        <v>795</v>
      </c>
      <c r="I178" s="125">
        <v>696</v>
      </c>
      <c r="J178" s="125">
        <v>691</v>
      </c>
      <c r="K178" s="125">
        <v>594</v>
      </c>
      <c r="L178" s="125">
        <v>553</v>
      </c>
      <c r="M178" s="125">
        <v>754.7487085133148</v>
      </c>
      <c r="N178" s="125">
        <v>728.53584003484445</v>
      </c>
      <c r="O178" s="125">
        <v>662</v>
      </c>
      <c r="P178" s="125">
        <v>552</v>
      </c>
      <c r="Q178" s="125">
        <v>705</v>
      </c>
      <c r="R178" s="125">
        <v>722</v>
      </c>
      <c r="S178" s="125">
        <v>684</v>
      </c>
      <c r="T178" s="125">
        <v>649</v>
      </c>
      <c r="U178" s="125">
        <v>783</v>
      </c>
      <c r="V178" s="125">
        <v>626</v>
      </c>
      <c r="W178" s="125">
        <v>540</v>
      </c>
      <c r="X178" s="125">
        <v>656</v>
      </c>
      <c r="Y178" s="125">
        <v>664</v>
      </c>
      <c r="Z178" s="125">
        <v>631</v>
      </c>
      <c r="AA178" s="125">
        <v>587</v>
      </c>
      <c r="AB178" s="125">
        <v>731</v>
      </c>
      <c r="AC178" s="125">
        <v>651</v>
      </c>
      <c r="AD178" s="125">
        <v>729</v>
      </c>
      <c r="AE178" s="125">
        <v>567</v>
      </c>
      <c r="AF178" s="125">
        <v>689</v>
      </c>
      <c r="AG178" s="125">
        <v>687</v>
      </c>
      <c r="AH178" s="125">
        <v>745</v>
      </c>
      <c r="AI178" s="125">
        <v>669</v>
      </c>
      <c r="AJ178" s="125">
        <v>586</v>
      </c>
      <c r="AK178" s="125">
        <v>652</v>
      </c>
      <c r="AL178" s="125">
        <v>596</v>
      </c>
      <c r="AM178" s="125">
        <v>786</v>
      </c>
      <c r="AN178" s="125">
        <v>715</v>
      </c>
      <c r="AO178" s="125">
        <v>660</v>
      </c>
      <c r="AP178" s="125">
        <v>691</v>
      </c>
      <c r="AQ178" s="125">
        <v>703</v>
      </c>
      <c r="AR178" s="125">
        <v>789</v>
      </c>
      <c r="AS178" s="125">
        <v>553</v>
      </c>
      <c r="AT178" s="125">
        <v>752</v>
      </c>
      <c r="AU178" s="125">
        <v>644</v>
      </c>
      <c r="AV178" s="125">
        <v>774</v>
      </c>
      <c r="AW178" s="125">
        <v>770</v>
      </c>
      <c r="AX178" s="125">
        <v>724</v>
      </c>
      <c r="AY178" s="125">
        <v>592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362.12744127958661</v>
      </c>
      <c r="E179" s="124">
        <f t="shared" si="3"/>
        <v>427.00436855357214</v>
      </c>
      <c r="F179" s="124">
        <f t="shared" si="3"/>
        <v>118.06872615069967</v>
      </c>
      <c r="G179" s="124">
        <f t="shared" si="3"/>
        <v>3.1276817257271702E-2</v>
      </c>
      <c r="H179" s="124">
        <f t="shared" si="3"/>
        <v>1031.9995500235377</v>
      </c>
      <c r="I179" s="124">
        <f t="shared" si="3"/>
        <v>1004.5006302930276</v>
      </c>
      <c r="J179" s="124">
        <f t="shared" si="3"/>
        <v>1033.2282689826777</v>
      </c>
      <c r="K179" s="124">
        <f t="shared" si="3"/>
        <v>1467.6522695447206</v>
      </c>
      <c r="L179" s="124">
        <f t="shared" si="3"/>
        <v>1341.1491281348644</v>
      </c>
      <c r="M179" s="124">
        <f t="shared" si="3"/>
        <v>1147.3593329860778</v>
      </c>
      <c r="N179" s="124">
        <f t="shared" si="3"/>
        <v>725.69570185664134</v>
      </c>
      <c r="O179" s="124">
        <f t="shared" si="3"/>
        <v>633.65859114223463</v>
      </c>
      <c r="P179" s="124">
        <f t="shared" si="3"/>
        <v>1032.1941437199271</v>
      </c>
      <c r="Q179" s="124">
        <f t="shared" si="3"/>
        <v>1267.2330575349024</v>
      </c>
      <c r="R179" s="124">
        <f t="shared" si="3"/>
        <v>1009.005019544859</v>
      </c>
      <c r="S179" s="124">
        <f t="shared" si="3"/>
        <v>818.21522439607236</v>
      </c>
      <c r="T179" s="124">
        <f t="shared" si="3"/>
        <v>1216.7507769737649</v>
      </c>
      <c r="U179" s="124">
        <f t="shared" si="3"/>
        <v>939.16224833863259</v>
      </c>
      <c r="V179" s="124">
        <f t="shared" si="3"/>
        <v>898.8898870282826</v>
      </c>
      <c r="W179" s="124">
        <f t="shared" si="3"/>
        <v>873.61752571793272</v>
      </c>
      <c r="X179" s="124">
        <f t="shared" si="3"/>
        <v>1321.0415262799756</v>
      </c>
      <c r="Y179" s="124">
        <f t="shared" si="3"/>
        <v>1496.5848095333386</v>
      </c>
      <c r="Z179" s="124">
        <f t="shared" si="3"/>
        <v>1363.7777669496456</v>
      </c>
      <c r="AA179" s="124">
        <f t="shared" si="3"/>
        <v>1635.6843336732518</v>
      </c>
      <c r="AB179" s="124">
        <f t="shared" si="3"/>
        <v>1432.6507480447985</v>
      </c>
      <c r="AC179" s="124">
        <f t="shared" si="3"/>
        <v>1771.5573147684047</v>
      </c>
      <c r="AD179" s="124">
        <f t="shared" si="3"/>
        <v>1989.5683753118929</v>
      </c>
      <c r="AE179" s="124">
        <f t="shared" si="3"/>
        <v>1911.5410530805614</v>
      </c>
      <c r="AF179" s="124">
        <f t="shared" si="3"/>
        <v>1635.705226076863</v>
      </c>
      <c r="AG179" s="124">
        <f t="shared" si="3"/>
        <v>1488.9154309280766</v>
      </c>
      <c r="AH179" s="124">
        <f t="shared" si="3"/>
        <v>1799.3394314901195</v>
      </c>
      <c r="AI179" s="124">
        <f t="shared" si="3"/>
        <v>1974.5174412283168</v>
      </c>
      <c r="AJ179" s="124">
        <f t="shared" si="3"/>
        <v>2118.2821496769293</v>
      </c>
      <c r="AK179" s="124">
        <f t="shared" si="3"/>
        <v>1749.0133454275631</v>
      </c>
      <c r="AL179" s="124">
        <f t="shared" si="3"/>
        <v>2195.437345989606</v>
      </c>
      <c r="AM179" s="124">
        <f t="shared" si="3"/>
        <v>2373.9179345401562</v>
      </c>
      <c r="AN179" s="124">
        <f t="shared" si="3"/>
        <v>2477.5855495606347</v>
      </c>
      <c r="AO179" s="124">
        <f t="shared" si="3"/>
        <v>2074.6261070935234</v>
      </c>
      <c r="AP179" s="124">
        <f t="shared" si="3"/>
        <v>2348.0501076555665</v>
      </c>
      <c r="AQ179" s="124">
        <f t="shared" si="3"/>
        <v>1942.1673712518436</v>
      </c>
      <c r="AR179" s="124">
        <f t="shared" si="3"/>
        <v>2289.5913718138863</v>
      </c>
      <c r="AS179" s="124">
        <f t="shared" si="3"/>
        <v>1964.8724861323076</v>
      </c>
      <c r="AT179" s="124">
        <f t="shared" si="3"/>
        <v>2008.1175586603945</v>
      </c>
      <c r="AU179" s="124">
        <f t="shared" si="3"/>
        <v>2313.0329476930415</v>
      </c>
      <c r="AV179" s="124">
        <f t="shared" si="3"/>
        <v>2515.6148148690422</v>
      </c>
      <c r="AW179" s="124">
        <f t="shared" si="3"/>
        <v>2440.6781965046157</v>
      </c>
      <c r="AX179" s="124">
        <f t="shared" si="3"/>
        <v>2485.5409071071613</v>
      </c>
      <c r="AY179" s="124">
        <f t="shared" si="3"/>
        <v>2064.5721839244188</v>
      </c>
    </row>
    <row r="180" spans="1:51">
      <c r="A180" s="125"/>
      <c r="B180" s="136" t="s">
        <v>299</v>
      </c>
      <c r="C180" s="125" t="s">
        <v>293</v>
      </c>
      <c r="D180" s="125">
        <v>362.12744127958661</v>
      </c>
      <c r="E180" s="125">
        <v>427.00436855357214</v>
      </c>
      <c r="F180" s="125">
        <v>118.06872615069967</v>
      </c>
      <c r="G180" s="125">
        <v>3.1276817257271702E-2</v>
      </c>
      <c r="H180" s="125">
        <v>384</v>
      </c>
      <c r="I180" s="125">
        <v>402</v>
      </c>
      <c r="J180" s="125">
        <v>427</v>
      </c>
      <c r="K180" s="125">
        <v>498</v>
      </c>
      <c r="L180" s="125">
        <v>512</v>
      </c>
      <c r="M180" s="125">
        <v>421.69490794669349</v>
      </c>
      <c r="N180" s="125">
        <v>522.76474940405694</v>
      </c>
      <c r="O180" s="125">
        <v>430</v>
      </c>
      <c r="P180" s="125">
        <v>423</v>
      </c>
      <c r="Q180" s="125">
        <v>524</v>
      </c>
      <c r="R180" s="125">
        <v>509</v>
      </c>
      <c r="S180" s="125">
        <v>430</v>
      </c>
      <c r="T180" s="125">
        <v>472</v>
      </c>
      <c r="U180" s="125">
        <v>471</v>
      </c>
      <c r="V180" s="125">
        <v>456</v>
      </c>
      <c r="W180" s="125">
        <v>414</v>
      </c>
      <c r="X180" s="125">
        <v>502</v>
      </c>
      <c r="Y180" s="125">
        <v>391</v>
      </c>
      <c r="Z180" s="125">
        <v>477</v>
      </c>
      <c r="AA180" s="125">
        <v>519</v>
      </c>
      <c r="AB180" s="125">
        <v>410</v>
      </c>
      <c r="AC180" s="125">
        <v>430</v>
      </c>
      <c r="AD180" s="125">
        <v>590</v>
      </c>
      <c r="AE180" s="125">
        <v>448</v>
      </c>
      <c r="AF180" s="125">
        <v>465</v>
      </c>
      <c r="AG180" s="125">
        <v>551</v>
      </c>
      <c r="AH180" s="125">
        <v>482</v>
      </c>
      <c r="AI180" s="125">
        <v>415</v>
      </c>
      <c r="AJ180" s="125">
        <v>442</v>
      </c>
      <c r="AK180" s="125">
        <v>415</v>
      </c>
      <c r="AL180" s="125">
        <v>441</v>
      </c>
      <c r="AM180" s="125">
        <v>445</v>
      </c>
      <c r="AN180" s="125">
        <v>499</v>
      </c>
      <c r="AO180" s="125">
        <v>588</v>
      </c>
      <c r="AP180" s="125">
        <v>599</v>
      </c>
      <c r="AQ180" s="125">
        <v>514</v>
      </c>
      <c r="AR180" s="125">
        <v>559</v>
      </c>
      <c r="AS180" s="125">
        <v>500</v>
      </c>
      <c r="AT180" s="125">
        <v>452</v>
      </c>
      <c r="AU180" s="125">
        <v>466</v>
      </c>
      <c r="AV180" s="125">
        <v>599</v>
      </c>
      <c r="AW180" s="125">
        <v>435</v>
      </c>
      <c r="AX180" s="125">
        <v>421</v>
      </c>
      <c r="AY180" s="125">
        <v>448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558.45773717619829</v>
      </c>
      <c r="E181" s="124">
        <f t="shared" si="4"/>
        <v>154.4162038921238</v>
      </c>
      <c r="F181" s="124">
        <f t="shared" si="4"/>
        <v>4.0905390852876089E-2</v>
      </c>
      <c r="G181" s="124">
        <f t="shared" si="4"/>
        <v>1349.7007897723497</v>
      </c>
      <c r="H181" s="124">
        <f t="shared" si="4"/>
        <v>466.24999941468178</v>
      </c>
      <c r="I181" s="124">
        <f t="shared" si="4"/>
        <v>563.32721666684881</v>
      </c>
      <c r="J181" s="124">
        <f t="shared" si="4"/>
        <v>1126.6135279428447</v>
      </c>
      <c r="K181" s="124">
        <f t="shared" si="4"/>
        <v>485.86223068181351</v>
      </c>
      <c r="L181" s="124">
        <f t="shared" si="4"/>
        <v>416.1712713842831</v>
      </c>
      <c r="M181" s="124">
        <f t="shared" si="4"/>
        <v>4.0905390852887323E-2</v>
      </c>
      <c r="N181" s="124">
        <f t="shared" si="4"/>
        <v>563.32721666684881</v>
      </c>
      <c r="O181" s="124">
        <f t="shared" si="4"/>
        <v>1083.6003655651555</v>
      </c>
      <c r="P181" s="124">
        <f t="shared" si="4"/>
        <v>860.61630710667885</v>
      </c>
      <c r="Q181" s="124">
        <f t="shared" si="4"/>
        <v>347.5899064258349</v>
      </c>
      <c r="R181" s="124">
        <f t="shared" si="4"/>
        <v>416.1712713842831</v>
      </c>
      <c r="S181" s="124">
        <f t="shared" si="4"/>
        <v>1083.6003655651555</v>
      </c>
      <c r="T181" s="124">
        <f t="shared" si="4"/>
        <v>254.26107640839768</v>
      </c>
      <c r="U181" s="124">
        <f t="shared" si="4"/>
        <v>563.32721666684881</v>
      </c>
      <c r="V181" s="124">
        <f t="shared" si="4"/>
        <v>563.32721666684881</v>
      </c>
      <c r="W181" s="124">
        <f t="shared" si="4"/>
        <v>1126.6135279428447</v>
      </c>
      <c r="X181" s="124">
        <f t="shared" si="4"/>
        <v>886.12510004598073</v>
      </c>
      <c r="Y181" s="124">
        <f t="shared" si="4"/>
        <v>337.67770395878603</v>
      </c>
      <c r="Z181" s="124">
        <f t="shared" si="4"/>
        <v>979.45758266027894</v>
      </c>
      <c r="AA181" s="124">
        <f t="shared" si="4"/>
        <v>413.23672961784479</v>
      </c>
      <c r="AB181" s="124">
        <f t="shared" si="4"/>
        <v>979.45758266027906</v>
      </c>
      <c r="AC181" s="124">
        <f t="shared" si="4"/>
        <v>847.50137747328984</v>
      </c>
      <c r="AD181" s="124">
        <f t="shared" si="4"/>
        <v>669.58355506112014</v>
      </c>
      <c r="AE181" s="124">
        <f t="shared" si="4"/>
        <v>225.16494339393086</v>
      </c>
      <c r="AF181" s="124">
        <f t="shared" si="4"/>
        <v>416.1712713842831</v>
      </c>
      <c r="AG181" s="124">
        <f t="shared" si="4"/>
        <v>1126.6135279428447</v>
      </c>
      <c r="AH181" s="124">
        <f t="shared" si="4"/>
        <v>859.49037356114638</v>
      </c>
      <c r="AI181" s="124">
        <f t="shared" si="4"/>
        <v>730.78052046903292</v>
      </c>
      <c r="AJ181" s="124">
        <f t="shared" si="4"/>
        <v>95.121506926509085</v>
      </c>
      <c r="AK181" s="124">
        <f t="shared" si="4"/>
        <v>1126.6135279428447</v>
      </c>
      <c r="AL181" s="124">
        <f t="shared" si="4"/>
        <v>810.18779474879352</v>
      </c>
      <c r="AM181" s="124">
        <f t="shared" si="4"/>
        <v>717.57503508481341</v>
      </c>
      <c r="AN181" s="124">
        <f t="shared" si="4"/>
        <v>125.60665976003537</v>
      </c>
      <c r="AO181" s="124">
        <f t="shared" si="4"/>
        <v>1126.6135279428447</v>
      </c>
      <c r="AP181" s="124">
        <f t="shared" si="4"/>
        <v>252.56844655467725</v>
      </c>
      <c r="AQ181" s="124">
        <f t="shared" si="4"/>
        <v>1126.6135279428447</v>
      </c>
      <c r="AR181" s="124">
        <f t="shared" si="4"/>
        <v>306.40459583253391</v>
      </c>
      <c r="AS181" s="124">
        <f t="shared" si="4"/>
        <v>710.48316194941447</v>
      </c>
      <c r="AT181" s="124">
        <f t="shared" si="4"/>
        <v>989.93192230065256</v>
      </c>
      <c r="AU181" s="124">
        <f t="shared" si="4"/>
        <v>874.40491048115109</v>
      </c>
      <c r="AV181" s="124">
        <f t="shared" si="4"/>
        <v>685.39638420207609</v>
      </c>
      <c r="AW181" s="124">
        <f t="shared" si="4"/>
        <v>627.58852895602922</v>
      </c>
      <c r="AX181" s="124">
        <f t="shared" si="4"/>
        <v>4.0905390852940517E-2</v>
      </c>
      <c r="AY181" s="124">
        <f t="shared" si="4"/>
        <v>563.32721666684881</v>
      </c>
    </row>
    <row r="182" spans="1:51">
      <c r="A182" s="125"/>
      <c r="B182" s="136" t="s">
        <v>299</v>
      </c>
      <c r="C182" s="125" t="s">
        <v>293</v>
      </c>
      <c r="D182" s="125">
        <v>545.71836846248732</v>
      </c>
      <c r="E182" s="125">
        <v>154.4162038921238</v>
      </c>
      <c r="F182" s="125">
        <v>4.0905390852876089E-2</v>
      </c>
      <c r="G182" s="125">
        <v>527.021892296288</v>
      </c>
      <c r="H182" s="125">
        <v>466.24999941468178</v>
      </c>
      <c r="I182" s="125">
        <v>563.32721666684881</v>
      </c>
      <c r="J182" s="125">
        <v>529</v>
      </c>
      <c r="K182" s="125">
        <v>485.86223068181351</v>
      </c>
      <c r="L182" s="125">
        <v>416.1712713842831</v>
      </c>
      <c r="M182" s="125">
        <v>4.0905390852887323E-2</v>
      </c>
      <c r="N182" s="125">
        <v>563.32721666684881</v>
      </c>
      <c r="O182" s="125">
        <v>559</v>
      </c>
      <c r="P182" s="125">
        <v>507</v>
      </c>
      <c r="Q182" s="125">
        <v>347.5899064258349</v>
      </c>
      <c r="R182" s="125">
        <v>416.1712713842831</v>
      </c>
      <c r="S182" s="125">
        <v>635</v>
      </c>
      <c r="T182" s="125">
        <v>254.26107640839768</v>
      </c>
      <c r="U182" s="125">
        <v>563.32721666684881</v>
      </c>
      <c r="V182" s="125">
        <v>563.32721666684881</v>
      </c>
      <c r="W182" s="125">
        <v>557</v>
      </c>
      <c r="X182" s="125">
        <v>550</v>
      </c>
      <c r="Y182" s="125">
        <v>337.67770395878603</v>
      </c>
      <c r="Z182" s="125">
        <v>510</v>
      </c>
      <c r="AA182" s="125">
        <v>413.23672961784479</v>
      </c>
      <c r="AB182" s="125">
        <v>478</v>
      </c>
      <c r="AC182" s="125">
        <v>660</v>
      </c>
      <c r="AD182" s="125">
        <v>532</v>
      </c>
      <c r="AE182" s="125">
        <v>225.16494339393086</v>
      </c>
      <c r="AF182" s="125">
        <v>416.1712713842831</v>
      </c>
      <c r="AG182" s="125">
        <v>604</v>
      </c>
      <c r="AH182" s="125">
        <v>564</v>
      </c>
      <c r="AI182" s="125">
        <v>563</v>
      </c>
      <c r="AJ182" s="125">
        <v>95.121506926509085</v>
      </c>
      <c r="AK182" s="125">
        <v>691</v>
      </c>
      <c r="AL182" s="125">
        <v>538</v>
      </c>
      <c r="AM182" s="125">
        <v>496</v>
      </c>
      <c r="AN182" s="125">
        <v>125.60665976003537</v>
      </c>
      <c r="AO182" s="125">
        <v>681</v>
      </c>
      <c r="AP182" s="125">
        <v>252.56844655467725</v>
      </c>
      <c r="AQ182" s="125">
        <v>586</v>
      </c>
      <c r="AR182" s="125">
        <v>306.40459583253391</v>
      </c>
      <c r="AS182" s="125">
        <v>692</v>
      </c>
      <c r="AT182" s="125">
        <v>441</v>
      </c>
      <c r="AU182" s="125">
        <v>659</v>
      </c>
      <c r="AV182" s="125">
        <v>572</v>
      </c>
      <c r="AW182" s="125">
        <v>627.58852895602922</v>
      </c>
      <c r="AX182" s="125">
        <v>4.0905390852940517E-2</v>
      </c>
      <c r="AY182" s="125">
        <v>563.32721666684881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1000.9224997128945</v>
      </c>
      <c r="D185" s="124">
        <v>875.38374956934172</v>
      </c>
      <c r="E185" s="124">
        <v>578.37937044201954</v>
      </c>
      <c r="F185" s="124">
        <v>308.37499131469735</v>
      </c>
      <c r="G185" s="124">
        <v>953.34134411440436</v>
      </c>
      <c r="H185" s="124">
        <v>630.33696498708218</v>
      </c>
      <c r="I185" s="124">
        <v>357.33258585976</v>
      </c>
      <c r="J185" s="124">
        <v>614.52133403396465</v>
      </c>
      <c r="K185" s="124">
        <v>1008</v>
      </c>
      <c r="L185" s="124">
        <v>977.99562087267782</v>
      </c>
      <c r="M185" s="124">
        <v>927.99124174535564</v>
      </c>
      <c r="N185" s="124">
        <v>810.98686261803346</v>
      </c>
      <c r="O185" s="124">
        <v>712.23877030400672</v>
      </c>
      <c r="P185" s="124">
        <v>717.82946569535011</v>
      </c>
      <c r="Q185" s="124">
        <v>648.82508656802793</v>
      </c>
      <c r="R185" s="124">
        <v>582.82070744070575</v>
      </c>
      <c r="S185" s="124">
        <v>952</v>
      </c>
      <c r="T185" s="124">
        <v>814.30258639181443</v>
      </c>
      <c r="U185" s="124">
        <v>391.29820726449225</v>
      </c>
      <c r="V185" s="124">
        <v>205.29382813717007</v>
      </c>
      <c r="W185" s="124">
        <v>847.25014178490824</v>
      </c>
      <c r="X185" s="124">
        <v>635.65944639356462</v>
      </c>
      <c r="Y185" s="124">
        <v>1139</v>
      </c>
      <c r="Z185" s="124">
        <v>291.1557595696645</v>
      </c>
      <c r="AA185" s="124">
        <v>1194</v>
      </c>
      <c r="AB185" s="124">
        <v>0</v>
      </c>
      <c r="AC185" s="124">
        <v>0</v>
      </c>
      <c r="AD185" s="124">
        <v>18.409304608656612</v>
      </c>
      <c r="AE185" s="124">
        <v>1040</v>
      </c>
      <c r="AF185" s="124">
        <v>1089.0930087241884</v>
      </c>
      <c r="AG185" s="124">
        <v>0</v>
      </c>
      <c r="AH185" s="124">
        <v>119.40930460865661</v>
      </c>
      <c r="AI185" s="124">
        <v>187.818609217313</v>
      </c>
      <c r="AJ185" s="124">
        <v>1051</v>
      </c>
      <c r="AK185" s="124">
        <v>0</v>
      </c>
      <c r="AL185" s="124">
        <v>35.409304608656612</v>
      </c>
      <c r="AM185" s="124">
        <v>0</v>
      </c>
      <c r="AN185" s="124">
        <v>1120</v>
      </c>
      <c r="AO185" s="124">
        <v>0</v>
      </c>
      <c r="AP185" s="124">
        <v>1278.0043791273222</v>
      </c>
      <c r="AQ185" s="124">
        <v>26.387055771991299</v>
      </c>
      <c r="AR185" s="124">
        <v>1278.0043791273222</v>
      </c>
      <c r="AS185" s="124">
        <v>1250</v>
      </c>
      <c r="AT185" s="124">
        <v>61.019565430494822</v>
      </c>
      <c r="AU185" s="124">
        <v>0</v>
      </c>
      <c r="AV185" s="124">
        <v>46.409304608656612</v>
      </c>
      <c r="AW185" s="124">
        <v>268.818609217313</v>
      </c>
      <c r="AX185" s="124">
        <v>1045</v>
      </c>
      <c r="AY185" s="124">
        <v>904.99562087267782</v>
      </c>
    </row>
    <row r="186" spans="1:51">
      <c r="A186" s="109"/>
      <c r="B186" s="120">
        <v>2</v>
      </c>
      <c r="C186" s="106">
        <v>111.07750028710552</v>
      </c>
      <c r="D186" s="106">
        <v>63.616250430658283</v>
      </c>
      <c r="E186" s="106">
        <v>402.62062955798046</v>
      </c>
      <c r="F186" s="106">
        <v>699.62500868530265</v>
      </c>
      <c r="G186" s="106">
        <v>94.658655885595635</v>
      </c>
      <c r="H186" s="106">
        <v>324.66303501291782</v>
      </c>
      <c r="I186" s="106">
        <v>647.66741414024</v>
      </c>
      <c r="J186" s="106">
        <v>0</v>
      </c>
      <c r="K186" s="106">
        <v>0</v>
      </c>
      <c r="L186" s="106">
        <v>270.00437912732218</v>
      </c>
      <c r="M186" s="106">
        <v>300.00875825464436</v>
      </c>
      <c r="N186" s="106">
        <v>350.01313738196654</v>
      </c>
      <c r="O186" s="106">
        <v>274.76122969599328</v>
      </c>
      <c r="P186" s="106">
        <v>203.17053430464989</v>
      </c>
      <c r="Q186" s="106">
        <v>560.17491343197207</v>
      </c>
      <c r="R186" s="106">
        <v>629.17929255929425</v>
      </c>
      <c r="S186" s="106">
        <v>0</v>
      </c>
      <c r="T186" s="106">
        <v>198.69741360818557</v>
      </c>
      <c r="U186" s="106">
        <v>463.70179273550775</v>
      </c>
      <c r="V186" s="106">
        <v>886.70617186282993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108.90699127581161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233.00437912732218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225.5503414605468</v>
      </c>
      <c r="D189" s="124">
        <v>369.66407283785878</v>
      </c>
      <c r="E189" s="124">
        <v>190.3266208789978</v>
      </c>
      <c r="F189" s="124">
        <v>0</v>
      </c>
      <c r="G189" s="124">
        <v>0</v>
      </c>
      <c r="H189" s="124">
        <v>0</v>
      </c>
      <c r="I189" s="124">
        <v>321.39465162606302</v>
      </c>
      <c r="J189" s="124">
        <v>0</v>
      </c>
      <c r="K189" s="124">
        <v>0</v>
      </c>
      <c r="L189" s="124">
        <v>0</v>
      </c>
      <c r="M189" s="124">
        <v>0</v>
      </c>
      <c r="N189" s="124">
        <v>0</v>
      </c>
      <c r="O189" s="124">
        <v>662</v>
      </c>
      <c r="P189" s="124">
        <v>0</v>
      </c>
      <c r="Q189" s="124">
        <v>0</v>
      </c>
      <c r="R189" s="124">
        <v>0</v>
      </c>
      <c r="S189" s="124">
        <v>466.48843803870864</v>
      </c>
      <c r="T189" s="124">
        <v>0</v>
      </c>
      <c r="U189" s="124">
        <v>497.04855614710618</v>
      </c>
      <c r="V189" s="124">
        <v>0</v>
      </c>
      <c r="W189" s="124">
        <v>0</v>
      </c>
      <c r="X189" s="124">
        <v>0</v>
      </c>
      <c r="Y189" s="124">
        <v>0</v>
      </c>
      <c r="Z189" s="124">
        <v>0</v>
      </c>
      <c r="AA189" s="124">
        <v>0</v>
      </c>
      <c r="AB189" s="124">
        <v>0</v>
      </c>
      <c r="AC189" s="124">
        <v>0</v>
      </c>
      <c r="AD189" s="124">
        <v>0</v>
      </c>
      <c r="AE189" s="124">
        <v>0</v>
      </c>
      <c r="AF189" s="124">
        <v>0</v>
      </c>
      <c r="AG189" s="124">
        <v>0</v>
      </c>
      <c r="AH189" s="124">
        <v>0</v>
      </c>
      <c r="AI189" s="124">
        <v>0</v>
      </c>
      <c r="AJ189" s="124">
        <v>0</v>
      </c>
      <c r="AK189" s="124">
        <v>0</v>
      </c>
      <c r="AL189" s="124">
        <v>0</v>
      </c>
      <c r="AM189" s="124">
        <v>0</v>
      </c>
      <c r="AN189" s="124">
        <v>0</v>
      </c>
      <c r="AO189" s="124">
        <v>0</v>
      </c>
      <c r="AP189" s="124">
        <v>0</v>
      </c>
      <c r="AQ189" s="124">
        <v>0</v>
      </c>
      <c r="AR189" s="124">
        <v>0</v>
      </c>
      <c r="AS189" s="124">
        <v>0</v>
      </c>
      <c r="AT189" s="124">
        <v>0</v>
      </c>
      <c r="AU189" s="124">
        <v>0</v>
      </c>
      <c r="AV189" s="124">
        <v>0</v>
      </c>
      <c r="AW189" s="124">
        <v>0</v>
      </c>
      <c r="AX189" s="124">
        <v>0</v>
      </c>
      <c r="AY189" s="124">
        <v>402.94804528050372</v>
      </c>
    </row>
    <row r="190" spans="1:51">
      <c r="A190" s="109"/>
      <c r="B190" s="119">
        <v>2</v>
      </c>
      <c r="C190" s="106">
        <v>0</v>
      </c>
      <c r="D190" s="106">
        <v>382.33592716214122</v>
      </c>
      <c r="E190" s="106">
        <v>238.22219578482924</v>
      </c>
      <c r="F190" s="106">
        <v>0</v>
      </c>
      <c r="G190" s="106">
        <v>287.46633169575193</v>
      </c>
      <c r="H190" s="106">
        <v>353.93049166090748</v>
      </c>
      <c r="I190" s="106">
        <v>0</v>
      </c>
      <c r="J190" s="106">
        <v>0</v>
      </c>
      <c r="K190" s="106">
        <v>149.32297155637411</v>
      </c>
      <c r="L190" s="106">
        <v>0</v>
      </c>
      <c r="M190" s="106">
        <v>0</v>
      </c>
      <c r="N190" s="106">
        <v>0</v>
      </c>
      <c r="O190" s="106">
        <v>0</v>
      </c>
      <c r="P190" s="106">
        <v>552</v>
      </c>
      <c r="Q190" s="106">
        <v>517.56011810839755</v>
      </c>
      <c r="R190" s="106">
        <v>511.02427807355309</v>
      </c>
      <c r="S190" s="106">
        <v>0</v>
      </c>
      <c r="T190" s="106">
        <v>649</v>
      </c>
      <c r="U190" s="106">
        <v>0</v>
      </c>
      <c r="V190" s="106">
        <v>0</v>
      </c>
      <c r="W190" s="106">
        <v>205.97687607741727</v>
      </c>
      <c r="X190" s="106">
        <v>133.44103604257282</v>
      </c>
      <c r="Y190" s="106">
        <v>68.905196007728364</v>
      </c>
      <c r="Z190" s="106">
        <v>0</v>
      </c>
      <c r="AA190" s="106">
        <v>0</v>
      </c>
      <c r="AB190" s="106">
        <v>0</v>
      </c>
      <c r="AC190" s="106">
        <v>0</v>
      </c>
      <c r="AD190" s="106">
        <v>0</v>
      </c>
      <c r="AE190" s="106">
        <v>0</v>
      </c>
      <c r="AF190" s="106">
        <v>0</v>
      </c>
      <c r="AG190" s="106">
        <v>121.02463950265269</v>
      </c>
      <c r="AH190" s="106">
        <v>137.48879946780824</v>
      </c>
      <c r="AI190" s="106">
        <v>77.95295943296378</v>
      </c>
      <c r="AJ190" s="106">
        <v>0</v>
      </c>
      <c r="AK190" s="106">
        <v>346.12255400213985</v>
      </c>
      <c r="AL190" s="106">
        <v>213.5867139672954</v>
      </c>
      <c r="AM190" s="106">
        <v>383.23226471513794</v>
      </c>
      <c r="AN190" s="106">
        <v>369.69642468029349</v>
      </c>
      <c r="AO190" s="106">
        <v>660</v>
      </c>
      <c r="AP190" s="106">
        <v>642.1994756332557</v>
      </c>
      <c r="AQ190" s="106">
        <v>616.66363559841125</v>
      </c>
      <c r="AR190" s="106">
        <v>677.12779556356679</v>
      </c>
      <c r="AS190" s="106">
        <v>501.59195552872234</v>
      </c>
      <c r="AT190" s="106">
        <v>525.05611549387788</v>
      </c>
      <c r="AU190" s="106">
        <v>457.09140541988154</v>
      </c>
      <c r="AV190" s="106">
        <v>502.55556538503708</v>
      </c>
      <c r="AW190" s="106">
        <v>544.01972535019263</v>
      </c>
      <c r="AX190" s="106">
        <v>539.48388531534818</v>
      </c>
      <c r="AY190" s="106">
        <v>0</v>
      </c>
    </row>
    <row r="191" spans="1:51">
      <c r="A191" s="109"/>
      <c r="B191" s="120">
        <v>3</v>
      </c>
      <c r="C191" s="106">
        <v>382.33592716214122</v>
      </c>
      <c r="D191" s="106">
        <v>0</v>
      </c>
      <c r="E191" s="106">
        <v>0</v>
      </c>
      <c r="F191" s="106">
        <v>0</v>
      </c>
      <c r="G191" s="106">
        <v>288.53366830424807</v>
      </c>
      <c r="H191" s="106">
        <v>441.06950833909252</v>
      </c>
      <c r="I191" s="106">
        <v>374.60534837393698</v>
      </c>
      <c r="J191" s="106">
        <v>691</v>
      </c>
      <c r="K191" s="106">
        <v>407.14118840878143</v>
      </c>
      <c r="L191" s="106">
        <v>553</v>
      </c>
      <c r="M191" s="106">
        <v>728.53584003484445</v>
      </c>
      <c r="N191" s="106">
        <v>728.53584003484445</v>
      </c>
      <c r="O191" s="106">
        <v>0</v>
      </c>
      <c r="P191" s="106">
        <v>0</v>
      </c>
      <c r="Q191" s="106">
        <v>187.43988189160245</v>
      </c>
      <c r="R191" s="106">
        <v>210.97572192644691</v>
      </c>
      <c r="S191" s="106">
        <v>217.51156196129136</v>
      </c>
      <c r="T191" s="106">
        <v>0</v>
      </c>
      <c r="U191" s="106">
        <v>285.95144385289382</v>
      </c>
      <c r="V191" s="106">
        <v>626</v>
      </c>
      <c r="W191" s="106">
        <v>231.48728388773827</v>
      </c>
      <c r="X191" s="106">
        <v>522.55896395742718</v>
      </c>
      <c r="Y191" s="106">
        <v>595.09480399227164</v>
      </c>
      <c r="Z191" s="106">
        <v>631</v>
      </c>
      <c r="AA191" s="106">
        <v>558.36935597288391</v>
      </c>
      <c r="AB191" s="106">
        <v>577.62241753321678</v>
      </c>
      <c r="AC191" s="106">
        <v>603.67727288971571</v>
      </c>
      <c r="AD191" s="106">
        <v>604.14143285487125</v>
      </c>
      <c r="AE191" s="106">
        <v>442.6055928200268</v>
      </c>
      <c r="AF191" s="106">
        <v>403.06975278518235</v>
      </c>
      <c r="AG191" s="106">
        <v>565.97536049734731</v>
      </c>
      <c r="AH191" s="106">
        <v>607.51120053219176</v>
      </c>
      <c r="AI191" s="106">
        <v>591.04704056703622</v>
      </c>
      <c r="AJ191" s="106">
        <v>586</v>
      </c>
      <c r="AK191" s="106">
        <v>305.87744599786015</v>
      </c>
      <c r="AL191" s="106">
        <v>382.4132860327046</v>
      </c>
      <c r="AM191" s="106">
        <v>402.76773528486206</v>
      </c>
      <c r="AN191" s="106">
        <v>345.30357531970651</v>
      </c>
      <c r="AO191" s="106">
        <v>0</v>
      </c>
      <c r="AP191" s="106">
        <v>48.800524366744298</v>
      </c>
      <c r="AQ191" s="106">
        <v>86.336364401588753</v>
      </c>
      <c r="AR191" s="106">
        <v>111.87220443643321</v>
      </c>
      <c r="AS191" s="106">
        <v>51.408044471277663</v>
      </c>
      <c r="AT191" s="106">
        <v>226.94388450612212</v>
      </c>
      <c r="AU191" s="106">
        <v>186.90859458011846</v>
      </c>
      <c r="AV191" s="106">
        <v>271.44443461496292</v>
      </c>
      <c r="AW191" s="106">
        <v>225.98027464980737</v>
      </c>
      <c r="AX191" s="106">
        <v>184.51611468465182</v>
      </c>
      <c r="AY191" s="106">
        <v>189.05195471949628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37.535840034844455</v>
      </c>
      <c r="L192" s="106">
        <v>0</v>
      </c>
      <c r="M192" s="106">
        <v>26.212868478470341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102.53584003484445</v>
      </c>
      <c r="X192" s="106">
        <v>0</v>
      </c>
      <c r="Y192" s="106">
        <v>0</v>
      </c>
      <c r="Z192" s="106">
        <v>0</v>
      </c>
      <c r="AA192" s="106">
        <v>28.630644027116091</v>
      </c>
      <c r="AB192" s="106">
        <v>153.37758246678322</v>
      </c>
      <c r="AC192" s="106">
        <v>47.322727110284291</v>
      </c>
      <c r="AD192" s="106">
        <v>124.85856714512875</v>
      </c>
      <c r="AE192" s="106">
        <v>124.3944071799732</v>
      </c>
      <c r="AF192" s="106">
        <v>285.93024721481765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362.12744127958661</v>
      </c>
      <c r="D197" s="106">
        <v>362.12744127958661</v>
      </c>
      <c r="E197" s="106">
        <v>427.00436855357214</v>
      </c>
      <c r="F197" s="106">
        <v>118.06872615069967</v>
      </c>
      <c r="G197" s="106">
        <v>3.1276817257271702E-2</v>
      </c>
      <c r="H197" s="106">
        <v>384</v>
      </c>
      <c r="I197" s="106">
        <v>0</v>
      </c>
      <c r="J197" s="106">
        <v>0</v>
      </c>
      <c r="K197" s="106">
        <v>0</v>
      </c>
      <c r="L197" s="106">
        <v>0</v>
      </c>
      <c r="M197" s="106">
        <v>0</v>
      </c>
      <c r="N197" s="106">
        <v>0</v>
      </c>
      <c r="O197" s="106">
        <v>227.06904754741547</v>
      </c>
      <c r="P197" s="106">
        <v>219.3414088577654</v>
      </c>
      <c r="Q197" s="106">
        <v>0</v>
      </c>
      <c r="R197" s="106">
        <v>0</v>
      </c>
      <c r="S197" s="106">
        <v>0</v>
      </c>
      <c r="T197" s="106">
        <v>83.784775603927699</v>
      </c>
      <c r="U197" s="106">
        <v>0</v>
      </c>
      <c r="V197" s="106">
        <v>0</v>
      </c>
      <c r="W197" s="106">
        <v>0</v>
      </c>
      <c r="X197" s="106">
        <v>42.382474282067278</v>
      </c>
      <c r="Y197" s="106">
        <v>0</v>
      </c>
      <c r="Z197" s="106">
        <v>0</v>
      </c>
      <c r="AA197" s="106">
        <v>0</v>
      </c>
      <c r="AB197" s="106">
        <v>0</v>
      </c>
      <c r="AC197" s="106">
        <v>0</v>
      </c>
      <c r="AD197" s="106">
        <v>0</v>
      </c>
      <c r="AE197" s="106">
        <v>0</v>
      </c>
      <c r="AF197" s="106">
        <v>0</v>
      </c>
      <c r="AG197" s="106">
        <v>0</v>
      </c>
      <c r="AH197" s="106">
        <v>0</v>
      </c>
      <c r="AI197" s="106">
        <v>0</v>
      </c>
      <c r="AJ197" s="106">
        <v>0</v>
      </c>
      <c r="AK197" s="106">
        <v>0</v>
      </c>
      <c r="AL197" s="106">
        <v>0</v>
      </c>
      <c r="AM197" s="106">
        <v>0</v>
      </c>
      <c r="AN197" s="106">
        <v>0</v>
      </c>
      <c r="AO197" s="106">
        <v>0</v>
      </c>
      <c r="AP197" s="106">
        <v>0</v>
      </c>
      <c r="AQ197" s="106">
        <v>0</v>
      </c>
      <c r="AR197" s="106">
        <v>0</v>
      </c>
      <c r="AS197" s="106">
        <v>0</v>
      </c>
      <c r="AT197" s="106">
        <v>0</v>
      </c>
      <c r="AU197" s="106">
        <v>0</v>
      </c>
      <c r="AV197" s="106">
        <v>0</v>
      </c>
      <c r="AW197" s="106">
        <v>0</v>
      </c>
      <c r="AX197" s="106">
        <v>0</v>
      </c>
      <c r="AY197" s="106">
        <v>0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402</v>
      </c>
      <c r="J198" s="106">
        <v>181.00044997646228</v>
      </c>
      <c r="K198" s="106">
        <v>322.49936970697235</v>
      </c>
      <c r="L198" s="106">
        <v>403.77173101732228</v>
      </c>
      <c r="M198" s="106">
        <v>0</v>
      </c>
      <c r="N198" s="106">
        <v>115.31052921588605</v>
      </c>
      <c r="O198" s="106">
        <v>3.1276817257280286E-2</v>
      </c>
      <c r="P198" s="106">
        <v>203.6585911422346</v>
      </c>
      <c r="Q198" s="106">
        <v>524</v>
      </c>
      <c r="R198" s="106">
        <v>423.80585628007293</v>
      </c>
      <c r="S198" s="106">
        <v>195.76694246509749</v>
      </c>
      <c r="T198" s="106">
        <v>318.21020485121329</v>
      </c>
      <c r="U198" s="106">
        <v>471</v>
      </c>
      <c r="V198" s="106">
        <v>182.24922302623531</v>
      </c>
      <c r="W198" s="106">
        <v>401.83775166136741</v>
      </c>
      <c r="X198" s="106">
        <v>430.72763868965006</v>
      </c>
      <c r="Y198" s="106">
        <v>391</v>
      </c>
      <c r="Z198" s="106">
        <v>48.958473720024358</v>
      </c>
      <c r="AA198" s="106">
        <v>0</v>
      </c>
      <c r="AB198" s="106">
        <v>42.222233050354305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0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0</v>
      </c>
      <c r="AU198" s="106">
        <v>0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245.99955002353772</v>
      </c>
      <c r="K199" s="106">
        <v>175.50063029302765</v>
      </c>
      <c r="L199" s="106">
        <v>108.22826898267772</v>
      </c>
      <c r="M199" s="106">
        <v>421.69490794669349</v>
      </c>
      <c r="N199" s="106">
        <v>371.49685859014375</v>
      </c>
      <c r="O199" s="106">
        <v>202.89967563532724</v>
      </c>
      <c r="P199" s="106">
        <v>0</v>
      </c>
      <c r="Q199" s="106">
        <v>0</v>
      </c>
      <c r="R199" s="106">
        <v>85.194143719927069</v>
      </c>
      <c r="S199" s="106">
        <v>234.23305753490251</v>
      </c>
      <c r="T199" s="106">
        <v>70.00501954485901</v>
      </c>
      <c r="U199" s="106">
        <v>0</v>
      </c>
      <c r="V199" s="106">
        <v>273.75077697376469</v>
      </c>
      <c r="W199" s="106">
        <v>12.162248338632594</v>
      </c>
      <c r="X199" s="106">
        <v>28.889887028282658</v>
      </c>
      <c r="Y199" s="106">
        <v>0</v>
      </c>
      <c r="Z199" s="106">
        <v>428.04152627997564</v>
      </c>
      <c r="AA199" s="106">
        <v>519</v>
      </c>
      <c r="AB199" s="106">
        <v>258.19295741630725</v>
      </c>
      <c r="AC199" s="106">
        <v>430</v>
      </c>
      <c r="AD199" s="106">
        <v>313.31566632674821</v>
      </c>
      <c r="AE199" s="106">
        <v>445.3492519552014</v>
      </c>
      <c r="AF199" s="106">
        <v>161.44268523159525</v>
      </c>
      <c r="AG199" s="106">
        <v>64.431624688107206</v>
      </c>
      <c r="AH199" s="106">
        <v>34.458946919438574</v>
      </c>
      <c r="AI199" s="106">
        <v>277.29477392313674</v>
      </c>
      <c r="AJ199" s="106">
        <v>401.08456907192345</v>
      </c>
      <c r="AK199" s="106">
        <v>0</v>
      </c>
      <c r="AL199" s="106">
        <v>0</v>
      </c>
      <c r="AM199" s="106">
        <v>0</v>
      </c>
      <c r="AN199" s="106">
        <v>50.98665457243689</v>
      </c>
      <c r="AO199" s="106">
        <v>0</v>
      </c>
      <c r="AP199" s="106">
        <v>0</v>
      </c>
      <c r="AQ199" s="106">
        <v>0</v>
      </c>
      <c r="AR199" s="106">
        <v>185.37389290647675</v>
      </c>
      <c r="AS199" s="106">
        <v>0</v>
      </c>
      <c r="AT199" s="106">
        <v>82.832628748156225</v>
      </c>
      <c r="AU199" s="106">
        <v>0</v>
      </c>
      <c r="AV199" s="106">
        <v>52.127513867692301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35.957361598027148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109.58480953333844</v>
      </c>
      <c r="AC200" s="106">
        <v>0</v>
      </c>
      <c r="AD200" s="106">
        <v>276.68433367325179</v>
      </c>
      <c r="AE200" s="106">
        <v>2.650748044798604</v>
      </c>
      <c r="AF200" s="106">
        <v>303.55731476840475</v>
      </c>
      <c r="AG200" s="106">
        <v>486.56837531189279</v>
      </c>
      <c r="AH200" s="106">
        <v>447.54105308056143</v>
      </c>
      <c r="AI200" s="106">
        <v>137.70522607686326</v>
      </c>
      <c r="AJ200" s="106">
        <v>40.915430928076546</v>
      </c>
      <c r="AK200" s="106">
        <v>415</v>
      </c>
      <c r="AL200" s="106">
        <v>395.66056850988053</v>
      </c>
      <c r="AM200" s="106">
        <v>183.48255877168339</v>
      </c>
      <c r="AN200" s="106">
        <v>72.7311957506341</v>
      </c>
      <c r="AO200" s="106">
        <v>588</v>
      </c>
      <c r="AP200" s="106">
        <v>376.562654010394</v>
      </c>
      <c r="AQ200" s="106">
        <v>271.08206545984399</v>
      </c>
      <c r="AR200" s="106">
        <v>96.0405575328883</v>
      </c>
      <c r="AS200" s="106">
        <v>500</v>
      </c>
      <c r="AT200" s="106">
        <v>193.11726359627758</v>
      </c>
      <c r="AU200" s="106">
        <v>466</v>
      </c>
      <c r="AV200" s="106">
        <v>234.28111431842103</v>
      </c>
      <c r="AW200" s="106">
        <v>435</v>
      </c>
      <c r="AX200" s="106">
        <v>364.88244133960552</v>
      </c>
      <c r="AY200" s="106">
        <v>55.967052306958294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45.339431490119466</v>
      </c>
      <c r="AM201" s="106">
        <v>261.51744122831661</v>
      </c>
      <c r="AN201" s="106">
        <v>375.28214967692901</v>
      </c>
      <c r="AO201" s="106">
        <v>0</v>
      </c>
      <c r="AP201" s="106">
        <v>222.437345989606</v>
      </c>
      <c r="AQ201" s="106">
        <v>242.91793454015601</v>
      </c>
      <c r="AR201" s="106">
        <v>277.58554956063495</v>
      </c>
      <c r="AS201" s="106">
        <v>0</v>
      </c>
      <c r="AT201" s="106">
        <v>176.05010765556619</v>
      </c>
      <c r="AU201" s="106">
        <v>0</v>
      </c>
      <c r="AV201" s="106">
        <v>312.59137181388667</v>
      </c>
      <c r="AW201" s="106">
        <v>0</v>
      </c>
      <c r="AX201" s="106">
        <v>56.117558660394479</v>
      </c>
      <c r="AY201" s="106">
        <v>392.03294769304171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256.07691713112632</v>
      </c>
      <c r="D209" s="124">
        <v>330.10734900399325</v>
      </c>
      <c r="E209" s="124">
        <v>147.19685067341857</v>
      </c>
      <c r="F209" s="124">
        <v>4.0905390852876089E-2</v>
      </c>
      <c r="G209" s="124">
        <v>0</v>
      </c>
      <c r="H209" s="124">
        <v>4.0905390852856272E-2</v>
      </c>
      <c r="I209" s="124">
        <v>563.32721666684881</v>
      </c>
      <c r="J209" s="124">
        <v>0</v>
      </c>
      <c r="K209" s="124">
        <v>147.19685067341857</v>
      </c>
      <c r="L209" s="124">
        <v>4.0905390852856272E-2</v>
      </c>
      <c r="M209" s="124">
        <v>4.0905390852876089E-2</v>
      </c>
      <c r="N209" s="124">
        <v>4.0905390852876089E-2</v>
      </c>
      <c r="O209" s="124">
        <v>559</v>
      </c>
      <c r="P209" s="124">
        <v>209.71090956016991</v>
      </c>
      <c r="Q209" s="124">
        <v>147.19685067341854</v>
      </c>
      <c r="R209" s="124">
        <v>4.0905390852856272E-2</v>
      </c>
      <c r="S209" s="124">
        <v>635</v>
      </c>
      <c r="T209" s="124">
        <v>4.0905390852876089E-2</v>
      </c>
      <c r="U209" s="124">
        <v>563.32721666684881</v>
      </c>
      <c r="V209" s="124">
        <v>4.0905390852876089E-2</v>
      </c>
      <c r="W209" s="124">
        <v>0</v>
      </c>
      <c r="X209" s="124">
        <v>227.20211662086803</v>
      </c>
      <c r="Y209" s="124">
        <v>147.19685067341854</v>
      </c>
      <c r="Z209" s="124">
        <v>93.869634006569754</v>
      </c>
      <c r="AA209" s="124">
        <v>147.19685067341851</v>
      </c>
      <c r="AB209" s="124">
        <v>61.869634006569697</v>
      </c>
      <c r="AC209" s="124">
        <v>375.82583919355886</v>
      </c>
      <c r="AD209" s="124">
        <v>425.74366160572868</v>
      </c>
      <c r="AE209" s="124">
        <v>147.19685067341857</v>
      </c>
      <c r="AF209" s="124">
        <v>4.0905390852856272E-2</v>
      </c>
      <c r="AG209" s="124">
        <v>40.713688724003987</v>
      </c>
      <c r="AH209" s="124">
        <v>267.83684310570231</v>
      </c>
      <c r="AI209" s="124">
        <v>395.54669619781578</v>
      </c>
      <c r="AJ209" s="124">
        <v>4.0905390852876089E-2</v>
      </c>
      <c r="AK209" s="124">
        <v>127.7136887240041</v>
      </c>
      <c r="AL209" s="124">
        <v>291.13942191805529</v>
      </c>
      <c r="AM209" s="124">
        <v>341.75218158203529</v>
      </c>
      <c r="AN209" s="124">
        <v>4.0905390852870482E-2</v>
      </c>
      <c r="AO209" s="124">
        <v>117.7136887240041</v>
      </c>
      <c r="AP209" s="124">
        <v>4.0905390852856272E-2</v>
      </c>
      <c r="AQ209" s="124">
        <v>22.713688724003987</v>
      </c>
      <c r="AR209" s="124">
        <v>4.0905390852856272E-2</v>
      </c>
      <c r="AS209" s="124">
        <v>128.71368872400399</v>
      </c>
      <c r="AT209" s="124">
        <v>14.395294366196254</v>
      </c>
      <c r="AU209" s="124">
        <v>347.92230618569772</v>
      </c>
      <c r="AV209" s="124">
        <v>449.93083246477272</v>
      </c>
      <c r="AW209" s="124">
        <v>563.3272166668487</v>
      </c>
      <c r="AX209" s="124">
        <v>4.0905390852876089E-2</v>
      </c>
      <c r="AY209" s="124">
        <v>563.32721666684881</v>
      </c>
    </row>
    <row r="210" spans="1:51">
      <c r="A210" s="109"/>
      <c r="B210" s="119">
        <v>2</v>
      </c>
      <c r="C210" s="106">
        <v>0</v>
      </c>
      <c r="D210" s="110">
        <v>215.61101945849407</v>
      </c>
      <c r="E210" s="110">
        <v>7.2193532187052325</v>
      </c>
      <c r="F210" s="110">
        <v>0</v>
      </c>
      <c r="G210" s="110">
        <v>303.93463046678312</v>
      </c>
      <c r="H210" s="110">
        <v>319.2354539869047</v>
      </c>
      <c r="I210" s="110">
        <v>1.1230493314368277E-14</v>
      </c>
      <c r="J210" s="110">
        <v>0</v>
      </c>
      <c r="K210" s="110">
        <v>319.2354539869047</v>
      </c>
      <c r="L210" s="110">
        <v>416.13036599343025</v>
      </c>
      <c r="M210" s="110">
        <v>1.1230493314368277E-14</v>
      </c>
      <c r="N210" s="110">
        <v>0</v>
      </c>
      <c r="O210" s="110">
        <v>0</v>
      </c>
      <c r="P210" s="110">
        <v>297.28909043983009</v>
      </c>
      <c r="Q210" s="110">
        <v>200.39305575241636</v>
      </c>
      <c r="R210" s="110">
        <v>416.13036599343025</v>
      </c>
      <c r="S210" s="110">
        <v>1.1230493314368277E-14</v>
      </c>
      <c r="T210" s="110">
        <v>254.2201710175448</v>
      </c>
      <c r="U210" s="110">
        <v>0</v>
      </c>
      <c r="V210" s="110">
        <v>0</v>
      </c>
      <c r="W210" s="110">
        <v>557</v>
      </c>
      <c r="X210" s="110">
        <v>319.2354539869047</v>
      </c>
      <c r="Y210" s="110">
        <v>190.48085328536749</v>
      </c>
      <c r="Z210" s="110">
        <v>416.13036599343025</v>
      </c>
      <c r="AA210" s="110">
        <v>266.03987894442628</v>
      </c>
      <c r="AB210" s="110">
        <v>416.1303659934303</v>
      </c>
      <c r="AC210" s="110">
        <v>284.17416080644114</v>
      </c>
      <c r="AD210" s="110">
        <v>106.25633839427135</v>
      </c>
      <c r="AE210" s="110">
        <v>77.968092720512303</v>
      </c>
      <c r="AF210" s="110">
        <v>416.13036599343025</v>
      </c>
      <c r="AG210" s="110">
        <v>563.28631127599601</v>
      </c>
      <c r="AH210" s="110">
        <v>296.16315689429769</v>
      </c>
      <c r="AI210" s="110">
        <v>167.45330380218419</v>
      </c>
      <c r="AJ210" s="110">
        <v>95.0806015356562</v>
      </c>
      <c r="AK210" s="110">
        <v>563.2863112759959</v>
      </c>
      <c r="AL210" s="110">
        <v>246.86057808194474</v>
      </c>
      <c r="AM210" s="110">
        <v>154.24781841796468</v>
      </c>
      <c r="AN210" s="110">
        <v>125.5657543691825</v>
      </c>
      <c r="AO210" s="110">
        <v>563.2863112759959</v>
      </c>
      <c r="AP210" s="110">
        <v>252.5275411638244</v>
      </c>
      <c r="AQ210" s="110">
        <v>563.28631127599601</v>
      </c>
      <c r="AR210" s="110">
        <v>306.36369044168106</v>
      </c>
      <c r="AS210" s="110">
        <v>563.28631127599601</v>
      </c>
      <c r="AT210" s="110">
        <v>426.60470563380375</v>
      </c>
      <c r="AU210" s="110">
        <v>311.07769381430228</v>
      </c>
      <c r="AV210" s="110">
        <v>122.06916753522727</v>
      </c>
      <c r="AW210" s="110">
        <v>64.261312289180523</v>
      </c>
      <c r="AX210" s="110">
        <v>6.4425911226404008E-14</v>
      </c>
      <c r="AY210" s="110">
        <v>0</v>
      </c>
    </row>
    <row r="211" spans="1:51">
      <c r="A211" s="109"/>
      <c r="B211" s="119">
        <v>3</v>
      </c>
      <c r="C211" s="106">
        <v>215.13739169872821</v>
      </c>
      <c r="D211" s="110">
        <v>0</v>
      </c>
      <c r="E211" s="110">
        <v>0</v>
      </c>
      <c r="F211" s="110">
        <v>0</v>
      </c>
      <c r="G211" s="110">
        <v>223.08726182950488</v>
      </c>
      <c r="H211" s="110">
        <v>146.97364003692419</v>
      </c>
      <c r="I211" s="110">
        <v>0</v>
      </c>
      <c r="J211" s="110">
        <v>529</v>
      </c>
      <c r="K211" s="110">
        <v>0</v>
      </c>
      <c r="L211" s="110">
        <v>0</v>
      </c>
      <c r="M211" s="110">
        <v>0</v>
      </c>
      <c r="N211" s="110">
        <v>563.2863112759959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563.2863112759959</v>
      </c>
      <c r="W211" s="110">
        <v>0</v>
      </c>
      <c r="X211" s="110">
        <v>3.5624293922272479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19.42992602149025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277552.83955982188</v>
      </c>
      <c r="E259" s="124">
        <f t="shared" ref="E259:AX259" si="5">F$14*$B$259</f>
        <v>76744.671997954792</v>
      </c>
      <c r="F259" s="124">
        <f t="shared" si="5"/>
        <v>20.329931217226605</v>
      </c>
      <c r="G259" s="124">
        <f t="shared" si="5"/>
        <v>670799.70751529955</v>
      </c>
      <c r="H259" s="124">
        <f t="shared" si="5"/>
        <v>231725.70217516847</v>
      </c>
      <c r="I259" s="124">
        <f t="shared" si="5"/>
        <v>279972.96514827252</v>
      </c>
      <c r="J259" s="124">
        <f t="shared" si="5"/>
        <v>559925.6003653279</v>
      </c>
      <c r="K259" s="124">
        <f t="shared" si="5"/>
        <v>241472.95808359343</v>
      </c>
      <c r="L259" s="124">
        <f t="shared" si="5"/>
        <v>206836.63315328863</v>
      </c>
      <c r="M259" s="124">
        <f t="shared" si="5"/>
        <v>20.329931217232186</v>
      </c>
      <c r="N259" s="124">
        <f t="shared" si="5"/>
        <v>279972.96514827252</v>
      </c>
      <c r="O259" s="124">
        <f t="shared" si="5"/>
        <v>538548.10917550011</v>
      </c>
      <c r="P259" s="124">
        <f t="shared" si="5"/>
        <v>427725.29397973407</v>
      </c>
      <c r="Q259" s="124">
        <f t="shared" si="5"/>
        <v>172751.77530647171</v>
      </c>
      <c r="R259" s="124">
        <f t="shared" si="5"/>
        <v>206836.63315328863</v>
      </c>
      <c r="S259" s="124">
        <f t="shared" si="5"/>
        <v>538548.10917550011</v>
      </c>
      <c r="T259" s="124">
        <f t="shared" si="5"/>
        <v>126367.45638716414</v>
      </c>
      <c r="U259" s="124">
        <f t="shared" si="5"/>
        <v>279972.96514827252</v>
      </c>
      <c r="V259" s="124">
        <f t="shared" si="5"/>
        <v>279972.96514827252</v>
      </c>
      <c r="W259" s="124">
        <f t="shared" si="5"/>
        <v>559925.6003653279</v>
      </c>
      <c r="X259" s="124">
        <f t="shared" si="5"/>
        <v>440403.13411468582</v>
      </c>
      <c r="Y259" s="124">
        <f t="shared" si="5"/>
        <v>167825.42232059973</v>
      </c>
      <c r="Z259" s="124">
        <f t="shared" si="5"/>
        <v>486789.2683703439</v>
      </c>
      <c r="AA259" s="124">
        <f t="shared" si="5"/>
        <v>205378.16934150542</v>
      </c>
      <c r="AB259" s="124">
        <f t="shared" si="5"/>
        <v>486789.26837034401</v>
      </c>
      <c r="AC259" s="124">
        <f t="shared" si="5"/>
        <v>421207.18935326725</v>
      </c>
      <c r="AD259" s="124">
        <f t="shared" si="5"/>
        <v>332782.24054963462</v>
      </c>
      <c r="AE259" s="124">
        <f t="shared" si="5"/>
        <v>111906.71244759619</v>
      </c>
      <c r="AF259" s="124">
        <f t="shared" si="5"/>
        <v>206836.63315328863</v>
      </c>
      <c r="AG259" s="124">
        <f t="shared" si="5"/>
        <v>559925.6003653279</v>
      </c>
      <c r="AH259" s="124">
        <f t="shared" si="5"/>
        <v>427165.70632982813</v>
      </c>
      <c r="AI259" s="124">
        <f t="shared" si="5"/>
        <v>363197.06049159804</v>
      </c>
      <c r="AJ259" s="124">
        <f t="shared" si="5"/>
        <v>47275.277237912167</v>
      </c>
      <c r="AK259" s="124">
        <f t="shared" si="5"/>
        <v>559925.6003653279</v>
      </c>
      <c r="AL259" s="124">
        <f t="shared" si="5"/>
        <v>402662.38255785749</v>
      </c>
      <c r="AM259" s="124">
        <f t="shared" si="5"/>
        <v>356633.94976331131</v>
      </c>
      <c r="AN259" s="124">
        <f t="shared" si="5"/>
        <v>62426.362396377393</v>
      </c>
      <c r="AO259" s="124">
        <f t="shared" si="5"/>
        <v>559925.6003653279</v>
      </c>
      <c r="AP259" s="124">
        <f t="shared" si="5"/>
        <v>125526.22133758043</v>
      </c>
      <c r="AQ259" s="124">
        <f t="shared" si="5"/>
        <v>559925.6003653279</v>
      </c>
      <c r="AR259" s="124">
        <f t="shared" si="5"/>
        <v>152282.72430697366</v>
      </c>
      <c r="AS259" s="124">
        <f t="shared" si="5"/>
        <v>353109.29714325641</v>
      </c>
      <c r="AT259" s="124">
        <f t="shared" si="5"/>
        <v>491995.0028712207</v>
      </c>
      <c r="AU259" s="124">
        <f t="shared" si="5"/>
        <v>434578.21366440016</v>
      </c>
      <c r="AV259" s="124">
        <f t="shared" si="5"/>
        <v>340641.19806312298</v>
      </c>
      <c r="AW259" s="124">
        <f t="shared" si="5"/>
        <v>311910.76189165463</v>
      </c>
      <c r="AX259" s="124">
        <f t="shared" si="5"/>
        <v>20.329931217258626</v>
      </c>
      <c r="AY259" s="124">
        <f>AZ$14*$B$259</f>
        <v>279972.96514827252</v>
      </c>
      <c r="AZ259" s="139">
        <f>SUM($D259:$AY259)</f>
        <v>15204711.503466127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39214.931643391246</v>
      </c>
      <c r="E260" s="125">
        <f t="shared" ref="E260:AY260" si="6">(E$175-E$176+E$177-E$178+E$179-E$180+E$181-E$182)*$B$260</f>
        <v>41977.500521118163</v>
      </c>
      <c r="F260" s="125">
        <f t="shared" si="6"/>
        <v>58177.763268757481</v>
      </c>
      <c r="G260" s="125">
        <f t="shared" si="6"/>
        <v>139016.83685177501</v>
      </c>
      <c r="H260" s="125">
        <f t="shared" si="6"/>
        <v>100216.33875226289</v>
      </c>
      <c r="I260" s="125">
        <f t="shared" si="6"/>
        <v>115818.81671816228</v>
      </c>
      <c r="J260" s="125">
        <f t="shared" si="6"/>
        <v>142623.27992423956</v>
      </c>
      <c r="K260" s="125">
        <f t="shared" si="6"/>
        <v>120551.76828177062</v>
      </c>
      <c r="L260" s="125">
        <f t="shared" si="6"/>
        <v>113034.39569416942</v>
      </c>
      <c r="M260" s="125">
        <f t="shared" si="6"/>
        <v>64540.653745281044</v>
      </c>
      <c r="N260" s="125">
        <f t="shared" si="6"/>
        <v>40196.908137712388</v>
      </c>
      <c r="O260" s="125">
        <f t="shared" si="6"/>
        <v>122007.86684533846</v>
      </c>
      <c r="P260" s="125">
        <f t="shared" si="6"/>
        <v>146337.66517110151</v>
      </c>
      <c r="Q260" s="125">
        <f t="shared" si="6"/>
        <v>106422.88157397843</v>
      </c>
      <c r="R260" s="125">
        <f t="shared" si="6"/>
        <v>84762.01519156601</v>
      </c>
      <c r="S260" s="125">
        <f t="shared" si="6"/>
        <v>118227.86684533842</v>
      </c>
      <c r="T260" s="125">
        <f t="shared" si="6"/>
        <v>89664.240813729994</v>
      </c>
      <c r="U260" s="125">
        <f t="shared" si="6"/>
        <v>95181.342245352062</v>
      </c>
      <c r="V260" s="125">
        <f t="shared" si="6"/>
        <v>110977.41371646103</v>
      </c>
      <c r="W260" s="125">
        <f t="shared" si="6"/>
        <v>136819.55145918293</v>
      </c>
      <c r="X260" s="125">
        <f t="shared" si="6"/>
        <v>148727.83622118435</v>
      </c>
      <c r="Y260" s="125">
        <f t="shared" si="6"/>
        <v>125672.78721400646</v>
      </c>
      <c r="Z260" s="125">
        <f t="shared" si="6"/>
        <v>170516.26042240381</v>
      </c>
      <c r="AA260" s="125">
        <f t="shared" si="6"/>
        <v>137383.05946658261</v>
      </c>
      <c r="AB260" s="125">
        <f t="shared" si="6"/>
        <v>187925.60599658365</v>
      </c>
      <c r="AC260" s="125">
        <f t="shared" si="6"/>
        <v>186659.3363673907</v>
      </c>
      <c r="AD260" s="125">
        <f t="shared" si="6"/>
        <v>187117.08105736048</v>
      </c>
      <c r="AE260" s="125">
        <f t="shared" si="6"/>
        <v>174380.28842019261</v>
      </c>
      <c r="AF260" s="125">
        <f t="shared" si="6"/>
        <v>144817.11142587019</v>
      </c>
      <c r="AG260" s="125">
        <f t="shared" si="6"/>
        <v>167794.55996627748</v>
      </c>
      <c r="AH260" s="125">
        <f t="shared" si="6"/>
        <v>175944.76113918883</v>
      </c>
      <c r="AI260" s="125">
        <f t="shared" si="6"/>
        <v>186385.00094004447</v>
      </c>
      <c r="AJ260" s="125">
        <f t="shared" si="6"/>
        <v>161784.31496645859</v>
      </c>
      <c r="AK260" s="125">
        <f t="shared" si="6"/>
        <v>172834.55996627742</v>
      </c>
      <c r="AL260" s="125">
        <f t="shared" si="6"/>
        <v>196206.6064104476</v>
      </c>
      <c r="AM260" s="125">
        <f t="shared" si="6"/>
        <v>193459.94309877124</v>
      </c>
      <c r="AN260" s="125">
        <f t="shared" si="6"/>
        <v>149725.76064255048</v>
      </c>
      <c r="AO260" s="125">
        <f t="shared" si="6"/>
        <v>162574.55996627742</v>
      </c>
      <c r="AP260" s="125">
        <f t="shared" si="6"/>
        <v>110123.18832342935</v>
      </c>
      <c r="AQ260" s="125">
        <f t="shared" si="6"/>
        <v>168551.33661995793</v>
      </c>
      <c r="AR260" s="125">
        <f t="shared" si="6"/>
        <v>106919.96497710982</v>
      </c>
      <c r="AS260" s="125">
        <f t="shared" si="6"/>
        <v>115717.83195564983</v>
      </c>
      <c r="AT260" s="125">
        <f t="shared" si="6"/>
        <v>182223.90273221146</v>
      </c>
      <c r="AU260" s="125">
        <f t="shared" si="6"/>
        <v>183745.08796944001</v>
      </c>
      <c r="AV260" s="125">
        <f t="shared" si="6"/>
        <v>179071.63882534622</v>
      </c>
      <c r="AW260" s="125">
        <f t="shared" si="6"/>
        <v>175123.80907344673</v>
      </c>
      <c r="AX260" s="125">
        <f t="shared" si="6"/>
        <v>149195.83445723879</v>
      </c>
      <c r="AY260" s="125">
        <f t="shared" si="6"/>
        <v>138910.12421600425</v>
      </c>
      <c r="AZ260" s="141">
        <f>SUM($D260:$AY260)</f>
        <v>6525262.190238391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19</v>
      </c>
      <c r="E6" s="100">
        <v>10989.6</v>
      </c>
      <c r="F6" s="100">
        <v>19</v>
      </c>
      <c r="G6" s="100">
        <v>10989.6</v>
      </c>
      <c r="H6" s="100">
        <v>22</v>
      </c>
      <c r="I6" s="100">
        <v>12724.8</v>
      </c>
      <c r="J6" s="100">
        <v>16</v>
      </c>
      <c r="K6" s="100">
        <v>9254.4</v>
      </c>
      <c r="L6" s="100">
        <v>14</v>
      </c>
      <c r="M6" s="100">
        <v>8097.5999999999995</v>
      </c>
      <c r="N6" s="100">
        <v>25</v>
      </c>
      <c r="O6" s="100">
        <v>14460</v>
      </c>
      <c r="P6" s="100">
        <v>13.4039888295999</v>
      </c>
      <c r="Q6" s="100">
        <v>7752.8671390405816</v>
      </c>
      <c r="R6" s="100">
        <v>16</v>
      </c>
      <c r="S6" s="100">
        <v>9254.4</v>
      </c>
      <c r="T6" s="100">
        <v>24</v>
      </c>
      <c r="U6" s="100">
        <v>13881.599999999999</v>
      </c>
      <c r="V6" s="100">
        <v>27</v>
      </c>
      <c r="W6" s="100">
        <v>15616.8</v>
      </c>
      <c r="X6" s="100">
        <v>17</v>
      </c>
      <c r="Y6" s="100">
        <v>9832.7999999999993</v>
      </c>
      <c r="Z6" s="100">
        <v>16</v>
      </c>
      <c r="AA6" s="100">
        <v>9254.4</v>
      </c>
      <c r="AB6" s="100">
        <v>14</v>
      </c>
      <c r="AC6" s="100">
        <v>8097.5999999999995</v>
      </c>
      <c r="AD6" s="100">
        <v>23</v>
      </c>
      <c r="AE6" s="100">
        <v>13303.199999999999</v>
      </c>
      <c r="AF6" s="100">
        <v>27</v>
      </c>
      <c r="AG6" s="100">
        <v>15616.8</v>
      </c>
      <c r="AH6" s="100">
        <v>19</v>
      </c>
      <c r="AI6" s="100">
        <v>10989.6</v>
      </c>
      <c r="AJ6" s="100">
        <v>20</v>
      </c>
      <c r="AK6" s="100">
        <v>11568</v>
      </c>
      <c r="AL6" s="100">
        <v>17</v>
      </c>
      <c r="AM6" s="100">
        <v>9832.7999999999993</v>
      </c>
      <c r="AN6" s="100">
        <v>23</v>
      </c>
      <c r="AO6" s="100">
        <v>13303.199999999999</v>
      </c>
      <c r="AP6" s="100">
        <v>18.605155140546973</v>
      </c>
      <c r="AQ6" s="100">
        <v>10761.221733292368</v>
      </c>
      <c r="AR6" s="100">
        <v>14.235800649515079</v>
      </c>
      <c r="AS6" s="100">
        <v>8233.9870956795221</v>
      </c>
      <c r="AT6" s="100">
        <v>18</v>
      </c>
      <c r="AU6" s="100">
        <v>10411.199999999999</v>
      </c>
      <c r="AV6" s="100">
        <v>5.8896943448568901</v>
      </c>
      <c r="AW6" s="100">
        <v>3406.5992090652253</v>
      </c>
      <c r="AX6" s="100">
        <v>24</v>
      </c>
      <c r="AY6" s="100">
        <v>13881.599999999999</v>
      </c>
      <c r="AZ6" s="100">
        <v>0</v>
      </c>
      <c r="BA6" s="100">
        <v>0</v>
      </c>
      <c r="BB6" s="100">
        <v>0</v>
      </c>
      <c r="BC6" s="100">
        <v>0</v>
      </c>
      <c r="BD6" s="100">
        <v>0.3899096286251022</v>
      </c>
      <c r="BE6" s="100">
        <v>225.52372919675909</v>
      </c>
      <c r="BF6" s="100">
        <v>18</v>
      </c>
      <c r="BG6" s="100">
        <v>10411.199999999999</v>
      </c>
      <c r="BH6" s="100">
        <v>23</v>
      </c>
      <c r="BI6" s="100">
        <v>13303.199999999999</v>
      </c>
      <c r="BJ6" s="100">
        <v>0</v>
      </c>
      <c r="BK6" s="100">
        <v>0</v>
      </c>
      <c r="BL6" s="100">
        <v>2.495692861595717</v>
      </c>
      <c r="BM6" s="100">
        <v>1443.5087511469626</v>
      </c>
      <c r="BN6" s="100">
        <v>4.9234004357936421</v>
      </c>
      <c r="BO6" s="100">
        <v>2847.6948120630423</v>
      </c>
      <c r="BP6" s="100">
        <v>25</v>
      </c>
      <c r="BQ6" s="100">
        <v>14460</v>
      </c>
      <c r="BR6" s="100">
        <v>0</v>
      </c>
      <c r="BS6" s="100">
        <v>0</v>
      </c>
      <c r="BT6" s="100">
        <v>0.74451859984559743</v>
      </c>
      <c r="BU6" s="100">
        <v>430.62955815069353</v>
      </c>
      <c r="BV6" s="100">
        <v>0</v>
      </c>
      <c r="BW6" s="100">
        <v>0</v>
      </c>
      <c r="BX6" s="100">
        <v>21</v>
      </c>
      <c r="BY6" s="100">
        <v>12146.4</v>
      </c>
      <c r="BZ6" s="100">
        <v>0</v>
      </c>
      <c r="CA6" s="100">
        <v>0</v>
      </c>
      <c r="CB6" s="100">
        <v>24.941537453694814</v>
      </c>
      <c r="CC6" s="100">
        <v>14426.185263217079</v>
      </c>
      <c r="CD6" s="100">
        <v>0.48819714656783164</v>
      </c>
      <c r="CE6" s="100">
        <v>282.37322957483383</v>
      </c>
      <c r="CF6" s="100">
        <v>28.75261985623921</v>
      </c>
      <c r="CG6" s="100">
        <v>16630.515324848759</v>
      </c>
      <c r="CH6" s="100">
        <v>27</v>
      </c>
      <c r="CI6" s="100">
        <v>15616.8</v>
      </c>
      <c r="CJ6" s="100">
        <v>1.4487076313032961</v>
      </c>
      <c r="CK6" s="100">
        <v>837.93249394582642</v>
      </c>
      <c r="CL6" s="100">
        <v>0</v>
      </c>
      <c r="CM6" s="100">
        <v>0</v>
      </c>
      <c r="CN6" s="100">
        <v>1.2691696793616212</v>
      </c>
      <c r="CO6" s="100">
        <v>734.0877425427617</v>
      </c>
      <c r="CP6" s="100">
        <v>6.952205410792577</v>
      </c>
      <c r="CQ6" s="100">
        <v>4021.1556096024265</v>
      </c>
      <c r="CR6" s="100">
        <v>16</v>
      </c>
      <c r="CS6" s="100">
        <v>9254.4</v>
      </c>
      <c r="CT6" s="100">
        <v>27</v>
      </c>
      <c r="CU6" s="100">
        <v>15616.8</v>
      </c>
    </row>
    <row r="7" spans="1:99">
      <c r="C7" s="99" t="s">
        <v>173</v>
      </c>
      <c r="D7" s="100">
        <v>20</v>
      </c>
      <c r="E7" s="100">
        <v>15768</v>
      </c>
      <c r="F7" s="100">
        <v>20</v>
      </c>
      <c r="G7" s="100">
        <v>15768</v>
      </c>
      <c r="H7" s="100">
        <v>18</v>
      </c>
      <c r="I7" s="100">
        <v>14191.199999999999</v>
      </c>
      <c r="J7" s="100">
        <v>16</v>
      </c>
      <c r="K7" s="100">
        <v>12614.4</v>
      </c>
      <c r="L7" s="100">
        <v>14</v>
      </c>
      <c r="M7" s="100">
        <v>11037.6</v>
      </c>
      <c r="N7" s="100">
        <v>21</v>
      </c>
      <c r="O7" s="100">
        <v>16556.399999999998</v>
      </c>
      <c r="P7" s="100">
        <v>13.4039888295999</v>
      </c>
      <c r="Q7" s="100">
        <v>10567.70479325656</v>
      </c>
      <c r="R7" s="100">
        <v>16</v>
      </c>
      <c r="S7" s="100">
        <v>12614.4</v>
      </c>
      <c r="T7" s="100">
        <v>21</v>
      </c>
      <c r="U7" s="100">
        <v>16556.399999999998</v>
      </c>
      <c r="V7" s="100">
        <v>23</v>
      </c>
      <c r="W7" s="100">
        <v>18133.2</v>
      </c>
      <c r="X7" s="100">
        <v>16</v>
      </c>
      <c r="Y7" s="100">
        <v>12614.4</v>
      </c>
      <c r="Z7" s="100">
        <v>16</v>
      </c>
      <c r="AA7" s="100">
        <v>12614.4</v>
      </c>
      <c r="AB7" s="100">
        <v>13</v>
      </c>
      <c r="AC7" s="100">
        <v>10249.199999999999</v>
      </c>
      <c r="AD7" s="100">
        <v>24</v>
      </c>
      <c r="AE7" s="100">
        <v>18921.599999999999</v>
      </c>
      <c r="AF7" s="100">
        <v>26</v>
      </c>
      <c r="AG7" s="100">
        <v>20498.399999999998</v>
      </c>
      <c r="AH7" s="100">
        <v>16</v>
      </c>
      <c r="AI7" s="100">
        <v>12614.4</v>
      </c>
      <c r="AJ7" s="100">
        <v>20</v>
      </c>
      <c r="AK7" s="100">
        <v>15768</v>
      </c>
      <c r="AL7" s="100">
        <v>15</v>
      </c>
      <c r="AM7" s="100">
        <v>11826</v>
      </c>
      <c r="AN7" s="100">
        <v>22</v>
      </c>
      <c r="AO7" s="100">
        <v>17344.8</v>
      </c>
      <c r="AP7" s="100">
        <v>18.605155140546973</v>
      </c>
      <c r="AQ7" s="100">
        <v>14668.304312807233</v>
      </c>
      <c r="AR7" s="100">
        <v>12.997904940861593</v>
      </c>
      <c r="AS7" s="100">
        <v>10247.548255375279</v>
      </c>
      <c r="AT7" s="100">
        <v>19</v>
      </c>
      <c r="AU7" s="100">
        <v>14979.6</v>
      </c>
      <c r="AV7" s="100">
        <v>5.6336206776891986</v>
      </c>
      <c r="AW7" s="100">
        <v>4441.5465422901643</v>
      </c>
      <c r="AX7" s="100">
        <v>27</v>
      </c>
      <c r="AY7" s="100">
        <v>21286.799999999999</v>
      </c>
      <c r="AZ7" s="100">
        <v>0</v>
      </c>
      <c r="BA7" s="100">
        <v>0</v>
      </c>
      <c r="BB7" s="100">
        <v>0</v>
      </c>
      <c r="BC7" s="100">
        <v>0</v>
      </c>
      <c r="BD7" s="100">
        <v>0.36205894086616636</v>
      </c>
      <c r="BE7" s="100">
        <v>285.44726897888557</v>
      </c>
      <c r="BF7" s="100">
        <v>19</v>
      </c>
      <c r="BG7" s="100">
        <v>14979.6</v>
      </c>
      <c r="BH7" s="100">
        <v>21</v>
      </c>
      <c r="BI7" s="100">
        <v>16556.399999999998</v>
      </c>
      <c r="BJ7" s="100">
        <v>0</v>
      </c>
      <c r="BK7" s="100">
        <v>0</v>
      </c>
      <c r="BL7" s="100">
        <v>2.1117401136579144</v>
      </c>
      <c r="BM7" s="100">
        <v>1664.8959056078997</v>
      </c>
      <c r="BN7" s="100">
        <v>4.0116596143503749</v>
      </c>
      <c r="BO7" s="100">
        <v>3162.7924399538356</v>
      </c>
      <c r="BP7" s="100">
        <v>26</v>
      </c>
      <c r="BQ7" s="100">
        <v>20498.399999999998</v>
      </c>
      <c r="BR7" s="100">
        <v>0</v>
      </c>
      <c r="BS7" s="100">
        <v>0</v>
      </c>
      <c r="BT7" s="100">
        <v>0.6551763678641257</v>
      </c>
      <c r="BU7" s="100">
        <v>516.54104842407673</v>
      </c>
      <c r="BV7" s="100">
        <v>0</v>
      </c>
      <c r="BW7" s="100">
        <v>0</v>
      </c>
      <c r="BX7" s="100">
        <v>20</v>
      </c>
      <c r="BY7" s="100">
        <v>15768</v>
      </c>
      <c r="BZ7" s="100">
        <v>0</v>
      </c>
      <c r="CA7" s="100">
        <v>0</v>
      </c>
      <c r="CB7" s="100">
        <v>23.943875955547021</v>
      </c>
      <c r="CC7" s="100">
        <v>18877.351803353271</v>
      </c>
      <c r="CD7" s="100">
        <v>0.51260700389622316</v>
      </c>
      <c r="CE7" s="100">
        <v>404.13936187178234</v>
      </c>
      <c r="CF7" s="100">
        <v>27.76115020602407</v>
      </c>
      <c r="CG7" s="100">
        <v>21886.890822429377</v>
      </c>
      <c r="CH7" s="100">
        <v>28</v>
      </c>
      <c r="CI7" s="100">
        <v>22075.200000000001</v>
      </c>
      <c r="CJ7" s="100">
        <v>1.2169144102947684</v>
      </c>
      <c r="CK7" s="100">
        <v>959.41532107639546</v>
      </c>
      <c r="CL7" s="100">
        <v>0</v>
      </c>
      <c r="CM7" s="100">
        <v>0</v>
      </c>
      <c r="CN7" s="100">
        <v>1.3537809913190624</v>
      </c>
      <c r="CO7" s="100">
        <v>1067.3209335559488</v>
      </c>
      <c r="CP7" s="100">
        <v>6.6947163215039627</v>
      </c>
      <c r="CQ7" s="100">
        <v>5278.114347873724</v>
      </c>
      <c r="CR7" s="100">
        <v>15</v>
      </c>
      <c r="CS7" s="100">
        <v>11826</v>
      </c>
      <c r="CT7" s="100">
        <v>23</v>
      </c>
      <c r="CU7" s="100">
        <v>18133.2</v>
      </c>
    </row>
    <row r="8" spans="1:99">
      <c r="C8" s="99" t="s">
        <v>174</v>
      </c>
      <c r="D8" s="100">
        <v>22</v>
      </c>
      <c r="E8" s="100">
        <v>6811.1999999999989</v>
      </c>
      <c r="F8" s="100">
        <v>18</v>
      </c>
      <c r="G8" s="100">
        <v>5572.7999999999993</v>
      </c>
      <c r="H8" s="100">
        <v>22</v>
      </c>
      <c r="I8" s="100">
        <v>6811.1999999999989</v>
      </c>
      <c r="J8" s="100">
        <v>16</v>
      </c>
      <c r="K8" s="100">
        <v>4953.5999999999995</v>
      </c>
      <c r="L8" s="100">
        <v>15</v>
      </c>
      <c r="M8" s="100">
        <v>4643.9999999999991</v>
      </c>
      <c r="N8" s="100">
        <v>24</v>
      </c>
      <c r="O8" s="100">
        <v>7430.4</v>
      </c>
      <c r="P8" s="100">
        <v>13.4039888295999</v>
      </c>
      <c r="Q8" s="100">
        <v>4149.8749416441287</v>
      </c>
      <c r="R8" s="100">
        <v>19</v>
      </c>
      <c r="S8" s="100">
        <v>5882.4</v>
      </c>
      <c r="T8" s="100">
        <v>21</v>
      </c>
      <c r="U8" s="100">
        <v>6501.5999999999995</v>
      </c>
      <c r="V8" s="100">
        <v>24</v>
      </c>
      <c r="W8" s="100">
        <v>7430.4</v>
      </c>
      <c r="X8" s="100">
        <v>17</v>
      </c>
      <c r="Y8" s="100">
        <v>5263.2</v>
      </c>
      <c r="Z8" s="100">
        <v>18</v>
      </c>
      <c r="AA8" s="100">
        <v>5572.7999999999993</v>
      </c>
      <c r="AB8" s="100">
        <v>15</v>
      </c>
      <c r="AC8" s="100">
        <v>4643.9999999999991</v>
      </c>
      <c r="AD8" s="100">
        <v>25</v>
      </c>
      <c r="AE8" s="100">
        <v>7739.9999999999991</v>
      </c>
      <c r="AF8" s="100">
        <v>27</v>
      </c>
      <c r="AG8" s="100">
        <v>8359.1999999999989</v>
      </c>
      <c r="AH8" s="100">
        <v>19</v>
      </c>
      <c r="AI8" s="100">
        <v>5882.4</v>
      </c>
      <c r="AJ8" s="100">
        <v>25</v>
      </c>
      <c r="AK8" s="100">
        <v>7739.9999999999991</v>
      </c>
      <c r="AL8" s="100">
        <v>16</v>
      </c>
      <c r="AM8" s="100">
        <v>4953.5999999999995</v>
      </c>
      <c r="AN8" s="100">
        <v>25</v>
      </c>
      <c r="AO8" s="100">
        <v>7739.9999999999991</v>
      </c>
      <c r="AP8" s="100">
        <v>20.751903810610084</v>
      </c>
      <c r="AQ8" s="100">
        <v>6424.7894197648811</v>
      </c>
      <c r="AR8" s="100">
        <v>15.473696358168565</v>
      </c>
      <c r="AS8" s="100">
        <v>4790.656392488987</v>
      </c>
      <c r="AT8" s="100">
        <v>22</v>
      </c>
      <c r="AU8" s="100">
        <v>6811.1999999999989</v>
      </c>
      <c r="AV8" s="100">
        <v>5.8896943448568901</v>
      </c>
      <c r="AW8" s="100">
        <v>1823.449369167693</v>
      </c>
      <c r="AX8" s="100">
        <v>29</v>
      </c>
      <c r="AY8" s="100">
        <v>8978.4</v>
      </c>
      <c r="AZ8" s="100">
        <v>0</v>
      </c>
      <c r="BA8" s="100">
        <v>0</v>
      </c>
      <c r="BB8" s="100">
        <v>0</v>
      </c>
      <c r="BC8" s="100">
        <v>0</v>
      </c>
      <c r="BD8" s="100">
        <v>0.3899096286251022</v>
      </c>
      <c r="BE8" s="100">
        <v>120.71602102233163</v>
      </c>
      <c r="BF8" s="100">
        <v>20</v>
      </c>
      <c r="BG8" s="100">
        <v>6191.9999999999991</v>
      </c>
      <c r="BH8" s="100">
        <v>26</v>
      </c>
      <c r="BI8" s="100">
        <v>8049.5999999999995</v>
      </c>
      <c r="BJ8" s="100">
        <v>0</v>
      </c>
      <c r="BK8" s="100">
        <v>0</v>
      </c>
      <c r="BL8" s="100">
        <v>2.5916810485801678</v>
      </c>
      <c r="BM8" s="100">
        <v>802.38445264041991</v>
      </c>
      <c r="BN8" s="100">
        <v>4.558704107216335</v>
      </c>
      <c r="BO8" s="100">
        <v>1411.3747915941772</v>
      </c>
      <c r="BP8" s="100">
        <v>25</v>
      </c>
      <c r="BQ8" s="100">
        <v>7739.9999999999991</v>
      </c>
      <c r="BR8" s="100">
        <v>0</v>
      </c>
      <c r="BS8" s="100">
        <v>0</v>
      </c>
      <c r="BT8" s="100">
        <v>0.71473785585177352</v>
      </c>
      <c r="BU8" s="100">
        <v>221.28284017170907</v>
      </c>
      <c r="BV8" s="100">
        <v>0</v>
      </c>
      <c r="BW8" s="100">
        <v>0</v>
      </c>
      <c r="BX8" s="100">
        <v>24</v>
      </c>
      <c r="BY8" s="100">
        <v>7430.4</v>
      </c>
      <c r="BZ8" s="100">
        <v>0</v>
      </c>
      <c r="CA8" s="100">
        <v>0</v>
      </c>
      <c r="CB8" s="100">
        <v>27.93452194813819</v>
      </c>
      <c r="CC8" s="100">
        <v>8648.5279951435823</v>
      </c>
      <c r="CD8" s="100">
        <v>0.48819714656783164</v>
      </c>
      <c r="CE8" s="100">
        <v>151.14583657740067</v>
      </c>
      <c r="CF8" s="100">
        <v>30.735559156669503</v>
      </c>
      <c r="CG8" s="100">
        <v>9515.729114904876</v>
      </c>
      <c r="CH8" s="100">
        <v>29</v>
      </c>
      <c r="CI8" s="100">
        <v>8978.4</v>
      </c>
      <c r="CJ8" s="100">
        <v>1.3907593260511641</v>
      </c>
      <c r="CK8" s="100">
        <v>430.57908734544037</v>
      </c>
      <c r="CL8" s="100">
        <v>0</v>
      </c>
      <c r="CM8" s="100">
        <v>0</v>
      </c>
      <c r="CN8" s="100">
        <v>1.5230036152339455</v>
      </c>
      <c r="CO8" s="100">
        <v>471.52191927642946</v>
      </c>
      <c r="CP8" s="100">
        <v>6.6947163215039627</v>
      </c>
      <c r="CQ8" s="100">
        <v>2072.6841731376267</v>
      </c>
      <c r="CR8" s="100">
        <v>19</v>
      </c>
      <c r="CS8" s="100">
        <v>5882.4</v>
      </c>
      <c r="CT8" s="100">
        <v>28</v>
      </c>
      <c r="CU8" s="100">
        <v>8668.7999999999993</v>
      </c>
    </row>
    <row r="9" spans="1:99">
      <c r="C9" s="99" t="s">
        <v>175</v>
      </c>
      <c r="D9" s="100">
        <v>21</v>
      </c>
      <c r="E9" s="100">
        <v>14742</v>
      </c>
      <c r="F9" s="100">
        <v>19</v>
      </c>
      <c r="G9" s="100">
        <v>13338</v>
      </c>
      <c r="H9" s="100">
        <v>19</v>
      </c>
      <c r="I9" s="100">
        <v>13338</v>
      </c>
      <c r="J9" s="100">
        <v>15</v>
      </c>
      <c r="K9" s="100">
        <v>10530</v>
      </c>
      <c r="L9" s="100">
        <v>15</v>
      </c>
      <c r="M9" s="100">
        <v>10530</v>
      </c>
      <c r="N9" s="100">
        <v>21</v>
      </c>
      <c r="O9" s="100">
        <v>14742</v>
      </c>
      <c r="P9" s="100">
        <v>13.4039888295999</v>
      </c>
      <c r="Q9" s="100">
        <v>9409.6001583791294</v>
      </c>
      <c r="R9" s="100">
        <v>18</v>
      </c>
      <c r="S9" s="100">
        <v>12636</v>
      </c>
      <c r="T9" s="100">
        <v>21</v>
      </c>
      <c r="U9" s="100">
        <v>14742</v>
      </c>
      <c r="V9" s="100">
        <v>26</v>
      </c>
      <c r="W9" s="100">
        <v>18252</v>
      </c>
      <c r="X9" s="100">
        <v>17</v>
      </c>
      <c r="Y9" s="100">
        <v>11934</v>
      </c>
      <c r="Z9" s="100">
        <v>17</v>
      </c>
      <c r="AA9" s="100">
        <v>11934</v>
      </c>
      <c r="AB9" s="100">
        <v>13</v>
      </c>
      <c r="AC9" s="100">
        <v>9126</v>
      </c>
      <c r="AD9" s="100">
        <v>21</v>
      </c>
      <c r="AE9" s="100">
        <v>14742</v>
      </c>
      <c r="AF9" s="100">
        <v>24</v>
      </c>
      <c r="AG9" s="100">
        <v>16848</v>
      </c>
      <c r="AH9" s="100">
        <v>19</v>
      </c>
      <c r="AI9" s="100">
        <v>13338</v>
      </c>
      <c r="AJ9" s="100">
        <v>24</v>
      </c>
      <c r="AK9" s="100">
        <v>16848</v>
      </c>
      <c r="AL9" s="100">
        <v>18</v>
      </c>
      <c r="AM9" s="100">
        <v>12636</v>
      </c>
      <c r="AN9" s="100">
        <v>24</v>
      </c>
      <c r="AO9" s="100">
        <v>16848</v>
      </c>
      <c r="AP9" s="100">
        <v>20.036320920589048</v>
      </c>
      <c r="AQ9" s="100">
        <v>14065.497286253512</v>
      </c>
      <c r="AR9" s="100">
        <v>15.473696358168565</v>
      </c>
      <c r="AS9" s="100">
        <v>10862.534843434332</v>
      </c>
      <c r="AT9" s="100">
        <v>18</v>
      </c>
      <c r="AU9" s="100">
        <v>12636</v>
      </c>
      <c r="AV9" s="100">
        <v>6.1457680120245799</v>
      </c>
      <c r="AW9" s="100">
        <v>4314.3291444412553</v>
      </c>
      <c r="AX9" s="100">
        <v>26</v>
      </c>
      <c r="AY9" s="100">
        <v>18252</v>
      </c>
      <c r="AZ9" s="100">
        <v>0</v>
      </c>
      <c r="BA9" s="100">
        <v>0</v>
      </c>
      <c r="BB9" s="100">
        <v>0</v>
      </c>
      <c r="BC9" s="100">
        <v>0</v>
      </c>
      <c r="BD9" s="100">
        <v>0.34813359698669843</v>
      </c>
      <c r="BE9" s="100">
        <v>244.38978508466229</v>
      </c>
      <c r="BF9" s="100">
        <v>17</v>
      </c>
      <c r="BG9" s="100">
        <v>11934</v>
      </c>
      <c r="BH9" s="100">
        <v>25</v>
      </c>
      <c r="BI9" s="100">
        <v>17550</v>
      </c>
      <c r="BJ9" s="100">
        <v>0</v>
      </c>
      <c r="BK9" s="100">
        <v>0</v>
      </c>
      <c r="BL9" s="100">
        <v>2.495692861595717</v>
      </c>
      <c r="BM9" s="100">
        <v>1751.9763888401933</v>
      </c>
      <c r="BN9" s="100">
        <v>4.9234004357936421</v>
      </c>
      <c r="BO9" s="100">
        <v>3456.2271059271366</v>
      </c>
      <c r="BP9" s="100">
        <v>24</v>
      </c>
      <c r="BQ9" s="100">
        <v>16848</v>
      </c>
      <c r="BR9" s="100">
        <v>0</v>
      </c>
      <c r="BS9" s="100">
        <v>0</v>
      </c>
      <c r="BT9" s="100">
        <v>0.77429934383942123</v>
      </c>
      <c r="BU9" s="100">
        <v>543.55813937527375</v>
      </c>
      <c r="BV9" s="100">
        <v>0</v>
      </c>
      <c r="BW9" s="100">
        <v>0</v>
      </c>
      <c r="BX9" s="100">
        <v>20</v>
      </c>
      <c r="BY9" s="100">
        <v>14040</v>
      </c>
      <c r="BZ9" s="100">
        <v>0</v>
      </c>
      <c r="CA9" s="100">
        <v>0</v>
      </c>
      <c r="CB9" s="100">
        <v>24.941537453694814</v>
      </c>
      <c r="CC9" s="100">
        <v>17508.959292493761</v>
      </c>
      <c r="CD9" s="100">
        <v>0.46378728923944007</v>
      </c>
      <c r="CE9" s="100">
        <v>325.57867704608691</v>
      </c>
      <c r="CF9" s="100">
        <v>27.76115020602407</v>
      </c>
      <c r="CG9" s="100">
        <v>19488.327444628896</v>
      </c>
      <c r="CH9" s="100">
        <v>32</v>
      </c>
      <c r="CI9" s="100">
        <v>22464</v>
      </c>
      <c r="CJ9" s="100">
        <v>1.2748627155469003</v>
      </c>
      <c r="CK9" s="100">
        <v>894.95362631392402</v>
      </c>
      <c r="CL9" s="100">
        <v>0</v>
      </c>
      <c r="CM9" s="100">
        <v>0</v>
      </c>
      <c r="CN9" s="100">
        <v>1.3114753353403417</v>
      </c>
      <c r="CO9" s="100">
        <v>920.65568540891979</v>
      </c>
      <c r="CP9" s="100">
        <v>5.9222490536381214</v>
      </c>
      <c r="CQ9" s="100">
        <v>4157.4188356539617</v>
      </c>
      <c r="CR9" s="100">
        <v>16</v>
      </c>
      <c r="CS9" s="100">
        <v>11232</v>
      </c>
      <c r="CT9" s="100">
        <v>25</v>
      </c>
      <c r="CU9" s="100">
        <v>17550</v>
      </c>
    </row>
    <row r="10" spans="1:99">
      <c r="C10" s="99" t="s">
        <v>176</v>
      </c>
      <c r="D10" s="100">
        <v>21</v>
      </c>
      <c r="E10" s="100">
        <v>11440.8</v>
      </c>
      <c r="F10" s="100">
        <v>18</v>
      </c>
      <c r="G10" s="100">
        <v>9806.4</v>
      </c>
      <c r="H10" s="100">
        <v>21</v>
      </c>
      <c r="I10" s="100">
        <v>11440.8</v>
      </c>
      <c r="J10" s="100">
        <v>15</v>
      </c>
      <c r="K10" s="100">
        <v>8171.9999999999991</v>
      </c>
      <c r="L10" s="100">
        <v>13</v>
      </c>
      <c r="M10" s="100">
        <v>7082.4</v>
      </c>
      <c r="N10" s="100">
        <v>25</v>
      </c>
      <c r="O10" s="100">
        <v>13619.999999999998</v>
      </c>
      <c r="P10" s="100">
        <v>13.4039888295999</v>
      </c>
      <c r="Q10" s="100">
        <v>7302.4931143660251</v>
      </c>
      <c r="R10" s="100">
        <v>17</v>
      </c>
      <c r="S10" s="100">
        <v>9261.5999999999985</v>
      </c>
      <c r="T10" s="100">
        <v>22</v>
      </c>
      <c r="U10" s="100">
        <v>11985.599999999999</v>
      </c>
      <c r="V10" s="100">
        <v>24</v>
      </c>
      <c r="W10" s="100">
        <v>13075.199999999999</v>
      </c>
      <c r="X10" s="100">
        <v>15</v>
      </c>
      <c r="Y10" s="100">
        <v>8171.9999999999991</v>
      </c>
      <c r="Z10" s="100">
        <v>17</v>
      </c>
      <c r="AA10" s="100">
        <v>9261.5999999999985</v>
      </c>
      <c r="AB10" s="100">
        <v>13</v>
      </c>
      <c r="AC10" s="100">
        <v>7082.4</v>
      </c>
      <c r="AD10" s="100">
        <v>26</v>
      </c>
      <c r="AE10" s="100">
        <v>14164.8</v>
      </c>
      <c r="AF10" s="100">
        <v>25</v>
      </c>
      <c r="AG10" s="100">
        <v>13619.999999999998</v>
      </c>
      <c r="AH10" s="100">
        <v>16</v>
      </c>
      <c r="AI10" s="100">
        <v>8716.7999999999993</v>
      </c>
      <c r="AJ10" s="100">
        <v>20</v>
      </c>
      <c r="AK10" s="100">
        <v>10896</v>
      </c>
      <c r="AL10" s="100">
        <v>17</v>
      </c>
      <c r="AM10" s="100">
        <v>9261.5999999999985</v>
      </c>
      <c r="AN10" s="100">
        <v>23</v>
      </c>
      <c r="AO10" s="100">
        <v>12530.4</v>
      </c>
      <c r="AP10" s="100">
        <v>18.605155140546973</v>
      </c>
      <c r="AQ10" s="100">
        <v>10136.088520569991</v>
      </c>
      <c r="AR10" s="100">
        <v>14.854748503841821</v>
      </c>
      <c r="AS10" s="100">
        <v>8092.8669848930231</v>
      </c>
      <c r="AT10" s="100">
        <v>18</v>
      </c>
      <c r="AU10" s="100">
        <v>9806.4</v>
      </c>
      <c r="AV10" s="100">
        <v>5.6336206776891986</v>
      </c>
      <c r="AW10" s="100">
        <v>3069.1965452050749</v>
      </c>
      <c r="AX10" s="100">
        <v>25</v>
      </c>
      <c r="AY10" s="100">
        <v>13619.999999999998</v>
      </c>
      <c r="AZ10" s="100">
        <v>0</v>
      </c>
      <c r="BA10" s="100">
        <v>0</v>
      </c>
      <c r="BB10" s="100">
        <v>0</v>
      </c>
      <c r="BC10" s="100">
        <v>0</v>
      </c>
      <c r="BD10" s="100">
        <v>0.40383497250457012</v>
      </c>
      <c r="BE10" s="100">
        <v>220.00929302048979</v>
      </c>
      <c r="BF10" s="100">
        <v>18</v>
      </c>
      <c r="BG10" s="100">
        <v>9806.4</v>
      </c>
      <c r="BH10" s="100">
        <v>23</v>
      </c>
      <c r="BI10" s="100">
        <v>12530.4</v>
      </c>
      <c r="BJ10" s="100">
        <v>0</v>
      </c>
      <c r="BK10" s="100">
        <v>0</v>
      </c>
      <c r="BL10" s="100">
        <v>2.2077283006423647</v>
      </c>
      <c r="BM10" s="100">
        <v>1202.7703781899602</v>
      </c>
      <c r="BN10" s="100">
        <v>4.558704107216335</v>
      </c>
      <c r="BO10" s="100">
        <v>2483.581997611459</v>
      </c>
      <c r="BP10" s="100">
        <v>23</v>
      </c>
      <c r="BQ10" s="100">
        <v>12530.4</v>
      </c>
      <c r="BR10" s="100">
        <v>0</v>
      </c>
      <c r="BS10" s="100">
        <v>0</v>
      </c>
      <c r="BT10" s="100">
        <v>0.68495711185794961</v>
      </c>
      <c r="BU10" s="100">
        <v>373.1646345402109</v>
      </c>
      <c r="BV10" s="100">
        <v>0</v>
      </c>
      <c r="BW10" s="100">
        <v>0</v>
      </c>
      <c r="BX10" s="100">
        <v>21</v>
      </c>
      <c r="BY10" s="100">
        <v>11440.8</v>
      </c>
      <c r="BZ10" s="100">
        <v>0</v>
      </c>
      <c r="CA10" s="100">
        <v>0</v>
      </c>
      <c r="CB10" s="100">
        <v>27.93452194813819</v>
      </c>
      <c r="CC10" s="100">
        <v>15218.727557345685</v>
      </c>
      <c r="CD10" s="100">
        <v>0.4393774319110485</v>
      </c>
      <c r="CE10" s="100">
        <v>239.3728249051392</v>
      </c>
      <c r="CF10" s="100">
        <v>26.769680555808918</v>
      </c>
      <c r="CG10" s="100">
        <v>14584.121966804698</v>
      </c>
      <c r="CH10" s="100">
        <v>31</v>
      </c>
      <c r="CI10" s="100">
        <v>16888.8</v>
      </c>
      <c r="CJ10" s="100">
        <v>1.4487076313032961</v>
      </c>
      <c r="CK10" s="100">
        <v>789.25591753403558</v>
      </c>
      <c r="CL10" s="100">
        <v>0</v>
      </c>
      <c r="CM10" s="100">
        <v>0</v>
      </c>
      <c r="CN10" s="100">
        <v>1.3114753353403417</v>
      </c>
      <c r="CO10" s="100">
        <v>714.49176269341808</v>
      </c>
      <c r="CP10" s="100">
        <v>6.4372272322153501</v>
      </c>
      <c r="CQ10" s="100">
        <v>3507.0013961109225</v>
      </c>
      <c r="CR10" s="100">
        <v>19</v>
      </c>
      <c r="CS10" s="100">
        <v>10351.199999999999</v>
      </c>
      <c r="CT10" s="100">
        <v>27</v>
      </c>
      <c r="CU10" s="100">
        <v>14709.599999999999</v>
      </c>
    </row>
    <row r="11" spans="1:99">
      <c r="C11" s="99" t="s">
        <v>177</v>
      </c>
      <c r="D11" s="100">
        <v>20</v>
      </c>
      <c r="E11" s="100">
        <v>10656</v>
      </c>
      <c r="F11" s="100">
        <v>20</v>
      </c>
      <c r="G11" s="100">
        <v>10656</v>
      </c>
      <c r="H11" s="100">
        <v>20</v>
      </c>
      <c r="I11" s="100">
        <v>10656</v>
      </c>
      <c r="J11" s="100">
        <v>16</v>
      </c>
      <c r="K11" s="100">
        <v>8524.7999999999993</v>
      </c>
      <c r="L11" s="100">
        <v>13</v>
      </c>
      <c r="M11" s="100">
        <v>6926.4</v>
      </c>
      <c r="N11" s="100">
        <v>22</v>
      </c>
      <c r="O11" s="100">
        <v>11721.599999999999</v>
      </c>
      <c r="P11" s="100">
        <v>14.435064893415278</v>
      </c>
      <c r="Q11" s="100">
        <v>7691.0025752116599</v>
      </c>
      <c r="R11" s="100">
        <v>17</v>
      </c>
      <c r="S11" s="100">
        <v>9057.5999999999985</v>
      </c>
      <c r="T11" s="100">
        <v>22</v>
      </c>
      <c r="U11" s="100">
        <v>11721.599999999999</v>
      </c>
      <c r="V11" s="100">
        <v>23</v>
      </c>
      <c r="W11" s="100">
        <v>12254.4</v>
      </c>
      <c r="X11" s="100">
        <v>17</v>
      </c>
      <c r="Y11" s="100">
        <v>9057.5999999999985</v>
      </c>
      <c r="Z11" s="100">
        <v>18</v>
      </c>
      <c r="AA11" s="100">
        <v>9590.4</v>
      </c>
      <c r="AB11" s="100">
        <v>14</v>
      </c>
      <c r="AC11" s="100">
        <v>7459.1999999999989</v>
      </c>
      <c r="AD11" s="100">
        <v>23</v>
      </c>
      <c r="AE11" s="100">
        <v>12254.4</v>
      </c>
      <c r="AF11" s="100">
        <v>25</v>
      </c>
      <c r="AG11" s="100">
        <v>13319.999999999998</v>
      </c>
      <c r="AH11" s="100">
        <v>19</v>
      </c>
      <c r="AI11" s="100">
        <v>10123.199999999999</v>
      </c>
      <c r="AJ11" s="100">
        <v>23</v>
      </c>
      <c r="AK11" s="100">
        <v>12254.4</v>
      </c>
      <c r="AL11" s="100">
        <v>16</v>
      </c>
      <c r="AM11" s="100">
        <v>8524.7999999999993</v>
      </c>
      <c r="AN11" s="100">
        <v>24</v>
      </c>
      <c r="AO11" s="100">
        <v>12787.199999999999</v>
      </c>
      <c r="AP11" s="100">
        <v>21.46748670063112</v>
      </c>
      <c r="AQ11" s="100">
        <v>11437.876914096259</v>
      </c>
      <c r="AR11" s="100">
        <v>14.854748503841821</v>
      </c>
      <c r="AS11" s="100">
        <v>7914.6100028469209</v>
      </c>
      <c r="AT11" s="100">
        <v>18</v>
      </c>
      <c r="AU11" s="100">
        <v>9590.4</v>
      </c>
      <c r="AV11" s="100">
        <v>6.4018416791922714</v>
      </c>
      <c r="AW11" s="100">
        <v>3410.9012466736417</v>
      </c>
      <c r="AX11" s="100">
        <v>24</v>
      </c>
      <c r="AY11" s="100">
        <v>12787.199999999999</v>
      </c>
      <c r="AZ11" s="100">
        <v>0</v>
      </c>
      <c r="BA11" s="100">
        <v>0</v>
      </c>
      <c r="BB11" s="100">
        <v>0</v>
      </c>
      <c r="BC11" s="100">
        <v>0</v>
      </c>
      <c r="BD11" s="100">
        <v>0.4177603163840381</v>
      </c>
      <c r="BE11" s="100">
        <v>222.58269656941548</v>
      </c>
      <c r="BF11" s="100">
        <v>21</v>
      </c>
      <c r="BG11" s="100">
        <v>11188.8</v>
      </c>
      <c r="BH11" s="100">
        <v>23</v>
      </c>
      <c r="BI11" s="100">
        <v>12254.4</v>
      </c>
      <c r="BJ11" s="100">
        <v>0</v>
      </c>
      <c r="BK11" s="100">
        <v>0</v>
      </c>
      <c r="BL11" s="100">
        <v>2.2077283006423647</v>
      </c>
      <c r="BM11" s="100">
        <v>1176.2776385822517</v>
      </c>
      <c r="BN11" s="100">
        <v>4.3763559429276819</v>
      </c>
      <c r="BO11" s="100">
        <v>2331.7224463918687</v>
      </c>
      <c r="BP11" s="100">
        <v>25</v>
      </c>
      <c r="BQ11" s="100">
        <v>13319.999999999998</v>
      </c>
      <c r="BR11" s="100">
        <v>0</v>
      </c>
      <c r="BS11" s="100">
        <v>0</v>
      </c>
      <c r="BT11" s="100">
        <v>0.74451859984559743</v>
      </c>
      <c r="BU11" s="100">
        <v>396.67950999773427</v>
      </c>
      <c r="BV11" s="100">
        <v>0</v>
      </c>
      <c r="BW11" s="100">
        <v>0</v>
      </c>
      <c r="BX11" s="100">
        <v>23</v>
      </c>
      <c r="BY11" s="100">
        <v>12254.4</v>
      </c>
      <c r="BZ11" s="100">
        <v>0</v>
      </c>
      <c r="CA11" s="100">
        <v>0</v>
      </c>
      <c r="CB11" s="100">
        <v>24.941537453694814</v>
      </c>
      <c r="CC11" s="100">
        <v>13288.851155328595</v>
      </c>
      <c r="CD11" s="100">
        <v>0.48819714656783164</v>
      </c>
      <c r="CE11" s="100">
        <v>260.11143969134065</v>
      </c>
      <c r="CF11" s="100">
        <v>29.744089506454355</v>
      </c>
      <c r="CG11" s="100">
        <v>15847.65088903888</v>
      </c>
      <c r="CH11" s="100">
        <v>29</v>
      </c>
      <c r="CI11" s="100">
        <v>15451.199999999999</v>
      </c>
      <c r="CJ11" s="100">
        <v>1.3328110207990322</v>
      </c>
      <c r="CK11" s="100">
        <v>710.12171188172431</v>
      </c>
      <c r="CL11" s="100">
        <v>0</v>
      </c>
      <c r="CM11" s="100">
        <v>0</v>
      </c>
      <c r="CN11" s="100">
        <v>1.3537809913190624</v>
      </c>
      <c r="CO11" s="100">
        <v>721.29451217479641</v>
      </c>
      <c r="CP11" s="100">
        <v>6.952205410792577</v>
      </c>
      <c r="CQ11" s="100">
        <v>3704.1350428702849</v>
      </c>
      <c r="CR11" s="100">
        <v>17</v>
      </c>
      <c r="CS11" s="100">
        <v>9057.5999999999985</v>
      </c>
      <c r="CT11" s="100">
        <v>26</v>
      </c>
      <c r="CU11" s="100">
        <v>13852.8</v>
      </c>
    </row>
    <row r="12" spans="1:99">
      <c r="C12" s="99" t="s">
        <v>178</v>
      </c>
      <c r="D12" s="100">
        <v>21</v>
      </c>
      <c r="E12" s="100">
        <v>11818.8</v>
      </c>
      <c r="F12" s="100">
        <v>20</v>
      </c>
      <c r="G12" s="100">
        <v>11256</v>
      </c>
      <c r="H12" s="100">
        <v>22</v>
      </c>
      <c r="I12" s="100">
        <v>12381.599999999999</v>
      </c>
      <c r="J12" s="100">
        <v>16</v>
      </c>
      <c r="K12" s="100">
        <v>9004.7999999999993</v>
      </c>
      <c r="L12" s="100">
        <v>13</v>
      </c>
      <c r="M12" s="100">
        <v>7316.4</v>
      </c>
      <c r="N12" s="100">
        <v>24</v>
      </c>
      <c r="O12" s="100">
        <v>13507.199999999999</v>
      </c>
      <c r="P12" s="100">
        <v>13.4039888295999</v>
      </c>
      <c r="Q12" s="100">
        <v>7543.7649132988226</v>
      </c>
      <c r="R12" s="100">
        <v>17</v>
      </c>
      <c r="S12" s="100">
        <v>9567.5999999999985</v>
      </c>
      <c r="T12" s="100">
        <v>22</v>
      </c>
      <c r="U12" s="100">
        <v>12381.599999999999</v>
      </c>
      <c r="V12" s="100">
        <v>25</v>
      </c>
      <c r="W12" s="100">
        <v>14069.999999999998</v>
      </c>
      <c r="X12" s="100">
        <v>18</v>
      </c>
      <c r="Y12" s="100">
        <v>10130.4</v>
      </c>
      <c r="Z12" s="100">
        <v>18</v>
      </c>
      <c r="AA12" s="100">
        <v>10130.4</v>
      </c>
      <c r="AB12" s="100">
        <v>13</v>
      </c>
      <c r="AC12" s="100">
        <v>7316.4</v>
      </c>
      <c r="AD12" s="100">
        <v>26</v>
      </c>
      <c r="AE12" s="100">
        <v>14632.8</v>
      </c>
      <c r="AF12" s="100">
        <v>24</v>
      </c>
      <c r="AG12" s="100">
        <v>13507.199999999999</v>
      </c>
      <c r="AH12" s="100">
        <v>18</v>
      </c>
      <c r="AI12" s="100">
        <v>10130.4</v>
      </c>
      <c r="AJ12" s="100">
        <v>20</v>
      </c>
      <c r="AK12" s="100">
        <v>11256</v>
      </c>
      <c r="AL12" s="100">
        <v>17</v>
      </c>
      <c r="AM12" s="100">
        <v>9567.5999999999985</v>
      </c>
      <c r="AN12" s="100">
        <v>22</v>
      </c>
      <c r="AO12" s="100">
        <v>12381.599999999999</v>
      </c>
      <c r="AP12" s="100">
        <v>18.605155140546973</v>
      </c>
      <c r="AQ12" s="100">
        <v>10470.981313099835</v>
      </c>
      <c r="AR12" s="100">
        <v>14.235800649515079</v>
      </c>
      <c r="AS12" s="100">
        <v>8011.9086055470862</v>
      </c>
      <c r="AT12" s="100">
        <v>20</v>
      </c>
      <c r="AU12" s="100">
        <v>11256</v>
      </c>
      <c r="AV12" s="100">
        <v>5.8896943448568901</v>
      </c>
      <c r="AW12" s="100">
        <v>3314.7199772854574</v>
      </c>
      <c r="AX12" s="100">
        <v>28</v>
      </c>
      <c r="AY12" s="100">
        <v>15758.399999999998</v>
      </c>
      <c r="AZ12" s="100">
        <v>0</v>
      </c>
      <c r="BA12" s="100">
        <v>0</v>
      </c>
      <c r="BB12" s="100">
        <v>0</v>
      </c>
      <c r="BC12" s="100">
        <v>0</v>
      </c>
      <c r="BD12" s="100">
        <v>0.36205894086616636</v>
      </c>
      <c r="BE12" s="100">
        <v>203.7667719194784</v>
      </c>
      <c r="BF12" s="100">
        <v>20</v>
      </c>
      <c r="BG12" s="100">
        <v>11256</v>
      </c>
      <c r="BH12" s="100">
        <v>22</v>
      </c>
      <c r="BI12" s="100">
        <v>12381.599999999999</v>
      </c>
      <c r="BJ12" s="100">
        <v>0</v>
      </c>
      <c r="BK12" s="100">
        <v>0</v>
      </c>
      <c r="BL12" s="100">
        <v>2.3997046746112662</v>
      </c>
      <c r="BM12" s="100">
        <v>1350.5537908712206</v>
      </c>
      <c r="BN12" s="100">
        <v>4.3763559429276819</v>
      </c>
      <c r="BO12" s="100">
        <v>2463.0131246796991</v>
      </c>
      <c r="BP12" s="100">
        <v>24</v>
      </c>
      <c r="BQ12" s="100">
        <v>13507.199999999999</v>
      </c>
      <c r="BR12" s="100">
        <v>0</v>
      </c>
      <c r="BS12" s="100">
        <v>0</v>
      </c>
      <c r="BT12" s="100">
        <v>0.74451859984559743</v>
      </c>
      <c r="BU12" s="100">
        <v>419.01506799310221</v>
      </c>
      <c r="BV12" s="100">
        <v>0</v>
      </c>
      <c r="BW12" s="100">
        <v>0</v>
      </c>
      <c r="BX12" s="100">
        <v>21</v>
      </c>
      <c r="BY12" s="100">
        <v>11818.8</v>
      </c>
      <c r="BZ12" s="100">
        <v>0</v>
      </c>
      <c r="CA12" s="100">
        <v>0</v>
      </c>
      <c r="CB12" s="100">
        <v>24.941537453694814</v>
      </c>
      <c r="CC12" s="100">
        <v>14037.09727893944</v>
      </c>
      <c r="CD12" s="100">
        <v>0.48819714656783164</v>
      </c>
      <c r="CE12" s="100">
        <v>274.75735408837562</v>
      </c>
      <c r="CF12" s="100">
        <v>27.76115020602407</v>
      </c>
      <c r="CG12" s="100">
        <v>15623.975335950345</v>
      </c>
      <c r="CH12" s="100">
        <v>31</v>
      </c>
      <c r="CI12" s="100">
        <v>17446.8</v>
      </c>
      <c r="CJ12" s="100">
        <v>1.5066559365554277</v>
      </c>
      <c r="CK12" s="100">
        <v>847.94596109339466</v>
      </c>
      <c r="CL12" s="100">
        <v>0</v>
      </c>
      <c r="CM12" s="100">
        <v>0</v>
      </c>
      <c r="CN12" s="100">
        <v>1.2268640233829005</v>
      </c>
      <c r="CO12" s="100">
        <v>690.47907235989635</v>
      </c>
      <c r="CP12" s="100">
        <v>6.4372272322153501</v>
      </c>
      <c r="CQ12" s="100">
        <v>3622.8714862907987</v>
      </c>
      <c r="CR12" s="100">
        <v>17</v>
      </c>
      <c r="CS12" s="100">
        <v>9567.5999999999985</v>
      </c>
      <c r="CT12" s="100">
        <v>27</v>
      </c>
      <c r="CU12" s="100">
        <v>15195.599999999999</v>
      </c>
    </row>
    <row r="13" spans="1:99">
      <c r="C13" s="99" t="s">
        <v>179</v>
      </c>
      <c r="D13" s="100">
        <v>22</v>
      </c>
      <c r="E13" s="100">
        <v>1874.4</v>
      </c>
      <c r="F13" s="100">
        <v>19</v>
      </c>
      <c r="G13" s="100">
        <v>1618.8</v>
      </c>
      <c r="H13" s="100">
        <v>21</v>
      </c>
      <c r="I13" s="100">
        <v>1789.2</v>
      </c>
      <c r="J13" s="100">
        <v>15</v>
      </c>
      <c r="K13" s="100">
        <v>1278</v>
      </c>
      <c r="L13" s="100">
        <v>14</v>
      </c>
      <c r="M13" s="100">
        <v>1192.8</v>
      </c>
      <c r="N13" s="100">
        <v>23</v>
      </c>
      <c r="O13" s="100">
        <v>1959.6000000000001</v>
      </c>
      <c r="P13" s="100">
        <v>13.4039888295999</v>
      </c>
      <c r="Q13" s="100">
        <v>1142.0198482819114</v>
      </c>
      <c r="R13" s="100">
        <v>20</v>
      </c>
      <c r="S13" s="100">
        <v>1704</v>
      </c>
      <c r="T13" s="100">
        <v>26</v>
      </c>
      <c r="U13" s="100">
        <v>2215.2000000000003</v>
      </c>
      <c r="V13" s="100">
        <v>28</v>
      </c>
      <c r="W13" s="100">
        <v>2385.6</v>
      </c>
      <c r="X13" s="100">
        <v>18</v>
      </c>
      <c r="Y13" s="100">
        <v>1533.6000000000001</v>
      </c>
      <c r="Z13" s="100">
        <v>19</v>
      </c>
      <c r="AA13" s="100">
        <v>1618.8</v>
      </c>
      <c r="AB13" s="100">
        <v>13</v>
      </c>
      <c r="AC13" s="100">
        <v>1107.6000000000001</v>
      </c>
      <c r="AD13" s="100">
        <v>28</v>
      </c>
      <c r="AE13" s="100">
        <v>2385.6</v>
      </c>
      <c r="AF13" s="100">
        <v>27</v>
      </c>
      <c r="AG13" s="100">
        <v>2300.4</v>
      </c>
      <c r="AH13" s="100">
        <v>19</v>
      </c>
      <c r="AI13" s="100">
        <v>1618.8</v>
      </c>
      <c r="AJ13" s="100">
        <v>22</v>
      </c>
      <c r="AK13" s="100">
        <v>1874.4</v>
      </c>
      <c r="AL13" s="100">
        <v>17</v>
      </c>
      <c r="AM13" s="100">
        <v>1448.4</v>
      </c>
      <c r="AN13" s="100">
        <v>24</v>
      </c>
      <c r="AO13" s="100">
        <v>2044.8000000000002</v>
      </c>
      <c r="AP13" s="100">
        <v>20.751903810610084</v>
      </c>
      <c r="AQ13" s="100">
        <v>1768.0622046639792</v>
      </c>
      <c r="AR13" s="100">
        <v>14.854748503841821</v>
      </c>
      <c r="AS13" s="100">
        <v>1265.6245725273232</v>
      </c>
      <c r="AT13" s="100">
        <v>21</v>
      </c>
      <c r="AU13" s="100">
        <v>1789.2</v>
      </c>
      <c r="AV13" s="100">
        <v>6.9139890135276527</v>
      </c>
      <c r="AW13" s="100">
        <v>589.07186395255599</v>
      </c>
      <c r="AX13" s="100">
        <v>29</v>
      </c>
      <c r="AY13" s="100">
        <v>2470.8000000000002</v>
      </c>
      <c r="AZ13" s="100">
        <v>0</v>
      </c>
      <c r="BA13" s="100">
        <v>0</v>
      </c>
      <c r="BB13" s="100">
        <v>0</v>
      </c>
      <c r="BC13" s="100">
        <v>0</v>
      </c>
      <c r="BD13" s="100">
        <v>0.37598428474563428</v>
      </c>
      <c r="BE13" s="100">
        <v>32.033861060328043</v>
      </c>
      <c r="BF13" s="100">
        <v>23</v>
      </c>
      <c r="BG13" s="100">
        <v>1959.6000000000001</v>
      </c>
      <c r="BH13" s="100">
        <v>23</v>
      </c>
      <c r="BI13" s="100">
        <v>1959.6000000000001</v>
      </c>
      <c r="BJ13" s="100">
        <v>0</v>
      </c>
      <c r="BK13" s="100">
        <v>0</v>
      </c>
      <c r="BL13" s="100">
        <v>2.5916810485801678</v>
      </c>
      <c r="BM13" s="100">
        <v>220.8112253390303</v>
      </c>
      <c r="BN13" s="100">
        <v>4.558704107216335</v>
      </c>
      <c r="BO13" s="100">
        <v>388.40158993483175</v>
      </c>
      <c r="BP13" s="100">
        <v>29</v>
      </c>
      <c r="BQ13" s="100">
        <v>2470.8000000000002</v>
      </c>
      <c r="BR13" s="100">
        <v>0</v>
      </c>
      <c r="BS13" s="100">
        <v>0</v>
      </c>
      <c r="BT13" s="100">
        <v>0.80408008783324514</v>
      </c>
      <c r="BU13" s="100">
        <v>68.507623483392493</v>
      </c>
      <c r="BV13" s="100">
        <v>0</v>
      </c>
      <c r="BW13" s="100">
        <v>0</v>
      </c>
      <c r="BX13" s="100">
        <v>22</v>
      </c>
      <c r="BY13" s="100">
        <v>1874.4</v>
      </c>
      <c r="BZ13" s="100">
        <v>0</v>
      </c>
      <c r="CA13" s="100">
        <v>0</v>
      </c>
      <c r="CB13" s="100">
        <v>28.932183446285983</v>
      </c>
      <c r="CC13" s="100">
        <v>2465.0220296235657</v>
      </c>
      <c r="CD13" s="100">
        <v>0.53701686122461478</v>
      </c>
      <c r="CE13" s="100">
        <v>45.753836576337179</v>
      </c>
      <c r="CF13" s="100">
        <v>28.75261985623921</v>
      </c>
      <c r="CG13" s="100">
        <v>2449.7232117515809</v>
      </c>
      <c r="CH13" s="100">
        <v>31</v>
      </c>
      <c r="CI13" s="100">
        <v>2641.2000000000003</v>
      </c>
      <c r="CJ13" s="100">
        <v>1.5066559365554277</v>
      </c>
      <c r="CK13" s="100">
        <v>128.36708579452244</v>
      </c>
      <c r="CL13" s="100">
        <v>0</v>
      </c>
      <c r="CM13" s="100">
        <v>0</v>
      </c>
      <c r="CN13" s="100">
        <v>1.3960866472977833</v>
      </c>
      <c r="CO13" s="100">
        <v>118.94658234977115</v>
      </c>
      <c r="CP13" s="100">
        <v>7.2096945000811914</v>
      </c>
      <c r="CQ13" s="100">
        <v>614.26597140691752</v>
      </c>
      <c r="CR13" s="100">
        <v>17</v>
      </c>
      <c r="CS13" s="100">
        <v>1448.4</v>
      </c>
      <c r="CT13" s="100">
        <v>30</v>
      </c>
      <c r="CU13" s="100">
        <v>2556</v>
      </c>
    </row>
    <row r="14" spans="1:99">
      <c r="C14" s="99" t="s">
        <v>180</v>
      </c>
      <c r="D14" s="100">
        <v>22</v>
      </c>
      <c r="E14" s="100">
        <v>10744.8</v>
      </c>
      <c r="F14" s="100">
        <v>20</v>
      </c>
      <c r="G14" s="100">
        <v>9768</v>
      </c>
      <c r="H14" s="100">
        <v>20</v>
      </c>
      <c r="I14" s="100">
        <v>9768</v>
      </c>
      <c r="J14" s="100">
        <v>15</v>
      </c>
      <c r="K14" s="100">
        <v>7326</v>
      </c>
      <c r="L14" s="100">
        <v>16</v>
      </c>
      <c r="M14" s="100">
        <v>7814.4</v>
      </c>
      <c r="N14" s="100">
        <v>21</v>
      </c>
      <c r="O14" s="100">
        <v>10256.4</v>
      </c>
      <c r="P14" s="100">
        <v>13.4039888295999</v>
      </c>
      <c r="Q14" s="100">
        <v>6546.5081443765912</v>
      </c>
      <c r="R14" s="100">
        <v>17</v>
      </c>
      <c r="S14" s="100">
        <v>8302.7999999999993</v>
      </c>
      <c r="T14" s="100">
        <v>25</v>
      </c>
      <c r="U14" s="100">
        <v>12210</v>
      </c>
      <c r="V14" s="100">
        <v>27</v>
      </c>
      <c r="W14" s="100">
        <v>13186.8</v>
      </c>
      <c r="X14" s="100">
        <v>17</v>
      </c>
      <c r="Y14" s="100">
        <v>8302.7999999999993</v>
      </c>
      <c r="Z14" s="100">
        <v>17</v>
      </c>
      <c r="AA14" s="100">
        <v>8302.7999999999993</v>
      </c>
      <c r="AB14" s="100">
        <v>15</v>
      </c>
      <c r="AC14" s="100">
        <v>7326</v>
      </c>
      <c r="AD14" s="100">
        <v>23</v>
      </c>
      <c r="AE14" s="100">
        <v>11233.199999999999</v>
      </c>
      <c r="AF14" s="100">
        <v>27</v>
      </c>
      <c r="AG14" s="100">
        <v>13186.8</v>
      </c>
      <c r="AH14" s="100">
        <v>19</v>
      </c>
      <c r="AI14" s="100">
        <v>9279.6</v>
      </c>
      <c r="AJ14" s="100">
        <v>20</v>
      </c>
      <c r="AK14" s="100">
        <v>9768</v>
      </c>
      <c r="AL14" s="100">
        <v>15</v>
      </c>
      <c r="AM14" s="100">
        <v>7326</v>
      </c>
      <c r="AN14" s="100">
        <v>25</v>
      </c>
      <c r="AO14" s="100">
        <v>12210</v>
      </c>
      <c r="AP14" s="100">
        <v>18.605155140546973</v>
      </c>
      <c r="AQ14" s="100">
        <v>9086.7577706431421</v>
      </c>
      <c r="AR14" s="100">
        <v>13.616852795188336</v>
      </c>
      <c r="AS14" s="100">
        <v>6650.4709051699829</v>
      </c>
      <c r="AT14" s="100">
        <v>18</v>
      </c>
      <c r="AU14" s="100">
        <v>8791.1999999999989</v>
      </c>
      <c r="AV14" s="100">
        <v>5.8896943448568901</v>
      </c>
      <c r="AW14" s="100">
        <v>2876.5267180281048</v>
      </c>
      <c r="AX14" s="100">
        <v>24</v>
      </c>
      <c r="AY14" s="100">
        <v>11721.599999999999</v>
      </c>
      <c r="AZ14" s="100">
        <v>0</v>
      </c>
      <c r="BA14" s="100">
        <v>0</v>
      </c>
      <c r="BB14" s="100">
        <v>0</v>
      </c>
      <c r="BC14" s="100">
        <v>0</v>
      </c>
      <c r="BD14" s="100">
        <v>0.37598428474563428</v>
      </c>
      <c r="BE14" s="100">
        <v>183.63072466976777</v>
      </c>
      <c r="BF14" s="100">
        <v>21</v>
      </c>
      <c r="BG14" s="100">
        <v>10256.4</v>
      </c>
      <c r="BH14" s="100">
        <v>23</v>
      </c>
      <c r="BI14" s="100">
        <v>11233.199999999999</v>
      </c>
      <c r="BJ14" s="100">
        <v>0</v>
      </c>
      <c r="BK14" s="100">
        <v>0</v>
      </c>
      <c r="BL14" s="100">
        <v>2.3997046746112662</v>
      </c>
      <c r="BM14" s="100">
        <v>1172.0157630801423</v>
      </c>
      <c r="BN14" s="100">
        <v>4.558704107216335</v>
      </c>
      <c r="BO14" s="100">
        <v>2226.4710859644579</v>
      </c>
      <c r="BP14" s="100">
        <v>26</v>
      </c>
      <c r="BQ14" s="100">
        <v>12698.4</v>
      </c>
      <c r="BR14" s="100">
        <v>0</v>
      </c>
      <c r="BS14" s="100">
        <v>0</v>
      </c>
      <c r="BT14" s="100">
        <v>0.77429934383942123</v>
      </c>
      <c r="BU14" s="100">
        <v>378.16779953117333</v>
      </c>
      <c r="BV14" s="100">
        <v>0</v>
      </c>
      <c r="BW14" s="100">
        <v>0</v>
      </c>
      <c r="BX14" s="100">
        <v>23</v>
      </c>
      <c r="BY14" s="100">
        <v>11233.199999999999</v>
      </c>
      <c r="BZ14" s="100">
        <v>0</v>
      </c>
      <c r="CA14" s="100">
        <v>0</v>
      </c>
      <c r="CB14" s="100">
        <v>26.936860449990395</v>
      </c>
      <c r="CC14" s="100">
        <v>13155.962643775309</v>
      </c>
      <c r="CD14" s="100">
        <v>0.51260700389622316</v>
      </c>
      <c r="CE14" s="100">
        <v>250.35726070291537</v>
      </c>
      <c r="CF14" s="100">
        <v>26.769680555808918</v>
      </c>
      <c r="CG14" s="100">
        <v>13074.311983457075</v>
      </c>
      <c r="CH14" s="100">
        <v>29</v>
      </c>
      <c r="CI14" s="100">
        <v>14163.599999999999</v>
      </c>
      <c r="CJ14" s="100">
        <v>1.3907593260511641</v>
      </c>
      <c r="CK14" s="100">
        <v>679.24685484338852</v>
      </c>
      <c r="CL14" s="100">
        <v>0</v>
      </c>
      <c r="CM14" s="100">
        <v>0</v>
      </c>
      <c r="CN14" s="100">
        <v>1.4806979592552245</v>
      </c>
      <c r="CO14" s="100">
        <v>723.17288330025167</v>
      </c>
      <c r="CP14" s="100">
        <v>6.952205410792577</v>
      </c>
      <c r="CQ14" s="100">
        <v>3395.4571226310945</v>
      </c>
      <c r="CR14" s="100">
        <v>18</v>
      </c>
      <c r="CS14" s="100">
        <v>8791.1999999999989</v>
      </c>
      <c r="CT14" s="100">
        <v>27</v>
      </c>
      <c r="CU14" s="100">
        <v>13186.8</v>
      </c>
    </row>
    <row r="15" spans="1:99">
      <c r="C15" s="99" t="s">
        <v>181</v>
      </c>
      <c r="D15" s="100">
        <v>19</v>
      </c>
      <c r="E15" s="100">
        <v>14500.8</v>
      </c>
      <c r="F15" s="100">
        <v>19</v>
      </c>
      <c r="G15" s="100">
        <v>14500.8</v>
      </c>
      <c r="H15" s="100">
        <v>18</v>
      </c>
      <c r="I15" s="100">
        <v>13737.599999999999</v>
      </c>
      <c r="J15" s="100">
        <v>15</v>
      </c>
      <c r="K15" s="100">
        <v>11447.999999999998</v>
      </c>
      <c r="L15" s="100">
        <v>13</v>
      </c>
      <c r="M15" s="100">
        <v>9921.5999999999985</v>
      </c>
      <c r="N15" s="100">
        <v>22</v>
      </c>
      <c r="O15" s="100">
        <v>16790.399999999998</v>
      </c>
      <c r="P15" s="100">
        <v>11.857374733876835</v>
      </c>
      <c r="Q15" s="100">
        <v>9049.5483968947992</v>
      </c>
      <c r="R15" s="100">
        <v>17</v>
      </c>
      <c r="S15" s="100">
        <v>12974.4</v>
      </c>
      <c r="T15" s="100">
        <v>21</v>
      </c>
      <c r="U15" s="100">
        <v>16027.199999999999</v>
      </c>
      <c r="V15" s="100">
        <v>25</v>
      </c>
      <c r="W15" s="100">
        <v>19080</v>
      </c>
      <c r="X15" s="100">
        <v>16</v>
      </c>
      <c r="Y15" s="100">
        <v>12211.199999999999</v>
      </c>
      <c r="Z15" s="100">
        <v>16</v>
      </c>
      <c r="AA15" s="100">
        <v>12211.199999999999</v>
      </c>
      <c r="AB15" s="100">
        <v>14</v>
      </c>
      <c r="AC15" s="100">
        <v>10684.8</v>
      </c>
      <c r="AD15" s="100">
        <v>21</v>
      </c>
      <c r="AE15" s="100">
        <v>16027.199999999999</v>
      </c>
      <c r="AF15" s="100">
        <v>25</v>
      </c>
      <c r="AG15" s="100">
        <v>19080</v>
      </c>
      <c r="AH15" s="100">
        <v>16</v>
      </c>
      <c r="AI15" s="100">
        <v>12211.199999999999</v>
      </c>
      <c r="AJ15" s="100">
        <v>21</v>
      </c>
      <c r="AK15" s="100">
        <v>16027.199999999999</v>
      </c>
      <c r="AL15" s="100">
        <v>15</v>
      </c>
      <c r="AM15" s="100">
        <v>11447.999999999998</v>
      </c>
      <c r="AN15" s="100">
        <v>23</v>
      </c>
      <c r="AO15" s="100">
        <v>17553.599999999999</v>
      </c>
      <c r="AP15" s="100">
        <v>20.036320920589048</v>
      </c>
      <c r="AQ15" s="100">
        <v>15291.72012659356</v>
      </c>
      <c r="AR15" s="100">
        <v>12.997904940861593</v>
      </c>
      <c r="AS15" s="100">
        <v>9920.0010508655669</v>
      </c>
      <c r="AT15" s="100">
        <v>20</v>
      </c>
      <c r="AU15" s="100">
        <v>15263.999999999998</v>
      </c>
      <c r="AV15" s="100">
        <v>5.6336206776891986</v>
      </c>
      <c r="AW15" s="100">
        <v>4299.5793012123959</v>
      </c>
      <c r="AX15" s="100">
        <v>26</v>
      </c>
      <c r="AY15" s="100">
        <v>19843.199999999997</v>
      </c>
      <c r="AZ15" s="100">
        <v>0</v>
      </c>
      <c r="BA15" s="100">
        <v>0</v>
      </c>
      <c r="BB15" s="100">
        <v>0</v>
      </c>
      <c r="BC15" s="100">
        <v>0</v>
      </c>
      <c r="BD15" s="100">
        <v>0.40383497250457012</v>
      </c>
      <c r="BE15" s="100">
        <v>308.20685101548787</v>
      </c>
      <c r="BF15" s="100">
        <v>17</v>
      </c>
      <c r="BG15" s="100">
        <v>12974.4</v>
      </c>
      <c r="BH15" s="100">
        <v>24</v>
      </c>
      <c r="BI15" s="100">
        <v>18316.8</v>
      </c>
      <c r="BJ15" s="100">
        <v>0</v>
      </c>
      <c r="BK15" s="100">
        <v>0</v>
      </c>
      <c r="BL15" s="100">
        <v>2.495692861595717</v>
      </c>
      <c r="BM15" s="100">
        <v>1904.712791969851</v>
      </c>
      <c r="BN15" s="100">
        <v>4.7410522715049881</v>
      </c>
      <c r="BO15" s="100">
        <v>3618.3710936126067</v>
      </c>
      <c r="BP15" s="100">
        <v>25</v>
      </c>
      <c r="BQ15" s="100">
        <v>19080</v>
      </c>
      <c r="BR15" s="100">
        <v>0</v>
      </c>
      <c r="BS15" s="100">
        <v>0</v>
      </c>
      <c r="BT15" s="100">
        <v>0.71473785585177352</v>
      </c>
      <c r="BU15" s="100">
        <v>545.4879315860735</v>
      </c>
      <c r="BV15" s="100">
        <v>0</v>
      </c>
      <c r="BW15" s="100">
        <v>0</v>
      </c>
      <c r="BX15" s="100">
        <v>21</v>
      </c>
      <c r="BY15" s="100">
        <v>16027.199999999999</v>
      </c>
      <c r="BZ15" s="100">
        <v>0</v>
      </c>
      <c r="CA15" s="100">
        <v>0</v>
      </c>
      <c r="CB15" s="100">
        <v>24.941537453694814</v>
      </c>
      <c r="CC15" s="100">
        <v>19035.381384659879</v>
      </c>
      <c r="CD15" s="100">
        <v>0.46378728923944007</v>
      </c>
      <c r="CE15" s="100">
        <v>353.96245914754064</v>
      </c>
      <c r="CF15" s="100">
        <v>27.76115020602407</v>
      </c>
      <c r="CG15" s="100">
        <v>21187.309837237568</v>
      </c>
      <c r="CH15" s="100">
        <v>31</v>
      </c>
      <c r="CI15" s="100">
        <v>23659.199999999997</v>
      </c>
      <c r="CJ15" s="100">
        <v>1.3328110207990322</v>
      </c>
      <c r="CK15" s="100">
        <v>1017.2013710738213</v>
      </c>
      <c r="CL15" s="100">
        <v>0</v>
      </c>
      <c r="CM15" s="100">
        <v>0</v>
      </c>
      <c r="CN15" s="100">
        <v>1.3537809913190624</v>
      </c>
      <c r="CO15" s="100">
        <v>1033.2056525747082</v>
      </c>
      <c r="CP15" s="100">
        <v>6.952205410792577</v>
      </c>
      <c r="CQ15" s="100">
        <v>5305.9231695168946</v>
      </c>
      <c r="CR15" s="100">
        <v>19</v>
      </c>
      <c r="CS15" s="100">
        <v>14500.8</v>
      </c>
      <c r="CT15" s="100">
        <v>26</v>
      </c>
      <c r="CU15" s="100">
        <v>19843.199999999997</v>
      </c>
    </row>
    <row r="16" spans="1:99">
      <c r="C16" s="99" t="s">
        <v>182</v>
      </c>
      <c r="D16" s="100">
        <v>20</v>
      </c>
      <c r="E16" s="100">
        <v>6816</v>
      </c>
      <c r="F16" s="100">
        <v>20</v>
      </c>
      <c r="G16" s="100">
        <v>6816</v>
      </c>
      <c r="H16" s="100">
        <v>23</v>
      </c>
      <c r="I16" s="100">
        <v>7838.4000000000005</v>
      </c>
      <c r="J16" s="100">
        <v>15</v>
      </c>
      <c r="K16" s="100">
        <v>5112</v>
      </c>
      <c r="L16" s="100">
        <v>13</v>
      </c>
      <c r="M16" s="100">
        <v>4430.4000000000005</v>
      </c>
      <c r="N16" s="100">
        <v>21</v>
      </c>
      <c r="O16" s="100">
        <v>7156.8</v>
      </c>
      <c r="P16" s="100">
        <v>14.435064893415278</v>
      </c>
      <c r="Q16" s="100">
        <v>4919.4701156759274</v>
      </c>
      <c r="R16" s="100">
        <v>17</v>
      </c>
      <c r="S16" s="100">
        <v>5793.6</v>
      </c>
      <c r="T16" s="100">
        <v>23</v>
      </c>
      <c r="U16" s="100">
        <v>7838.4000000000005</v>
      </c>
      <c r="V16" s="100">
        <v>27</v>
      </c>
      <c r="W16" s="100">
        <v>9201.6</v>
      </c>
      <c r="X16" s="100">
        <v>16</v>
      </c>
      <c r="Y16" s="100">
        <v>5452.8</v>
      </c>
      <c r="Z16" s="100">
        <v>20</v>
      </c>
      <c r="AA16" s="100">
        <v>6816</v>
      </c>
      <c r="AB16" s="100">
        <v>14</v>
      </c>
      <c r="AC16" s="100">
        <v>4771.2</v>
      </c>
      <c r="AD16" s="100">
        <v>25</v>
      </c>
      <c r="AE16" s="100">
        <v>8520</v>
      </c>
      <c r="AF16" s="100">
        <v>24</v>
      </c>
      <c r="AG16" s="100">
        <v>8179.2000000000007</v>
      </c>
      <c r="AH16" s="100">
        <v>17</v>
      </c>
      <c r="AI16" s="100">
        <v>5793.6</v>
      </c>
      <c r="AJ16" s="100">
        <v>21</v>
      </c>
      <c r="AK16" s="100">
        <v>7156.8</v>
      </c>
      <c r="AL16" s="100">
        <v>18</v>
      </c>
      <c r="AM16" s="100">
        <v>6134.4000000000005</v>
      </c>
      <c r="AN16" s="100">
        <v>24</v>
      </c>
      <c r="AO16" s="100">
        <v>8179.2000000000007</v>
      </c>
      <c r="AP16" s="100">
        <v>19.320738030568009</v>
      </c>
      <c r="AQ16" s="100">
        <v>6584.5075208175776</v>
      </c>
      <c r="AR16" s="100">
        <v>15.473696358168565</v>
      </c>
      <c r="AS16" s="100">
        <v>5273.4357188638469</v>
      </c>
      <c r="AT16" s="100">
        <v>18</v>
      </c>
      <c r="AU16" s="100">
        <v>6134.4000000000005</v>
      </c>
      <c r="AV16" s="100">
        <v>5.8896943448568901</v>
      </c>
      <c r="AW16" s="100">
        <v>2007.2078327272282</v>
      </c>
      <c r="AX16" s="100">
        <v>27</v>
      </c>
      <c r="AY16" s="100">
        <v>9201.6</v>
      </c>
      <c r="AZ16" s="100">
        <v>0</v>
      </c>
      <c r="BA16" s="100">
        <v>0</v>
      </c>
      <c r="BB16" s="100">
        <v>0</v>
      </c>
      <c r="BC16" s="100">
        <v>0</v>
      </c>
      <c r="BD16" s="100">
        <v>0.37598428474563428</v>
      </c>
      <c r="BE16" s="100">
        <v>128.13544424131217</v>
      </c>
      <c r="BF16" s="100">
        <v>22</v>
      </c>
      <c r="BG16" s="100">
        <v>7497.6</v>
      </c>
      <c r="BH16" s="100">
        <v>26</v>
      </c>
      <c r="BI16" s="100">
        <v>8860.8000000000011</v>
      </c>
      <c r="BJ16" s="100">
        <v>0</v>
      </c>
      <c r="BK16" s="100">
        <v>0</v>
      </c>
      <c r="BL16" s="100">
        <v>2.3997046746112662</v>
      </c>
      <c r="BM16" s="100">
        <v>817.81935310751953</v>
      </c>
      <c r="BN16" s="100">
        <v>4.3763559429276819</v>
      </c>
      <c r="BO16" s="100">
        <v>1491.462105349754</v>
      </c>
      <c r="BP16" s="100">
        <v>27</v>
      </c>
      <c r="BQ16" s="100">
        <v>9201.6</v>
      </c>
      <c r="BR16" s="100">
        <v>0</v>
      </c>
      <c r="BS16" s="100">
        <v>0</v>
      </c>
      <c r="BT16" s="100">
        <v>0.77429934383942123</v>
      </c>
      <c r="BU16" s="100">
        <v>263.88121638047477</v>
      </c>
      <c r="BV16" s="100">
        <v>0</v>
      </c>
      <c r="BW16" s="100">
        <v>0</v>
      </c>
      <c r="BX16" s="100">
        <v>23</v>
      </c>
      <c r="BY16" s="100">
        <v>7838.4000000000005</v>
      </c>
      <c r="BZ16" s="100">
        <v>0</v>
      </c>
      <c r="CA16" s="100">
        <v>0</v>
      </c>
      <c r="CB16" s="100">
        <v>26.936860449990395</v>
      </c>
      <c r="CC16" s="100">
        <v>9180.0820413567271</v>
      </c>
      <c r="CD16" s="100">
        <v>0.53701686122461478</v>
      </c>
      <c r="CE16" s="100">
        <v>183.01534630534871</v>
      </c>
      <c r="CF16" s="100">
        <v>28.75261985623921</v>
      </c>
      <c r="CG16" s="100">
        <v>9798.8928470063238</v>
      </c>
      <c r="CH16" s="100">
        <v>31</v>
      </c>
      <c r="CI16" s="100">
        <v>10564.800000000001</v>
      </c>
      <c r="CJ16" s="100">
        <v>1.3907593260511641</v>
      </c>
      <c r="CK16" s="100">
        <v>473.97077831823674</v>
      </c>
      <c r="CL16" s="100">
        <v>0</v>
      </c>
      <c r="CM16" s="100">
        <v>0</v>
      </c>
      <c r="CN16" s="100">
        <v>1.4806979592552245</v>
      </c>
      <c r="CO16" s="100">
        <v>504.62186451418052</v>
      </c>
      <c r="CP16" s="100">
        <v>6.952205410792577</v>
      </c>
      <c r="CQ16" s="100">
        <v>2369.3116039981105</v>
      </c>
      <c r="CR16" s="100">
        <v>18</v>
      </c>
      <c r="CS16" s="100">
        <v>6134.4000000000005</v>
      </c>
      <c r="CT16" s="100">
        <v>27</v>
      </c>
      <c r="CU16" s="100">
        <v>9201.6</v>
      </c>
    </row>
    <row r="17" spans="2:99">
      <c r="C17" s="99" t="s">
        <v>183</v>
      </c>
      <c r="D17" s="100">
        <v>22</v>
      </c>
      <c r="E17" s="100">
        <v>9292.7999999999993</v>
      </c>
      <c r="F17" s="100">
        <v>18</v>
      </c>
      <c r="G17" s="100">
        <v>7603.2</v>
      </c>
      <c r="H17" s="100">
        <v>20</v>
      </c>
      <c r="I17" s="100">
        <v>8448</v>
      </c>
      <c r="J17" s="100">
        <v>14</v>
      </c>
      <c r="K17" s="100">
        <v>5913.5999999999995</v>
      </c>
      <c r="L17" s="100">
        <v>15</v>
      </c>
      <c r="M17" s="100">
        <v>6336</v>
      </c>
      <c r="N17" s="100">
        <v>22</v>
      </c>
      <c r="O17" s="100">
        <v>9292.7999999999993</v>
      </c>
      <c r="P17" s="100">
        <v>13.919526861507588</v>
      </c>
      <c r="Q17" s="100">
        <v>5879.6081463008049</v>
      </c>
      <c r="R17" s="100">
        <v>17</v>
      </c>
      <c r="S17" s="100">
        <v>7180.7999999999993</v>
      </c>
      <c r="T17" s="100">
        <v>23</v>
      </c>
      <c r="U17" s="100">
        <v>9715.1999999999989</v>
      </c>
      <c r="V17" s="100">
        <v>24</v>
      </c>
      <c r="W17" s="100">
        <v>10137.599999999999</v>
      </c>
      <c r="X17" s="100">
        <v>16</v>
      </c>
      <c r="Y17" s="100">
        <v>6758.4</v>
      </c>
      <c r="Z17" s="100">
        <v>17</v>
      </c>
      <c r="AA17" s="100">
        <v>7180.7999999999993</v>
      </c>
      <c r="AB17" s="100">
        <v>14</v>
      </c>
      <c r="AC17" s="100">
        <v>5913.5999999999995</v>
      </c>
      <c r="AD17" s="100">
        <v>22</v>
      </c>
      <c r="AE17" s="100">
        <v>9292.7999999999993</v>
      </c>
      <c r="AF17" s="100">
        <v>27</v>
      </c>
      <c r="AG17" s="100">
        <v>11404.8</v>
      </c>
      <c r="AH17" s="100">
        <v>18</v>
      </c>
      <c r="AI17" s="100">
        <v>7603.2</v>
      </c>
      <c r="AJ17" s="100">
        <v>21</v>
      </c>
      <c r="AK17" s="100">
        <v>8870.4</v>
      </c>
      <c r="AL17" s="100">
        <v>17</v>
      </c>
      <c r="AM17" s="100">
        <v>7180.7999999999993</v>
      </c>
      <c r="AN17" s="100">
        <v>23</v>
      </c>
      <c r="AO17" s="100">
        <v>9715.1999999999989</v>
      </c>
      <c r="AP17" s="100">
        <v>20.036320920589048</v>
      </c>
      <c r="AQ17" s="100">
        <v>8463.3419568568133</v>
      </c>
      <c r="AR17" s="100">
        <v>14.235800649515079</v>
      </c>
      <c r="AS17" s="100">
        <v>6013.202194355169</v>
      </c>
      <c r="AT17" s="100">
        <v>18</v>
      </c>
      <c r="AU17" s="100">
        <v>7603.2</v>
      </c>
      <c r="AV17" s="100">
        <v>6.1457680120245799</v>
      </c>
      <c r="AW17" s="100">
        <v>2595.9724082791822</v>
      </c>
      <c r="AX17" s="100">
        <v>27</v>
      </c>
      <c r="AY17" s="100">
        <v>11404.8</v>
      </c>
      <c r="AZ17" s="100">
        <v>0</v>
      </c>
      <c r="BA17" s="100">
        <v>0</v>
      </c>
      <c r="BB17" s="100">
        <v>0</v>
      </c>
      <c r="BC17" s="100">
        <v>0</v>
      </c>
      <c r="BD17" s="100">
        <v>0.3899096286251022</v>
      </c>
      <c r="BE17" s="100">
        <v>164.69782713124317</v>
      </c>
      <c r="BF17" s="100">
        <v>18</v>
      </c>
      <c r="BG17" s="100">
        <v>7603.2</v>
      </c>
      <c r="BH17" s="100">
        <v>26</v>
      </c>
      <c r="BI17" s="100">
        <v>10982.4</v>
      </c>
      <c r="BJ17" s="100">
        <v>0</v>
      </c>
      <c r="BK17" s="100">
        <v>0</v>
      </c>
      <c r="BL17" s="100">
        <v>2.6876692355646186</v>
      </c>
      <c r="BM17" s="100">
        <v>1135.2714851024948</v>
      </c>
      <c r="BN17" s="100">
        <v>4.3763559429276819</v>
      </c>
      <c r="BO17" s="100">
        <v>1848.5727502926527</v>
      </c>
      <c r="BP17" s="100">
        <v>28</v>
      </c>
      <c r="BQ17" s="100">
        <v>11827.199999999999</v>
      </c>
      <c r="BR17" s="100">
        <v>0</v>
      </c>
      <c r="BS17" s="100">
        <v>0</v>
      </c>
      <c r="BT17" s="100">
        <v>0.71473785585177352</v>
      </c>
      <c r="BU17" s="100">
        <v>301.90527031178914</v>
      </c>
      <c r="BV17" s="100">
        <v>0</v>
      </c>
      <c r="BW17" s="100">
        <v>0</v>
      </c>
      <c r="BX17" s="100">
        <v>23</v>
      </c>
      <c r="BY17" s="100">
        <v>9715.1999999999989</v>
      </c>
      <c r="BZ17" s="100">
        <v>0</v>
      </c>
      <c r="CA17" s="100">
        <v>0</v>
      </c>
      <c r="CB17" s="100">
        <v>26.936860449990395</v>
      </c>
      <c r="CC17" s="100">
        <v>11378.129854075942</v>
      </c>
      <c r="CD17" s="100">
        <v>0.46378728923944007</v>
      </c>
      <c r="CE17" s="100">
        <v>195.90375097473947</v>
      </c>
      <c r="CF17" s="100">
        <v>30.735559156669503</v>
      </c>
      <c r="CG17" s="100">
        <v>12982.700187777196</v>
      </c>
      <c r="CH17" s="100">
        <v>33</v>
      </c>
      <c r="CI17" s="100">
        <v>13939.199999999999</v>
      </c>
      <c r="CJ17" s="100">
        <v>1.5066559365554277</v>
      </c>
      <c r="CK17" s="100">
        <v>636.41146760101265</v>
      </c>
      <c r="CL17" s="100">
        <v>0</v>
      </c>
      <c r="CM17" s="100">
        <v>0</v>
      </c>
      <c r="CN17" s="100">
        <v>1.2691696793616212</v>
      </c>
      <c r="CO17" s="100">
        <v>536.09727256234873</v>
      </c>
      <c r="CP17" s="100">
        <v>6.6947163215039627</v>
      </c>
      <c r="CQ17" s="100">
        <v>2827.8481742032736</v>
      </c>
      <c r="CR17" s="100">
        <v>19</v>
      </c>
      <c r="CS17" s="100">
        <v>8025.5999999999995</v>
      </c>
      <c r="CT17" s="100">
        <v>28</v>
      </c>
      <c r="CU17" s="100">
        <v>11827.199999999999</v>
      </c>
    </row>
    <row r="18" spans="2:99">
      <c r="C18" s="99" t="s">
        <v>184</v>
      </c>
      <c r="D18" s="100">
        <v>19</v>
      </c>
      <c r="E18" s="100">
        <v>12403.199999999999</v>
      </c>
      <c r="F18" s="100">
        <v>17</v>
      </c>
      <c r="G18" s="100">
        <v>11097.599999999999</v>
      </c>
      <c r="H18" s="100">
        <v>20</v>
      </c>
      <c r="I18" s="100">
        <v>13056</v>
      </c>
      <c r="J18" s="100">
        <v>14</v>
      </c>
      <c r="K18" s="100">
        <v>9139.1999999999989</v>
      </c>
      <c r="L18" s="100">
        <v>13</v>
      </c>
      <c r="M18" s="100">
        <v>8486.4</v>
      </c>
      <c r="N18" s="100">
        <v>22</v>
      </c>
      <c r="O18" s="100">
        <v>14361.599999999999</v>
      </c>
      <c r="P18" s="100">
        <v>12.372912765784521</v>
      </c>
      <c r="Q18" s="100">
        <v>8077.0374535041346</v>
      </c>
      <c r="R18" s="100">
        <v>15</v>
      </c>
      <c r="S18" s="100">
        <v>9792</v>
      </c>
      <c r="T18" s="100">
        <v>24</v>
      </c>
      <c r="U18" s="100">
        <v>15667.199999999999</v>
      </c>
      <c r="V18" s="100">
        <v>23</v>
      </c>
      <c r="W18" s="100">
        <v>15014.4</v>
      </c>
      <c r="X18" s="100">
        <v>17</v>
      </c>
      <c r="Y18" s="100">
        <v>11097.599999999999</v>
      </c>
      <c r="Z18" s="100">
        <v>19</v>
      </c>
      <c r="AA18" s="100">
        <v>12403.199999999999</v>
      </c>
      <c r="AB18" s="100">
        <v>14</v>
      </c>
      <c r="AC18" s="100">
        <v>9139.1999999999989</v>
      </c>
      <c r="AD18" s="100">
        <v>21</v>
      </c>
      <c r="AE18" s="100">
        <v>13708.8</v>
      </c>
      <c r="AF18" s="100">
        <v>26</v>
      </c>
      <c r="AG18" s="100">
        <v>16972.8</v>
      </c>
      <c r="AH18" s="100">
        <v>17</v>
      </c>
      <c r="AI18" s="100">
        <v>11097.599999999999</v>
      </c>
      <c r="AJ18" s="100">
        <v>21</v>
      </c>
      <c r="AK18" s="100">
        <v>13708.8</v>
      </c>
      <c r="AL18" s="100">
        <v>17</v>
      </c>
      <c r="AM18" s="100">
        <v>11097.599999999999</v>
      </c>
      <c r="AN18" s="100">
        <v>25</v>
      </c>
      <c r="AO18" s="100">
        <v>16319.999999999998</v>
      </c>
      <c r="AP18" s="100">
        <v>18.605155140546973</v>
      </c>
      <c r="AQ18" s="100">
        <v>12145.445275749064</v>
      </c>
      <c r="AR18" s="100">
        <v>14.235800649515079</v>
      </c>
      <c r="AS18" s="100">
        <v>9293.1306640034436</v>
      </c>
      <c r="AT18" s="100">
        <v>18</v>
      </c>
      <c r="AU18" s="100">
        <v>11750.4</v>
      </c>
      <c r="AV18" s="100">
        <v>6.4018416791922714</v>
      </c>
      <c r="AW18" s="100">
        <v>4179.1222481767145</v>
      </c>
      <c r="AX18" s="100">
        <v>27</v>
      </c>
      <c r="AY18" s="100">
        <v>17625.599999999999</v>
      </c>
      <c r="AZ18" s="100">
        <v>0</v>
      </c>
      <c r="BA18" s="100">
        <v>0</v>
      </c>
      <c r="BB18" s="100">
        <v>0</v>
      </c>
      <c r="BC18" s="100">
        <v>0</v>
      </c>
      <c r="BD18" s="100">
        <v>0.36205894086616636</v>
      </c>
      <c r="BE18" s="100">
        <v>236.35207659743338</v>
      </c>
      <c r="BF18" s="100">
        <v>21</v>
      </c>
      <c r="BG18" s="100">
        <v>13708.8</v>
      </c>
      <c r="BH18" s="100">
        <v>24</v>
      </c>
      <c r="BI18" s="100">
        <v>15667.199999999999</v>
      </c>
      <c r="BJ18" s="100">
        <v>0</v>
      </c>
      <c r="BK18" s="100">
        <v>0</v>
      </c>
      <c r="BL18" s="100">
        <v>2.5916810485801678</v>
      </c>
      <c r="BM18" s="100">
        <v>1691.8493885131334</v>
      </c>
      <c r="BN18" s="100">
        <v>4.194007778639028</v>
      </c>
      <c r="BO18" s="100">
        <v>2737.8482778955572</v>
      </c>
      <c r="BP18" s="100">
        <v>24</v>
      </c>
      <c r="BQ18" s="100">
        <v>15667.199999999999</v>
      </c>
      <c r="BR18" s="100">
        <v>0</v>
      </c>
      <c r="BS18" s="100">
        <v>0</v>
      </c>
      <c r="BT18" s="100">
        <v>0.6551763678641257</v>
      </c>
      <c r="BU18" s="100">
        <v>427.69913294170124</v>
      </c>
      <c r="BV18" s="100">
        <v>0</v>
      </c>
      <c r="BW18" s="100">
        <v>0</v>
      </c>
      <c r="BX18" s="100">
        <v>19</v>
      </c>
      <c r="BY18" s="100">
        <v>12403.199999999999</v>
      </c>
      <c r="BZ18" s="100">
        <v>0</v>
      </c>
      <c r="CA18" s="100">
        <v>0</v>
      </c>
      <c r="CB18" s="100">
        <v>26.936860449990395</v>
      </c>
      <c r="CC18" s="100">
        <v>17584.382501753727</v>
      </c>
      <c r="CD18" s="100">
        <v>0.4393774319110485</v>
      </c>
      <c r="CE18" s="100">
        <v>286.82558755153246</v>
      </c>
      <c r="CF18" s="100">
        <v>30.735559156669503</v>
      </c>
      <c r="CG18" s="100">
        <v>20064.173017473851</v>
      </c>
      <c r="CH18" s="100">
        <v>26</v>
      </c>
      <c r="CI18" s="100">
        <v>16972.8</v>
      </c>
      <c r="CJ18" s="100">
        <v>1.4487076313032961</v>
      </c>
      <c r="CK18" s="100">
        <v>945.71634171479161</v>
      </c>
      <c r="CL18" s="100">
        <v>0</v>
      </c>
      <c r="CM18" s="100">
        <v>0</v>
      </c>
      <c r="CN18" s="100">
        <v>1.3114753353403417</v>
      </c>
      <c r="CO18" s="100">
        <v>856.13109891017496</v>
      </c>
      <c r="CP18" s="100">
        <v>5.9222490536381214</v>
      </c>
      <c r="CQ18" s="100">
        <v>3866.0441822149655</v>
      </c>
      <c r="CR18" s="100">
        <v>18</v>
      </c>
      <c r="CS18" s="100">
        <v>11750.4</v>
      </c>
      <c r="CT18" s="100">
        <v>26</v>
      </c>
      <c r="CU18" s="100">
        <v>16972.8</v>
      </c>
    </row>
    <row r="19" spans="2:99">
      <c r="C19" s="99" t="s">
        <v>185</v>
      </c>
      <c r="D19" s="100">
        <v>20</v>
      </c>
      <c r="E19" s="100">
        <v>6600</v>
      </c>
      <c r="F19" s="100">
        <v>19</v>
      </c>
      <c r="G19" s="100">
        <v>6270</v>
      </c>
      <c r="H19" s="100">
        <v>19</v>
      </c>
      <c r="I19" s="100">
        <v>6270</v>
      </c>
      <c r="J19" s="100">
        <v>15</v>
      </c>
      <c r="K19" s="100">
        <v>4950</v>
      </c>
      <c r="L19" s="100">
        <v>16</v>
      </c>
      <c r="M19" s="100">
        <v>5280</v>
      </c>
      <c r="N19" s="100">
        <v>25</v>
      </c>
      <c r="O19" s="100">
        <v>8250</v>
      </c>
      <c r="P19" s="100">
        <v>14.435064893415278</v>
      </c>
      <c r="Q19" s="100">
        <v>4763.5714148270417</v>
      </c>
      <c r="R19" s="100">
        <v>17</v>
      </c>
      <c r="S19" s="100">
        <v>5610</v>
      </c>
      <c r="T19" s="100">
        <v>25</v>
      </c>
      <c r="U19" s="100">
        <v>8250</v>
      </c>
      <c r="V19" s="100">
        <v>25</v>
      </c>
      <c r="W19" s="100">
        <v>8250</v>
      </c>
      <c r="X19" s="100">
        <v>17</v>
      </c>
      <c r="Y19" s="100">
        <v>5610</v>
      </c>
      <c r="Z19" s="100">
        <v>17</v>
      </c>
      <c r="AA19" s="100">
        <v>5610</v>
      </c>
      <c r="AB19" s="100">
        <v>13</v>
      </c>
      <c r="AC19" s="100">
        <v>4290</v>
      </c>
      <c r="AD19" s="100">
        <v>24</v>
      </c>
      <c r="AE19" s="100">
        <v>7920</v>
      </c>
      <c r="AF19" s="100">
        <v>26</v>
      </c>
      <c r="AG19" s="100">
        <v>8580</v>
      </c>
      <c r="AH19" s="100">
        <v>17</v>
      </c>
      <c r="AI19" s="100">
        <v>5610</v>
      </c>
      <c r="AJ19" s="100">
        <v>23</v>
      </c>
      <c r="AK19" s="100">
        <v>7590</v>
      </c>
      <c r="AL19" s="100">
        <v>16</v>
      </c>
      <c r="AM19" s="100">
        <v>5280</v>
      </c>
      <c r="AN19" s="100">
        <v>22</v>
      </c>
      <c r="AO19" s="100">
        <v>7260</v>
      </c>
      <c r="AP19" s="100">
        <v>19.320738030568009</v>
      </c>
      <c r="AQ19" s="100">
        <v>6375.843550087443</v>
      </c>
      <c r="AR19" s="100">
        <v>13.616852795188336</v>
      </c>
      <c r="AS19" s="100">
        <v>4493.5614224121509</v>
      </c>
      <c r="AT19" s="100">
        <v>20</v>
      </c>
      <c r="AU19" s="100">
        <v>6600</v>
      </c>
      <c r="AV19" s="100">
        <v>6.9139890135276527</v>
      </c>
      <c r="AW19" s="100">
        <v>2281.6163744641253</v>
      </c>
      <c r="AX19" s="100">
        <v>27</v>
      </c>
      <c r="AY19" s="100">
        <v>8910</v>
      </c>
      <c r="AZ19" s="100">
        <v>0</v>
      </c>
      <c r="BA19" s="100">
        <v>0</v>
      </c>
      <c r="BB19" s="100">
        <v>0</v>
      </c>
      <c r="BC19" s="100">
        <v>0</v>
      </c>
      <c r="BD19" s="100">
        <v>0.4177603163840381</v>
      </c>
      <c r="BE19" s="100">
        <v>137.86090440673257</v>
      </c>
      <c r="BF19" s="100">
        <v>20</v>
      </c>
      <c r="BG19" s="100">
        <v>6600</v>
      </c>
      <c r="BH19" s="100">
        <v>26</v>
      </c>
      <c r="BI19" s="100">
        <v>8580</v>
      </c>
      <c r="BJ19" s="100">
        <v>0</v>
      </c>
      <c r="BK19" s="100">
        <v>0</v>
      </c>
      <c r="BL19" s="100">
        <v>2.3037164876268159</v>
      </c>
      <c r="BM19" s="100">
        <v>760.22644091684924</v>
      </c>
      <c r="BN19" s="100">
        <v>4.3763559429276819</v>
      </c>
      <c r="BO19" s="100">
        <v>1444.1974611661351</v>
      </c>
      <c r="BP19" s="100">
        <v>26</v>
      </c>
      <c r="BQ19" s="100">
        <v>8580</v>
      </c>
      <c r="BR19" s="100">
        <v>0</v>
      </c>
      <c r="BS19" s="100">
        <v>0</v>
      </c>
      <c r="BT19" s="100">
        <v>0.77429934383942123</v>
      </c>
      <c r="BU19" s="100">
        <v>255.518783467009</v>
      </c>
      <c r="BV19" s="100">
        <v>0</v>
      </c>
      <c r="BW19" s="100">
        <v>0</v>
      </c>
      <c r="BX19" s="100">
        <v>21</v>
      </c>
      <c r="BY19" s="100">
        <v>6930</v>
      </c>
      <c r="BZ19" s="100">
        <v>0</v>
      </c>
      <c r="CA19" s="100">
        <v>0</v>
      </c>
      <c r="CB19" s="100">
        <v>28.932183446285983</v>
      </c>
      <c r="CC19" s="100">
        <v>9547.6205372743734</v>
      </c>
      <c r="CD19" s="100">
        <v>0.51260700389622316</v>
      </c>
      <c r="CE19" s="100">
        <v>169.16031128575364</v>
      </c>
      <c r="CF19" s="100">
        <v>27.76115020602407</v>
      </c>
      <c r="CG19" s="100">
        <v>9161.1795679879433</v>
      </c>
      <c r="CH19" s="100">
        <v>28</v>
      </c>
      <c r="CI19" s="100">
        <v>9240</v>
      </c>
      <c r="CJ19" s="100">
        <v>1.5066559365554277</v>
      </c>
      <c r="CK19" s="100">
        <v>497.19645906329117</v>
      </c>
      <c r="CL19" s="100">
        <v>0</v>
      </c>
      <c r="CM19" s="100">
        <v>0</v>
      </c>
      <c r="CN19" s="100">
        <v>1.3114753353403417</v>
      </c>
      <c r="CO19" s="100">
        <v>432.78686066231273</v>
      </c>
      <c r="CP19" s="100">
        <v>6.6947163215039627</v>
      </c>
      <c r="CQ19" s="100">
        <v>2209.2563860963078</v>
      </c>
      <c r="CR19" s="100">
        <v>18</v>
      </c>
      <c r="CS19" s="100">
        <v>5940</v>
      </c>
      <c r="CT19" s="100">
        <v>27</v>
      </c>
      <c r="CU19" s="100">
        <v>8910</v>
      </c>
    </row>
    <row r="20" spans="2:99">
      <c r="B20" s="99" t="s">
        <v>127</v>
      </c>
      <c r="C20" s="99" t="s">
        <v>186</v>
      </c>
      <c r="D20" s="100">
        <v>13</v>
      </c>
      <c r="E20" s="100">
        <v>3728.4</v>
      </c>
      <c r="F20" s="100">
        <v>22</v>
      </c>
      <c r="G20" s="100">
        <v>6309.6</v>
      </c>
      <c r="H20" s="100">
        <v>18</v>
      </c>
      <c r="I20" s="100">
        <v>5162.4000000000005</v>
      </c>
      <c r="J20" s="100">
        <v>23</v>
      </c>
      <c r="K20" s="100">
        <v>6596.4000000000005</v>
      </c>
      <c r="L20" s="100">
        <v>30</v>
      </c>
      <c r="M20" s="100">
        <v>8604</v>
      </c>
      <c r="N20" s="100">
        <v>24</v>
      </c>
      <c r="O20" s="100">
        <v>6883.2000000000007</v>
      </c>
      <c r="P20" s="100">
        <v>12.888450797692212</v>
      </c>
      <c r="Q20" s="100">
        <v>3696.4076887781266</v>
      </c>
      <c r="R20" s="100">
        <v>23</v>
      </c>
      <c r="S20" s="100">
        <v>6596.4000000000005</v>
      </c>
      <c r="T20" s="100">
        <v>32</v>
      </c>
      <c r="U20" s="100">
        <v>9177.6</v>
      </c>
      <c r="V20" s="100">
        <v>22</v>
      </c>
      <c r="W20" s="100">
        <v>6309.6</v>
      </c>
      <c r="X20" s="100">
        <v>26</v>
      </c>
      <c r="Y20" s="100">
        <v>7456.8</v>
      </c>
      <c r="Z20" s="100">
        <v>17</v>
      </c>
      <c r="AA20" s="100">
        <v>4875.6000000000004</v>
      </c>
      <c r="AB20" s="100">
        <v>21</v>
      </c>
      <c r="AC20" s="100">
        <v>6022.8</v>
      </c>
      <c r="AD20" s="100">
        <v>28</v>
      </c>
      <c r="AE20" s="100">
        <v>8030.4000000000005</v>
      </c>
      <c r="AF20" s="100">
        <v>29</v>
      </c>
      <c r="AG20" s="100">
        <v>8317.2000000000007</v>
      </c>
      <c r="AH20" s="100">
        <v>19</v>
      </c>
      <c r="AI20" s="100">
        <v>5449.2</v>
      </c>
      <c r="AJ20" s="100">
        <v>25</v>
      </c>
      <c r="AK20" s="100">
        <v>7170</v>
      </c>
      <c r="AL20" s="100">
        <v>19</v>
      </c>
      <c r="AM20" s="100">
        <v>5449.2</v>
      </c>
      <c r="AN20" s="100">
        <v>27</v>
      </c>
      <c r="AO20" s="100">
        <v>7743.6</v>
      </c>
      <c r="AP20" s="100">
        <v>18.605155140546973</v>
      </c>
      <c r="AQ20" s="100">
        <v>5335.9584943088721</v>
      </c>
      <c r="AR20" s="100">
        <v>14.235800649515079</v>
      </c>
      <c r="AS20" s="100">
        <v>4082.827626280925</v>
      </c>
      <c r="AT20" s="100">
        <v>29</v>
      </c>
      <c r="AU20" s="100">
        <v>8317.2000000000007</v>
      </c>
      <c r="AV20" s="100">
        <v>6.4018416791922714</v>
      </c>
      <c r="AW20" s="100">
        <v>1836.0481935923435</v>
      </c>
      <c r="AX20" s="100">
        <v>25</v>
      </c>
      <c r="AY20" s="100">
        <v>7170</v>
      </c>
      <c r="AZ20" s="100">
        <v>0</v>
      </c>
      <c r="BA20" s="100">
        <v>0</v>
      </c>
      <c r="BB20" s="100">
        <v>0</v>
      </c>
      <c r="BC20" s="100">
        <v>0</v>
      </c>
      <c r="BD20" s="100">
        <v>0.40383497250457012</v>
      </c>
      <c r="BE20" s="100">
        <v>115.81987011431072</v>
      </c>
      <c r="BF20" s="100">
        <v>21</v>
      </c>
      <c r="BG20" s="100">
        <v>6022.8</v>
      </c>
      <c r="BH20" s="100">
        <v>26</v>
      </c>
      <c r="BI20" s="100">
        <v>7456.8</v>
      </c>
      <c r="BJ20" s="100">
        <v>0</v>
      </c>
      <c r="BK20" s="100">
        <v>0</v>
      </c>
      <c r="BL20" s="100">
        <v>2.8796456095335192</v>
      </c>
      <c r="BM20" s="100">
        <v>825.88236081421337</v>
      </c>
      <c r="BN20" s="100">
        <v>2.9175706286184542</v>
      </c>
      <c r="BO20" s="100">
        <v>836.7592562877727</v>
      </c>
      <c r="BP20" s="100">
        <v>22</v>
      </c>
      <c r="BQ20" s="100">
        <v>6309.6</v>
      </c>
      <c r="BR20" s="100">
        <v>0</v>
      </c>
      <c r="BS20" s="100">
        <v>0</v>
      </c>
      <c r="BT20" s="100">
        <v>0.68495711185794961</v>
      </c>
      <c r="BU20" s="100">
        <v>196.44569968085995</v>
      </c>
      <c r="BV20" s="100">
        <v>0</v>
      </c>
      <c r="BW20" s="100">
        <v>0</v>
      </c>
      <c r="BX20" s="100">
        <v>32</v>
      </c>
      <c r="BY20" s="100">
        <v>9177.6</v>
      </c>
      <c r="BZ20" s="100">
        <v>0</v>
      </c>
      <c r="CA20" s="100">
        <v>0</v>
      </c>
      <c r="CB20" s="100">
        <v>25.939198951842606</v>
      </c>
      <c r="CC20" s="100">
        <v>7439.3622593884593</v>
      </c>
      <c r="CD20" s="100">
        <v>0.73229571985174735</v>
      </c>
      <c r="CE20" s="100">
        <v>210.02241245348114</v>
      </c>
      <c r="CF20" s="100">
        <v>31.727028806884647</v>
      </c>
      <c r="CG20" s="100">
        <v>9099.3118618145163</v>
      </c>
      <c r="CH20" s="100">
        <v>29</v>
      </c>
      <c r="CI20" s="100">
        <v>8317.2000000000007</v>
      </c>
      <c r="CJ20" s="100">
        <v>1.3328110207990322</v>
      </c>
      <c r="CK20" s="100">
        <v>382.25020076516245</v>
      </c>
      <c r="CL20" s="100">
        <v>0</v>
      </c>
      <c r="CM20" s="100">
        <v>0</v>
      </c>
      <c r="CN20" s="100">
        <v>0.84611311957441404</v>
      </c>
      <c r="CO20" s="100">
        <v>242.66524269394196</v>
      </c>
      <c r="CP20" s="100">
        <v>4.6348036071950514</v>
      </c>
      <c r="CQ20" s="100">
        <v>1329.2616745435407</v>
      </c>
      <c r="CR20" s="100">
        <v>20</v>
      </c>
      <c r="CS20" s="100">
        <v>5736</v>
      </c>
      <c r="CT20" s="100">
        <v>24</v>
      </c>
      <c r="CU20" s="100">
        <v>6883.2000000000007</v>
      </c>
    </row>
    <row r="21" spans="2:99">
      <c r="C21" s="99" t="s">
        <v>187</v>
      </c>
      <c r="D21" s="100">
        <v>16</v>
      </c>
      <c r="E21" s="100">
        <v>998.4</v>
      </c>
      <c r="F21" s="100">
        <v>23</v>
      </c>
      <c r="G21" s="100">
        <v>1435.2</v>
      </c>
      <c r="H21" s="100">
        <v>19</v>
      </c>
      <c r="I21" s="100">
        <v>1185.5999999999999</v>
      </c>
      <c r="J21" s="100">
        <v>24</v>
      </c>
      <c r="K21" s="100">
        <v>1497.6</v>
      </c>
      <c r="L21" s="100">
        <v>27</v>
      </c>
      <c r="M21" s="100">
        <v>1684.8</v>
      </c>
      <c r="N21" s="100">
        <v>21</v>
      </c>
      <c r="O21" s="100">
        <v>1310.3999999999999</v>
      </c>
      <c r="P21" s="100">
        <v>12.888450797692212</v>
      </c>
      <c r="Q21" s="100">
        <v>804.23932977599395</v>
      </c>
      <c r="R21" s="100">
        <v>24</v>
      </c>
      <c r="S21" s="100">
        <v>1497.6</v>
      </c>
      <c r="T21" s="100">
        <v>31</v>
      </c>
      <c r="U21" s="100">
        <v>1934.3999999999999</v>
      </c>
      <c r="V21" s="100">
        <v>23</v>
      </c>
      <c r="W21" s="100">
        <v>1435.2</v>
      </c>
      <c r="X21" s="100">
        <v>24</v>
      </c>
      <c r="Y21" s="100">
        <v>1497.6</v>
      </c>
      <c r="Z21" s="100">
        <v>18</v>
      </c>
      <c r="AA21" s="100">
        <v>1123.2</v>
      </c>
      <c r="AB21" s="100">
        <v>25</v>
      </c>
      <c r="AC21" s="100">
        <v>1560</v>
      </c>
      <c r="AD21" s="100">
        <v>30</v>
      </c>
      <c r="AE21" s="100">
        <v>1872</v>
      </c>
      <c r="AF21" s="100">
        <v>27</v>
      </c>
      <c r="AG21" s="100">
        <v>1684.8</v>
      </c>
      <c r="AH21" s="100">
        <v>17</v>
      </c>
      <c r="AI21" s="100">
        <v>1060.8</v>
      </c>
      <c r="AJ21" s="100">
        <v>26</v>
      </c>
      <c r="AK21" s="100">
        <v>1622.3999999999999</v>
      </c>
      <c r="AL21" s="100">
        <v>19</v>
      </c>
      <c r="AM21" s="100">
        <v>1185.5999999999999</v>
      </c>
      <c r="AN21" s="100">
        <v>26</v>
      </c>
      <c r="AO21" s="100">
        <v>1622.3999999999999</v>
      </c>
      <c r="AP21" s="100">
        <v>17.173989360504898</v>
      </c>
      <c r="AQ21" s="100">
        <v>1071.6569360955057</v>
      </c>
      <c r="AR21" s="100">
        <v>12.997904940861593</v>
      </c>
      <c r="AS21" s="100">
        <v>811.0692683097634</v>
      </c>
      <c r="AT21" s="100">
        <v>29</v>
      </c>
      <c r="AU21" s="100">
        <v>1809.6</v>
      </c>
      <c r="AV21" s="100">
        <v>6.4018416791922714</v>
      </c>
      <c r="AW21" s="100">
        <v>399.47492078159775</v>
      </c>
      <c r="AX21" s="100">
        <v>26</v>
      </c>
      <c r="AY21" s="100">
        <v>1622.3999999999999</v>
      </c>
      <c r="AZ21" s="100">
        <v>0</v>
      </c>
      <c r="BA21" s="100">
        <v>0</v>
      </c>
      <c r="BB21" s="100">
        <v>0</v>
      </c>
      <c r="BC21" s="100">
        <v>0</v>
      </c>
      <c r="BD21" s="100">
        <v>0.40383497250457012</v>
      </c>
      <c r="BE21" s="100">
        <v>25.199302284285174</v>
      </c>
      <c r="BF21" s="100">
        <v>25</v>
      </c>
      <c r="BG21" s="100">
        <v>1560</v>
      </c>
      <c r="BH21" s="100">
        <v>24</v>
      </c>
      <c r="BI21" s="100">
        <v>1497.6</v>
      </c>
      <c r="BJ21" s="100">
        <v>0</v>
      </c>
      <c r="BK21" s="100">
        <v>0</v>
      </c>
      <c r="BL21" s="100">
        <v>2.7836574225490689</v>
      </c>
      <c r="BM21" s="100">
        <v>173.70022316706189</v>
      </c>
      <c r="BN21" s="100">
        <v>3.0999187929071081</v>
      </c>
      <c r="BO21" s="100">
        <v>193.43493267740354</v>
      </c>
      <c r="BP21" s="100">
        <v>21</v>
      </c>
      <c r="BQ21" s="100">
        <v>1310.3999999999999</v>
      </c>
      <c r="BR21" s="100">
        <v>0</v>
      </c>
      <c r="BS21" s="100">
        <v>0</v>
      </c>
      <c r="BT21" s="100">
        <v>0.62539562387030179</v>
      </c>
      <c r="BU21" s="100">
        <v>39.024686929506828</v>
      </c>
      <c r="BV21" s="100">
        <v>0</v>
      </c>
      <c r="BW21" s="100">
        <v>0</v>
      </c>
      <c r="BX21" s="100">
        <v>34</v>
      </c>
      <c r="BY21" s="100">
        <v>2121.6</v>
      </c>
      <c r="BZ21" s="100">
        <v>0</v>
      </c>
      <c r="CA21" s="100">
        <v>0</v>
      </c>
      <c r="CB21" s="100">
        <v>26.936860449990395</v>
      </c>
      <c r="CC21" s="100">
        <v>1680.8600920794006</v>
      </c>
      <c r="CD21" s="100">
        <v>0.73229571985174735</v>
      </c>
      <c r="CE21" s="100">
        <v>45.695252918749034</v>
      </c>
      <c r="CF21" s="100">
        <v>32.718498457099791</v>
      </c>
      <c r="CG21" s="100">
        <v>2041.634303723027</v>
      </c>
      <c r="CH21" s="100">
        <v>30</v>
      </c>
      <c r="CI21" s="100">
        <v>1872</v>
      </c>
      <c r="CJ21" s="100">
        <v>1.3907593260511641</v>
      </c>
      <c r="CK21" s="100">
        <v>86.783381945592637</v>
      </c>
      <c r="CL21" s="100">
        <v>0</v>
      </c>
      <c r="CM21" s="100">
        <v>0</v>
      </c>
      <c r="CN21" s="100">
        <v>0.84611311957441404</v>
      </c>
      <c r="CO21" s="100">
        <v>52.797458661443436</v>
      </c>
      <c r="CP21" s="100">
        <v>4.6348036071950514</v>
      </c>
      <c r="CQ21" s="100">
        <v>289.21174508897121</v>
      </c>
      <c r="CR21" s="100">
        <v>19</v>
      </c>
      <c r="CS21" s="100">
        <v>1185.5999999999999</v>
      </c>
      <c r="CT21" s="100">
        <v>23</v>
      </c>
      <c r="CU21" s="100">
        <v>1435.2</v>
      </c>
    </row>
    <row r="22" spans="2:99">
      <c r="C22" s="99" t="s">
        <v>188</v>
      </c>
      <c r="D22" s="100">
        <v>15</v>
      </c>
      <c r="E22" s="100">
        <v>2808</v>
      </c>
      <c r="F22" s="100">
        <v>25</v>
      </c>
      <c r="G22" s="100">
        <v>4680</v>
      </c>
      <c r="H22" s="100">
        <v>17</v>
      </c>
      <c r="I22" s="100">
        <v>3182.3999999999996</v>
      </c>
      <c r="J22" s="100">
        <v>22</v>
      </c>
      <c r="K22" s="100">
        <v>4118.3999999999996</v>
      </c>
      <c r="L22" s="100">
        <v>30</v>
      </c>
      <c r="M22" s="100">
        <v>5616</v>
      </c>
      <c r="N22" s="100">
        <v>22</v>
      </c>
      <c r="O22" s="100">
        <v>4118.3999999999996</v>
      </c>
      <c r="P22" s="100">
        <v>13.4039888295999</v>
      </c>
      <c r="Q22" s="100">
        <v>2509.2267089011011</v>
      </c>
      <c r="R22" s="100">
        <v>22</v>
      </c>
      <c r="S22" s="100">
        <v>4118.3999999999996</v>
      </c>
      <c r="T22" s="100">
        <v>32</v>
      </c>
      <c r="U22" s="100">
        <v>5990.4</v>
      </c>
      <c r="V22" s="100">
        <v>22</v>
      </c>
      <c r="W22" s="100">
        <v>4118.3999999999996</v>
      </c>
      <c r="X22" s="100">
        <v>22</v>
      </c>
      <c r="Y22" s="100">
        <v>4118.3999999999996</v>
      </c>
      <c r="Z22" s="100">
        <v>19</v>
      </c>
      <c r="AA22" s="100">
        <v>3556.7999999999997</v>
      </c>
      <c r="AB22" s="100">
        <v>23</v>
      </c>
      <c r="AC22" s="100">
        <v>4305.5999999999995</v>
      </c>
      <c r="AD22" s="100">
        <v>28</v>
      </c>
      <c r="AE22" s="100">
        <v>5241.5999999999995</v>
      </c>
      <c r="AF22" s="100">
        <v>29</v>
      </c>
      <c r="AG22" s="100">
        <v>5428.7999999999993</v>
      </c>
      <c r="AH22" s="100">
        <v>18</v>
      </c>
      <c r="AI22" s="100">
        <v>3369.6</v>
      </c>
      <c r="AJ22" s="100">
        <v>24</v>
      </c>
      <c r="AK22" s="100">
        <v>4492.7999999999993</v>
      </c>
      <c r="AL22" s="100">
        <v>17</v>
      </c>
      <c r="AM22" s="100">
        <v>3182.3999999999996</v>
      </c>
      <c r="AN22" s="100">
        <v>31</v>
      </c>
      <c r="AO22" s="100">
        <v>5803.2</v>
      </c>
      <c r="AP22" s="100">
        <v>18.605155140546973</v>
      </c>
      <c r="AQ22" s="100">
        <v>3482.8850423103931</v>
      </c>
      <c r="AR22" s="100">
        <v>14.235800649515079</v>
      </c>
      <c r="AS22" s="100">
        <v>2664.9418815892227</v>
      </c>
      <c r="AT22" s="100">
        <v>26</v>
      </c>
      <c r="AU22" s="100">
        <v>4867.2</v>
      </c>
      <c r="AV22" s="100">
        <v>6.4018416791922714</v>
      </c>
      <c r="AW22" s="100">
        <v>1198.4247623447932</v>
      </c>
      <c r="AX22" s="100">
        <v>27</v>
      </c>
      <c r="AY22" s="100">
        <v>5054.3999999999996</v>
      </c>
      <c r="AZ22" s="100">
        <v>0</v>
      </c>
      <c r="BA22" s="100">
        <v>0</v>
      </c>
      <c r="BB22" s="100">
        <v>0</v>
      </c>
      <c r="BC22" s="100">
        <v>0</v>
      </c>
      <c r="BD22" s="100">
        <v>0.43168566026350602</v>
      </c>
      <c r="BE22" s="100">
        <v>80.811555601328322</v>
      </c>
      <c r="BF22" s="100">
        <v>24</v>
      </c>
      <c r="BG22" s="100">
        <v>4492.7999999999993</v>
      </c>
      <c r="BH22" s="100">
        <v>24</v>
      </c>
      <c r="BI22" s="100">
        <v>4492.7999999999993</v>
      </c>
      <c r="BJ22" s="100">
        <v>0</v>
      </c>
      <c r="BK22" s="100">
        <v>0</v>
      </c>
      <c r="BL22" s="100">
        <v>3.1676101704868715</v>
      </c>
      <c r="BM22" s="100">
        <v>592.97662391514234</v>
      </c>
      <c r="BN22" s="100">
        <v>3.2822669571957612</v>
      </c>
      <c r="BO22" s="100">
        <v>614.44037438704652</v>
      </c>
      <c r="BP22" s="100">
        <v>19</v>
      </c>
      <c r="BQ22" s="100">
        <v>3556.7999999999997</v>
      </c>
      <c r="BR22" s="100">
        <v>0</v>
      </c>
      <c r="BS22" s="100">
        <v>0</v>
      </c>
      <c r="BT22" s="100">
        <v>0.68495711185794961</v>
      </c>
      <c r="BU22" s="100">
        <v>128.22397133980814</v>
      </c>
      <c r="BV22" s="100">
        <v>0</v>
      </c>
      <c r="BW22" s="100">
        <v>0</v>
      </c>
      <c r="BX22" s="100">
        <v>29</v>
      </c>
      <c r="BY22" s="100">
        <v>5428.7999999999993</v>
      </c>
      <c r="BZ22" s="100">
        <v>0</v>
      </c>
      <c r="CA22" s="100">
        <v>0</v>
      </c>
      <c r="CB22" s="100">
        <v>28.932183446285983</v>
      </c>
      <c r="CC22" s="100">
        <v>5416.1047411447353</v>
      </c>
      <c r="CD22" s="100">
        <v>0.65906614786657269</v>
      </c>
      <c r="CE22" s="100">
        <v>123.3771828806224</v>
      </c>
      <c r="CF22" s="100">
        <v>31.727028806884647</v>
      </c>
      <c r="CG22" s="100">
        <v>5939.2997926488051</v>
      </c>
      <c r="CH22" s="100">
        <v>26</v>
      </c>
      <c r="CI22" s="100">
        <v>4867.2</v>
      </c>
      <c r="CJ22" s="100">
        <v>1.4487076313032961</v>
      </c>
      <c r="CK22" s="100">
        <v>271.19806857997702</v>
      </c>
      <c r="CL22" s="100">
        <v>0</v>
      </c>
      <c r="CM22" s="100">
        <v>0</v>
      </c>
      <c r="CN22" s="100">
        <v>0.84611311957441404</v>
      </c>
      <c r="CO22" s="100">
        <v>158.3923759843303</v>
      </c>
      <c r="CP22" s="100">
        <v>4.6348036071950514</v>
      </c>
      <c r="CQ22" s="100">
        <v>867.63523526691358</v>
      </c>
      <c r="CR22" s="100">
        <v>19</v>
      </c>
      <c r="CS22" s="100">
        <v>3556.7999999999997</v>
      </c>
      <c r="CT22" s="100">
        <v>24</v>
      </c>
      <c r="CU22" s="100">
        <v>4492.7999999999993</v>
      </c>
    </row>
    <row r="23" spans="2:99">
      <c r="C23" s="99" t="s">
        <v>189</v>
      </c>
      <c r="D23" s="100">
        <v>13</v>
      </c>
      <c r="E23" s="100">
        <v>3822</v>
      </c>
      <c r="F23" s="100">
        <v>24</v>
      </c>
      <c r="G23" s="100">
        <v>7056</v>
      </c>
      <c r="H23" s="100">
        <v>16</v>
      </c>
      <c r="I23" s="100">
        <v>4704</v>
      </c>
      <c r="J23" s="100">
        <v>23</v>
      </c>
      <c r="K23" s="100">
        <v>6762</v>
      </c>
      <c r="L23" s="100">
        <v>26</v>
      </c>
      <c r="M23" s="100">
        <v>7644</v>
      </c>
      <c r="N23" s="100">
        <v>20</v>
      </c>
      <c r="O23" s="100">
        <v>5880</v>
      </c>
      <c r="P23" s="100">
        <v>13.919526861507588</v>
      </c>
      <c r="Q23" s="100">
        <v>4092.3408972832308</v>
      </c>
      <c r="R23" s="100">
        <v>23</v>
      </c>
      <c r="S23" s="100">
        <v>6762</v>
      </c>
      <c r="T23" s="100">
        <v>28</v>
      </c>
      <c r="U23" s="100">
        <v>8232</v>
      </c>
      <c r="V23" s="100">
        <v>22</v>
      </c>
      <c r="W23" s="100">
        <v>6468</v>
      </c>
      <c r="X23" s="100">
        <v>26</v>
      </c>
      <c r="Y23" s="100">
        <v>7644</v>
      </c>
      <c r="Z23" s="100">
        <v>17</v>
      </c>
      <c r="AA23" s="100">
        <v>4998</v>
      </c>
      <c r="AB23" s="100">
        <v>21</v>
      </c>
      <c r="AC23" s="100">
        <v>6174</v>
      </c>
      <c r="AD23" s="100">
        <v>28</v>
      </c>
      <c r="AE23" s="100">
        <v>8232</v>
      </c>
      <c r="AF23" s="100">
        <v>30</v>
      </c>
      <c r="AG23" s="100">
        <v>8820</v>
      </c>
      <c r="AH23" s="100">
        <v>20</v>
      </c>
      <c r="AI23" s="100">
        <v>5880</v>
      </c>
      <c r="AJ23" s="100">
        <v>26</v>
      </c>
      <c r="AK23" s="100">
        <v>7644</v>
      </c>
      <c r="AL23" s="100">
        <v>16</v>
      </c>
      <c r="AM23" s="100">
        <v>4704</v>
      </c>
      <c r="AN23" s="100">
        <v>30</v>
      </c>
      <c r="AO23" s="100">
        <v>8820</v>
      </c>
      <c r="AP23" s="100">
        <v>16.458406470483858</v>
      </c>
      <c r="AQ23" s="100">
        <v>4838.7715023222545</v>
      </c>
      <c r="AR23" s="100">
        <v>12.378957086534852</v>
      </c>
      <c r="AS23" s="100">
        <v>3639.4133834412464</v>
      </c>
      <c r="AT23" s="100">
        <v>25</v>
      </c>
      <c r="AU23" s="100">
        <v>7350</v>
      </c>
      <c r="AV23" s="100">
        <v>6.6579153463599621</v>
      </c>
      <c r="AW23" s="100">
        <v>1957.4271118298288</v>
      </c>
      <c r="AX23" s="100">
        <v>24</v>
      </c>
      <c r="AY23" s="100">
        <v>7056</v>
      </c>
      <c r="AZ23" s="100">
        <v>0</v>
      </c>
      <c r="BA23" s="100">
        <v>0</v>
      </c>
      <c r="BB23" s="100">
        <v>0</v>
      </c>
      <c r="BC23" s="100">
        <v>0</v>
      </c>
      <c r="BD23" s="100">
        <v>0.3899096286251022</v>
      </c>
      <c r="BE23" s="100">
        <v>114.63343081578005</v>
      </c>
      <c r="BF23" s="100">
        <v>23</v>
      </c>
      <c r="BG23" s="100">
        <v>6762</v>
      </c>
      <c r="BH23" s="100">
        <v>24</v>
      </c>
      <c r="BI23" s="100">
        <v>7056</v>
      </c>
      <c r="BJ23" s="100">
        <v>0</v>
      </c>
      <c r="BK23" s="100">
        <v>0</v>
      </c>
      <c r="BL23" s="100">
        <v>2.5916810485801678</v>
      </c>
      <c r="BM23" s="100">
        <v>761.95422828256937</v>
      </c>
      <c r="BN23" s="100">
        <v>2.9175706286184542</v>
      </c>
      <c r="BO23" s="100">
        <v>857.76576481382551</v>
      </c>
      <c r="BP23" s="100">
        <v>22</v>
      </c>
      <c r="BQ23" s="100">
        <v>6468</v>
      </c>
      <c r="BR23" s="100">
        <v>0</v>
      </c>
      <c r="BS23" s="100">
        <v>0</v>
      </c>
      <c r="BT23" s="100">
        <v>0.68495711185794961</v>
      </c>
      <c r="BU23" s="100">
        <v>201.37739088623718</v>
      </c>
      <c r="BV23" s="100">
        <v>0</v>
      </c>
      <c r="BW23" s="100">
        <v>0</v>
      </c>
      <c r="BX23" s="100">
        <v>31</v>
      </c>
      <c r="BY23" s="100">
        <v>9114</v>
      </c>
      <c r="BZ23" s="100">
        <v>0</v>
      </c>
      <c r="CA23" s="100">
        <v>0</v>
      </c>
      <c r="CB23" s="100">
        <v>23.943875955547021</v>
      </c>
      <c r="CC23" s="100">
        <v>7039.4995309308242</v>
      </c>
      <c r="CD23" s="100">
        <v>0.73229571985174735</v>
      </c>
      <c r="CE23" s="100">
        <v>215.29494163641371</v>
      </c>
      <c r="CF23" s="100">
        <v>29.744089506454355</v>
      </c>
      <c r="CG23" s="100">
        <v>8744.7623148975799</v>
      </c>
      <c r="CH23" s="100">
        <v>29</v>
      </c>
      <c r="CI23" s="100">
        <v>8526</v>
      </c>
      <c r="CJ23" s="100">
        <v>1.5646042418075594</v>
      </c>
      <c r="CK23" s="100">
        <v>459.99364709142247</v>
      </c>
      <c r="CL23" s="100">
        <v>0</v>
      </c>
      <c r="CM23" s="100">
        <v>0</v>
      </c>
      <c r="CN23" s="100">
        <v>0.80380746359569344</v>
      </c>
      <c r="CO23" s="100">
        <v>236.31939429713387</v>
      </c>
      <c r="CP23" s="100">
        <v>4.8922926964836657</v>
      </c>
      <c r="CQ23" s="100">
        <v>1438.3340527661978</v>
      </c>
      <c r="CR23" s="100">
        <v>20</v>
      </c>
      <c r="CS23" s="100">
        <v>5880</v>
      </c>
      <c r="CT23" s="100">
        <v>26</v>
      </c>
      <c r="CU23" s="100">
        <v>7644</v>
      </c>
    </row>
    <row r="24" spans="2:99">
      <c r="C24" s="99" t="s">
        <v>190</v>
      </c>
      <c r="D24" s="100">
        <v>14</v>
      </c>
      <c r="E24" s="100">
        <v>5140.8</v>
      </c>
      <c r="F24" s="100">
        <v>22</v>
      </c>
      <c r="G24" s="100">
        <v>8078.4</v>
      </c>
      <c r="H24" s="100">
        <v>16</v>
      </c>
      <c r="I24" s="100">
        <v>5875.2</v>
      </c>
      <c r="J24" s="100">
        <v>24</v>
      </c>
      <c r="K24" s="100">
        <v>8812.7999999999993</v>
      </c>
      <c r="L24" s="100">
        <v>28</v>
      </c>
      <c r="M24" s="100">
        <v>10281.6</v>
      </c>
      <c r="N24" s="100">
        <v>23</v>
      </c>
      <c r="O24" s="100">
        <v>8445.6</v>
      </c>
      <c r="P24" s="100">
        <v>13.919526861507588</v>
      </c>
      <c r="Q24" s="100">
        <v>5111.2502635455867</v>
      </c>
      <c r="R24" s="100">
        <v>21</v>
      </c>
      <c r="S24" s="100">
        <v>7711.2</v>
      </c>
      <c r="T24" s="100">
        <v>28</v>
      </c>
      <c r="U24" s="100">
        <v>10281.6</v>
      </c>
      <c r="V24" s="100">
        <v>20</v>
      </c>
      <c r="W24" s="100">
        <v>7344</v>
      </c>
      <c r="X24" s="100">
        <v>25</v>
      </c>
      <c r="Y24" s="100">
        <v>9180</v>
      </c>
      <c r="Z24" s="100">
        <v>20</v>
      </c>
      <c r="AA24" s="100">
        <v>7344</v>
      </c>
      <c r="AB24" s="100">
        <v>21</v>
      </c>
      <c r="AC24" s="100">
        <v>7711.2</v>
      </c>
      <c r="AD24" s="100">
        <v>26</v>
      </c>
      <c r="AE24" s="100">
        <v>9547.1999999999989</v>
      </c>
      <c r="AF24" s="100">
        <v>27</v>
      </c>
      <c r="AG24" s="100">
        <v>9914.4</v>
      </c>
      <c r="AH24" s="100">
        <v>20</v>
      </c>
      <c r="AI24" s="100">
        <v>7344</v>
      </c>
      <c r="AJ24" s="100">
        <v>27</v>
      </c>
      <c r="AK24" s="100">
        <v>9914.4</v>
      </c>
      <c r="AL24" s="100">
        <v>18</v>
      </c>
      <c r="AM24" s="100">
        <v>6609.5999999999995</v>
      </c>
      <c r="AN24" s="100">
        <v>27</v>
      </c>
      <c r="AO24" s="100">
        <v>9914.4</v>
      </c>
      <c r="AP24" s="100">
        <v>15.742823580462822</v>
      </c>
      <c r="AQ24" s="100">
        <v>5780.7648187459481</v>
      </c>
      <c r="AR24" s="100">
        <v>11.760009232208109</v>
      </c>
      <c r="AS24" s="100">
        <v>4318.2753900668176</v>
      </c>
      <c r="AT24" s="100">
        <v>30</v>
      </c>
      <c r="AU24" s="100">
        <v>11016</v>
      </c>
      <c r="AV24" s="100">
        <v>7.1700626806953442</v>
      </c>
      <c r="AW24" s="100">
        <v>2632.8470163513302</v>
      </c>
      <c r="AX24" s="100">
        <v>26</v>
      </c>
      <c r="AY24" s="100">
        <v>9547.1999999999989</v>
      </c>
      <c r="AZ24" s="100">
        <v>0</v>
      </c>
      <c r="BA24" s="100">
        <v>0</v>
      </c>
      <c r="BB24" s="100">
        <v>0</v>
      </c>
      <c r="BC24" s="100">
        <v>0</v>
      </c>
      <c r="BD24" s="100">
        <v>0.34813359698669843</v>
      </c>
      <c r="BE24" s="100">
        <v>127.83465681351566</v>
      </c>
      <c r="BF24" s="100">
        <v>22</v>
      </c>
      <c r="BG24" s="100">
        <v>8078.4</v>
      </c>
      <c r="BH24" s="100">
        <v>27</v>
      </c>
      <c r="BI24" s="100">
        <v>9914.4</v>
      </c>
      <c r="BJ24" s="100">
        <v>0</v>
      </c>
      <c r="BK24" s="100">
        <v>0</v>
      </c>
      <c r="BL24" s="100">
        <v>2.6876692355646186</v>
      </c>
      <c r="BM24" s="100">
        <v>986.91214329932791</v>
      </c>
      <c r="BN24" s="100">
        <v>3.2822669571957612</v>
      </c>
      <c r="BO24" s="100">
        <v>1205.2484266822835</v>
      </c>
      <c r="BP24" s="100">
        <v>19</v>
      </c>
      <c r="BQ24" s="100">
        <v>6976.8</v>
      </c>
      <c r="BR24" s="100">
        <v>0</v>
      </c>
      <c r="BS24" s="100">
        <v>0</v>
      </c>
      <c r="BT24" s="100">
        <v>0.68495711185794961</v>
      </c>
      <c r="BU24" s="100">
        <v>251.51625147423908</v>
      </c>
      <c r="BV24" s="100">
        <v>0</v>
      </c>
      <c r="BW24" s="100">
        <v>0</v>
      </c>
      <c r="BX24" s="100">
        <v>33</v>
      </c>
      <c r="BY24" s="100">
        <v>12117.6</v>
      </c>
      <c r="BZ24" s="100">
        <v>0</v>
      </c>
      <c r="CA24" s="100">
        <v>0</v>
      </c>
      <c r="CB24" s="100">
        <v>27.93452194813819</v>
      </c>
      <c r="CC24" s="100">
        <v>10257.556459356343</v>
      </c>
      <c r="CD24" s="100">
        <v>0.70788586252335584</v>
      </c>
      <c r="CE24" s="100">
        <v>259.93568871857627</v>
      </c>
      <c r="CF24" s="100">
        <v>31.727028806884647</v>
      </c>
      <c r="CG24" s="100">
        <v>11650.164977888042</v>
      </c>
      <c r="CH24" s="100">
        <v>26</v>
      </c>
      <c r="CI24" s="100">
        <v>9547.1999999999989</v>
      </c>
      <c r="CJ24" s="100">
        <v>1.2748627155469003</v>
      </c>
      <c r="CK24" s="100">
        <v>468.12958914882176</v>
      </c>
      <c r="CL24" s="100">
        <v>0</v>
      </c>
      <c r="CM24" s="100">
        <v>0</v>
      </c>
      <c r="CN24" s="100">
        <v>0.76150180761697273</v>
      </c>
      <c r="CO24" s="100">
        <v>279.62346375695239</v>
      </c>
      <c r="CP24" s="100">
        <v>4.6348036071950514</v>
      </c>
      <c r="CQ24" s="100">
        <v>1701.8998845620229</v>
      </c>
      <c r="CR24" s="100">
        <v>22</v>
      </c>
      <c r="CS24" s="100">
        <v>8078.4</v>
      </c>
      <c r="CT24" s="100">
        <v>21</v>
      </c>
      <c r="CU24" s="100">
        <v>7711.2</v>
      </c>
    </row>
    <row r="25" spans="2:99">
      <c r="C25" s="99" t="s">
        <v>191</v>
      </c>
      <c r="D25" s="100">
        <v>13</v>
      </c>
      <c r="E25" s="100">
        <v>6895.2</v>
      </c>
      <c r="F25" s="100">
        <v>23</v>
      </c>
      <c r="G25" s="100">
        <v>12199.199999999999</v>
      </c>
      <c r="H25" s="100">
        <v>16</v>
      </c>
      <c r="I25" s="100">
        <v>8486.4</v>
      </c>
      <c r="J25" s="100">
        <v>21</v>
      </c>
      <c r="K25" s="100">
        <v>11138.4</v>
      </c>
      <c r="L25" s="100">
        <v>27</v>
      </c>
      <c r="M25" s="100">
        <v>14320.8</v>
      </c>
      <c r="N25" s="100">
        <v>23</v>
      </c>
      <c r="O25" s="100">
        <v>12199.199999999999</v>
      </c>
      <c r="P25" s="100">
        <v>12.888450797692212</v>
      </c>
      <c r="Q25" s="100">
        <v>6836.0343030959484</v>
      </c>
      <c r="R25" s="100">
        <v>20</v>
      </c>
      <c r="S25" s="100">
        <v>10608</v>
      </c>
      <c r="T25" s="100">
        <v>27</v>
      </c>
      <c r="U25" s="100">
        <v>14320.8</v>
      </c>
      <c r="V25" s="100">
        <v>22</v>
      </c>
      <c r="W25" s="100">
        <v>11668.8</v>
      </c>
      <c r="X25" s="100">
        <v>25</v>
      </c>
      <c r="Y25" s="100">
        <v>13260</v>
      </c>
      <c r="Z25" s="100">
        <v>19</v>
      </c>
      <c r="AA25" s="100">
        <v>10077.6</v>
      </c>
      <c r="AB25" s="100">
        <v>20</v>
      </c>
      <c r="AC25" s="100">
        <v>10608</v>
      </c>
      <c r="AD25" s="100">
        <v>24</v>
      </c>
      <c r="AE25" s="100">
        <v>12729.599999999999</v>
      </c>
      <c r="AF25" s="100">
        <v>28</v>
      </c>
      <c r="AG25" s="100">
        <v>14851.199999999999</v>
      </c>
      <c r="AH25" s="100">
        <v>19</v>
      </c>
      <c r="AI25" s="100">
        <v>10077.6</v>
      </c>
      <c r="AJ25" s="100">
        <v>27</v>
      </c>
      <c r="AK25" s="100">
        <v>14320.8</v>
      </c>
      <c r="AL25" s="100">
        <v>17</v>
      </c>
      <c r="AM25" s="100">
        <v>9016.7999999999993</v>
      </c>
      <c r="AN25" s="100">
        <v>28</v>
      </c>
      <c r="AO25" s="100">
        <v>14851.199999999999</v>
      </c>
      <c r="AP25" s="100">
        <v>15.742823580462822</v>
      </c>
      <c r="AQ25" s="100">
        <v>8349.9936270774797</v>
      </c>
      <c r="AR25" s="100">
        <v>12.378957086534852</v>
      </c>
      <c r="AS25" s="100">
        <v>6565.7988386980851</v>
      </c>
      <c r="AT25" s="100">
        <v>28</v>
      </c>
      <c r="AU25" s="100">
        <v>14851.199999999999</v>
      </c>
      <c r="AV25" s="100">
        <v>6.6579153463599621</v>
      </c>
      <c r="AW25" s="100">
        <v>3531.3582997093235</v>
      </c>
      <c r="AX25" s="100">
        <v>26</v>
      </c>
      <c r="AY25" s="100">
        <v>13790.4</v>
      </c>
      <c r="AZ25" s="100">
        <v>0</v>
      </c>
      <c r="BA25" s="100">
        <v>0</v>
      </c>
      <c r="BB25" s="100">
        <v>0</v>
      </c>
      <c r="BC25" s="100">
        <v>0</v>
      </c>
      <c r="BD25" s="100">
        <v>0.37598428474563428</v>
      </c>
      <c r="BE25" s="100">
        <v>199.42206462908442</v>
      </c>
      <c r="BF25" s="100">
        <v>20</v>
      </c>
      <c r="BG25" s="100">
        <v>10608</v>
      </c>
      <c r="BH25" s="100">
        <v>26</v>
      </c>
      <c r="BI25" s="100">
        <v>13790.4</v>
      </c>
      <c r="BJ25" s="100">
        <v>0</v>
      </c>
      <c r="BK25" s="100">
        <v>0</v>
      </c>
      <c r="BL25" s="100">
        <v>2.7836574225490689</v>
      </c>
      <c r="BM25" s="100">
        <v>1476.451896920026</v>
      </c>
      <c r="BN25" s="100">
        <v>2.7352224643298011</v>
      </c>
      <c r="BO25" s="100">
        <v>1450.7619950805265</v>
      </c>
      <c r="BP25" s="100">
        <v>21</v>
      </c>
      <c r="BQ25" s="100">
        <v>11138.4</v>
      </c>
      <c r="BR25" s="100">
        <v>0</v>
      </c>
      <c r="BS25" s="100">
        <v>0</v>
      </c>
      <c r="BT25" s="100">
        <v>0.59561487987647788</v>
      </c>
      <c r="BU25" s="100">
        <v>315.91413228648383</v>
      </c>
      <c r="BV25" s="100">
        <v>0</v>
      </c>
      <c r="BW25" s="100">
        <v>0</v>
      </c>
      <c r="BX25" s="100">
        <v>30</v>
      </c>
      <c r="BY25" s="100">
        <v>15912</v>
      </c>
      <c r="BZ25" s="100">
        <v>0</v>
      </c>
      <c r="CA25" s="100">
        <v>0</v>
      </c>
      <c r="CB25" s="100">
        <v>23.943875955547021</v>
      </c>
      <c r="CC25" s="100">
        <v>12699.83180682214</v>
      </c>
      <c r="CD25" s="100">
        <v>0.65906614786657269</v>
      </c>
      <c r="CE25" s="100">
        <v>349.56868482843015</v>
      </c>
      <c r="CF25" s="100">
        <v>30.735559156669503</v>
      </c>
      <c r="CG25" s="100">
        <v>16302.140576697504</v>
      </c>
      <c r="CH25" s="100">
        <v>26</v>
      </c>
      <c r="CI25" s="100">
        <v>13790.4</v>
      </c>
      <c r="CJ25" s="100">
        <v>1.5066559365554277</v>
      </c>
      <c r="CK25" s="100">
        <v>799.1303087489988</v>
      </c>
      <c r="CL25" s="100">
        <v>0</v>
      </c>
      <c r="CM25" s="100">
        <v>0</v>
      </c>
      <c r="CN25" s="100">
        <v>0.84611311957441404</v>
      </c>
      <c r="CO25" s="100">
        <v>448.77839862226921</v>
      </c>
      <c r="CP25" s="100">
        <v>4.377314517906437</v>
      </c>
      <c r="CQ25" s="100">
        <v>2321.727620297574</v>
      </c>
      <c r="CR25" s="100">
        <v>20</v>
      </c>
      <c r="CS25" s="100">
        <v>10608</v>
      </c>
      <c r="CT25" s="100">
        <v>23</v>
      </c>
      <c r="CU25" s="100">
        <v>12199.199999999999</v>
      </c>
    </row>
    <row r="26" spans="2:99">
      <c r="C26" s="99" t="s">
        <v>192</v>
      </c>
      <c r="D26" s="100">
        <v>14</v>
      </c>
      <c r="E26" s="100">
        <v>6804</v>
      </c>
      <c r="F26" s="100">
        <v>23</v>
      </c>
      <c r="G26" s="100">
        <v>11178</v>
      </c>
      <c r="H26" s="100">
        <v>18</v>
      </c>
      <c r="I26" s="100">
        <v>8748</v>
      </c>
      <c r="J26" s="100">
        <v>22</v>
      </c>
      <c r="K26" s="100">
        <v>10692</v>
      </c>
      <c r="L26" s="100">
        <v>26</v>
      </c>
      <c r="M26" s="100">
        <v>12636</v>
      </c>
      <c r="N26" s="100">
        <v>21</v>
      </c>
      <c r="O26" s="100">
        <v>10206</v>
      </c>
      <c r="P26" s="100">
        <v>13.919526861507588</v>
      </c>
      <c r="Q26" s="100">
        <v>6764.890054692688</v>
      </c>
      <c r="R26" s="100">
        <v>24</v>
      </c>
      <c r="S26" s="100">
        <v>11664</v>
      </c>
      <c r="T26" s="100">
        <v>29</v>
      </c>
      <c r="U26" s="100">
        <v>14094</v>
      </c>
      <c r="V26" s="100">
        <v>19</v>
      </c>
      <c r="W26" s="100">
        <v>9234</v>
      </c>
      <c r="X26" s="100">
        <v>23</v>
      </c>
      <c r="Y26" s="100">
        <v>11178</v>
      </c>
      <c r="Z26" s="100">
        <v>16</v>
      </c>
      <c r="AA26" s="100">
        <v>7776</v>
      </c>
      <c r="AB26" s="100">
        <v>21</v>
      </c>
      <c r="AC26" s="100">
        <v>10206</v>
      </c>
      <c r="AD26" s="100">
        <v>26</v>
      </c>
      <c r="AE26" s="100">
        <v>12636</v>
      </c>
      <c r="AF26" s="100">
        <v>28</v>
      </c>
      <c r="AG26" s="100">
        <v>13608</v>
      </c>
      <c r="AH26" s="100">
        <v>17</v>
      </c>
      <c r="AI26" s="100">
        <v>8262</v>
      </c>
      <c r="AJ26" s="100">
        <v>24</v>
      </c>
      <c r="AK26" s="100">
        <v>11664</v>
      </c>
      <c r="AL26" s="100">
        <v>19</v>
      </c>
      <c r="AM26" s="100">
        <v>9234</v>
      </c>
      <c r="AN26" s="100">
        <v>27</v>
      </c>
      <c r="AO26" s="100">
        <v>13122</v>
      </c>
      <c r="AP26" s="100">
        <v>17.889572250525934</v>
      </c>
      <c r="AQ26" s="100">
        <v>8694.3321137556031</v>
      </c>
      <c r="AR26" s="100">
        <v>12.997904940861593</v>
      </c>
      <c r="AS26" s="100">
        <v>6316.9818012587339</v>
      </c>
      <c r="AT26" s="100">
        <v>29</v>
      </c>
      <c r="AU26" s="100">
        <v>14094</v>
      </c>
      <c r="AV26" s="100">
        <v>6.1457680120245799</v>
      </c>
      <c r="AW26" s="100">
        <v>2986.8432538439456</v>
      </c>
      <c r="AX26" s="100">
        <v>27</v>
      </c>
      <c r="AY26" s="100">
        <v>13122</v>
      </c>
      <c r="AZ26" s="100">
        <v>0</v>
      </c>
      <c r="BA26" s="100">
        <v>0</v>
      </c>
      <c r="BB26" s="100">
        <v>0</v>
      </c>
      <c r="BC26" s="100">
        <v>0</v>
      </c>
      <c r="BD26" s="100">
        <v>0.34813359698669843</v>
      </c>
      <c r="BE26" s="100">
        <v>169.19292813553545</v>
      </c>
      <c r="BF26" s="100">
        <v>22</v>
      </c>
      <c r="BG26" s="100">
        <v>10692</v>
      </c>
      <c r="BH26" s="100">
        <v>24</v>
      </c>
      <c r="BI26" s="100">
        <v>11664</v>
      </c>
      <c r="BJ26" s="100">
        <v>0</v>
      </c>
      <c r="BK26" s="100">
        <v>0</v>
      </c>
      <c r="BL26" s="100">
        <v>2.6876692355646186</v>
      </c>
      <c r="BM26" s="100">
        <v>1306.2072484844045</v>
      </c>
      <c r="BN26" s="100">
        <v>2.7352224643298011</v>
      </c>
      <c r="BO26" s="100">
        <v>1329.3181176642834</v>
      </c>
      <c r="BP26" s="100">
        <v>22</v>
      </c>
      <c r="BQ26" s="100">
        <v>10692</v>
      </c>
      <c r="BR26" s="100">
        <v>0</v>
      </c>
      <c r="BS26" s="100">
        <v>0</v>
      </c>
      <c r="BT26" s="100">
        <v>0.6551763678641257</v>
      </c>
      <c r="BU26" s="100">
        <v>318.41571478196511</v>
      </c>
      <c r="BV26" s="100">
        <v>0</v>
      </c>
      <c r="BW26" s="100">
        <v>0</v>
      </c>
      <c r="BX26" s="100">
        <v>30</v>
      </c>
      <c r="BY26" s="100">
        <v>14580</v>
      </c>
      <c r="BZ26" s="100">
        <v>0</v>
      </c>
      <c r="CA26" s="100">
        <v>0</v>
      </c>
      <c r="CB26" s="100">
        <v>23.943875955547021</v>
      </c>
      <c r="CC26" s="100">
        <v>11636.723714395852</v>
      </c>
      <c r="CD26" s="100">
        <v>0.73229571985174735</v>
      </c>
      <c r="CE26" s="100">
        <v>355.89571984794924</v>
      </c>
      <c r="CF26" s="100">
        <v>32.718498457099791</v>
      </c>
      <c r="CG26" s="100">
        <v>15901.190250150499</v>
      </c>
      <c r="CH26" s="100">
        <v>29</v>
      </c>
      <c r="CI26" s="100">
        <v>14094</v>
      </c>
      <c r="CJ26" s="100">
        <v>1.2748627155469003</v>
      </c>
      <c r="CK26" s="100">
        <v>619.58327975579357</v>
      </c>
      <c r="CL26" s="100">
        <v>0</v>
      </c>
      <c r="CM26" s="100">
        <v>0</v>
      </c>
      <c r="CN26" s="100">
        <v>0.71919615163825201</v>
      </c>
      <c r="CO26" s="100">
        <v>349.52932969619047</v>
      </c>
      <c r="CP26" s="100">
        <v>4.1198254286178235</v>
      </c>
      <c r="CQ26" s="100">
        <v>2002.2351583082623</v>
      </c>
      <c r="CR26" s="100">
        <v>19</v>
      </c>
      <c r="CS26" s="100">
        <v>9234</v>
      </c>
      <c r="CT26" s="100">
        <v>21</v>
      </c>
      <c r="CU26" s="100">
        <v>10206</v>
      </c>
    </row>
    <row r="27" spans="2:99">
      <c r="C27" s="99" t="s">
        <v>193</v>
      </c>
      <c r="D27" s="100">
        <v>15</v>
      </c>
      <c r="E27" s="100">
        <v>6408</v>
      </c>
      <c r="F27" s="100">
        <v>24</v>
      </c>
      <c r="G27" s="100">
        <v>10252.799999999999</v>
      </c>
      <c r="H27" s="100">
        <v>18</v>
      </c>
      <c r="I27" s="100">
        <v>7689.5999999999995</v>
      </c>
      <c r="J27" s="100">
        <v>24</v>
      </c>
      <c r="K27" s="100">
        <v>10252.799999999999</v>
      </c>
      <c r="L27" s="100">
        <v>27</v>
      </c>
      <c r="M27" s="100">
        <v>11534.4</v>
      </c>
      <c r="N27" s="100">
        <v>22</v>
      </c>
      <c r="O27" s="100">
        <v>9398.4</v>
      </c>
      <c r="P27" s="100">
        <v>12.888450797692212</v>
      </c>
      <c r="Q27" s="100">
        <v>5505.9461807741127</v>
      </c>
      <c r="R27" s="100">
        <v>22</v>
      </c>
      <c r="S27" s="100">
        <v>9398.4</v>
      </c>
      <c r="T27" s="100">
        <v>29</v>
      </c>
      <c r="U27" s="100">
        <v>12388.8</v>
      </c>
      <c r="V27" s="100">
        <v>20</v>
      </c>
      <c r="W27" s="100">
        <v>8544</v>
      </c>
      <c r="X27" s="100">
        <v>25</v>
      </c>
      <c r="Y27" s="100">
        <v>10680</v>
      </c>
      <c r="Z27" s="100">
        <v>18</v>
      </c>
      <c r="AA27" s="100">
        <v>7689.5999999999995</v>
      </c>
      <c r="AB27" s="100">
        <v>20</v>
      </c>
      <c r="AC27" s="100">
        <v>8544</v>
      </c>
      <c r="AD27" s="100">
        <v>29</v>
      </c>
      <c r="AE27" s="100">
        <v>12388.8</v>
      </c>
      <c r="AF27" s="100">
        <v>28</v>
      </c>
      <c r="AG27" s="100">
        <v>11961.6</v>
      </c>
      <c r="AH27" s="100">
        <v>19</v>
      </c>
      <c r="AI27" s="100">
        <v>8116.8</v>
      </c>
      <c r="AJ27" s="100">
        <v>26</v>
      </c>
      <c r="AK27" s="100">
        <v>11107.199999999999</v>
      </c>
      <c r="AL27" s="100">
        <v>19</v>
      </c>
      <c r="AM27" s="100">
        <v>8116.8</v>
      </c>
      <c r="AN27" s="100">
        <v>26</v>
      </c>
      <c r="AO27" s="100">
        <v>11107.199999999999</v>
      </c>
      <c r="AP27" s="100">
        <v>16.458406470483858</v>
      </c>
      <c r="AQ27" s="100">
        <v>7031.0312441907045</v>
      </c>
      <c r="AR27" s="100">
        <v>13.616852795188336</v>
      </c>
      <c r="AS27" s="100">
        <v>5817.1195141044573</v>
      </c>
      <c r="AT27" s="100">
        <v>26</v>
      </c>
      <c r="AU27" s="100">
        <v>11107.199999999999</v>
      </c>
      <c r="AV27" s="100">
        <v>7.1700626806953442</v>
      </c>
      <c r="AW27" s="100">
        <v>3063.0507771930511</v>
      </c>
      <c r="AX27" s="100">
        <v>26</v>
      </c>
      <c r="AY27" s="100">
        <v>11107.199999999999</v>
      </c>
      <c r="AZ27" s="100">
        <v>0</v>
      </c>
      <c r="BA27" s="100">
        <v>0</v>
      </c>
      <c r="BB27" s="100">
        <v>0</v>
      </c>
      <c r="BC27" s="100">
        <v>0</v>
      </c>
      <c r="BD27" s="100">
        <v>0.37598428474563428</v>
      </c>
      <c r="BE27" s="100">
        <v>160.62048644333495</v>
      </c>
      <c r="BF27" s="100">
        <v>24</v>
      </c>
      <c r="BG27" s="100">
        <v>10252.799999999999</v>
      </c>
      <c r="BH27" s="100">
        <v>25</v>
      </c>
      <c r="BI27" s="100">
        <v>10680</v>
      </c>
      <c r="BJ27" s="100">
        <v>0</v>
      </c>
      <c r="BK27" s="100">
        <v>0</v>
      </c>
      <c r="BL27" s="100">
        <v>2.6876692355646186</v>
      </c>
      <c r="BM27" s="100">
        <v>1148.1722974332051</v>
      </c>
      <c r="BN27" s="100">
        <v>3.2822669571957612</v>
      </c>
      <c r="BO27" s="100">
        <v>1402.1844441140292</v>
      </c>
      <c r="BP27" s="100">
        <v>22</v>
      </c>
      <c r="BQ27" s="100">
        <v>9398.4</v>
      </c>
      <c r="BR27" s="100">
        <v>0</v>
      </c>
      <c r="BS27" s="100">
        <v>0</v>
      </c>
      <c r="BT27" s="100">
        <v>0.68495711185794961</v>
      </c>
      <c r="BU27" s="100">
        <v>292.61367818571608</v>
      </c>
      <c r="BV27" s="100">
        <v>0</v>
      </c>
      <c r="BW27" s="100">
        <v>0</v>
      </c>
      <c r="BX27" s="100">
        <v>30</v>
      </c>
      <c r="BY27" s="100">
        <v>12816</v>
      </c>
      <c r="BZ27" s="100">
        <v>0</v>
      </c>
      <c r="CA27" s="100">
        <v>0</v>
      </c>
      <c r="CB27" s="100">
        <v>27.93452194813819</v>
      </c>
      <c r="CC27" s="100">
        <v>11933.627776244635</v>
      </c>
      <c r="CD27" s="100">
        <v>0.65906614786657269</v>
      </c>
      <c r="CE27" s="100">
        <v>281.55305836859986</v>
      </c>
      <c r="CF27" s="100">
        <v>32.718498457099791</v>
      </c>
      <c r="CG27" s="100">
        <v>13977.342540873031</v>
      </c>
      <c r="CH27" s="100">
        <v>26</v>
      </c>
      <c r="CI27" s="100">
        <v>11107.199999999999</v>
      </c>
      <c r="CJ27" s="100">
        <v>1.3328110207990322</v>
      </c>
      <c r="CK27" s="100">
        <v>569.37686808534659</v>
      </c>
      <c r="CL27" s="100">
        <v>0</v>
      </c>
      <c r="CM27" s="100">
        <v>0</v>
      </c>
      <c r="CN27" s="100">
        <v>0.80380746359569344</v>
      </c>
      <c r="CO27" s="100">
        <v>343.38654844808025</v>
      </c>
      <c r="CP27" s="100">
        <v>4.6348036071950514</v>
      </c>
      <c r="CQ27" s="100">
        <v>1979.988100993726</v>
      </c>
      <c r="CR27" s="100">
        <v>19</v>
      </c>
      <c r="CS27" s="100">
        <v>8116.8</v>
      </c>
      <c r="CT27" s="100">
        <v>24</v>
      </c>
      <c r="CU27" s="100">
        <v>10252.799999999999</v>
      </c>
    </row>
    <row r="28" spans="2:99">
      <c r="C28" s="99" t="s">
        <v>194</v>
      </c>
      <c r="D28" s="100">
        <v>14</v>
      </c>
      <c r="E28" s="100">
        <v>10332</v>
      </c>
      <c r="F28" s="100">
        <v>21</v>
      </c>
      <c r="G28" s="100">
        <v>15498</v>
      </c>
      <c r="H28" s="100">
        <v>16</v>
      </c>
      <c r="I28" s="100">
        <v>11808</v>
      </c>
      <c r="J28" s="100">
        <v>21</v>
      </c>
      <c r="K28" s="100">
        <v>15498</v>
      </c>
      <c r="L28" s="100">
        <v>28</v>
      </c>
      <c r="M28" s="100">
        <v>20664</v>
      </c>
      <c r="N28" s="100">
        <v>19</v>
      </c>
      <c r="O28" s="100">
        <v>14022</v>
      </c>
      <c r="P28" s="100">
        <v>12.888450797692212</v>
      </c>
      <c r="Q28" s="100">
        <v>9511.6766886968526</v>
      </c>
      <c r="R28" s="100">
        <v>20</v>
      </c>
      <c r="S28" s="100">
        <v>14760</v>
      </c>
      <c r="T28" s="100">
        <v>25</v>
      </c>
      <c r="U28" s="100">
        <v>18450</v>
      </c>
      <c r="V28" s="100">
        <v>22</v>
      </c>
      <c r="W28" s="100">
        <v>16236</v>
      </c>
      <c r="X28" s="100">
        <v>24</v>
      </c>
      <c r="Y28" s="100">
        <v>17712</v>
      </c>
      <c r="Z28" s="100">
        <v>19</v>
      </c>
      <c r="AA28" s="100">
        <v>14022</v>
      </c>
      <c r="AB28" s="100">
        <v>23</v>
      </c>
      <c r="AC28" s="100">
        <v>16974</v>
      </c>
      <c r="AD28" s="100">
        <v>24</v>
      </c>
      <c r="AE28" s="100">
        <v>17712</v>
      </c>
      <c r="AF28" s="100">
        <v>27</v>
      </c>
      <c r="AG28" s="100">
        <v>19926</v>
      </c>
      <c r="AH28" s="100">
        <v>19</v>
      </c>
      <c r="AI28" s="100">
        <v>14022</v>
      </c>
      <c r="AJ28" s="100">
        <v>24</v>
      </c>
      <c r="AK28" s="100">
        <v>17712</v>
      </c>
      <c r="AL28" s="100">
        <v>15</v>
      </c>
      <c r="AM28" s="100">
        <v>11070</v>
      </c>
      <c r="AN28" s="100">
        <v>29</v>
      </c>
      <c r="AO28" s="100">
        <v>21402</v>
      </c>
      <c r="AP28" s="100">
        <v>16.458406470483858</v>
      </c>
      <c r="AQ28" s="100">
        <v>12146.303975217088</v>
      </c>
      <c r="AR28" s="100">
        <v>11.760009232208109</v>
      </c>
      <c r="AS28" s="100">
        <v>8678.8868133695851</v>
      </c>
      <c r="AT28" s="100">
        <v>25</v>
      </c>
      <c r="AU28" s="100">
        <v>18450</v>
      </c>
      <c r="AV28" s="100">
        <v>6.4018416791922714</v>
      </c>
      <c r="AW28" s="100">
        <v>4724.5591592438959</v>
      </c>
      <c r="AX28" s="100">
        <v>25</v>
      </c>
      <c r="AY28" s="100">
        <v>18450</v>
      </c>
      <c r="AZ28" s="100">
        <v>0</v>
      </c>
      <c r="BA28" s="100">
        <v>0</v>
      </c>
      <c r="BB28" s="100">
        <v>0</v>
      </c>
      <c r="BC28" s="100">
        <v>0</v>
      </c>
      <c r="BD28" s="100">
        <v>0.37598428474563428</v>
      </c>
      <c r="BE28" s="100">
        <v>277.47640214227812</v>
      </c>
      <c r="BF28" s="100">
        <v>23</v>
      </c>
      <c r="BG28" s="100">
        <v>16974</v>
      </c>
      <c r="BH28" s="100">
        <v>25</v>
      </c>
      <c r="BI28" s="100">
        <v>18450</v>
      </c>
      <c r="BJ28" s="100">
        <v>0</v>
      </c>
      <c r="BK28" s="100">
        <v>0</v>
      </c>
      <c r="BL28" s="100">
        <v>2.5916810485801678</v>
      </c>
      <c r="BM28" s="100">
        <v>1912.6606138521638</v>
      </c>
      <c r="BN28" s="100">
        <v>2.9175706286184542</v>
      </c>
      <c r="BO28" s="100">
        <v>2153.1671239204193</v>
      </c>
      <c r="BP28" s="100">
        <v>18</v>
      </c>
      <c r="BQ28" s="100">
        <v>13284</v>
      </c>
      <c r="BR28" s="100">
        <v>0</v>
      </c>
      <c r="BS28" s="100">
        <v>0</v>
      </c>
      <c r="BT28" s="100">
        <v>0.56583413588265408</v>
      </c>
      <c r="BU28" s="100">
        <v>417.5855922813987</v>
      </c>
      <c r="BV28" s="100">
        <v>0</v>
      </c>
      <c r="BW28" s="100">
        <v>0</v>
      </c>
      <c r="BX28" s="100">
        <v>31</v>
      </c>
      <c r="BY28" s="100">
        <v>22878</v>
      </c>
      <c r="BZ28" s="100">
        <v>0</v>
      </c>
      <c r="CA28" s="100">
        <v>0</v>
      </c>
      <c r="CB28" s="100">
        <v>25.939198951842606</v>
      </c>
      <c r="CC28" s="100">
        <v>19143.128826459844</v>
      </c>
      <c r="CD28" s="100">
        <v>0.61024643320978955</v>
      </c>
      <c r="CE28" s="100">
        <v>450.36186770882466</v>
      </c>
      <c r="CF28" s="100">
        <v>30.735559156669503</v>
      </c>
      <c r="CG28" s="100">
        <v>22682.842657622092</v>
      </c>
      <c r="CH28" s="100">
        <v>26</v>
      </c>
      <c r="CI28" s="100">
        <v>19188</v>
      </c>
      <c r="CJ28" s="100">
        <v>1.3328110207990322</v>
      </c>
      <c r="CK28" s="100">
        <v>983.61453334968576</v>
      </c>
      <c r="CL28" s="100">
        <v>0</v>
      </c>
      <c r="CM28" s="100">
        <v>0</v>
      </c>
      <c r="CN28" s="100">
        <v>0.71919615163825201</v>
      </c>
      <c r="CO28" s="100">
        <v>530.76675990902993</v>
      </c>
      <c r="CP28" s="100">
        <v>4.1198254286178235</v>
      </c>
      <c r="CQ28" s="100">
        <v>3040.4311663199537</v>
      </c>
      <c r="CR28" s="100">
        <v>19</v>
      </c>
      <c r="CS28" s="100">
        <v>14022</v>
      </c>
      <c r="CT28" s="100">
        <v>22</v>
      </c>
      <c r="CU28" s="100">
        <v>16236</v>
      </c>
    </row>
    <row r="29" spans="2:99">
      <c r="C29" s="99" t="s">
        <v>195</v>
      </c>
      <c r="D29" s="100">
        <v>16</v>
      </c>
      <c r="E29" s="100">
        <v>5414.4</v>
      </c>
      <c r="F29" s="100">
        <v>24</v>
      </c>
      <c r="G29" s="100">
        <v>8121.5999999999995</v>
      </c>
      <c r="H29" s="100">
        <v>17</v>
      </c>
      <c r="I29" s="100">
        <v>5752.7999999999993</v>
      </c>
      <c r="J29" s="100">
        <v>21</v>
      </c>
      <c r="K29" s="100">
        <v>7106.4</v>
      </c>
      <c r="L29" s="100">
        <v>31</v>
      </c>
      <c r="M29" s="100">
        <v>10490.4</v>
      </c>
      <c r="N29" s="100">
        <v>23</v>
      </c>
      <c r="O29" s="100">
        <v>7783.2</v>
      </c>
      <c r="P29" s="100">
        <v>13.4039888295999</v>
      </c>
      <c r="Q29" s="100">
        <v>4535.9098199366063</v>
      </c>
      <c r="R29" s="100">
        <v>23</v>
      </c>
      <c r="S29" s="100">
        <v>7783.2</v>
      </c>
      <c r="T29" s="100">
        <v>28</v>
      </c>
      <c r="U29" s="100">
        <v>9475.1999999999989</v>
      </c>
      <c r="V29" s="100">
        <v>24</v>
      </c>
      <c r="W29" s="100">
        <v>8121.5999999999995</v>
      </c>
      <c r="X29" s="100">
        <v>25</v>
      </c>
      <c r="Y29" s="100">
        <v>8460</v>
      </c>
      <c r="Z29" s="100">
        <v>17</v>
      </c>
      <c r="AA29" s="100">
        <v>5752.7999999999993</v>
      </c>
      <c r="AB29" s="100">
        <v>23</v>
      </c>
      <c r="AC29" s="100">
        <v>7783.2</v>
      </c>
      <c r="AD29" s="100">
        <v>28</v>
      </c>
      <c r="AE29" s="100">
        <v>9475.1999999999989</v>
      </c>
      <c r="AF29" s="100">
        <v>26</v>
      </c>
      <c r="AG29" s="100">
        <v>8798.4</v>
      </c>
      <c r="AH29" s="100">
        <v>17</v>
      </c>
      <c r="AI29" s="100">
        <v>5752.7999999999993</v>
      </c>
      <c r="AJ29" s="100">
        <v>27</v>
      </c>
      <c r="AK29" s="100">
        <v>9136.7999999999993</v>
      </c>
      <c r="AL29" s="100">
        <v>16</v>
      </c>
      <c r="AM29" s="100">
        <v>5414.4</v>
      </c>
      <c r="AN29" s="100">
        <v>27</v>
      </c>
      <c r="AO29" s="100">
        <v>9136.7999999999993</v>
      </c>
      <c r="AP29" s="100">
        <v>17.889572250525934</v>
      </c>
      <c r="AQ29" s="100">
        <v>6053.8312495779755</v>
      </c>
      <c r="AR29" s="100">
        <v>11.760009232208109</v>
      </c>
      <c r="AS29" s="100">
        <v>3979.5871241792238</v>
      </c>
      <c r="AT29" s="100">
        <v>30</v>
      </c>
      <c r="AU29" s="100">
        <v>10152</v>
      </c>
      <c r="AV29" s="100">
        <v>7.1700626806953442</v>
      </c>
      <c r="AW29" s="100">
        <v>2426.3492111473042</v>
      </c>
      <c r="AX29" s="100">
        <v>27</v>
      </c>
      <c r="AY29" s="100">
        <v>9136.7999999999993</v>
      </c>
      <c r="AZ29" s="100">
        <v>0</v>
      </c>
      <c r="BA29" s="100">
        <v>0</v>
      </c>
      <c r="BB29" s="100">
        <v>0</v>
      </c>
      <c r="BC29" s="100">
        <v>0</v>
      </c>
      <c r="BD29" s="100">
        <v>0.34813359698669843</v>
      </c>
      <c r="BE29" s="100">
        <v>117.80840922029874</v>
      </c>
      <c r="BF29" s="100">
        <v>22</v>
      </c>
      <c r="BG29" s="100">
        <v>7444.7999999999993</v>
      </c>
      <c r="BH29" s="100">
        <v>27</v>
      </c>
      <c r="BI29" s="100">
        <v>9136.7999999999993</v>
      </c>
      <c r="BJ29" s="100">
        <v>0</v>
      </c>
      <c r="BK29" s="100">
        <v>0</v>
      </c>
      <c r="BL29" s="100">
        <v>2.9756337965179704</v>
      </c>
      <c r="BM29" s="100">
        <v>1006.9544767416811</v>
      </c>
      <c r="BN29" s="100">
        <v>3.0999187929071081</v>
      </c>
      <c r="BO29" s="100">
        <v>1049.0125195197654</v>
      </c>
      <c r="BP29" s="100">
        <v>21</v>
      </c>
      <c r="BQ29" s="100">
        <v>7106.4</v>
      </c>
      <c r="BR29" s="100">
        <v>0</v>
      </c>
      <c r="BS29" s="100">
        <v>0</v>
      </c>
      <c r="BT29" s="100">
        <v>0.68495711185794961</v>
      </c>
      <c r="BU29" s="100">
        <v>231.78948665273012</v>
      </c>
      <c r="BV29" s="100">
        <v>0</v>
      </c>
      <c r="BW29" s="100">
        <v>0</v>
      </c>
      <c r="BX29" s="100">
        <v>29</v>
      </c>
      <c r="BY29" s="100">
        <v>9813.5999999999985</v>
      </c>
      <c r="BZ29" s="100">
        <v>0</v>
      </c>
      <c r="CA29" s="100">
        <v>0</v>
      </c>
      <c r="CB29" s="100">
        <v>26.936860449990395</v>
      </c>
      <c r="CC29" s="100">
        <v>9115.4335762767496</v>
      </c>
      <c r="CD29" s="100">
        <v>0.73229571985174735</v>
      </c>
      <c r="CE29" s="100">
        <v>247.80887159783128</v>
      </c>
      <c r="CF29" s="100">
        <v>33.709968107314936</v>
      </c>
      <c r="CG29" s="100">
        <v>11407.453207515373</v>
      </c>
      <c r="CH29" s="100">
        <v>28</v>
      </c>
      <c r="CI29" s="100">
        <v>9475.1999999999989</v>
      </c>
      <c r="CJ29" s="100">
        <v>1.5646042418075594</v>
      </c>
      <c r="CK29" s="100">
        <v>529.46207542767809</v>
      </c>
      <c r="CL29" s="100">
        <v>0</v>
      </c>
      <c r="CM29" s="100">
        <v>0</v>
      </c>
      <c r="CN29" s="100">
        <v>0.76150180761697273</v>
      </c>
      <c r="CO29" s="100">
        <v>257.69221169758356</v>
      </c>
      <c r="CP29" s="100">
        <v>4.1198254286178235</v>
      </c>
      <c r="CQ29" s="100">
        <v>1394.1489250442714</v>
      </c>
      <c r="CR29" s="100">
        <v>21</v>
      </c>
      <c r="CS29" s="100">
        <v>7106.4</v>
      </c>
      <c r="CT29" s="100">
        <v>26</v>
      </c>
      <c r="CU29" s="100">
        <v>8798.4</v>
      </c>
    </row>
    <row r="30" spans="2:99">
      <c r="C30" s="99" t="s">
        <v>196</v>
      </c>
      <c r="D30" s="100">
        <v>15</v>
      </c>
      <c r="E30" s="100">
        <v>2088</v>
      </c>
      <c r="F30" s="100">
        <v>22</v>
      </c>
      <c r="G30" s="100">
        <v>3062.3999999999996</v>
      </c>
      <c r="H30" s="100">
        <v>19</v>
      </c>
      <c r="I30" s="100">
        <v>2644.7999999999997</v>
      </c>
      <c r="J30" s="100">
        <v>25</v>
      </c>
      <c r="K30" s="100">
        <v>3479.9999999999995</v>
      </c>
      <c r="L30" s="100">
        <v>29</v>
      </c>
      <c r="M30" s="100">
        <v>4036.7999999999997</v>
      </c>
      <c r="N30" s="100">
        <v>20</v>
      </c>
      <c r="O30" s="100">
        <v>2784</v>
      </c>
      <c r="P30" s="100">
        <v>13.4039888295999</v>
      </c>
      <c r="Q30" s="100">
        <v>1865.8352450803059</v>
      </c>
      <c r="R30" s="100">
        <v>23</v>
      </c>
      <c r="S30" s="100">
        <v>3201.6</v>
      </c>
      <c r="T30" s="100">
        <v>31</v>
      </c>
      <c r="U30" s="100">
        <v>4315.2</v>
      </c>
      <c r="V30" s="100">
        <v>23</v>
      </c>
      <c r="W30" s="100">
        <v>3201.6</v>
      </c>
      <c r="X30" s="100">
        <v>25</v>
      </c>
      <c r="Y30" s="100">
        <v>3479.9999999999995</v>
      </c>
      <c r="Z30" s="100">
        <v>20</v>
      </c>
      <c r="AA30" s="100">
        <v>2784</v>
      </c>
      <c r="AB30" s="100">
        <v>24</v>
      </c>
      <c r="AC30" s="100">
        <v>3340.7999999999997</v>
      </c>
      <c r="AD30" s="100">
        <v>27</v>
      </c>
      <c r="AE30" s="100">
        <v>3758.3999999999996</v>
      </c>
      <c r="AF30" s="100">
        <v>27</v>
      </c>
      <c r="AG30" s="100">
        <v>3758.3999999999996</v>
      </c>
      <c r="AH30" s="100">
        <v>18</v>
      </c>
      <c r="AI30" s="100">
        <v>2505.6</v>
      </c>
      <c r="AJ30" s="100">
        <v>27</v>
      </c>
      <c r="AK30" s="100">
        <v>3758.3999999999996</v>
      </c>
      <c r="AL30" s="100">
        <v>19</v>
      </c>
      <c r="AM30" s="100">
        <v>2644.7999999999997</v>
      </c>
      <c r="AN30" s="100">
        <v>30</v>
      </c>
      <c r="AO30" s="100">
        <v>4176</v>
      </c>
      <c r="AP30" s="100">
        <v>16.458406470483858</v>
      </c>
      <c r="AQ30" s="100">
        <v>2291.0101806913531</v>
      </c>
      <c r="AR30" s="100">
        <v>14.235800649515079</v>
      </c>
      <c r="AS30" s="100">
        <v>1981.6234504124989</v>
      </c>
      <c r="AT30" s="100">
        <v>30</v>
      </c>
      <c r="AU30" s="100">
        <v>4176</v>
      </c>
      <c r="AV30" s="100">
        <v>7.1700626806953442</v>
      </c>
      <c r="AW30" s="100">
        <v>998.0727251527918</v>
      </c>
      <c r="AX30" s="100">
        <v>25</v>
      </c>
      <c r="AY30" s="100">
        <v>3479.9999999999995</v>
      </c>
      <c r="AZ30" s="100">
        <v>0</v>
      </c>
      <c r="BA30" s="100">
        <v>0</v>
      </c>
      <c r="BB30" s="100">
        <v>0</v>
      </c>
      <c r="BC30" s="100">
        <v>0</v>
      </c>
      <c r="BD30" s="100">
        <v>0.4177603163840381</v>
      </c>
      <c r="BE30" s="100">
        <v>58.152236040658096</v>
      </c>
      <c r="BF30" s="100">
        <v>23</v>
      </c>
      <c r="BG30" s="100">
        <v>3201.6</v>
      </c>
      <c r="BH30" s="100">
        <v>24</v>
      </c>
      <c r="BI30" s="100">
        <v>3340.7999999999997</v>
      </c>
      <c r="BJ30" s="100">
        <v>0</v>
      </c>
      <c r="BK30" s="100">
        <v>0</v>
      </c>
      <c r="BL30" s="100">
        <v>2.7836574225490689</v>
      </c>
      <c r="BM30" s="100">
        <v>387.48511321883035</v>
      </c>
      <c r="BN30" s="100">
        <v>2.9175706286184542</v>
      </c>
      <c r="BO30" s="100">
        <v>406.1258315036888</v>
      </c>
      <c r="BP30" s="100">
        <v>20</v>
      </c>
      <c r="BQ30" s="100">
        <v>2784</v>
      </c>
      <c r="BR30" s="100">
        <v>0</v>
      </c>
      <c r="BS30" s="100">
        <v>0</v>
      </c>
      <c r="BT30" s="100">
        <v>0.6551763678641257</v>
      </c>
      <c r="BU30" s="100">
        <v>91.20055040668629</v>
      </c>
      <c r="BV30" s="100">
        <v>0</v>
      </c>
      <c r="BW30" s="100">
        <v>0</v>
      </c>
      <c r="BX30" s="100">
        <v>28</v>
      </c>
      <c r="BY30" s="100">
        <v>3897.5999999999995</v>
      </c>
      <c r="BZ30" s="100">
        <v>0</v>
      </c>
      <c r="CA30" s="100">
        <v>0</v>
      </c>
      <c r="CB30" s="100">
        <v>24.941537453694814</v>
      </c>
      <c r="CC30" s="100">
        <v>3471.8620135543179</v>
      </c>
      <c r="CD30" s="100">
        <v>0.63465629053818107</v>
      </c>
      <c r="CE30" s="100">
        <v>88.344155642914799</v>
      </c>
      <c r="CF30" s="100">
        <v>34.70143775753008</v>
      </c>
      <c r="CG30" s="100">
        <v>4830.4401358481864</v>
      </c>
      <c r="CH30" s="100">
        <v>26</v>
      </c>
      <c r="CI30" s="100">
        <v>3619.2</v>
      </c>
      <c r="CJ30" s="100">
        <v>1.3907593260511641</v>
      </c>
      <c r="CK30" s="100">
        <v>193.59369818632203</v>
      </c>
      <c r="CL30" s="100">
        <v>0</v>
      </c>
      <c r="CM30" s="100">
        <v>0</v>
      </c>
      <c r="CN30" s="100">
        <v>0.88841877555313475</v>
      </c>
      <c r="CO30" s="100">
        <v>123.66789355699635</v>
      </c>
      <c r="CP30" s="100">
        <v>4.377314517906437</v>
      </c>
      <c r="CQ30" s="100">
        <v>609.32218089257594</v>
      </c>
      <c r="CR30" s="100">
        <v>20</v>
      </c>
      <c r="CS30" s="100">
        <v>2784</v>
      </c>
      <c r="CT30" s="100">
        <v>26</v>
      </c>
      <c r="CU30" s="100">
        <v>3619.2</v>
      </c>
    </row>
    <row r="31" spans="2:99">
      <c r="C31" s="99" t="s">
        <v>197</v>
      </c>
      <c r="D31" s="100">
        <v>14</v>
      </c>
      <c r="E31" s="100">
        <v>4771.2</v>
      </c>
      <c r="F31" s="100">
        <v>22</v>
      </c>
      <c r="G31" s="100">
        <v>7497.6</v>
      </c>
      <c r="H31" s="100">
        <v>18</v>
      </c>
      <c r="I31" s="100">
        <v>6134.4000000000005</v>
      </c>
      <c r="J31" s="100">
        <v>22</v>
      </c>
      <c r="K31" s="100">
        <v>7497.6</v>
      </c>
      <c r="L31" s="100">
        <v>26</v>
      </c>
      <c r="M31" s="100">
        <v>8860.8000000000011</v>
      </c>
      <c r="N31" s="100">
        <v>23</v>
      </c>
      <c r="O31" s="100">
        <v>7838.4000000000005</v>
      </c>
      <c r="P31" s="100">
        <v>13.4039888295999</v>
      </c>
      <c r="Q31" s="100">
        <v>4568.0793931276457</v>
      </c>
      <c r="R31" s="100">
        <v>22</v>
      </c>
      <c r="S31" s="100">
        <v>7497.6</v>
      </c>
      <c r="T31" s="100">
        <v>31</v>
      </c>
      <c r="U31" s="100">
        <v>10564.800000000001</v>
      </c>
      <c r="V31" s="100">
        <v>20</v>
      </c>
      <c r="W31" s="100">
        <v>6816</v>
      </c>
      <c r="X31" s="100">
        <v>24</v>
      </c>
      <c r="Y31" s="100">
        <v>8179.2000000000007</v>
      </c>
      <c r="Z31" s="100">
        <v>18</v>
      </c>
      <c r="AA31" s="100">
        <v>6134.4000000000005</v>
      </c>
      <c r="AB31" s="100">
        <v>22</v>
      </c>
      <c r="AC31" s="100">
        <v>7497.6</v>
      </c>
      <c r="AD31" s="100">
        <v>25</v>
      </c>
      <c r="AE31" s="100">
        <v>8520</v>
      </c>
      <c r="AF31" s="100">
        <v>30</v>
      </c>
      <c r="AG31" s="100">
        <v>10224</v>
      </c>
      <c r="AH31" s="100">
        <v>20</v>
      </c>
      <c r="AI31" s="100">
        <v>6816</v>
      </c>
      <c r="AJ31" s="100">
        <v>23</v>
      </c>
      <c r="AK31" s="100">
        <v>7838.4000000000005</v>
      </c>
      <c r="AL31" s="100">
        <v>18</v>
      </c>
      <c r="AM31" s="100">
        <v>6134.4000000000005</v>
      </c>
      <c r="AN31" s="100">
        <v>29</v>
      </c>
      <c r="AO31" s="100">
        <v>9883.2000000000007</v>
      </c>
      <c r="AP31" s="100">
        <v>16.458406470483858</v>
      </c>
      <c r="AQ31" s="100">
        <v>5609.0249251408986</v>
      </c>
      <c r="AR31" s="100">
        <v>14.235800649515079</v>
      </c>
      <c r="AS31" s="100">
        <v>4851.5608613547392</v>
      </c>
      <c r="AT31" s="100">
        <v>28</v>
      </c>
      <c r="AU31" s="100">
        <v>9542.4</v>
      </c>
      <c r="AV31" s="100">
        <v>6.4018416791922714</v>
      </c>
      <c r="AW31" s="100">
        <v>2181.7476442687262</v>
      </c>
      <c r="AX31" s="100">
        <v>24</v>
      </c>
      <c r="AY31" s="100">
        <v>8179.2000000000007</v>
      </c>
      <c r="AZ31" s="100">
        <v>0</v>
      </c>
      <c r="BA31" s="100">
        <v>0</v>
      </c>
      <c r="BB31" s="100">
        <v>0</v>
      </c>
      <c r="BC31" s="100">
        <v>0</v>
      </c>
      <c r="BD31" s="100">
        <v>0.4177603163840381</v>
      </c>
      <c r="BE31" s="100">
        <v>142.37271582368018</v>
      </c>
      <c r="BF31" s="100">
        <v>23</v>
      </c>
      <c r="BG31" s="100">
        <v>7838.4000000000005</v>
      </c>
      <c r="BH31" s="100">
        <v>24</v>
      </c>
      <c r="BI31" s="100">
        <v>8179.2000000000007</v>
      </c>
      <c r="BJ31" s="100">
        <v>0</v>
      </c>
      <c r="BK31" s="100">
        <v>0</v>
      </c>
      <c r="BL31" s="100">
        <v>2.6876692355646186</v>
      </c>
      <c r="BM31" s="100">
        <v>915.95767548042204</v>
      </c>
      <c r="BN31" s="100">
        <v>2.7352224643298011</v>
      </c>
      <c r="BO31" s="100">
        <v>932.16381584359624</v>
      </c>
      <c r="BP31" s="100">
        <v>21</v>
      </c>
      <c r="BQ31" s="100">
        <v>7156.8</v>
      </c>
      <c r="BR31" s="100">
        <v>0</v>
      </c>
      <c r="BS31" s="100">
        <v>0</v>
      </c>
      <c r="BT31" s="100">
        <v>0.6551763678641257</v>
      </c>
      <c r="BU31" s="100">
        <v>223.28410616809404</v>
      </c>
      <c r="BV31" s="100">
        <v>0</v>
      </c>
      <c r="BW31" s="100">
        <v>0</v>
      </c>
      <c r="BX31" s="100">
        <v>29</v>
      </c>
      <c r="BY31" s="100">
        <v>9883.2000000000007</v>
      </c>
      <c r="BZ31" s="100">
        <v>0</v>
      </c>
      <c r="CA31" s="100">
        <v>0</v>
      </c>
      <c r="CB31" s="100">
        <v>27.93452194813819</v>
      </c>
      <c r="CC31" s="100">
        <v>9520.0850799254949</v>
      </c>
      <c r="CD31" s="100">
        <v>0.65906614786657269</v>
      </c>
      <c r="CE31" s="100">
        <v>224.60974319292799</v>
      </c>
      <c r="CF31" s="100">
        <v>28.75261985623921</v>
      </c>
      <c r="CG31" s="100">
        <v>9798.8928470063238</v>
      </c>
      <c r="CH31" s="100">
        <v>29</v>
      </c>
      <c r="CI31" s="100">
        <v>9883.2000000000007</v>
      </c>
      <c r="CJ31" s="100">
        <v>1.3907593260511641</v>
      </c>
      <c r="CK31" s="100">
        <v>473.97077831823674</v>
      </c>
      <c r="CL31" s="100">
        <v>0</v>
      </c>
      <c r="CM31" s="100">
        <v>0</v>
      </c>
      <c r="CN31" s="100">
        <v>0.84611311957441404</v>
      </c>
      <c r="CO31" s="100">
        <v>288.3553511509603</v>
      </c>
      <c r="CP31" s="100">
        <v>4.377314517906437</v>
      </c>
      <c r="CQ31" s="100">
        <v>1491.7887877025137</v>
      </c>
      <c r="CR31" s="100">
        <v>21</v>
      </c>
      <c r="CS31" s="100">
        <v>7156.8</v>
      </c>
      <c r="CT31" s="100">
        <v>26</v>
      </c>
      <c r="CU31" s="100">
        <v>8860.8000000000011</v>
      </c>
    </row>
    <row r="32" spans="2:99">
      <c r="C32" s="99" t="s">
        <v>198</v>
      </c>
      <c r="D32" s="100">
        <v>13</v>
      </c>
      <c r="E32" s="100">
        <v>10920</v>
      </c>
      <c r="F32" s="100">
        <v>23</v>
      </c>
      <c r="G32" s="100">
        <v>19320</v>
      </c>
      <c r="H32" s="100">
        <v>17</v>
      </c>
      <c r="I32" s="100">
        <v>14280</v>
      </c>
      <c r="J32" s="100">
        <v>21</v>
      </c>
      <c r="K32" s="100">
        <v>17640</v>
      </c>
      <c r="L32" s="100">
        <v>30</v>
      </c>
      <c r="M32" s="100">
        <v>25200</v>
      </c>
      <c r="N32" s="100">
        <v>19</v>
      </c>
      <c r="O32" s="100">
        <v>15960</v>
      </c>
      <c r="P32" s="100">
        <v>11.857374733876835</v>
      </c>
      <c r="Q32" s="100">
        <v>9960.1947764565411</v>
      </c>
      <c r="R32" s="100">
        <v>21</v>
      </c>
      <c r="S32" s="100">
        <v>17640</v>
      </c>
      <c r="T32" s="100">
        <v>25</v>
      </c>
      <c r="U32" s="100">
        <v>21000</v>
      </c>
      <c r="V32" s="100">
        <v>21</v>
      </c>
      <c r="W32" s="100">
        <v>17640</v>
      </c>
      <c r="X32" s="100">
        <v>21</v>
      </c>
      <c r="Y32" s="100">
        <v>17640</v>
      </c>
      <c r="Z32" s="100">
        <v>19</v>
      </c>
      <c r="AA32" s="100">
        <v>15960</v>
      </c>
      <c r="AB32" s="100">
        <v>23</v>
      </c>
      <c r="AC32" s="100">
        <v>19320</v>
      </c>
      <c r="AD32" s="100">
        <v>24</v>
      </c>
      <c r="AE32" s="100">
        <v>20160</v>
      </c>
      <c r="AF32" s="100">
        <v>25</v>
      </c>
      <c r="AG32" s="100">
        <v>21000</v>
      </c>
      <c r="AH32" s="100">
        <v>16</v>
      </c>
      <c r="AI32" s="100">
        <v>13440</v>
      </c>
      <c r="AJ32" s="100">
        <v>24</v>
      </c>
      <c r="AK32" s="100">
        <v>20160</v>
      </c>
      <c r="AL32" s="100">
        <v>15</v>
      </c>
      <c r="AM32" s="100">
        <v>12600</v>
      </c>
      <c r="AN32" s="100">
        <v>25</v>
      </c>
      <c r="AO32" s="100">
        <v>21000</v>
      </c>
      <c r="AP32" s="100">
        <v>17.889572250525934</v>
      </c>
      <c r="AQ32" s="100">
        <v>15027.240690441784</v>
      </c>
      <c r="AR32" s="100">
        <v>11.141061377881368</v>
      </c>
      <c r="AS32" s="100">
        <v>9358.4915574203496</v>
      </c>
      <c r="AT32" s="100">
        <v>25</v>
      </c>
      <c r="AU32" s="100">
        <v>21000</v>
      </c>
      <c r="AV32" s="100">
        <v>6.9139890135276527</v>
      </c>
      <c r="AW32" s="100">
        <v>5807.7507713632285</v>
      </c>
      <c r="AX32" s="100">
        <v>24</v>
      </c>
      <c r="AY32" s="100">
        <v>20160</v>
      </c>
      <c r="AZ32" s="100">
        <v>0</v>
      </c>
      <c r="BA32" s="100">
        <v>0</v>
      </c>
      <c r="BB32" s="100">
        <v>0</v>
      </c>
      <c r="BC32" s="100">
        <v>0</v>
      </c>
      <c r="BD32" s="100">
        <v>0.40383497250457012</v>
      </c>
      <c r="BE32" s="100">
        <v>339.22137690383892</v>
      </c>
      <c r="BF32" s="100">
        <v>21</v>
      </c>
      <c r="BG32" s="100">
        <v>17640</v>
      </c>
      <c r="BH32" s="100">
        <v>26</v>
      </c>
      <c r="BI32" s="100">
        <v>21840</v>
      </c>
      <c r="BJ32" s="100">
        <v>0</v>
      </c>
      <c r="BK32" s="100">
        <v>0</v>
      </c>
      <c r="BL32" s="100">
        <v>2.5916810485801678</v>
      </c>
      <c r="BM32" s="100">
        <v>2177.0120808073411</v>
      </c>
      <c r="BN32" s="100">
        <v>2.9175706286184542</v>
      </c>
      <c r="BO32" s="100">
        <v>2450.7593280395017</v>
      </c>
      <c r="BP32" s="100">
        <v>21</v>
      </c>
      <c r="BQ32" s="100">
        <v>17640</v>
      </c>
      <c r="BR32" s="100">
        <v>0</v>
      </c>
      <c r="BS32" s="100">
        <v>0</v>
      </c>
      <c r="BT32" s="100">
        <v>0.59561487987647788</v>
      </c>
      <c r="BU32" s="100">
        <v>500.31649909624144</v>
      </c>
      <c r="BV32" s="100">
        <v>0</v>
      </c>
      <c r="BW32" s="100">
        <v>0</v>
      </c>
      <c r="BX32" s="100">
        <v>31</v>
      </c>
      <c r="BY32" s="100">
        <v>26040</v>
      </c>
      <c r="BZ32" s="100">
        <v>0</v>
      </c>
      <c r="CA32" s="100">
        <v>0</v>
      </c>
      <c r="CB32" s="100">
        <v>22.946214457399225</v>
      </c>
      <c r="CC32" s="100">
        <v>19274.820144215348</v>
      </c>
      <c r="CD32" s="100">
        <v>0.61024643320978955</v>
      </c>
      <c r="CE32" s="100">
        <v>512.6070038962232</v>
      </c>
      <c r="CF32" s="100">
        <v>28.75261985623921</v>
      </c>
      <c r="CG32" s="100">
        <v>24152.200679240937</v>
      </c>
      <c r="CH32" s="100">
        <v>25</v>
      </c>
      <c r="CI32" s="100">
        <v>21000</v>
      </c>
      <c r="CJ32" s="100">
        <v>1.3907593260511641</v>
      </c>
      <c r="CK32" s="100">
        <v>1168.2378338829778</v>
      </c>
      <c r="CL32" s="100">
        <v>0</v>
      </c>
      <c r="CM32" s="100">
        <v>0</v>
      </c>
      <c r="CN32" s="100">
        <v>0.67689049565953119</v>
      </c>
      <c r="CO32" s="100">
        <v>568.58801635400619</v>
      </c>
      <c r="CP32" s="100">
        <v>4.6348036071950514</v>
      </c>
      <c r="CQ32" s="100">
        <v>3893.2350300438429</v>
      </c>
      <c r="CR32" s="100">
        <v>21</v>
      </c>
      <c r="CS32" s="100">
        <v>17640</v>
      </c>
      <c r="CT32" s="100">
        <v>22</v>
      </c>
      <c r="CU32" s="100">
        <v>18480</v>
      </c>
    </row>
    <row r="33" spans="2:99">
      <c r="C33" s="99" t="s">
        <v>199</v>
      </c>
      <c r="D33" s="100">
        <v>13</v>
      </c>
      <c r="E33" s="100">
        <v>6162</v>
      </c>
      <c r="F33" s="100">
        <v>20</v>
      </c>
      <c r="G33" s="100">
        <v>9480</v>
      </c>
      <c r="H33" s="100">
        <v>17</v>
      </c>
      <c r="I33" s="100">
        <v>8058</v>
      </c>
      <c r="J33" s="100">
        <v>24</v>
      </c>
      <c r="K33" s="100">
        <v>11376</v>
      </c>
      <c r="L33" s="100">
        <v>27</v>
      </c>
      <c r="M33" s="100">
        <v>12798</v>
      </c>
      <c r="N33" s="100">
        <v>21</v>
      </c>
      <c r="O33" s="100">
        <v>9954</v>
      </c>
      <c r="P33" s="100">
        <v>13.4039888295999</v>
      </c>
      <c r="Q33" s="100">
        <v>6353.4907052303524</v>
      </c>
      <c r="R33" s="100">
        <v>21</v>
      </c>
      <c r="S33" s="100">
        <v>9954</v>
      </c>
      <c r="T33" s="100">
        <v>29</v>
      </c>
      <c r="U33" s="100">
        <v>13746</v>
      </c>
      <c r="V33" s="100">
        <v>22</v>
      </c>
      <c r="W33" s="100">
        <v>10428</v>
      </c>
      <c r="X33" s="100">
        <v>23</v>
      </c>
      <c r="Y33" s="100">
        <v>10902</v>
      </c>
      <c r="Z33" s="100">
        <v>19</v>
      </c>
      <c r="AA33" s="100">
        <v>9006</v>
      </c>
      <c r="AB33" s="100">
        <v>22</v>
      </c>
      <c r="AC33" s="100">
        <v>10428</v>
      </c>
      <c r="AD33" s="100">
        <v>27</v>
      </c>
      <c r="AE33" s="100">
        <v>12798</v>
      </c>
      <c r="AF33" s="100">
        <v>29</v>
      </c>
      <c r="AG33" s="100">
        <v>13746</v>
      </c>
      <c r="AH33" s="100">
        <v>17</v>
      </c>
      <c r="AI33" s="100">
        <v>8058</v>
      </c>
      <c r="AJ33" s="100">
        <v>23</v>
      </c>
      <c r="AK33" s="100">
        <v>10902</v>
      </c>
      <c r="AL33" s="100">
        <v>19</v>
      </c>
      <c r="AM33" s="100">
        <v>9006</v>
      </c>
      <c r="AN33" s="100">
        <v>26</v>
      </c>
      <c r="AO33" s="100">
        <v>12324</v>
      </c>
      <c r="AP33" s="100">
        <v>17.173989360504898</v>
      </c>
      <c r="AQ33" s="100">
        <v>8140.4709568793214</v>
      </c>
      <c r="AR33" s="100">
        <v>12.997904940861593</v>
      </c>
      <c r="AS33" s="100">
        <v>6161.006941968395</v>
      </c>
      <c r="AT33" s="100">
        <v>25</v>
      </c>
      <c r="AU33" s="100">
        <v>11850</v>
      </c>
      <c r="AV33" s="100">
        <v>6.9139890135276527</v>
      </c>
      <c r="AW33" s="100">
        <v>3277.2307924121073</v>
      </c>
      <c r="AX33" s="100">
        <v>27</v>
      </c>
      <c r="AY33" s="100">
        <v>12798</v>
      </c>
      <c r="AZ33" s="100">
        <v>0</v>
      </c>
      <c r="BA33" s="100">
        <v>0</v>
      </c>
      <c r="BB33" s="100">
        <v>0</v>
      </c>
      <c r="BC33" s="100">
        <v>0</v>
      </c>
      <c r="BD33" s="100">
        <v>0.36205894086616636</v>
      </c>
      <c r="BE33" s="100">
        <v>171.61593797056284</v>
      </c>
      <c r="BF33" s="100">
        <v>24</v>
      </c>
      <c r="BG33" s="100">
        <v>11376</v>
      </c>
      <c r="BH33" s="100">
        <v>24</v>
      </c>
      <c r="BI33" s="100">
        <v>11376</v>
      </c>
      <c r="BJ33" s="100">
        <v>0</v>
      </c>
      <c r="BK33" s="100">
        <v>0</v>
      </c>
      <c r="BL33" s="100">
        <v>2.5916810485801678</v>
      </c>
      <c r="BM33" s="100">
        <v>1228.4568170269995</v>
      </c>
      <c r="BN33" s="100">
        <v>2.7352224643298011</v>
      </c>
      <c r="BO33" s="100">
        <v>1296.4954480923257</v>
      </c>
      <c r="BP33" s="100">
        <v>21</v>
      </c>
      <c r="BQ33" s="100">
        <v>9954</v>
      </c>
      <c r="BR33" s="100">
        <v>0</v>
      </c>
      <c r="BS33" s="100">
        <v>0</v>
      </c>
      <c r="BT33" s="100">
        <v>0.6551763678641257</v>
      </c>
      <c r="BU33" s="100">
        <v>310.55359836759555</v>
      </c>
      <c r="BV33" s="100">
        <v>0</v>
      </c>
      <c r="BW33" s="100">
        <v>0</v>
      </c>
      <c r="BX33" s="100">
        <v>32</v>
      </c>
      <c r="BY33" s="100">
        <v>15168</v>
      </c>
      <c r="BZ33" s="100">
        <v>0</v>
      </c>
      <c r="CA33" s="100">
        <v>0</v>
      </c>
      <c r="CB33" s="100">
        <v>27.93452194813819</v>
      </c>
      <c r="CC33" s="100">
        <v>13240.963403417501</v>
      </c>
      <c r="CD33" s="100">
        <v>0.61024643320978955</v>
      </c>
      <c r="CE33" s="100">
        <v>289.25680934144026</v>
      </c>
      <c r="CF33" s="100">
        <v>28.75261985623921</v>
      </c>
      <c r="CG33" s="100">
        <v>13628.741811857386</v>
      </c>
      <c r="CH33" s="100">
        <v>27</v>
      </c>
      <c r="CI33" s="100">
        <v>12798</v>
      </c>
      <c r="CJ33" s="100">
        <v>1.5066559365554277</v>
      </c>
      <c r="CK33" s="100">
        <v>714.15491392727279</v>
      </c>
      <c r="CL33" s="100">
        <v>0</v>
      </c>
      <c r="CM33" s="100">
        <v>0</v>
      </c>
      <c r="CN33" s="100">
        <v>0.71919615163825201</v>
      </c>
      <c r="CO33" s="100">
        <v>340.89897587653144</v>
      </c>
      <c r="CP33" s="100">
        <v>4.6348036071950514</v>
      </c>
      <c r="CQ33" s="100">
        <v>2196.8969098104544</v>
      </c>
      <c r="CR33" s="100">
        <v>21</v>
      </c>
      <c r="CS33" s="100">
        <v>9954</v>
      </c>
      <c r="CT33" s="100">
        <v>22</v>
      </c>
      <c r="CU33" s="100">
        <v>10428</v>
      </c>
    </row>
    <row r="34" spans="2:99">
      <c r="C34" s="99" t="s">
        <v>200</v>
      </c>
      <c r="D34" s="100">
        <v>14</v>
      </c>
      <c r="E34" s="100">
        <v>7677.5999999999995</v>
      </c>
      <c r="F34" s="100">
        <v>21</v>
      </c>
      <c r="G34" s="100">
        <v>11516.4</v>
      </c>
      <c r="H34" s="100">
        <v>16</v>
      </c>
      <c r="I34" s="100">
        <v>8774.4</v>
      </c>
      <c r="J34" s="100">
        <v>22</v>
      </c>
      <c r="K34" s="100">
        <v>12064.8</v>
      </c>
      <c r="L34" s="100">
        <v>26</v>
      </c>
      <c r="M34" s="100">
        <v>14258.4</v>
      </c>
      <c r="N34" s="100">
        <v>19</v>
      </c>
      <c r="O34" s="100">
        <v>10419.6</v>
      </c>
      <c r="P34" s="100">
        <v>13.919526861507588</v>
      </c>
      <c r="Q34" s="100">
        <v>7633.4685308507615</v>
      </c>
      <c r="R34" s="100">
        <v>21</v>
      </c>
      <c r="S34" s="100">
        <v>11516.4</v>
      </c>
      <c r="T34" s="100">
        <v>26</v>
      </c>
      <c r="U34" s="100">
        <v>14258.4</v>
      </c>
      <c r="V34" s="100">
        <v>21</v>
      </c>
      <c r="W34" s="100">
        <v>11516.4</v>
      </c>
      <c r="X34" s="100">
        <v>25</v>
      </c>
      <c r="Y34" s="100">
        <v>13710</v>
      </c>
      <c r="Z34" s="100">
        <v>18</v>
      </c>
      <c r="AA34" s="100">
        <v>9871.1999999999989</v>
      </c>
      <c r="AB34" s="100">
        <v>23</v>
      </c>
      <c r="AC34" s="100">
        <v>12613.199999999999</v>
      </c>
      <c r="AD34" s="100">
        <v>27</v>
      </c>
      <c r="AE34" s="100">
        <v>14806.8</v>
      </c>
      <c r="AF34" s="100">
        <v>27</v>
      </c>
      <c r="AG34" s="100">
        <v>14806.8</v>
      </c>
      <c r="AH34" s="100">
        <v>17</v>
      </c>
      <c r="AI34" s="100">
        <v>9322.7999999999993</v>
      </c>
      <c r="AJ34" s="100">
        <v>24</v>
      </c>
      <c r="AK34" s="100">
        <v>13161.599999999999</v>
      </c>
      <c r="AL34" s="100">
        <v>16</v>
      </c>
      <c r="AM34" s="100">
        <v>8774.4</v>
      </c>
      <c r="AN34" s="100">
        <v>26</v>
      </c>
      <c r="AO34" s="100">
        <v>14258.4</v>
      </c>
      <c r="AP34" s="100">
        <v>17.889572250525934</v>
      </c>
      <c r="AQ34" s="100">
        <v>9810.6414221884224</v>
      </c>
      <c r="AR34" s="100">
        <v>12.997904940861593</v>
      </c>
      <c r="AS34" s="100">
        <v>7128.051069568497</v>
      </c>
      <c r="AT34" s="100">
        <v>29</v>
      </c>
      <c r="AU34" s="100">
        <v>15903.599999999999</v>
      </c>
      <c r="AV34" s="100">
        <v>6.1457680120245799</v>
      </c>
      <c r="AW34" s="100">
        <v>3370.3391777942793</v>
      </c>
      <c r="AX34" s="100">
        <v>25</v>
      </c>
      <c r="AY34" s="100">
        <v>13710</v>
      </c>
      <c r="AZ34" s="100">
        <v>0</v>
      </c>
      <c r="BA34" s="100">
        <v>0</v>
      </c>
      <c r="BB34" s="100">
        <v>0</v>
      </c>
      <c r="BC34" s="100">
        <v>0</v>
      </c>
      <c r="BD34" s="100">
        <v>0.4177603163840381</v>
      </c>
      <c r="BE34" s="100">
        <v>229.09975750500649</v>
      </c>
      <c r="BF34" s="100">
        <v>20</v>
      </c>
      <c r="BG34" s="100">
        <v>10968</v>
      </c>
      <c r="BH34" s="100">
        <v>25</v>
      </c>
      <c r="BI34" s="100">
        <v>13710</v>
      </c>
      <c r="BJ34" s="100">
        <v>0</v>
      </c>
      <c r="BK34" s="100">
        <v>0</v>
      </c>
      <c r="BL34" s="100">
        <v>2.5916810485801678</v>
      </c>
      <c r="BM34" s="100">
        <v>1421.277887041364</v>
      </c>
      <c r="BN34" s="100">
        <v>3.0999187929071081</v>
      </c>
      <c r="BO34" s="100">
        <v>1699.9954660302581</v>
      </c>
      <c r="BP34" s="100">
        <v>22</v>
      </c>
      <c r="BQ34" s="100">
        <v>12064.8</v>
      </c>
      <c r="BR34" s="100">
        <v>0</v>
      </c>
      <c r="BS34" s="100">
        <v>0</v>
      </c>
      <c r="BT34" s="100">
        <v>0.68495711185794961</v>
      </c>
      <c r="BU34" s="100">
        <v>375.63048014289956</v>
      </c>
      <c r="BV34" s="100">
        <v>0</v>
      </c>
      <c r="BW34" s="100">
        <v>0</v>
      </c>
      <c r="BX34" s="100">
        <v>28</v>
      </c>
      <c r="BY34" s="100">
        <v>15355.199999999999</v>
      </c>
      <c r="BZ34" s="100">
        <v>0</v>
      </c>
      <c r="CA34" s="100">
        <v>0</v>
      </c>
      <c r="CB34" s="100">
        <v>25.939198951842606</v>
      </c>
      <c r="CC34" s="100">
        <v>14225.056705190484</v>
      </c>
      <c r="CD34" s="100">
        <v>0.63465629053818107</v>
      </c>
      <c r="CE34" s="100">
        <v>348.04550973113851</v>
      </c>
      <c r="CF34" s="100">
        <v>27.76115020602407</v>
      </c>
      <c r="CG34" s="100">
        <v>15224.2147729836</v>
      </c>
      <c r="CH34" s="100">
        <v>25</v>
      </c>
      <c r="CI34" s="100">
        <v>13710</v>
      </c>
      <c r="CJ34" s="100">
        <v>1.2748627155469003</v>
      </c>
      <c r="CK34" s="100">
        <v>699.13471320592009</v>
      </c>
      <c r="CL34" s="100">
        <v>0</v>
      </c>
      <c r="CM34" s="100">
        <v>0</v>
      </c>
      <c r="CN34" s="100">
        <v>0.80380746359569344</v>
      </c>
      <c r="CO34" s="100">
        <v>440.80801303587828</v>
      </c>
      <c r="CP34" s="100">
        <v>4.377314517906437</v>
      </c>
      <c r="CQ34" s="100">
        <v>2400.5192816198901</v>
      </c>
      <c r="CR34" s="100">
        <v>18</v>
      </c>
      <c r="CS34" s="100">
        <v>9871.1999999999989</v>
      </c>
      <c r="CT34" s="100">
        <v>22</v>
      </c>
      <c r="CU34" s="100">
        <v>12064.8</v>
      </c>
    </row>
    <row r="35" spans="2:99">
      <c r="C35" s="99" t="s">
        <v>201</v>
      </c>
      <c r="D35" s="100">
        <v>14</v>
      </c>
      <c r="E35" s="100">
        <v>7039.1999999999989</v>
      </c>
      <c r="F35" s="100">
        <v>22</v>
      </c>
      <c r="G35" s="100">
        <v>11061.599999999999</v>
      </c>
      <c r="H35" s="100">
        <v>18</v>
      </c>
      <c r="I35" s="100">
        <v>9050.3999999999978</v>
      </c>
      <c r="J35" s="100">
        <v>22</v>
      </c>
      <c r="K35" s="100">
        <v>11061.599999999999</v>
      </c>
      <c r="L35" s="100">
        <v>30</v>
      </c>
      <c r="M35" s="100">
        <v>15083.999999999996</v>
      </c>
      <c r="N35" s="100">
        <v>22</v>
      </c>
      <c r="O35" s="100">
        <v>11061.599999999999</v>
      </c>
      <c r="P35" s="100">
        <v>12.372912765784521</v>
      </c>
      <c r="Q35" s="100">
        <v>6221.1005386364559</v>
      </c>
      <c r="R35" s="100">
        <v>24</v>
      </c>
      <c r="S35" s="100">
        <v>12067.199999999997</v>
      </c>
      <c r="T35" s="100">
        <v>26</v>
      </c>
      <c r="U35" s="100">
        <v>13072.799999999997</v>
      </c>
      <c r="V35" s="100">
        <v>22</v>
      </c>
      <c r="W35" s="100">
        <v>11061.599999999999</v>
      </c>
      <c r="X35" s="100">
        <v>22</v>
      </c>
      <c r="Y35" s="100">
        <v>11061.599999999999</v>
      </c>
      <c r="Z35" s="100">
        <v>17</v>
      </c>
      <c r="AA35" s="100">
        <v>8547.5999999999985</v>
      </c>
      <c r="AB35" s="100">
        <v>23</v>
      </c>
      <c r="AC35" s="100">
        <v>11564.399999999998</v>
      </c>
      <c r="AD35" s="100">
        <v>28</v>
      </c>
      <c r="AE35" s="100">
        <v>14078.399999999998</v>
      </c>
      <c r="AF35" s="100">
        <v>27</v>
      </c>
      <c r="AG35" s="100">
        <v>13575.599999999997</v>
      </c>
      <c r="AH35" s="100">
        <v>17</v>
      </c>
      <c r="AI35" s="100">
        <v>8547.5999999999985</v>
      </c>
      <c r="AJ35" s="100">
        <v>24</v>
      </c>
      <c r="AK35" s="100">
        <v>12067.199999999997</v>
      </c>
      <c r="AL35" s="100">
        <v>19</v>
      </c>
      <c r="AM35" s="100">
        <v>9553.1999999999989</v>
      </c>
      <c r="AN35" s="100">
        <v>28</v>
      </c>
      <c r="AO35" s="100">
        <v>14078.399999999998</v>
      </c>
      <c r="AP35" s="100">
        <v>18.605155140546973</v>
      </c>
      <c r="AQ35" s="100">
        <v>9354.6720046670162</v>
      </c>
      <c r="AR35" s="100">
        <v>12.997904940861593</v>
      </c>
      <c r="AS35" s="100">
        <v>6535.346604265208</v>
      </c>
      <c r="AT35" s="100">
        <v>29</v>
      </c>
      <c r="AU35" s="100">
        <v>14581.199999999997</v>
      </c>
      <c r="AV35" s="100">
        <v>6.1457680120245799</v>
      </c>
      <c r="AW35" s="100">
        <v>3090.0921564459582</v>
      </c>
      <c r="AX35" s="100">
        <v>26</v>
      </c>
      <c r="AY35" s="100">
        <v>13072.799999999997</v>
      </c>
      <c r="AZ35" s="100">
        <v>0</v>
      </c>
      <c r="BA35" s="100">
        <v>0</v>
      </c>
      <c r="BB35" s="100">
        <v>0</v>
      </c>
      <c r="BC35" s="100">
        <v>0</v>
      </c>
      <c r="BD35" s="100">
        <v>0.40383497250457012</v>
      </c>
      <c r="BE35" s="100">
        <v>203.0482241752978</v>
      </c>
      <c r="BF35" s="100">
        <v>21</v>
      </c>
      <c r="BG35" s="100">
        <v>10558.799999999997</v>
      </c>
      <c r="BH35" s="100">
        <v>24</v>
      </c>
      <c r="BI35" s="100">
        <v>12067.199999999997</v>
      </c>
      <c r="BJ35" s="100">
        <v>0</v>
      </c>
      <c r="BK35" s="100">
        <v>0</v>
      </c>
      <c r="BL35" s="100">
        <v>2.9756337965179704</v>
      </c>
      <c r="BM35" s="100">
        <v>1496.1486728892353</v>
      </c>
      <c r="BN35" s="100">
        <v>2.9175706286184542</v>
      </c>
      <c r="BO35" s="100">
        <v>1466.9545120693585</v>
      </c>
      <c r="BP35" s="100">
        <v>22</v>
      </c>
      <c r="BQ35" s="100">
        <v>11061.599999999999</v>
      </c>
      <c r="BR35" s="100">
        <v>0</v>
      </c>
      <c r="BS35" s="100">
        <v>0</v>
      </c>
      <c r="BT35" s="100">
        <v>0.59561487987647788</v>
      </c>
      <c r="BU35" s="100">
        <v>299.47516160189303</v>
      </c>
      <c r="BV35" s="100">
        <v>0</v>
      </c>
      <c r="BW35" s="100">
        <v>0</v>
      </c>
      <c r="BX35" s="100">
        <v>30</v>
      </c>
      <c r="BY35" s="100">
        <v>15083.999999999996</v>
      </c>
      <c r="BZ35" s="100">
        <v>0</v>
      </c>
      <c r="CA35" s="100">
        <v>0</v>
      </c>
      <c r="CB35" s="100">
        <v>23.943875955547021</v>
      </c>
      <c r="CC35" s="100">
        <v>12038.98083044904</v>
      </c>
      <c r="CD35" s="100">
        <v>0.65906614786657269</v>
      </c>
      <c r="CE35" s="100">
        <v>331.3784591473127</v>
      </c>
      <c r="CF35" s="100">
        <v>31.727028806884647</v>
      </c>
      <c r="CG35" s="100">
        <v>15952.350084101598</v>
      </c>
      <c r="CH35" s="100">
        <v>27</v>
      </c>
      <c r="CI35" s="100">
        <v>13575.599999999997</v>
      </c>
      <c r="CJ35" s="100">
        <v>1.3907593260511641</v>
      </c>
      <c r="CK35" s="100">
        <v>699.27378913852522</v>
      </c>
      <c r="CL35" s="100">
        <v>0</v>
      </c>
      <c r="CM35" s="100">
        <v>0</v>
      </c>
      <c r="CN35" s="100">
        <v>0.76150180761697273</v>
      </c>
      <c r="CO35" s="100">
        <v>382.88310886981378</v>
      </c>
      <c r="CP35" s="100">
        <v>4.1198254286178235</v>
      </c>
      <c r="CQ35" s="100">
        <v>2071.4482255090411</v>
      </c>
      <c r="CR35" s="100">
        <v>21</v>
      </c>
      <c r="CS35" s="100">
        <v>10558.799999999997</v>
      </c>
      <c r="CT35" s="100">
        <v>24</v>
      </c>
      <c r="CU35" s="100">
        <v>12067.199999999997</v>
      </c>
    </row>
    <row r="36" spans="2:99">
      <c r="C36" s="99" t="s">
        <v>202</v>
      </c>
      <c r="D36" s="100">
        <v>14</v>
      </c>
      <c r="E36" s="100">
        <v>10651.199999999999</v>
      </c>
      <c r="F36" s="100">
        <v>21</v>
      </c>
      <c r="G36" s="100">
        <v>15976.8</v>
      </c>
      <c r="H36" s="100">
        <v>18</v>
      </c>
      <c r="I36" s="100">
        <v>13694.4</v>
      </c>
      <c r="J36" s="100">
        <v>22</v>
      </c>
      <c r="K36" s="100">
        <v>16737.599999999999</v>
      </c>
      <c r="L36" s="100">
        <v>27</v>
      </c>
      <c r="M36" s="100">
        <v>20541.599999999999</v>
      </c>
      <c r="N36" s="100">
        <v>20</v>
      </c>
      <c r="O36" s="100">
        <v>15216</v>
      </c>
      <c r="P36" s="100">
        <v>11.857374733876835</v>
      </c>
      <c r="Q36" s="100">
        <v>9021.0906975334947</v>
      </c>
      <c r="R36" s="100">
        <v>23</v>
      </c>
      <c r="S36" s="100">
        <v>17498.399999999998</v>
      </c>
      <c r="T36" s="100">
        <v>27</v>
      </c>
      <c r="U36" s="100">
        <v>20541.599999999999</v>
      </c>
      <c r="V36" s="100">
        <v>21</v>
      </c>
      <c r="W36" s="100">
        <v>15976.8</v>
      </c>
      <c r="X36" s="100">
        <v>21</v>
      </c>
      <c r="Y36" s="100">
        <v>15976.8</v>
      </c>
      <c r="Z36" s="100">
        <v>16</v>
      </c>
      <c r="AA36" s="100">
        <v>12172.8</v>
      </c>
      <c r="AB36" s="100">
        <v>23</v>
      </c>
      <c r="AC36" s="100">
        <v>17498.399999999998</v>
      </c>
      <c r="AD36" s="100">
        <v>23</v>
      </c>
      <c r="AE36" s="100">
        <v>17498.399999999998</v>
      </c>
      <c r="AF36" s="100">
        <v>27</v>
      </c>
      <c r="AG36" s="100">
        <v>20541.599999999999</v>
      </c>
      <c r="AH36" s="100">
        <v>16</v>
      </c>
      <c r="AI36" s="100">
        <v>12172.8</v>
      </c>
      <c r="AJ36" s="100">
        <v>22</v>
      </c>
      <c r="AK36" s="100">
        <v>16737.599999999999</v>
      </c>
      <c r="AL36" s="100">
        <v>16</v>
      </c>
      <c r="AM36" s="100">
        <v>12172.8</v>
      </c>
      <c r="AN36" s="100">
        <v>26</v>
      </c>
      <c r="AO36" s="100">
        <v>19780.8</v>
      </c>
      <c r="AP36" s="100">
        <v>17.173989360504898</v>
      </c>
      <c r="AQ36" s="100">
        <v>13065.971105472125</v>
      </c>
      <c r="AR36" s="100">
        <v>12.997904940861593</v>
      </c>
      <c r="AS36" s="100">
        <v>9888.8060790074996</v>
      </c>
      <c r="AT36" s="100">
        <v>27</v>
      </c>
      <c r="AU36" s="100">
        <v>20541.599999999999</v>
      </c>
      <c r="AV36" s="100">
        <v>5.8896943448568901</v>
      </c>
      <c r="AW36" s="100">
        <v>4480.8794575671218</v>
      </c>
      <c r="AX36" s="100">
        <v>25</v>
      </c>
      <c r="AY36" s="100">
        <v>19020</v>
      </c>
      <c r="AZ36" s="100">
        <v>0</v>
      </c>
      <c r="BA36" s="100">
        <v>0</v>
      </c>
      <c r="BB36" s="100">
        <v>0</v>
      </c>
      <c r="BC36" s="100">
        <v>0</v>
      </c>
      <c r="BD36" s="100">
        <v>0.40383497250457012</v>
      </c>
      <c r="BE36" s="100">
        <v>307.23764708147695</v>
      </c>
      <c r="BF36" s="100">
        <v>21</v>
      </c>
      <c r="BG36" s="100">
        <v>15976.8</v>
      </c>
      <c r="BH36" s="100">
        <v>26</v>
      </c>
      <c r="BI36" s="100">
        <v>19780.8</v>
      </c>
      <c r="BJ36" s="100">
        <v>0</v>
      </c>
      <c r="BK36" s="100">
        <v>0</v>
      </c>
      <c r="BL36" s="100">
        <v>2.6876692355646186</v>
      </c>
      <c r="BM36" s="100">
        <v>2044.7787544175617</v>
      </c>
      <c r="BN36" s="100">
        <v>2.5528743000411476</v>
      </c>
      <c r="BO36" s="100">
        <v>1942.226767471305</v>
      </c>
      <c r="BP36" s="100">
        <v>20</v>
      </c>
      <c r="BQ36" s="100">
        <v>15216</v>
      </c>
      <c r="BR36" s="100">
        <v>0</v>
      </c>
      <c r="BS36" s="100">
        <v>0</v>
      </c>
      <c r="BT36" s="100">
        <v>0.59561487987647788</v>
      </c>
      <c r="BU36" s="100">
        <v>453.14380061002436</v>
      </c>
      <c r="BV36" s="100">
        <v>0</v>
      </c>
      <c r="BW36" s="100">
        <v>0</v>
      </c>
      <c r="BX36" s="100">
        <v>31</v>
      </c>
      <c r="BY36" s="100">
        <v>23584.799999999999</v>
      </c>
      <c r="BZ36" s="100">
        <v>0</v>
      </c>
      <c r="CA36" s="100">
        <v>0</v>
      </c>
      <c r="CB36" s="100">
        <v>25.939198951842606</v>
      </c>
      <c r="CC36" s="100">
        <v>19734.542562561852</v>
      </c>
      <c r="CD36" s="100">
        <v>0.70788586252335584</v>
      </c>
      <c r="CE36" s="100">
        <v>538.55956420776909</v>
      </c>
      <c r="CF36" s="100">
        <v>32.718498457099791</v>
      </c>
      <c r="CG36" s="100">
        <v>24892.23362616152</v>
      </c>
      <c r="CH36" s="100">
        <v>25</v>
      </c>
      <c r="CI36" s="100">
        <v>19020</v>
      </c>
      <c r="CJ36" s="100">
        <v>1.3907593260511641</v>
      </c>
      <c r="CK36" s="100">
        <v>1058.0896952597257</v>
      </c>
      <c r="CL36" s="100">
        <v>0</v>
      </c>
      <c r="CM36" s="100">
        <v>0</v>
      </c>
      <c r="CN36" s="100">
        <v>0.71919615163825201</v>
      </c>
      <c r="CO36" s="100">
        <v>547.16443216638208</v>
      </c>
      <c r="CP36" s="100">
        <v>4.377314517906437</v>
      </c>
      <c r="CQ36" s="100">
        <v>3330.260885223217</v>
      </c>
      <c r="CR36" s="100">
        <v>19</v>
      </c>
      <c r="CS36" s="100">
        <v>14455.199999999999</v>
      </c>
      <c r="CT36" s="100">
        <v>21</v>
      </c>
      <c r="CU36" s="100">
        <v>15976.8</v>
      </c>
    </row>
    <row r="37" spans="2:99">
      <c r="B37" s="99" t="s">
        <v>128</v>
      </c>
      <c r="C37" s="99" t="s">
        <v>203</v>
      </c>
      <c r="D37" s="100">
        <v>15</v>
      </c>
      <c r="E37" s="100">
        <v>12906</v>
      </c>
      <c r="F37" s="100">
        <v>10</v>
      </c>
      <c r="G37" s="100">
        <v>8604</v>
      </c>
      <c r="H37" s="100">
        <v>11</v>
      </c>
      <c r="I37" s="100">
        <v>9464.4</v>
      </c>
      <c r="J37" s="100">
        <v>15</v>
      </c>
      <c r="K37" s="100">
        <v>12906</v>
      </c>
      <c r="L37" s="100">
        <v>11</v>
      </c>
      <c r="M37" s="100">
        <v>9464.4</v>
      </c>
      <c r="N37" s="100">
        <v>15</v>
      </c>
      <c r="O37" s="100">
        <v>12906</v>
      </c>
      <c r="P37" s="100">
        <v>7.2175324467076392</v>
      </c>
      <c r="Q37" s="100">
        <v>6209.9649171472529</v>
      </c>
      <c r="R37" s="100">
        <v>18</v>
      </c>
      <c r="S37" s="100">
        <v>15487.199999999999</v>
      </c>
      <c r="T37" s="100">
        <v>13</v>
      </c>
      <c r="U37" s="100">
        <v>11185.199999999999</v>
      </c>
      <c r="V37" s="100">
        <v>16</v>
      </c>
      <c r="W37" s="100">
        <v>13766.4</v>
      </c>
      <c r="X37" s="100">
        <v>19</v>
      </c>
      <c r="Y37" s="100">
        <v>16347.6</v>
      </c>
      <c r="Z37" s="100">
        <v>19</v>
      </c>
      <c r="AA37" s="100">
        <v>16347.6</v>
      </c>
      <c r="AB37" s="100">
        <v>9</v>
      </c>
      <c r="AC37" s="100">
        <v>7743.5999999999995</v>
      </c>
      <c r="AD37" s="100">
        <v>14</v>
      </c>
      <c r="AE37" s="100">
        <v>12045.6</v>
      </c>
      <c r="AF37" s="100">
        <v>17</v>
      </c>
      <c r="AG37" s="100">
        <v>14626.8</v>
      </c>
      <c r="AH37" s="100">
        <v>10</v>
      </c>
      <c r="AI37" s="100">
        <v>8604</v>
      </c>
      <c r="AJ37" s="100">
        <v>10</v>
      </c>
      <c r="AK37" s="100">
        <v>8604</v>
      </c>
      <c r="AL37" s="100">
        <v>12</v>
      </c>
      <c r="AM37" s="100">
        <v>10324.799999999999</v>
      </c>
      <c r="AN37" s="100">
        <v>12</v>
      </c>
      <c r="AO37" s="100">
        <v>10324.799999999999</v>
      </c>
      <c r="AP37" s="100">
        <v>7.8714117902314111</v>
      </c>
      <c r="AQ37" s="100">
        <v>6772.5627043151062</v>
      </c>
      <c r="AR37" s="100">
        <v>6.8084263975941681</v>
      </c>
      <c r="AS37" s="100">
        <v>5857.9700724900222</v>
      </c>
      <c r="AT37" s="100">
        <v>11</v>
      </c>
      <c r="AU37" s="100">
        <v>9464.4</v>
      </c>
      <c r="AV37" s="100">
        <v>3.5850313403476721</v>
      </c>
      <c r="AW37" s="100">
        <v>3084.5609652351368</v>
      </c>
      <c r="AX37" s="100">
        <v>17</v>
      </c>
      <c r="AY37" s="100">
        <v>14626.8</v>
      </c>
      <c r="AZ37" s="100">
        <v>0</v>
      </c>
      <c r="BA37" s="100">
        <v>0</v>
      </c>
      <c r="BB37" s="100">
        <v>0</v>
      </c>
      <c r="BC37" s="100">
        <v>0</v>
      </c>
      <c r="BD37" s="100">
        <v>0.222805502071487</v>
      </c>
      <c r="BE37" s="100">
        <v>191.7018539823074</v>
      </c>
      <c r="BF37" s="100">
        <v>11</v>
      </c>
      <c r="BG37" s="100">
        <v>9464.4</v>
      </c>
      <c r="BH37" s="100">
        <v>17</v>
      </c>
      <c r="BI37" s="100">
        <v>14626.8</v>
      </c>
      <c r="BJ37" s="100">
        <v>0</v>
      </c>
      <c r="BK37" s="100">
        <v>0</v>
      </c>
      <c r="BL37" s="100">
        <v>1.4398228047667596</v>
      </c>
      <c r="BM37" s="100">
        <v>1238.8235412213198</v>
      </c>
      <c r="BN37" s="100">
        <v>2.7352224643298011</v>
      </c>
      <c r="BO37" s="100">
        <v>2353.3854083093606</v>
      </c>
      <c r="BP37" s="100">
        <v>11</v>
      </c>
      <c r="BQ37" s="100">
        <v>9464.4</v>
      </c>
      <c r="BR37" s="100">
        <v>0</v>
      </c>
      <c r="BS37" s="100">
        <v>0</v>
      </c>
      <c r="BT37" s="100">
        <v>0.44671115990735843</v>
      </c>
      <c r="BU37" s="100">
        <v>384.3502819842912</v>
      </c>
      <c r="BV37" s="100">
        <v>0</v>
      </c>
      <c r="BW37" s="100">
        <v>0</v>
      </c>
      <c r="BX37" s="100">
        <v>11</v>
      </c>
      <c r="BY37" s="100">
        <v>9464.4</v>
      </c>
      <c r="BZ37" s="100">
        <v>0</v>
      </c>
      <c r="CA37" s="100">
        <v>0</v>
      </c>
      <c r="CB37" s="100">
        <v>15.96258397036468</v>
      </c>
      <c r="CC37" s="100">
        <v>13734.207248101769</v>
      </c>
      <c r="CD37" s="100">
        <v>0.3905577172542653</v>
      </c>
      <c r="CE37" s="100">
        <v>336.03585992556987</v>
      </c>
      <c r="CF37" s="100">
        <v>15.863514403442323</v>
      </c>
      <c r="CG37" s="100">
        <v>13648.967792721774</v>
      </c>
      <c r="CH37" s="100">
        <v>16</v>
      </c>
      <c r="CI37" s="100">
        <v>13766.4</v>
      </c>
      <c r="CJ37" s="100">
        <v>0.57948305252131838</v>
      </c>
      <c r="CK37" s="100">
        <v>498.5872183893423</v>
      </c>
      <c r="CL37" s="100">
        <v>0</v>
      </c>
      <c r="CM37" s="100">
        <v>0</v>
      </c>
      <c r="CN37" s="100">
        <v>0.54997352772336916</v>
      </c>
      <c r="CO37" s="100">
        <v>473.19722325318679</v>
      </c>
      <c r="CP37" s="100">
        <v>4.377314517906437</v>
      </c>
      <c r="CQ37" s="100">
        <v>3766.2414112066981</v>
      </c>
      <c r="CR37" s="100">
        <v>16</v>
      </c>
      <c r="CS37" s="100">
        <v>13766.4</v>
      </c>
      <c r="CT37" s="100">
        <v>14</v>
      </c>
      <c r="CU37" s="100">
        <v>12045.6</v>
      </c>
    </row>
    <row r="38" spans="2:99">
      <c r="C38" s="99" t="s">
        <v>204</v>
      </c>
      <c r="D38" s="100">
        <v>14</v>
      </c>
      <c r="E38" s="100">
        <v>17388</v>
      </c>
      <c r="F38" s="100">
        <v>9</v>
      </c>
      <c r="G38" s="100">
        <v>11178</v>
      </c>
      <c r="H38" s="100">
        <v>11</v>
      </c>
      <c r="I38" s="100">
        <v>13662</v>
      </c>
      <c r="J38" s="100">
        <v>14</v>
      </c>
      <c r="K38" s="100">
        <v>17388</v>
      </c>
      <c r="L38" s="100">
        <v>10</v>
      </c>
      <c r="M38" s="100">
        <v>12420</v>
      </c>
      <c r="N38" s="100">
        <v>12</v>
      </c>
      <c r="O38" s="100">
        <v>14904</v>
      </c>
      <c r="P38" s="100">
        <v>6.70199441479995</v>
      </c>
      <c r="Q38" s="100">
        <v>8323.8770631815387</v>
      </c>
      <c r="R38" s="100">
        <v>17</v>
      </c>
      <c r="S38" s="100">
        <v>21114</v>
      </c>
      <c r="T38" s="100">
        <v>12</v>
      </c>
      <c r="U38" s="100">
        <v>14904</v>
      </c>
      <c r="V38" s="100">
        <v>18</v>
      </c>
      <c r="W38" s="100">
        <v>22356</v>
      </c>
      <c r="X38" s="100">
        <v>19</v>
      </c>
      <c r="Y38" s="100">
        <v>23598</v>
      </c>
      <c r="Z38" s="100">
        <v>17</v>
      </c>
      <c r="AA38" s="100">
        <v>21114</v>
      </c>
      <c r="AB38" s="100">
        <v>10</v>
      </c>
      <c r="AC38" s="100">
        <v>12420</v>
      </c>
      <c r="AD38" s="100">
        <v>13</v>
      </c>
      <c r="AE38" s="100">
        <v>16146</v>
      </c>
      <c r="AF38" s="100">
        <v>18</v>
      </c>
      <c r="AG38" s="100">
        <v>22356</v>
      </c>
      <c r="AH38" s="100">
        <v>10</v>
      </c>
      <c r="AI38" s="100">
        <v>12420</v>
      </c>
      <c r="AJ38" s="100">
        <v>10</v>
      </c>
      <c r="AK38" s="100">
        <v>12420</v>
      </c>
      <c r="AL38" s="100">
        <v>10</v>
      </c>
      <c r="AM38" s="100">
        <v>12420</v>
      </c>
      <c r="AN38" s="100">
        <v>12</v>
      </c>
      <c r="AO38" s="100">
        <v>14904</v>
      </c>
      <c r="AP38" s="100">
        <v>7.8714117902314111</v>
      </c>
      <c r="AQ38" s="100">
        <v>9776.2934434674135</v>
      </c>
      <c r="AR38" s="100">
        <v>6.8084263975941681</v>
      </c>
      <c r="AS38" s="100">
        <v>8456.0655858119571</v>
      </c>
      <c r="AT38" s="100">
        <v>11</v>
      </c>
      <c r="AU38" s="100">
        <v>13662</v>
      </c>
      <c r="AV38" s="100">
        <v>3.0728840060122899</v>
      </c>
      <c r="AW38" s="100">
        <v>3816.521935467264</v>
      </c>
      <c r="AX38" s="100">
        <v>14</v>
      </c>
      <c r="AY38" s="100">
        <v>17388</v>
      </c>
      <c r="AZ38" s="100">
        <v>0</v>
      </c>
      <c r="BA38" s="100">
        <v>0</v>
      </c>
      <c r="BB38" s="100">
        <v>0</v>
      </c>
      <c r="BC38" s="100">
        <v>0</v>
      </c>
      <c r="BD38" s="100">
        <v>0.25065618983042287</v>
      </c>
      <c r="BE38" s="100">
        <v>311.3149877693852</v>
      </c>
      <c r="BF38" s="100">
        <v>10</v>
      </c>
      <c r="BG38" s="100">
        <v>12420</v>
      </c>
      <c r="BH38" s="100">
        <v>16</v>
      </c>
      <c r="BI38" s="100">
        <v>19872</v>
      </c>
      <c r="BJ38" s="100">
        <v>0</v>
      </c>
      <c r="BK38" s="100">
        <v>0</v>
      </c>
      <c r="BL38" s="100">
        <v>1.6317991787356612</v>
      </c>
      <c r="BM38" s="100">
        <v>2026.6945799896912</v>
      </c>
      <c r="BN38" s="100">
        <v>2.7352224643298011</v>
      </c>
      <c r="BO38" s="100">
        <v>3397.1463006976128</v>
      </c>
      <c r="BP38" s="100">
        <v>11</v>
      </c>
      <c r="BQ38" s="100">
        <v>13662</v>
      </c>
      <c r="BR38" s="100">
        <v>0</v>
      </c>
      <c r="BS38" s="100">
        <v>0</v>
      </c>
      <c r="BT38" s="100">
        <v>0.47649190390118229</v>
      </c>
      <c r="BU38" s="100">
        <v>591.80294464526844</v>
      </c>
      <c r="BV38" s="100">
        <v>0</v>
      </c>
      <c r="BW38" s="100">
        <v>0</v>
      </c>
      <c r="BX38" s="100">
        <v>10</v>
      </c>
      <c r="BY38" s="100">
        <v>12420</v>
      </c>
      <c r="BZ38" s="100">
        <v>0</v>
      </c>
      <c r="CA38" s="100">
        <v>0</v>
      </c>
      <c r="CB38" s="100">
        <v>14.964922472216889</v>
      </c>
      <c r="CC38" s="100">
        <v>18586.433710493377</v>
      </c>
      <c r="CD38" s="100">
        <v>0.3905577172542653</v>
      </c>
      <c r="CE38" s="100">
        <v>485.07268482979748</v>
      </c>
      <c r="CF38" s="100">
        <v>13.880575103012035</v>
      </c>
      <c r="CG38" s="100">
        <v>17239.674277940947</v>
      </c>
      <c r="CH38" s="100">
        <v>14</v>
      </c>
      <c r="CI38" s="100">
        <v>17388</v>
      </c>
      <c r="CJ38" s="100">
        <v>0.52153474726918658</v>
      </c>
      <c r="CK38" s="100">
        <v>647.74615610832973</v>
      </c>
      <c r="CL38" s="100">
        <v>0</v>
      </c>
      <c r="CM38" s="100">
        <v>0</v>
      </c>
      <c r="CN38" s="100">
        <v>0.54997352772336916</v>
      </c>
      <c r="CO38" s="100">
        <v>683.06712143242453</v>
      </c>
      <c r="CP38" s="100">
        <v>4.6348036071950514</v>
      </c>
      <c r="CQ38" s="100">
        <v>5756.4260801362534</v>
      </c>
      <c r="CR38" s="100">
        <v>17</v>
      </c>
      <c r="CS38" s="100">
        <v>21114</v>
      </c>
      <c r="CT38" s="100">
        <v>13</v>
      </c>
      <c r="CU38" s="100">
        <v>16146</v>
      </c>
    </row>
    <row r="39" spans="2:99">
      <c r="C39" s="99" t="s">
        <v>205</v>
      </c>
      <c r="D39" s="100">
        <v>13</v>
      </c>
      <c r="E39" s="100">
        <v>18501.600000000002</v>
      </c>
      <c r="F39" s="100">
        <v>9</v>
      </c>
      <c r="G39" s="100">
        <v>12808.800000000001</v>
      </c>
      <c r="H39" s="100">
        <v>10</v>
      </c>
      <c r="I39" s="100">
        <v>14232</v>
      </c>
      <c r="J39" s="100">
        <v>13</v>
      </c>
      <c r="K39" s="100">
        <v>18501.600000000002</v>
      </c>
      <c r="L39" s="100">
        <v>10</v>
      </c>
      <c r="M39" s="100">
        <v>14232</v>
      </c>
      <c r="N39" s="100">
        <v>14</v>
      </c>
      <c r="O39" s="100">
        <v>19924.8</v>
      </c>
      <c r="P39" s="100">
        <v>7.2175324467076392</v>
      </c>
      <c r="Q39" s="100">
        <v>10271.992178154313</v>
      </c>
      <c r="R39" s="100">
        <v>18</v>
      </c>
      <c r="S39" s="100">
        <v>25617.600000000002</v>
      </c>
      <c r="T39" s="100">
        <v>12</v>
      </c>
      <c r="U39" s="100">
        <v>17078.400000000001</v>
      </c>
      <c r="V39" s="100">
        <v>17</v>
      </c>
      <c r="W39" s="100">
        <v>24194.400000000001</v>
      </c>
      <c r="X39" s="100">
        <v>17</v>
      </c>
      <c r="Y39" s="100">
        <v>24194.400000000001</v>
      </c>
      <c r="Z39" s="100">
        <v>17</v>
      </c>
      <c r="AA39" s="100">
        <v>24194.400000000001</v>
      </c>
      <c r="AB39" s="100">
        <v>9</v>
      </c>
      <c r="AC39" s="100">
        <v>12808.800000000001</v>
      </c>
      <c r="AD39" s="100">
        <v>13</v>
      </c>
      <c r="AE39" s="100">
        <v>18501.600000000002</v>
      </c>
      <c r="AF39" s="100">
        <v>17</v>
      </c>
      <c r="AG39" s="100">
        <v>24194.400000000001</v>
      </c>
      <c r="AH39" s="100">
        <v>9</v>
      </c>
      <c r="AI39" s="100">
        <v>12808.800000000001</v>
      </c>
      <c r="AJ39" s="100">
        <v>9</v>
      </c>
      <c r="AK39" s="100">
        <v>12808.800000000001</v>
      </c>
      <c r="AL39" s="100">
        <v>11</v>
      </c>
      <c r="AM39" s="100">
        <v>15655.2</v>
      </c>
      <c r="AN39" s="100">
        <v>12</v>
      </c>
      <c r="AO39" s="100">
        <v>17078.400000000001</v>
      </c>
      <c r="AP39" s="100">
        <v>9.3025775702734865</v>
      </c>
      <c r="AQ39" s="100">
        <v>13239.428398013226</v>
      </c>
      <c r="AR39" s="100">
        <v>6.8084263975941681</v>
      </c>
      <c r="AS39" s="100">
        <v>9689.7524490560209</v>
      </c>
      <c r="AT39" s="100">
        <v>10</v>
      </c>
      <c r="AU39" s="100">
        <v>14232</v>
      </c>
      <c r="AV39" s="100">
        <v>3.5850313403476721</v>
      </c>
      <c r="AW39" s="100">
        <v>5102.2166035828068</v>
      </c>
      <c r="AX39" s="100">
        <v>15</v>
      </c>
      <c r="AY39" s="100">
        <v>21348</v>
      </c>
      <c r="AZ39" s="100">
        <v>0</v>
      </c>
      <c r="BA39" s="100">
        <v>0</v>
      </c>
      <c r="BB39" s="100">
        <v>0</v>
      </c>
      <c r="BC39" s="100">
        <v>0</v>
      </c>
      <c r="BD39" s="100">
        <v>0.25065618983042287</v>
      </c>
      <c r="BE39" s="100">
        <v>356.73388936665782</v>
      </c>
      <c r="BF39" s="100">
        <v>11</v>
      </c>
      <c r="BG39" s="100">
        <v>15655.2</v>
      </c>
      <c r="BH39" s="100">
        <v>17</v>
      </c>
      <c r="BI39" s="100">
        <v>24194.400000000001</v>
      </c>
      <c r="BJ39" s="100">
        <v>0</v>
      </c>
      <c r="BK39" s="100">
        <v>0</v>
      </c>
      <c r="BL39" s="100">
        <v>1.4398228047667596</v>
      </c>
      <c r="BM39" s="100">
        <v>2049.1558157440522</v>
      </c>
      <c r="BN39" s="100">
        <v>2.5528743000411476</v>
      </c>
      <c r="BO39" s="100">
        <v>3633.2507038185613</v>
      </c>
      <c r="BP39" s="100">
        <v>10</v>
      </c>
      <c r="BQ39" s="100">
        <v>14232</v>
      </c>
      <c r="BR39" s="100">
        <v>0</v>
      </c>
      <c r="BS39" s="100">
        <v>0</v>
      </c>
      <c r="BT39" s="100">
        <v>0.50627264789500626</v>
      </c>
      <c r="BU39" s="100">
        <v>720.52723248417294</v>
      </c>
      <c r="BV39" s="100">
        <v>0</v>
      </c>
      <c r="BW39" s="100">
        <v>0</v>
      </c>
      <c r="BX39" s="100">
        <v>10</v>
      </c>
      <c r="BY39" s="100">
        <v>14232</v>
      </c>
      <c r="BZ39" s="100">
        <v>0</v>
      </c>
      <c r="CA39" s="100">
        <v>0</v>
      </c>
      <c r="CB39" s="100">
        <v>13.967260974069095</v>
      </c>
      <c r="CC39" s="100">
        <v>19878.205818295137</v>
      </c>
      <c r="CD39" s="100">
        <v>0.36614785992587368</v>
      </c>
      <c r="CE39" s="100">
        <v>521.10163424650341</v>
      </c>
      <c r="CF39" s="100">
        <v>14.872044753227177</v>
      </c>
      <c r="CG39" s="100">
        <v>21165.894092792918</v>
      </c>
      <c r="CH39" s="100">
        <v>16</v>
      </c>
      <c r="CI39" s="100">
        <v>22771.200000000001</v>
      </c>
      <c r="CJ39" s="100">
        <v>0.52153474726918658</v>
      </c>
      <c r="CK39" s="100">
        <v>742.24825231350633</v>
      </c>
      <c r="CL39" s="100">
        <v>0</v>
      </c>
      <c r="CM39" s="100">
        <v>0</v>
      </c>
      <c r="CN39" s="100">
        <v>0.63458483968081059</v>
      </c>
      <c r="CO39" s="100">
        <v>903.14114383372964</v>
      </c>
      <c r="CP39" s="100">
        <v>4.6348036071950514</v>
      </c>
      <c r="CQ39" s="100">
        <v>6596.2524937599974</v>
      </c>
      <c r="CR39" s="100">
        <v>18</v>
      </c>
      <c r="CS39" s="100">
        <v>25617.600000000002</v>
      </c>
      <c r="CT39" s="100">
        <v>13</v>
      </c>
      <c r="CU39" s="100">
        <v>18501.600000000002</v>
      </c>
    </row>
    <row r="40" spans="2:99">
      <c r="C40" s="99" t="s">
        <v>206</v>
      </c>
      <c r="D40" s="100">
        <v>14</v>
      </c>
      <c r="E40" s="100">
        <v>10147.199999999999</v>
      </c>
      <c r="F40" s="100">
        <v>9</v>
      </c>
      <c r="G40" s="100">
        <v>6523.2</v>
      </c>
      <c r="H40" s="100">
        <v>13</v>
      </c>
      <c r="I40" s="100">
        <v>9422.4</v>
      </c>
      <c r="J40" s="100">
        <v>15</v>
      </c>
      <c r="K40" s="100">
        <v>10872</v>
      </c>
      <c r="L40" s="100">
        <v>11</v>
      </c>
      <c r="M40" s="100">
        <v>7972.7999999999993</v>
      </c>
      <c r="N40" s="100">
        <v>14</v>
      </c>
      <c r="O40" s="100">
        <v>10147.199999999999</v>
      </c>
      <c r="P40" s="100">
        <v>7.2175324467076392</v>
      </c>
      <c r="Q40" s="100">
        <v>5231.2675173736961</v>
      </c>
      <c r="R40" s="100">
        <v>17</v>
      </c>
      <c r="S40" s="100">
        <v>12321.599999999999</v>
      </c>
      <c r="T40" s="100">
        <v>14</v>
      </c>
      <c r="U40" s="100">
        <v>10147.199999999999</v>
      </c>
      <c r="V40" s="100">
        <v>17</v>
      </c>
      <c r="W40" s="100">
        <v>12321.599999999999</v>
      </c>
      <c r="X40" s="100">
        <v>20</v>
      </c>
      <c r="Y40" s="100">
        <v>14496</v>
      </c>
      <c r="Z40" s="100">
        <v>20</v>
      </c>
      <c r="AA40" s="100">
        <v>14496</v>
      </c>
      <c r="AB40" s="100">
        <v>11</v>
      </c>
      <c r="AC40" s="100">
        <v>7972.7999999999993</v>
      </c>
      <c r="AD40" s="100">
        <v>12</v>
      </c>
      <c r="AE40" s="100">
        <v>8697.5999999999985</v>
      </c>
      <c r="AF40" s="100">
        <v>17</v>
      </c>
      <c r="AG40" s="100">
        <v>12321.599999999999</v>
      </c>
      <c r="AH40" s="100">
        <v>11</v>
      </c>
      <c r="AI40" s="100">
        <v>7972.7999999999993</v>
      </c>
      <c r="AJ40" s="100">
        <v>11</v>
      </c>
      <c r="AK40" s="100">
        <v>7972.7999999999993</v>
      </c>
      <c r="AL40" s="100">
        <v>12</v>
      </c>
      <c r="AM40" s="100">
        <v>8697.5999999999985</v>
      </c>
      <c r="AN40" s="100">
        <v>13</v>
      </c>
      <c r="AO40" s="100">
        <v>9422.4</v>
      </c>
      <c r="AP40" s="100">
        <v>9.3025775702734865</v>
      </c>
      <c r="AQ40" s="100">
        <v>6742.5082229342224</v>
      </c>
      <c r="AR40" s="100">
        <v>6.189478543267426</v>
      </c>
      <c r="AS40" s="100">
        <v>4486.1340481602301</v>
      </c>
      <c r="AT40" s="100">
        <v>10</v>
      </c>
      <c r="AU40" s="100">
        <v>7248</v>
      </c>
      <c r="AV40" s="100">
        <v>3.5850313403476721</v>
      </c>
      <c r="AW40" s="100">
        <v>2598.4307154839926</v>
      </c>
      <c r="AX40" s="100">
        <v>15</v>
      </c>
      <c r="AY40" s="100">
        <v>10872</v>
      </c>
      <c r="AZ40" s="100">
        <v>0</v>
      </c>
      <c r="BA40" s="100">
        <v>0</v>
      </c>
      <c r="BB40" s="100">
        <v>0</v>
      </c>
      <c r="BC40" s="100">
        <v>0</v>
      </c>
      <c r="BD40" s="100">
        <v>0.26458153370989079</v>
      </c>
      <c r="BE40" s="100">
        <v>191.76869563292883</v>
      </c>
      <c r="BF40" s="100">
        <v>12</v>
      </c>
      <c r="BG40" s="100">
        <v>8697.5999999999985</v>
      </c>
      <c r="BH40" s="100">
        <v>18</v>
      </c>
      <c r="BI40" s="100">
        <v>13046.4</v>
      </c>
      <c r="BJ40" s="100">
        <v>0</v>
      </c>
      <c r="BK40" s="100">
        <v>0</v>
      </c>
      <c r="BL40" s="100">
        <v>1.5358109917512104</v>
      </c>
      <c r="BM40" s="100">
        <v>1113.1558068212771</v>
      </c>
      <c r="BN40" s="100">
        <v>2.5528743000411476</v>
      </c>
      <c r="BO40" s="100">
        <v>1850.3232926698236</v>
      </c>
      <c r="BP40" s="100">
        <v>12</v>
      </c>
      <c r="BQ40" s="100">
        <v>8697.5999999999985</v>
      </c>
      <c r="BR40" s="100">
        <v>0</v>
      </c>
      <c r="BS40" s="100">
        <v>0</v>
      </c>
      <c r="BT40" s="100">
        <v>0.56583413588265408</v>
      </c>
      <c r="BU40" s="100">
        <v>410.11658168774767</v>
      </c>
      <c r="BV40" s="100">
        <v>0</v>
      </c>
      <c r="BW40" s="100">
        <v>0</v>
      </c>
      <c r="BX40" s="100">
        <v>11</v>
      </c>
      <c r="BY40" s="100">
        <v>7972.7999999999993</v>
      </c>
      <c r="BZ40" s="100">
        <v>0</v>
      </c>
      <c r="CA40" s="100">
        <v>0</v>
      </c>
      <c r="CB40" s="100">
        <v>16.960245468512472</v>
      </c>
      <c r="CC40" s="100">
        <v>12292.785915577839</v>
      </c>
      <c r="CD40" s="100">
        <v>0.36614785992587368</v>
      </c>
      <c r="CE40" s="100">
        <v>265.38396887427325</v>
      </c>
      <c r="CF40" s="100">
        <v>15.863514403442323</v>
      </c>
      <c r="CG40" s="100">
        <v>11497.875239614996</v>
      </c>
      <c r="CH40" s="100">
        <v>17</v>
      </c>
      <c r="CI40" s="100">
        <v>12321.599999999999</v>
      </c>
      <c r="CJ40" s="100">
        <v>0.63743135777345017</v>
      </c>
      <c r="CK40" s="100">
        <v>462.01024811419666</v>
      </c>
      <c r="CL40" s="100">
        <v>0</v>
      </c>
      <c r="CM40" s="100">
        <v>0</v>
      </c>
      <c r="CN40" s="100">
        <v>0.67689049565953119</v>
      </c>
      <c r="CO40" s="100">
        <v>490.61023125402818</v>
      </c>
      <c r="CP40" s="100">
        <v>5.1497817857722792</v>
      </c>
      <c r="CQ40" s="100">
        <v>3732.5618383277479</v>
      </c>
      <c r="CR40" s="100">
        <v>19</v>
      </c>
      <c r="CS40" s="100">
        <v>13771.199999999999</v>
      </c>
      <c r="CT40" s="100">
        <v>13</v>
      </c>
      <c r="CU40" s="100">
        <v>9422.4</v>
      </c>
    </row>
    <row r="41" spans="2:99">
      <c r="C41" s="99" t="s">
        <v>207</v>
      </c>
      <c r="D41" s="100">
        <v>14</v>
      </c>
      <c r="E41" s="100">
        <v>9240</v>
      </c>
      <c r="F41" s="100">
        <v>9</v>
      </c>
      <c r="G41" s="100">
        <v>5940</v>
      </c>
      <c r="H41" s="100">
        <v>12</v>
      </c>
      <c r="I41" s="100">
        <v>7920</v>
      </c>
      <c r="J41" s="100">
        <v>15</v>
      </c>
      <c r="K41" s="100">
        <v>9900</v>
      </c>
      <c r="L41" s="100">
        <v>11</v>
      </c>
      <c r="M41" s="100">
        <v>7260</v>
      </c>
      <c r="N41" s="100">
        <v>13</v>
      </c>
      <c r="O41" s="100">
        <v>8580</v>
      </c>
      <c r="P41" s="100">
        <v>7.7330704786153266</v>
      </c>
      <c r="Q41" s="100">
        <v>5103.8265158861159</v>
      </c>
      <c r="R41" s="100">
        <v>17</v>
      </c>
      <c r="S41" s="100">
        <v>11220</v>
      </c>
      <c r="T41" s="100">
        <v>14</v>
      </c>
      <c r="U41" s="100">
        <v>9240</v>
      </c>
      <c r="V41" s="100">
        <v>17</v>
      </c>
      <c r="W41" s="100">
        <v>11220</v>
      </c>
      <c r="X41" s="100">
        <v>21</v>
      </c>
      <c r="Y41" s="100">
        <v>13860</v>
      </c>
      <c r="Z41" s="100">
        <v>19</v>
      </c>
      <c r="AA41" s="100">
        <v>12540</v>
      </c>
      <c r="AB41" s="100">
        <v>10</v>
      </c>
      <c r="AC41" s="100">
        <v>6600</v>
      </c>
      <c r="AD41" s="100">
        <v>14</v>
      </c>
      <c r="AE41" s="100">
        <v>9240</v>
      </c>
      <c r="AF41" s="100">
        <v>18</v>
      </c>
      <c r="AG41" s="100">
        <v>11880</v>
      </c>
      <c r="AH41" s="100">
        <v>10</v>
      </c>
      <c r="AI41" s="100">
        <v>6600</v>
      </c>
      <c r="AJ41" s="100">
        <v>10</v>
      </c>
      <c r="AK41" s="100">
        <v>6600</v>
      </c>
      <c r="AL41" s="100">
        <v>12</v>
      </c>
      <c r="AM41" s="100">
        <v>7920</v>
      </c>
      <c r="AN41" s="100">
        <v>12</v>
      </c>
      <c r="AO41" s="100">
        <v>7920</v>
      </c>
      <c r="AP41" s="100">
        <v>8.5869946802524488</v>
      </c>
      <c r="AQ41" s="100">
        <v>5667.4164889666163</v>
      </c>
      <c r="AR41" s="100">
        <v>6.189478543267426</v>
      </c>
      <c r="AS41" s="100">
        <v>4085.0558385565009</v>
      </c>
      <c r="AT41" s="100">
        <v>12</v>
      </c>
      <c r="AU41" s="100">
        <v>7920</v>
      </c>
      <c r="AV41" s="100">
        <v>3.328957673179981</v>
      </c>
      <c r="AW41" s="100">
        <v>2197.1120642987876</v>
      </c>
      <c r="AX41" s="100">
        <v>17</v>
      </c>
      <c r="AY41" s="100">
        <v>11220</v>
      </c>
      <c r="AZ41" s="100">
        <v>0</v>
      </c>
      <c r="BA41" s="100">
        <v>0</v>
      </c>
      <c r="BB41" s="100">
        <v>0</v>
      </c>
      <c r="BC41" s="100">
        <v>0</v>
      </c>
      <c r="BD41" s="100">
        <v>0.23673084595095492</v>
      </c>
      <c r="BE41" s="100">
        <v>156.24235832763026</v>
      </c>
      <c r="BF41" s="100">
        <v>13</v>
      </c>
      <c r="BG41" s="100">
        <v>8580</v>
      </c>
      <c r="BH41" s="100">
        <v>18</v>
      </c>
      <c r="BI41" s="100">
        <v>11880</v>
      </c>
      <c r="BJ41" s="100">
        <v>0</v>
      </c>
      <c r="BK41" s="100">
        <v>0</v>
      </c>
      <c r="BL41" s="100">
        <v>1.5358109917512104</v>
      </c>
      <c r="BM41" s="100">
        <v>1013.6352545557988</v>
      </c>
      <c r="BN41" s="100">
        <v>2.7352224643298011</v>
      </c>
      <c r="BO41" s="100">
        <v>1805.2468264576687</v>
      </c>
      <c r="BP41" s="100">
        <v>12</v>
      </c>
      <c r="BQ41" s="100">
        <v>7920</v>
      </c>
      <c r="BR41" s="100">
        <v>0</v>
      </c>
      <c r="BS41" s="100">
        <v>0</v>
      </c>
      <c r="BT41" s="100">
        <v>0.53605339188883017</v>
      </c>
      <c r="BU41" s="100">
        <v>353.79523864662792</v>
      </c>
      <c r="BV41" s="100">
        <v>0</v>
      </c>
      <c r="BW41" s="100">
        <v>0</v>
      </c>
      <c r="BX41" s="100">
        <v>12</v>
      </c>
      <c r="BY41" s="100">
        <v>7920</v>
      </c>
      <c r="BZ41" s="100">
        <v>0</v>
      </c>
      <c r="CA41" s="100">
        <v>0</v>
      </c>
      <c r="CB41" s="100">
        <v>14.964922472216889</v>
      </c>
      <c r="CC41" s="100">
        <v>9876.8488316631465</v>
      </c>
      <c r="CD41" s="100">
        <v>0.36614785992587368</v>
      </c>
      <c r="CE41" s="100">
        <v>241.65758755107663</v>
      </c>
      <c r="CF41" s="100">
        <v>13.880575103012035</v>
      </c>
      <c r="CG41" s="100">
        <v>9161.1795679879433</v>
      </c>
      <c r="CH41" s="100">
        <v>17</v>
      </c>
      <c r="CI41" s="100">
        <v>11220</v>
      </c>
      <c r="CJ41" s="100">
        <v>0.57948305252131838</v>
      </c>
      <c r="CK41" s="100">
        <v>382.45881466407013</v>
      </c>
      <c r="CL41" s="100">
        <v>0</v>
      </c>
      <c r="CM41" s="100">
        <v>0</v>
      </c>
      <c r="CN41" s="100">
        <v>0.63458483968081059</v>
      </c>
      <c r="CO41" s="100">
        <v>418.82599418933501</v>
      </c>
      <c r="CP41" s="100">
        <v>5.1497817857722792</v>
      </c>
      <c r="CQ41" s="100">
        <v>3398.8559786097044</v>
      </c>
      <c r="CR41" s="100">
        <v>16</v>
      </c>
      <c r="CS41" s="100">
        <v>10560</v>
      </c>
      <c r="CT41" s="100">
        <v>13</v>
      </c>
      <c r="CU41" s="100">
        <v>8580</v>
      </c>
    </row>
    <row r="42" spans="2:99">
      <c r="C42" s="99" t="s">
        <v>208</v>
      </c>
      <c r="D42" s="100">
        <v>14</v>
      </c>
      <c r="E42" s="100">
        <v>11844</v>
      </c>
      <c r="F42" s="100">
        <v>10</v>
      </c>
      <c r="G42" s="100">
        <v>8460</v>
      </c>
      <c r="H42" s="100">
        <v>11</v>
      </c>
      <c r="I42" s="100">
        <v>9306</v>
      </c>
      <c r="J42" s="100">
        <v>16</v>
      </c>
      <c r="K42" s="100">
        <v>13536</v>
      </c>
      <c r="L42" s="100">
        <v>10</v>
      </c>
      <c r="M42" s="100">
        <v>8460</v>
      </c>
      <c r="N42" s="100">
        <v>14</v>
      </c>
      <c r="O42" s="100">
        <v>11844</v>
      </c>
      <c r="P42" s="100">
        <v>7.2175324467076392</v>
      </c>
      <c r="Q42" s="100">
        <v>6106.0324499146627</v>
      </c>
      <c r="R42" s="100">
        <v>18</v>
      </c>
      <c r="S42" s="100">
        <v>15228</v>
      </c>
      <c r="T42" s="100">
        <v>14</v>
      </c>
      <c r="U42" s="100">
        <v>11844</v>
      </c>
      <c r="V42" s="100">
        <v>17</v>
      </c>
      <c r="W42" s="100">
        <v>14382</v>
      </c>
      <c r="X42" s="100">
        <v>18</v>
      </c>
      <c r="Y42" s="100">
        <v>15228</v>
      </c>
      <c r="Z42" s="100">
        <v>18</v>
      </c>
      <c r="AA42" s="100">
        <v>15228</v>
      </c>
      <c r="AB42" s="100">
        <v>10</v>
      </c>
      <c r="AC42" s="100">
        <v>8460</v>
      </c>
      <c r="AD42" s="100">
        <v>14</v>
      </c>
      <c r="AE42" s="100">
        <v>11844</v>
      </c>
      <c r="AF42" s="100">
        <v>17</v>
      </c>
      <c r="AG42" s="100">
        <v>14382</v>
      </c>
      <c r="AH42" s="100">
        <v>10</v>
      </c>
      <c r="AI42" s="100">
        <v>8460</v>
      </c>
      <c r="AJ42" s="100">
        <v>10</v>
      </c>
      <c r="AK42" s="100">
        <v>8460</v>
      </c>
      <c r="AL42" s="100">
        <v>11</v>
      </c>
      <c r="AM42" s="100">
        <v>9306</v>
      </c>
      <c r="AN42" s="100">
        <v>13</v>
      </c>
      <c r="AO42" s="100">
        <v>10998</v>
      </c>
      <c r="AP42" s="100">
        <v>8.5869946802524488</v>
      </c>
      <c r="AQ42" s="100">
        <v>7264.5974994935714</v>
      </c>
      <c r="AR42" s="100">
        <v>6.8084263975941681</v>
      </c>
      <c r="AS42" s="100">
        <v>5759.9287323646658</v>
      </c>
      <c r="AT42" s="100">
        <v>11</v>
      </c>
      <c r="AU42" s="100">
        <v>9306</v>
      </c>
      <c r="AV42" s="100">
        <v>3.5850313403476721</v>
      </c>
      <c r="AW42" s="100">
        <v>3032.9365139341307</v>
      </c>
      <c r="AX42" s="100">
        <v>15</v>
      </c>
      <c r="AY42" s="100">
        <v>12690</v>
      </c>
      <c r="AZ42" s="100">
        <v>0</v>
      </c>
      <c r="BA42" s="100">
        <v>0</v>
      </c>
      <c r="BB42" s="100">
        <v>0</v>
      </c>
      <c r="BC42" s="100">
        <v>0</v>
      </c>
      <c r="BD42" s="100">
        <v>0.25065618983042287</v>
      </c>
      <c r="BE42" s="100">
        <v>212.05513659653775</v>
      </c>
      <c r="BF42" s="100">
        <v>11</v>
      </c>
      <c r="BG42" s="100">
        <v>9306</v>
      </c>
      <c r="BH42" s="100">
        <v>17</v>
      </c>
      <c r="BI42" s="100">
        <v>14382</v>
      </c>
      <c r="BJ42" s="100">
        <v>0</v>
      </c>
      <c r="BK42" s="100">
        <v>0</v>
      </c>
      <c r="BL42" s="100">
        <v>1.4398228047667596</v>
      </c>
      <c r="BM42" s="100">
        <v>1218.0900928326787</v>
      </c>
      <c r="BN42" s="100">
        <v>2.7352224643298011</v>
      </c>
      <c r="BO42" s="100">
        <v>2313.9982048230117</v>
      </c>
      <c r="BP42" s="100">
        <v>11</v>
      </c>
      <c r="BQ42" s="100">
        <v>9306</v>
      </c>
      <c r="BR42" s="100">
        <v>0</v>
      </c>
      <c r="BS42" s="100">
        <v>0</v>
      </c>
      <c r="BT42" s="100">
        <v>0.56583413588265408</v>
      </c>
      <c r="BU42" s="100">
        <v>478.69567895672537</v>
      </c>
      <c r="BV42" s="100">
        <v>0</v>
      </c>
      <c r="BW42" s="100">
        <v>0</v>
      </c>
      <c r="BX42" s="100">
        <v>11</v>
      </c>
      <c r="BY42" s="100">
        <v>9306</v>
      </c>
      <c r="BZ42" s="100">
        <v>0</v>
      </c>
      <c r="CA42" s="100">
        <v>0</v>
      </c>
      <c r="CB42" s="100">
        <v>14.964922472216889</v>
      </c>
      <c r="CC42" s="100">
        <v>12660.324411495489</v>
      </c>
      <c r="CD42" s="100">
        <v>0.3905577172542653</v>
      </c>
      <c r="CE42" s="100">
        <v>330.41182879710846</v>
      </c>
      <c r="CF42" s="100">
        <v>15.863514403442323</v>
      </c>
      <c r="CG42" s="100">
        <v>13420.533185312206</v>
      </c>
      <c r="CH42" s="100">
        <v>17</v>
      </c>
      <c r="CI42" s="100">
        <v>14382</v>
      </c>
      <c r="CJ42" s="100">
        <v>0.57948305252131838</v>
      </c>
      <c r="CK42" s="100">
        <v>490.24266243303532</v>
      </c>
      <c r="CL42" s="100">
        <v>0</v>
      </c>
      <c r="CM42" s="100">
        <v>0</v>
      </c>
      <c r="CN42" s="100">
        <v>0.63458483968081059</v>
      </c>
      <c r="CO42" s="100">
        <v>536.85877436996577</v>
      </c>
      <c r="CP42" s="100">
        <v>4.8922926964836657</v>
      </c>
      <c r="CQ42" s="100">
        <v>4138.8796212251809</v>
      </c>
      <c r="CR42" s="100">
        <v>19</v>
      </c>
      <c r="CS42" s="100">
        <v>16074</v>
      </c>
      <c r="CT42" s="100">
        <v>13</v>
      </c>
      <c r="CU42" s="100">
        <v>10998</v>
      </c>
    </row>
    <row r="43" spans="2:99">
      <c r="C43" s="99" t="s">
        <v>209</v>
      </c>
      <c r="D43" s="100">
        <v>14</v>
      </c>
      <c r="E43" s="100">
        <v>14313.6</v>
      </c>
      <c r="F43" s="100">
        <v>9</v>
      </c>
      <c r="G43" s="100">
        <v>9201.6</v>
      </c>
      <c r="H43" s="100">
        <v>12</v>
      </c>
      <c r="I43" s="100">
        <v>12268.8</v>
      </c>
      <c r="J43" s="100">
        <v>16</v>
      </c>
      <c r="K43" s="100">
        <v>16358.4</v>
      </c>
      <c r="L43" s="100">
        <v>11</v>
      </c>
      <c r="M43" s="100">
        <v>11246.4</v>
      </c>
      <c r="N43" s="100">
        <v>12</v>
      </c>
      <c r="O43" s="100">
        <v>12268.8</v>
      </c>
      <c r="P43" s="100">
        <v>7.7330704786153266</v>
      </c>
      <c r="Q43" s="100">
        <v>7906.2912573363101</v>
      </c>
      <c r="R43" s="100">
        <v>17</v>
      </c>
      <c r="S43" s="100">
        <v>17380.8</v>
      </c>
      <c r="T43" s="100">
        <v>15</v>
      </c>
      <c r="U43" s="100">
        <v>15336</v>
      </c>
      <c r="V43" s="100">
        <v>17</v>
      </c>
      <c r="W43" s="100">
        <v>17380.8</v>
      </c>
      <c r="X43" s="100">
        <v>18</v>
      </c>
      <c r="Y43" s="100">
        <v>18403.2</v>
      </c>
      <c r="Z43" s="100">
        <v>18</v>
      </c>
      <c r="AA43" s="100">
        <v>18403.2</v>
      </c>
      <c r="AB43" s="100">
        <v>10</v>
      </c>
      <c r="AC43" s="100">
        <v>10224</v>
      </c>
      <c r="AD43" s="100">
        <v>13</v>
      </c>
      <c r="AE43" s="100">
        <v>13291.199999999999</v>
      </c>
      <c r="AF43" s="100">
        <v>20</v>
      </c>
      <c r="AG43" s="100">
        <v>20448</v>
      </c>
      <c r="AH43" s="100">
        <v>10</v>
      </c>
      <c r="AI43" s="100">
        <v>10224</v>
      </c>
      <c r="AJ43" s="100">
        <v>9</v>
      </c>
      <c r="AK43" s="100">
        <v>9201.6</v>
      </c>
      <c r="AL43" s="100">
        <v>11</v>
      </c>
      <c r="AM43" s="100">
        <v>11246.4</v>
      </c>
      <c r="AN43" s="100">
        <v>12</v>
      </c>
      <c r="AO43" s="100">
        <v>12268.8</v>
      </c>
      <c r="AP43" s="100">
        <v>7.8714117902314111</v>
      </c>
      <c r="AQ43" s="100">
        <v>8047.7314143325948</v>
      </c>
      <c r="AR43" s="100">
        <v>6.189478543267426</v>
      </c>
      <c r="AS43" s="100">
        <v>6328.1228626366164</v>
      </c>
      <c r="AT43" s="100">
        <v>12</v>
      </c>
      <c r="AU43" s="100">
        <v>12268.8</v>
      </c>
      <c r="AV43" s="100">
        <v>3.328957673179981</v>
      </c>
      <c r="AW43" s="100">
        <v>3403.5263250592125</v>
      </c>
      <c r="AX43" s="100">
        <v>16</v>
      </c>
      <c r="AY43" s="100">
        <v>16358.4</v>
      </c>
      <c r="AZ43" s="100">
        <v>0</v>
      </c>
      <c r="BA43" s="100">
        <v>0</v>
      </c>
      <c r="BB43" s="100">
        <v>0</v>
      </c>
      <c r="BC43" s="100">
        <v>0</v>
      </c>
      <c r="BD43" s="100">
        <v>0.26458153370989079</v>
      </c>
      <c r="BE43" s="100">
        <v>270.50816006499235</v>
      </c>
      <c r="BF43" s="100">
        <v>12</v>
      </c>
      <c r="BG43" s="100">
        <v>12268.8</v>
      </c>
      <c r="BH43" s="100">
        <v>18</v>
      </c>
      <c r="BI43" s="100">
        <v>18403.2</v>
      </c>
      <c r="BJ43" s="100">
        <v>0</v>
      </c>
      <c r="BK43" s="100">
        <v>0</v>
      </c>
      <c r="BL43" s="100">
        <v>1.4398228047667596</v>
      </c>
      <c r="BM43" s="100">
        <v>1472.074835593535</v>
      </c>
      <c r="BN43" s="100">
        <v>2.370526135752494</v>
      </c>
      <c r="BO43" s="100">
        <v>2423.6259211933498</v>
      </c>
      <c r="BP43" s="100">
        <v>10</v>
      </c>
      <c r="BQ43" s="100">
        <v>10224</v>
      </c>
      <c r="BR43" s="100">
        <v>0</v>
      </c>
      <c r="BS43" s="100">
        <v>0</v>
      </c>
      <c r="BT43" s="100">
        <v>0.47649190390118229</v>
      </c>
      <c r="BU43" s="100">
        <v>487.16532254856878</v>
      </c>
      <c r="BV43" s="100">
        <v>0</v>
      </c>
      <c r="BW43" s="100">
        <v>0</v>
      </c>
      <c r="BX43" s="100">
        <v>11</v>
      </c>
      <c r="BY43" s="100">
        <v>11246.4</v>
      </c>
      <c r="BZ43" s="100">
        <v>0</v>
      </c>
      <c r="CA43" s="100">
        <v>0</v>
      </c>
      <c r="CB43" s="100">
        <v>16.960245468512472</v>
      </c>
      <c r="CC43" s="100">
        <v>17340.154967007151</v>
      </c>
      <c r="CD43" s="100">
        <v>0.3417380025974821</v>
      </c>
      <c r="CE43" s="100">
        <v>349.39293385566572</v>
      </c>
      <c r="CF43" s="100">
        <v>15.863514403442323</v>
      </c>
      <c r="CG43" s="100">
        <v>16218.857126079431</v>
      </c>
      <c r="CH43" s="100">
        <v>18</v>
      </c>
      <c r="CI43" s="100">
        <v>18403.2</v>
      </c>
      <c r="CJ43" s="100">
        <v>0.57948305252131838</v>
      </c>
      <c r="CK43" s="100">
        <v>592.4634728977959</v>
      </c>
      <c r="CL43" s="100">
        <v>0</v>
      </c>
      <c r="CM43" s="100">
        <v>0</v>
      </c>
      <c r="CN43" s="100">
        <v>0.59227918370208987</v>
      </c>
      <c r="CO43" s="100">
        <v>605.54623741701664</v>
      </c>
      <c r="CP43" s="100">
        <v>4.6348036071950514</v>
      </c>
      <c r="CQ43" s="100">
        <v>4738.6232079962201</v>
      </c>
      <c r="CR43" s="100">
        <v>17</v>
      </c>
      <c r="CS43" s="100">
        <v>17380.8</v>
      </c>
      <c r="CT43" s="100">
        <v>12</v>
      </c>
      <c r="CU43" s="100">
        <v>12268.8</v>
      </c>
    </row>
    <row r="44" spans="2:99">
      <c r="C44" s="99" t="s">
        <v>210</v>
      </c>
      <c r="D44" s="100">
        <v>13</v>
      </c>
      <c r="E44" s="100">
        <v>13291.199999999999</v>
      </c>
      <c r="F44" s="100">
        <v>10</v>
      </c>
      <c r="G44" s="100">
        <v>10224</v>
      </c>
      <c r="H44" s="100">
        <v>12</v>
      </c>
      <c r="I44" s="100">
        <v>12268.8</v>
      </c>
      <c r="J44" s="100">
        <v>14</v>
      </c>
      <c r="K44" s="100">
        <v>14313.6</v>
      </c>
      <c r="L44" s="100">
        <v>10</v>
      </c>
      <c r="M44" s="100">
        <v>10224</v>
      </c>
      <c r="N44" s="100">
        <v>13</v>
      </c>
      <c r="O44" s="100">
        <v>13291.199999999999</v>
      </c>
      <c r="P44" s="100">
        <v>7.7330704786153266</v>
      </c>
      <c r="Q44" s="100">
        <v>7906.2912573363101</v>
      </c>
      <c r="R44" s="100">
        <v>16</v>
      </c>
      <c r="S44" s="100">
        <v>16358.4</v>
      </c>
      <c r="T44" s="100">
        <v>12</v>
      </c>
      <c r="U44" s="100">
        <v>12268.8</v>
      </c>
      <c r="V44" s="100">
        <v>18</v>
      </c>
      <c r="W44" s="100">
        <v>18403.2</v>
      </c>
      <c r="X44" s="100">
        <v>17</v>
      </c>
      <c r="Y44" s="100">
        <v>17380.8</v>
      </c>
      <c r="Z44" s="100">
        <v>18</v>
      </c>
      <c r="AA44" s="100">
        <v>18403.2</v>
      </c>
      <c r="AB44" s="100">
        <v>10</v>
      </c>
      <c r="AC44" s="100">
        <v>10224</v>
      </c>
      <c r="AD44" s="100">
        <v>13</v>
      </c>
      <c r="AE44" s="100">
        <v>13291.199999999999</v>
      </c>
      <c r="AF44" s="100">
        <v>18</v>
      </c>
      <c r="AG44" s="100">
        <v>18403.2</v>
      </c>
      <c r="AH44" s="100">
        <v>10</v>
      </c>
      <c r="AI44" s="100">
        <v>10224</v>
      </c>
      <c r="AJ44" s="100">
        <v>10</v>
      </c>
      <c r="AK44" s="100">
        <v>10224</v>
      </c>
      <c r="AL44" s="100">
        <v>11</v>
      </c>
      <c r="AM44" s="100">
        <v>11246.4</v>
      </c>
      <c r="AN44" s="100">
        <v>12</v>
      </c>
      <c r="AO44" s="100">
        <v>12268.8</v>
      </c>
      <c r="AP44" s="100">
        <v>9.3025775702734865</v>
      </c>
      <c r="AQ44" s="100">
        <v>9510.9553078476129</v>
      </c>
      <c r="AR44" s="100">
        <v>6.8084263975941681</v>
      </c>
      <c r="AS44" s="100">
        <v>6960.9351489002775</v>
      </c>
      <c r="AT44" s="100">
        <v>11</v>
      </c>
      <c r="AU44" s="100">
        <v>11246.4</v>
      </c>
      <c r="AV44" s="100">
        <v>3.5850313403476721</v>
      </c>
      <c r="AW44" s="100">
        <v>3665.3360423714598</v>
      </c>
      <c r="AX44" s="100">
        <v>15</v>
      </c>
      <c r="AY44" s="100">
        <v>15336</v>
      </c>
      <c r="AZ44" s="100">
        <v>0</v>
      </c>
      <c r="BA44" s="100">
        <v>0</v>
      </c>
      <c r="BB44" s="100">
        <v>0</v>
      </c>
      <c r="BC44" s="100">
        <v>0</v>
      </c>
      <c r="BD44" s="100">
        <v>0.25065618983042287</v>
      </c>
      <c r="BE44" s="100">
        <v>256.27088848262434</v>
      </c>
      <c r="BF44" s="100">
        <v>12</v>
      </c>
      <c r="BG44" s="100">
        <v>12268.8</v>
      </c>
      <c r="BH44" s="100">
        <v>19</v>
      </c>
      <c r="BI44" s="100">
        <v>19425.599999999999</v>
      </c>
      <c r="BJ44" s="100">
        <v>0</v>
      </c>
      <c r="BK44" s="100">
        <v>0</v>
      </c>
      <c r="BL44" s="100">
        <v>1.5358109917512104</v>
      </c>
      <c r="BM44" s="100">
        <v>1570.2131579664374</v>
      </c>
      <c r="BN44" s="100">
        <v>2.5528743000411476</v>
      </c>
      <c r="BO44" s="100">
        <v>2610.058684362069</v>
      </c>
      <c r="BP44" s="100">
        <v>10</v>
      </c>
      <c r="BQ44" s="100">
        <v>10224</v>
      </c>
      <c r="BR44" s="100">
        <v>0</v>
      </c>
      <c r="BS44" s="100">
        <v>0</v>
      </c>
      <c r="BT44" s="100">
        <v>0.47649190390118229</v>
      </c>
      <c r="BU44" s="100">
        <v>487.16532254856878</v>
      </c>
      <c r="BV44" s="100">
        <v>0</v>
      </c>
      <c r="BW44" s="100">
        <v>0</v>
      </c>
      <c r="BX44" s="100">
        <v>11</v>
      </c>
      <c r="BY44" s="100">
        <v>11246.4</v>
      </c>
      <c r="BZ44" s="100">
        <v>0</v>
      </c>
      <c r="CA44" s="100">
        <v>0</v>
      </c>
      <c r="CB44" s="100">
        <v>13.967260974069095</v>
      </c>
      <c r="CC44" s="100">
        <v>14280.127619888242</v>
      </c>
      <c r="CD44" s="100">
        <v>0.3417380025974821</v>
      </c>
      <c r="CE44" s="100">
        <v>349.39293385566572</v>
      </c>
      <c r="CF44" s="100">
        <v>15.863514403442323</v>
      </c>
      <c r="CG44" s="100">
        <v>16218.857126079431</v>
      </c>
      <c r="CH44" s="100">
        <v>15</v>
      </c>
      <c r="CI44" s="100">
        <v>15336</v>
      </c>
      <c r="CJ44" s="100">
        <v>0.63743135777345017</v>
      </c>
      <c r="CK44" s="100">
        <v>651.70982018757547</v>
      </c>
      <c r="CL44" s="100">
        <v>0</v>
      </c>
      <c r="CM44" s="100">
        <v>0</v>
      </c>
      <c r="CN44" s="100">
        <v>0.59227918370208987</v>
      </c>
      <c r="CO44" s="100">
        <v>605.54623741701664</v>
      </c>
      <c r="CP44" s="100">
        <v>4.377314517906437</v>
      </c>
      <c r="CQ44" s="100">
        <v>4475.3663631075415</v>
      </c>
      <c r="CR44" s="100">
        <v>19</v>
      </c>
      <c r="CS44" s="100">
        <v>19425.599999999999</v>
      </c>
      <c r="CT44" s="100">
        <v>13</v>
      </c>
      <c r="CU44" s="100">
        <v>13291.199999999999</v>
      </c>
    </row>
    <row r="45" spans="2:99">
      <c r="C45" s="99" t="s">
        <v>211</v>
      </c>
      <c r="D45" s="100">
        <v>13</v>
      </c>
      <c r="E45" s="100">
        <v>16239.6</v>
      </c>
      <c r="F45" s="100">
        <v>9</v>
      </c>
      <c r="G45" s="100">
        <v>11242.800000000001</v>
      </c>
      <c r="H45" s="100">
        <v>10</v>
      </c>
      <c r="I45" s="100">
        <v>12492</v>
      </c>
      <c r="J45" s="100">
        <v>14</v>
      </c>
      <c r="K45" s="100">
        <v>17488.8</v>
      </c>
      <c r="L45" s="100">
        <v>9</v>
      </c>
      <c r="M45" s="100">
        <v>11242.800000000001</v>
      </c>
      <c r="N45" s="100">
        <v>14</v>
      </c>
      <c r="O45" s="100">
        <v>17488.8</v>
      </c>
      <c r="P45" s="100">
        <v>6.70199441479995</v>
      </c>
      <c r="Q45" s="100">
        <v>8372.1314229680975</v>
      </c>
      <c r="R45" s="100">
        <v>18</v>
      </c>
      <c r="S45" s="100">
        <v>22485.600000000002</v>
      </c>
      <c r="T45" s="100">
        <v>13</v>
      </c>
      <c r="U45" s="100">
        <v>16239.6</v>
      </c>
      <c r="V45" s="100">
        <v>17</v>
      </c>
      <c r="W45" s="100">
        <v>21236.400000000001</v>
      </c>
      <c r="X45" s="100">
        <v>17</v>
      </c>
      <c r="Y45" s="100">
        <v>21236.400000000001</v>
      </c>
      <c r="Z45" s="100">
        <v>20</v>
      </c>
      <c r="AA45" s="100">
        <v>24984</v>
      </c>
      <c r="AB45" s="100">
        <v>10</v>
      </c>
      <c r="AC45" s="100">
        <v>12492</v>
      </c>
      <c r="AD45" s="100">
        <v>13</v>
      </c>
      <c r="AE45" s="100">
        <v>16239.6</v>
      </c>
      <c r="AF45" s="100">
        <v>18</v>
      </c>
      <c r="AG45" s="100">
        <v>22485.600000000002</v>
      </c>
      <c r="AH45" s="100">
        <v>10</v>
      </c>
      <c r="AI45" s="100">
        <v>12492</v>
      </c>
      <c r="AJ45" s="100">
        <v>9</v>
      </c>
      <c r="AK45" s="100">
        <v>11242.800000000001</v>
      </c>
      <c r="AL45" s="100">
        <v>10</v>
      </c>
      <c r="AM45" s="100">
        <v>12492</v>
      </c>
      <c r="AN45" s="100">
        <v>12</v>
      </c>
      <c r="AO45" s="100">
        <v>14990.400000000001</v>
      </c>
      <c r="AP45" s="100">
        <v>8.5869946802524488</v>
      </c>
      <c r="AQ45" s="100">
        <v>10726.873754571359</v>
      </c>
      <c r="AR45" s="100">
        <v>6.8084263975941681</v>
      </c>
      <c r="AS45" s="100">
        <v>8505.0862558746358</v>
      </c>
      <c r="AT45" s="100">
        <v>12</v>
      </c>
      <c r="AU45" s="100">
        <v>14990.400000000001</v>
      </c>
      <c r="AV45" s="100">
        <v>3.5850313403476721</v>
      </c>
      <c r="AW45" s="100">
        <v>4478.4211503623119</v>
      </c>
      <c r="AX45" s="100">
        <v>15</v>
      </c>
      <c r="AY45" s="100">
        <v>18738</v>
      </c>
      <c r="AZ45" s="100">
        <v>0</v>
      </c>
      <c r="BA45" s="100">
        <v>0</v>
      </c>
      <c r="BB45" s="100">
        <v>0</v>
      </c>
      <c r="BC45" s="100">
        <v>0</v>
      </c>
      <c r="BD45" s="100">
        <v>0.23673084595095492</v>
      </c>
      <c r="BE45" s="100">
        <v>295.72417276193289</v>
      </c>
      <c r="BF45" s="100">
        <v>11</v>
      </c>
      <c r="BG45" s="100">
        <v>13741.2</v>
      </c>
      <c r="BH45" s="100">
        <v>18</v>
      </c>
      <c r="BI45" s="100">
        <v>22485.600000000002</v>
      </c>
      <c r="BJ45" s="100">
        <v>0</v>
      </c>
      <c r="BK45" s="100">
        <v>0</v>
      </c>
      <c r="BL45" s="100">
        <v>1.4398228047667596</v>
      </c>
      <c r="BM45" s="100">
        <v>1798.6266477146362</v>
      </c>
      <c r="BN45" s="100">
        <v>2.7352224643298011</v>
      </c>
      <c r="BO45" s="100">
        <v>3416.8399024407877</v>
      </c>
      <c r="BP45" s="100">
        <v>11</v>
      </c>
      <c r="BQ45" s="100">
        <v>13741.2</v>
      </c>
      <c r="BR45" s="100">
        <v>0</v>
      </c>
      <c r="BS45" s="100">
        <v>0</v>
      </c>
      <c r="BT45" s="100">
        <v>0.47649190390118229</v>
      </c>
      <c r="BU45" s="100">
        <v>595.23368635335692</v>
      </c>
      <c r="BV45" s="100">
        <v>0</v>
      </c>
      <c r="BW45" s="100">
        <v>0</v>
      </c>
      <c r="BX45" s="100">
        <v>11</v>
      </c>
      <c r="BY45" s="100">
        <v>13741.2</v>
      </c>
      <c r="BZ45" s="100">
        <v>0</v>
      </c>
      <c r="CA45" s="100">
        <v>0</v>
      </c>
      <c r="CB45" s="100">
        <v>15.96258397036468</v>
      </c>
      <c r="CC45" s="100">
        <v>19940.459895779557</v>
      </c>
      <c r="CD45" s="100">
        <v>0.36614785992587368</v>
      </c>
      <c r="CE45" s="100">
        <v>457.39190661940142</v>
      </c>
      <c r="CF45" s="100">
        <v>15.863514403442323</v>
      </c>
      <c r="CG45" s="100">
        <v>19816.702192780151</v>
      </c>
      <c r="CH45" s="100">
        <v>16</v>
      </c>
      <c r="CI45" s="100">
        <v>19987.2</v>
      </c>
      <c r="CJ45" s="100">
        <v>0.52153474726918658</v>
      </c>
      <c r="CK45" s="100">
        <v>651.50120628866796</v>
      </c>
      <c r="CL45" s="100">
        <v>0</v>
      </c>
      <c r="CM45" s="100">
        <v>0</v>
      </c>
      <c r="CN45" s="100">
        <v>0.63458483968081059</v>
      </c>
      <c r="CO45" s="100">
        <v>792.72338172926857</v>
      </c>
      <c r="CP45" s="100">
        <v>4.377314517906437</v>
      </c>
      <c r="CQ45" s="100">
        <v>5468.1412957687216</v>
      </c>
      <c r="CR45" s="100">
        <v>15</v>
      </c>
      <c r="CS45" s="100">
        <v>18738</v>
      </c>
      <c r="CT45" s="100">
        <v>12</v>
      </c>
      <c r="CU45" s="100">
        <v>14990.400000000001</v>
      </c>
    </row>
    <row r="46" spans="2:99">
      <c r="C46" s="99" t="s">
        <v>212</v>
      </c>
      <c r="D46" s="100">
        <v>14</v>
      </c>
      <c r="E46" s="100">
        <v>16968</v>
      </c>
      <c r="F46" s="100">
        <v>10</v>
      </c>
      <c r="G46" s="100">
        <v>12120</v>
      </c>
      <c r="H46" s="100">
        <v>12</v>
      </c>
      <c r="I46" s="100">
        <v>14544</v>
      </c>
      <c r="J46" s="100">
        <v>16</v>
      </c>
      <c r="K46" s="100">
        <v>19392</v>
      </c>
      <c r="L46" s="100">
        <v>10</v>
      </c>
      <c r="M46" s="100">
        <v>12120</v>
      </c>
      <c r="N46" s="100">
        <v>12</v>
      </c>
      <c r="O46" s="100">
        <v>14544</v>
      </c>
      <c r="P46" s="100">
        <v>7.7330704786153266</v>
      </c>
      <c r="Q46" s="100">
        <v>9372.4814200817764</v>
      </c>
      <c r="R46" s="100">
        <v>18</v>
      </c>
      <c r="S46" s="100">
        <v>21816</v>
      </c>
      <c r="T46" s="100">
        <v>13</v>
      </c>
      <c r="U46" s="100">
        <v>15756</v>
      </c>
      <c r="V46" s="100">
        <v>17</v>
      </c>
      <c r="W46" s="100">
        <v>20604</v>
      </c>
      <c r="X46" s="100">
        <v>17</v>
      </c>
      <c r="Y46" s="100">
        <v>20604</v>
      </c>
      <c r="Z46" s="100">
        <v>18</v>
      </c>
      <c r="AA46" s="100">
        <v>21816</v>
      </c>
      <c r="AB46" s="100">
        <v>9</v>
      </c>
      <c r="AC46" s="100">
        <v>10908</v>
      </c>
      <c r="AD46" s="100">
        <v>13</v>
      </c>
      <c r="AE46" s="100">
        <v>15756</v>
      </c>
      <c r="AF46" s="100">
        <v>16</v>
      </c>
      <c r="AG46" s="100">
        <v>19392</v>
      </c>
      <c r="AH46" s="100">
        <v>9</v>
      </c>
      <c r="AI46" s="100">
        <v>10908</v>
      </c>
      <c r="AJ46" s="100">
        <v>9</v>
      </c>
      <c r="AK46" s="100">
        <v>10908</v>
      </c>
      <c r="AL46" s="100">
        <v>12</v>
      </c>
      <c r="AM46" s="100">
        <v>14544</v>
      </c>
      <c r="AN46" s="100">
        <v>11</v>
      </c>
      <c r="AO46" s="100">
        <v>13332</v>
      </c>
      <c r="AP46" s="100">
        <v>7.8714117902314111</v>
      </c>
      <c r="AQ46" s="100">
        <v>9540.1510897604694</v>
      </c>
      <c r="AR46" s="100">
        <v>6.189478543267426</v>
      </c>
      <c r="AS46" s="100">
        <v>7501.6479944401199</v>
      </c>
      <c r="AT46" s="100">
        <v>11</v>
      </c>
      <c r="AU46" s="100">
        <v>13332</v>
      </c>
      <c r="AV46" s="100">
        <v>3.328957673179981</v>
      </c>
      <c r="AW46" s="100">
        <v>4034.6966998941371</v>
      </c>
      <c r="AX46" s="100">
        <v>15</v>
      </c>
      <c r="AY46" s="100">
        <v>18180</v>
      </c>
      <c r="AZ46" s="100">
        <v>0</v>
      </c>
      <c r="BA46" s="100">
        <v>0</v>
      </c>
      <c r="BB46" s="100">
        <v>0</v>
      </c>
      <c r="BC46" s="100">
        <v>0</v>
      </c>
      <c r="BD46" s="100">
        <v>0.222805502071487</v>
      </c>
      <c r="BE46" s="100">
        <v>270.04026851064225</v>
      </c>
      <c r="BF46" s="100">
        <v>12</v>
      </c>
      <c r="BG46" s="100">
        <v>14544</v>
      </c>
      <c r="BH46" s="100">
        <v>17</v>
      </c>
      <c r="BI46" s="100">
        <v>20604</v>
      </c>
      <c r="BJ46" s="100">
        <v>0</v>
      </c>
      <c r="BK46" s="100">
        <v>0</v>
      </c>
      <c r="BL46" s="100">
        <v>1.5358109917512104</v>
      </c>
      <c r="BM46" s="100">
        <v>1861.402922002467</v>
      </c>
      <c r="BN46" s="100">
        <v>2.7352224643298011</v>
      </c>
      <c r="BO46" s="100">
        <v>3315.089626767719</v>
      </c>
      <c r="BP46" s="100">
        <v>10</v>
      </c>
      <c r="BQ46" s="100">
        <v>12120</v>
      </c>
      <c r="BR46" s="100">
        <v>0</v>
      </c>
      <c r="BS46" s="100">
        <v>0</v>
      </c>
      <c r="BT46" s="100">
        <v>0.53605339188883017</v>
      </c>
      <c r="BU46" s="100">
        <v>649.6967109692622</v>
      </c>
      <c r="BV46" s="100">
        <v>0</v>
      </c>
      <c r="BW46" s="100">
        <v>0</v>
      </c>
      <c r="BX46" s="100">
        <v>12</v>
      </c>
      <c r="BY46" s="100">
        <v>14544</v>
      </c>
      <c r="BZ46" s="100">
        <v>0</v>
      </c>
      <c r="CA46" s="100">
        <v>0</v>
      </c>
      <c r="CB46" s="100">
        <v>14.964922472216889</v>
      </c>
      <c r="CC46" s="100">
        <v>18137.486036326871</v>
      </c>
      <c r="CD46" s="100">
        <v>0.3417380025974821</v>
      </c>
      <c r="CE46" s="100">
        <v>414.18645914814829</v>
      </c>
      <c r="CF46" s="100">
        <v>15.863514403442323</v>
      </c>
      <c r="CG46" s="100">
        <v>19226.579456972097</v>
      </c>
      <c r="CH46" s="100">
        <v>17</v>
      </c>
      <c r="CI46" s="100">
        <v>20604</v>
      </c>
      <c r="CJ46" s="100">
        <v>0.63743135777345017</v>
      </c>
      <c r="CK46" s="100">
        <v>772.56680562142162</v>
      </c>
      <c r="CL46" s="100">
        <v>0</v>
      </c>
      <c r="CM46" s="100">
        <v>0</v>
      </c>
      <c r="CN46" s="100">
        <v>0.63458483968081059</v>
      </c>
      <c r="CO46" s="100">
        <v>769.11682569314246</v>
      </c>
      <c r="CP46" s="100">
        <v>4.8922926964836657</v>
      </c>
      <c r="CQ46" s="100">
        <v>5929.4587481382032</v>
      </c>
      <c r="CR46" s="100">
        <v>15</v>
      </c>
      <c r="CS46" s="100">
        <v>18180</v>
      </c>
      <c r="CT46" s="100">
        <v>13</v>
      </c>
      <c r="CU46" s="100">
        <v>15756</v>
      </c>
    </row>
    <row r="47" spans="2:99">
      <c r="C47" s="99" t="s">
        <v>213</v>
      </c>
      <c r="D47" s="100">
        <v>14</v>
      </c>
      <c r="E47" s="100">
        <v>21386.399999999998</v>
      </c>
      <c r="F47" s="100">
        <v>9</v>
      </c>
      <c r="G47" s="100">
        <v>13748.4</v>
      </c>
      <c r="H47" s="100">
        <v>11</v>
      </c>
      <c r="I47" s="100">
        <v>16803.599999999999</v>
      </c>
      <c r="J47" s="100">
        <v>15</v>
      </c>
      <c r="K47" s="100">
        <v>22914</v>
      </c>
      <c r="L47" s="100">
        <v>11</v>
      </c>
      <c r="M47" s="100">
        <v>16803.599999999999</v>
      </c>
      <c r="N47" s="100">
        <v>12</v>
      </c>
      <c r="O47" s="100">
        <v>18331.199999999997</v>
      </c>
      <c r="P47" s="100">
        <v>6.70199441479995</v>
      </c>
      <c r="Q47" s="100">
        <v>10237.966668048402</v>
      </c>
      <c r="R47" s="100">
        <v>17</v>
      </c>
      <c r="S47" s="100">
        <v>25969.199999999997</v>
      </c>
      <c r="T47" s="100">
        <v>12</v>
      </c>
      <c r="U47" s="100">
        <v>18331.199999999997</v>
      </c>
      <c r="V47" s="100">
        <v>17</v>
      </c>
      <c r="W47" s="100">
        <v>25969.199999999997</v>
      </c>
      <c r="X47" s="100">
        <v>16</v>
      </c>
      <c r="Y47" s="100">
        <v>24441.599999999999</v>
      </c>
      <c r="Z47" s="100">
        <v>19</v>
      </c>
      <c r="AA47" s="100">
        <v>29024.399999999998</v>
      </c>
      <c r="AB47" s="100">
        <v>10</v>
      </c>
      <c r="AC47" s="100">
        <v>15276</v>
      </c>
      <c r="AD47" s="100">
        <v>12</v>
      </c>
      <c r="AE47" s="100">
        <v>18331.199999999997</v>
      </c>
      <c r="AF47" s="100">
        <v>19</v>
      </c>
      <c r="AG47" s="100">
        <v>29024.399999999998</v>
      </c>
      <c r="AH47" s="100">
        <v>10</v>
      </c>
      <c r="AI47" s="100">
        <v>15276</v>
      </c>
      <c r="AJ47" s="100">
        <v>10</v>
      </c>
      <c r="AK47" s="100">
        <v>15276</v>
      </c>
      <c r="AL47" s="100">
        <v>12</v>
      </c>
      <c r="AM47" s="100">
        <v>18331.199999999997</v>
      </c>
      <c r="AN47" s="100">
        <v>12</v>
      </c>
      <c r="AO47" s="100">
        <v>18331.199999999997</v>
      </c>
      <c r="AP47" s="100">
        <v>7.8714117902314111</v>
      </c>
      <c r="AQ47" s="100">
        <v>12024.368650757502</v>
      </c>
      <c r="AR47" s="100">
        <v>6.8084263975941681</v>
      </c>
      <c r="AS47" s="100">
        <v>10400.552164964851</v>
      </c>
      <c r="AT47" s="100">
        <v>10</v>
      </c>
      <c r="AU47" s="100">
        <v>15276</v>
      </c>
      <c r="AV47" s="100">
        <v>3.328957673179981</v>
      </c>
      <c r="AW47" s="100">
        <v>5085.315741549739</v>
      </c>
      <c r="AX47" s="100">
        <v>16</v>
      </c>
      <c r="AY47" s="100">
        <v>24441.599999999999</v>
      </c>
      <c r="AZ47" s="100">
        <v>0</v>
      </c>
      <c r="BA47" s="100">
        <v>0</v>
      </c>
      <c r="BB47" s="100">
        <v>0</v>
      </c>
      <c r="BC47" s="100">
        <v>0</v>
      </c>
      <c r="BD47" s="100">
        <v>0.25065618983042287</v>
      </c>
      <c r="BE47" s="100">
        <v>382.90239558495398</v>
      </c>
      <c r="BF47" s="100">
        <v>12</v>
      </c>
      <c r="BG47" s="100">
        <v>18331.199999999997</v>
      </c>
      <c r="BH47" s="100">
        <v>19</v>
      </c>
      <c r="BI47" s="100">
        <v>29024.399999999998</v>
      </c>
      <c r="BJ47" s="100">
        <v>0</v>
      </c>
      <c r="BK47" s="100">
        <v>0</v>
      </c>
      <c r="BL47" s="100">
        <v>1.6317991787356612</v>
      </c>
      <c r="BM47" s="100">
        <v>2492.7364254365957</v>
      </c>
      <c r="BN47" s="100">
        <v>2.370526135752494</v>
      </c>
      <c r="BO47" s="100">
        <v>3621.2157249755096</v>
      </c>
      <c r="BP47" s="100">
        <v>10</v>
      </c>
      <c r="BQ47" s="100">
        <v>15276</v>
      </c>
      <c r="BR47" s="100">
        <v>0</v>
      </c>
      <c r="BS47" s="100">
        <v>0</v>
      </c>
      <c r="BT47" s="100">
        <v>0.47649190390118229</v>
      </c>
      <c r="BU47" s="100">
        <v>727.88903239944602</v>
      </c>
      <c r="BV47" s="100">
        <v>0</v>
      </c>
      <c r="BW47" s="100">
        <v>0</v>
      </c>
      <c r="BX47" s="100">
        <v>10</v>
      </c>
      <c r="BY47" s="100">
        <v>15276</v>
      </c>
      <c r="BZ47" s="100">
        <v>0</v>
      </c>
      <c r="CA47" s="100">
        <v>0</v>
      </c>
      <c r="CB47" s="100">
        <v>15.96258397036468</v>
      </c>
      <c r="CC47" s="100">
        <v>24384.443273129084</v>
      </c>
      <c r="CD47" s="100">
        <v>0.31732814526909053</v>
      </c>
      <c r="CE47" s="100">
        <v>484.75047471306266</v>
      </c>
      <c r="CF47" s="100">
        <v>12.889105452796889</v>
      </c>
      <c r="CG47" s="100">
        <v>19689.397489692525</v>
      </c>
      <c r="CH47" s="100">
        <v>15</v>
      </c>
      <c r="CI47" s="100">
        <v>22914</v>
      </c>
      <c r="CJ47" s="100">
        <v>0.57948305252131838</v>
      </c>
      <c r="CK47" s="100">
        <v>885.21831103156592</v>
      </c>
      <c r="CL47" s="100">
        <v>0</v>
      </c>
      <c r="CM47" s="100">
        <v>0</v>
      </c>
      <c r="CN47" s="100">
        <v>0.59227918370208987</v>
      </c>
      <c r="CO47" s="100">
        <v>904.76568102331248</v>
      </c>
      <c r="CP47" s="100">
        <v>4.1198254286178235</v>
      </c>
      <c r="CQ47" s="100">
        <v>6293.4453247565871</v>
      </c>
      <c r="CR47" s="100">
        <v>15</v>
      </c>
      <c r="CS47" s="100">
        <v>22914</v>
      </c>
      <c r="CT47" s="100">
        <v>12</v>
      </c>
      <c r="CU47" s="100">
        <v>18331.199999999997</v>
      </c>
    </row>
    <row r="48" spans="2:99">
      <c r="C48" s="99" t="s">
        <v>214</v>
      </c>
      <c r="D48" s="100">
        <v>14</v>
      </c>
      <c r="E48" s="100">
        <v>12146.4</v>
      </c>
      <c r="F48" s="100">
        <v>9</v>
      </c>
      <c r="G48" s="100">
        <v>7808.4000000000005</v>
      </c>
      <c r="H48" s="100">
        <v>10</v>
      </c>
      <c r="I48" s="100">
        <v>8676</v>
      </c>
      <c r="J48" s="100">
        <v>16</v>
      </c>
      <c r="K48" s="100">
        <v>13881.6</v>
      </c>
      <c r="L48" s="100">
        <v>11</v>
      </c>
      <c r="M48" s="100">
        <v>9543.6</v>
      </c>
      <c r="N48" s="100">
        <v>14</v>
      </c>
      <c r="O48" s="100">
        <v>12146.4</v>
      </c>
      <c r="P48" s="100">
        <v>7.7330704786153266</v>
      </c>
      <c r="Q48" s="100">
        <v>6709.2119472466575</v>
      </c>
      <c r="R48" s="100">
        <v>19</v>
      </c>
      <c r="S48" s="100">
        <v>16484.400000000001</v>
      </c>
      <c r="T48" s="100">
        <v>15</v>
      </c>
      <c r="U48" s="100">
        <v>13014</v>
      </c>
      <c r="V48" s="100">
        <v>18</v>
      </c>
      <c r="W48" s="100">
        <v>15616.800000000001</v>
      </c>
      <c r="X48" s="100">
        <v>17</v>
      </c>
      <c r="Y48" s="100">
        <v>14749.2</v>
      </c>
      <c r="Z48" s="100">
        <v>19</v>
      </c>
      <c r="AA48" s="100">
        <v>16484.400000000001</v>
      </c>
      <c r="AB48" s="100">
        <v>10</v>
      </c>
      <c r="AC48" s="100">
        <v>8676</v>
      </c>
      <c r="AD48" s="100">
        <v>13</v>
      </c>
      <c r="AE48" s="100">
        <v>11278.800000000001</v>
      </c>
      <c r="AF48" s="100">
        <v>18</v>
      </c>
      <c r="AG48" s="100">
        <v>15616.800000000001</v>
      </c>
      <c r="AH48" s="100">
        <v>10</v>
      </c>
      <c r="AI48" s="100">
        <v>8676</v>
      </c>
      <c r="AJ48" s="100">
        <v>10</v>
      </c>
      <c r="AK48" s="100">
        <v>8676</v>
      </c>
      <c r="AL48" s="100">
        <v>11</v>
      </c>
      <c r="AM48" s="100">
        <v>9543.6</v>
      </c>
      <c r="AN48" s="100">
        <v>13</v>
      </c>
      <c r="AO48" s="100">
        <v>11278.800000000001</v>
      </c>
      <c r="AP48" s="100">
        <v>9.3025775702734865</v>
      </c>
      <c r="AQ48" s="100">
        <v>8070.9162999692771</v>
      </c>
      <c r="AR48" s="100">
        <v>7.4273742519209103</v>
      </c>
      <c r="AS48" s="100">
        <v>6443.9899009665824</v>
      </c>
      <c r="AT48" s="100">
        <v>11</v>
      </c>
      <c r="AU48" s="100">
        <v>9543.6</v>
      </c>
      <c r="AV48" s="100">
        <v>3.5850313403476721</v>
      </c>
      <c r="AW48" s="100">
        <v>3110.3731908856403</v>
      </c>
      <c r="AX48" s="100">
        <v>17</v>
      </c>
      <c r="AY48" s="100">
        <v>14749.2</v>
      </c>
      <c r="AZ48" s="100">
        <v>0</v>
      </c>
      <c r="BA48" s="100">
        <v>0</v>
      </c>
      <c r="BB48" s="100">
        <v>0</v>
      </c>
      <c r="BC48" s="100">
        <v>0</v>
      </c>
      <c r="BD48" s="100">
        <v>0.222805502071487</v>
      </c>
      <c r="BE48" s="100">
        <v>193.30605359722213</v>
      </c>
      <c r="BF48" s="100">
        <v>12</v>
      </c>
      <c r="BG48" s="100">
        <v>10411.200000000001</v>
      </c>
      <c r="BH48" s="100">
        <v>18</v>
      </c>
      <c r="BI48" s="100">
        <v>15616.800000000001</v>
      </c>
      <c r="BJ48" s="100">
        <v>0</v>
      </c>
      <c r="BK48" s="100">
        <v>0</v>
      </c>
      <c r="BL48" s="100">
        <v>1.6317991787356612</v>
      </c>
      <c r="BM48" s="100">
        <v>1415.7489674710596</v>
      </c>
      <c r="BN48" s="100">
        <v>2.5528743000411476</v>
      </c>
      <c r="BO48" s="100">
        <v>2214.8737427156998</v>
      </c>
      <c r="BP48" s="100">
        <v>10</v>
      </c>
      <c r="BQ48" s="100">
        <v>8676</v>
      </c>
      <c r="BR48" s="100">
        <v>0</v>
      </c>
      <c r="BS48" s="100">
        <v>0</v>
      </c>
      <c r="BT48" s="100">
        <v>0.47649190390118229</v>
      </c>
      <c r="BU48" s="100">
        <v>413.40437582466575</v>
      </c>
      <c r="BV48" s="100">
        <v>0</v>
      </c>
      <c r="BW48" s="100">
        <v>0</v>
      </c>
      <c r="BX48" s="100">
        <v>11</v>
      </c>
      <c r="BY48" s="100">
        <v>9543.6</v>
      </c>
      <c r="BZ48" s="100">
        <v>0</v>
      </c>
      <c r="CA48" s="100">
        <v>0</v>
      </c>
      <c r="CB48" s="100">
        <v>15.96258397036468</v>
      </c>
      <c r="CC48" s="100">
        <v>13849.137852688396</v>
      </c>
      <c r="CD48" s="100">
        <v>0.3905577172542653</v>
      </c>
      <c r="CE48" s="100">
        <v>338.84787548980057</v>
      </c>
      <c r="CF48" s="100">
        <v>14.872044753227177</v>
      </c>
      <c r="CG48" s="100">
        <v>12902.986027899899</v>
      </c>
      <c r="CH48" s="100">
        <v>18</v>
      </c>
      <c r="CI48" s="100">
        <v>15616.800000000001</v>
      </c>
      <c r="CJ48" s="100">
        <v>0.52153474726918658</v>
      </c>
      <c r="CK48" s="100">
        <v>452.4835467307463</v>
      </c>
      <c r="CL48" s="100">
        <v>0</v>
      </c>
      <c r="CM48" s="100">
        <v>0</v>
      </c>
      <c r="CN48" s="100">
        <v>0.63458483968081059</v>
      </c>
      <c r="CO48" s="100">
        <v>550.56580690707131</v>
      </c>
      <c r="CP48" s="100">
        <v>4.8922926964836657</v>
      </c>
      <c r="CQ48" s="100">
        <v>4244.5531434692284</v>
      </c>
      <c r="CR48" s="100">
        <v>17</v>
      </c>
      <c r="CS48" s="100">
        <v>14749.2</v>
      </c>
      <c r="CT48" s="100">
        <v>14</v>
      </c>
      <c r="CU48" s="100">
        <v>12146.4</v>
      </c>
    </row>
    <row r="49" spans="2:99">
      <c r="B49" s="99" t="s">
        <v>129</v>
      </c>
      <c r="C49" s="99" t="s">
        <v>215</v>
      </c>
      <c r="D49" s="100">
        <v>14</v>
      </c>
      <c r="E49" s="100">
        <v>13792.8</v>
      </c>
      <c r="F49" s="100">
        <v>12</v>
      </c>
      <c r="G49" s="100">
        <v>11822.4</v>
      </c>
      <c r="H49" s="100">
        <v>16</v>
      </c>
      <c r="I49" s="100">
        <v>15763.199999999999</v>
      </c>
      <c r="J49" s="100">
        <v>15</v>
      </c>
      <c r="K49" s="100">
        <v>14777.999999999998</v>
      </c>
      <c r="L49" s="100">
        <v>8</v>
      </c>
      <c r="M49" s="100">
        <v>7881.5999999999995</v>
      </c>
      <c r="N49" s="100">
        <v>9</v>
      </c>
      <c r="O49" s="100">
        <v>8866.7999999999993</v>
      </c>
      <c r="P49" s="100">
        <v>11</v>
      </c>
      <c r="Q49" s="100">
        <v>10837.199999999999</v>
      </c>
      <c r="R49" s="100">
        <v>9</v>
      </c>
      <c r="S49" s="100">
        <v>8866.7999999999993</v>
      </c>
      <c r="T49" s="100">
        <v>14</v>
      </c>
      <c r="U49" s="100">
        <v>13792.8</v>
      </c>
      <c r="V49" s="100">
        <v>15</v>
      </c>
      <c r="W49" s="100">
        <v>14777.999999999998</v>
      </c>
      <c r="X49" s="100">
        <v>15</v>
      </c>
      <c r="Y49" s="100">
        <v>14777.999999999998</v>
      </c>
      <c r="Z49" s="100">
        <v>12</v>
      </c>
      <c r="AA49" s="100">
        <v>11822.4</v>
      </c>
      <c r="AB49" s="100">
        <v>14</v>
      </c>
      <c r="AC49" s="100">
        <v>13792.8</v>
      </c>
      <c r="AD49" s="100">
        <v>14</v>
      </c>
      <c r="AE49" s="100">
        <v>13792.8</v>
      </c>
      <c r="AF49" s="100">
        <v>9</v>
      </c>
      <c r="AG49" s="100">
        <v>8866.7999999999993</v>
      </c>
      <c r="AH49" s="100">
        <v>14</v>
      </c>
      <c r="AI49" s="100">
        <v>13792.8</v>
      </c>
      <c r="AJ49" s="100">
        <v>9</v>
      </c>
      <c r="AK49" s="100">
        <v>8866.7999999999993</v>
      </c>
      <c r="AL49" s="100">
        <v>10</v>
      </c>
      <c r="AM49" s="100">
        <v>9852</v>
      </c>
      <c r="AN49" s="100">
        <v>9</v>
      </c>
      <c r="AO49" s="100">
        <v>8866.7999999999993</v>
      </c>
      <c r="AP49" s="100">
        <v>13</v>
      </c>
      <c r="AQ49" s="100">
        <v>12807.599999999999</v>
      </c>
      <c r="AR49" s="100">
        <v>12</v>
      </c>
      <c r="AS49" s="100">
        <v>11822.4</v>
      </c>
      <c r="AT49" s="100">
        <v>15</v>
      </c>
      <c r="AU49" s="100">
        <v>14777.999999999998</v>
      </c>
      <c r="AV49" s="100">
        <v>10</v>
      </c>
      <c r="AW49" s="100">
        <v>9852</v>
      </c>
      <c r="AX49" s="100">
        <v>12</v>
      </c>
      <c r="AY49" s="100">
        <v>11822.4</v>
      </c>
      <c r="AZ49" s="100">
        <v>9</v>
      </c>
      <c r="BA49" s="100">
        <v>8866.7999999999993</v>
      </c>
      <c r="BB49" s="100">
        <v>10</v>
      </c>
      <c r="BC49" s="100">
        <v>9852</v>
      </c>
      <c r="BD49" s="100">
        <v>13</v>
      </c>
      <c r="BE49" s="100">
        <v>12807.599999999999</v>
      </c>
      <c r="BF49" s="100">
        <v>14</v>
      </c>
      <c r="BG49" s="100">
        <v>13792.8</v>
      </c>
      <c r="BH49" s="100">
        <v>11</v>
      </c>
      <c r="BI49" s="100">
        <v>10837.199999999999</v>
      </c>
      <c r="BJ49" s="100">
        <v>11</v>
      </c>
      <c r="BK49" s="100">
        <v>10837.199999999999</v>
      </c>
      <c r="BL49" s="100">
        <v>12</v>
      </c>
      <c r="BM49" s="100">
        <v>11822.4</v>
      </c>
      <c r="BN49" s="100">
        <v>13</v>
      </c>
      <c r="BO49" s="100">
        <v>12807.599999999999</v>
      </c>
      <c r="BP49" s="100">
        <v>11</v>
      </c>
      <c r="BQ49" s="100">
        <v>10837.199999999999</v>
      </c>
      <c r="BR49" s="100">
        <v>14</v>
      </c>
      <c r="BS49" s="100">
        <v>13792.8</v>
      </c>
      <c r="BT49" s="100">
        <v>15</v>
      </c>
      <c r="BU49" s="100">
        <v>14777.999999999998</v>
      </c>
      <c r="BV49" s="100">
        <v>10</v>
      </c>
      <c r="BW49" s="100">
        <v>9852</v>
      </c>
      <c r="BX49" s="100">
        <v>9</v>
      </c>
      <c r="BY49" s="100">
        <v>8866.7999999999993</v>
      </c>
      <c r="BZ49" s="100">
        <v>14</v>
      </c>
      <c r="CA49" s="100">
        <v>13792.8</v>
      </c>
      <c r="CB49" s="100">
        <v>16</v>
      </c>
      <c r="CC49" s="100">
        <v>15763.199999999999</v>
      </c>
      <c r="CD49" s="100">
        <v>9</v>
      </c>
      <c r="CE49" s="100">
        <v>8866.7999999999993</v>
      </c>
      <c r="CF49" s="100">
        <v>9</v>
      </c>
      <c r="CG49" s="100">
        <v>8866.7999999999993</v>
      </c>
      <c r="CH49" s="100">
        <v>9</v>
      </c>
      <c r="CI49" s="100">
        <v>8866.7999999999993</v>
      </c>
      <c r="CJ49" s="100">
        <v>10</v>
      </c>
      <c r="CK49" s="100">
        <v>9852</v>
      </c>
      <c r="CL49" s="100">
        <v>17</v>
      </c>
      <c r="CM49" s="100">
        <v>16748.399999999998</v>
      </c>
      <c r="CN49" s="100">
        <v>9</v>
      </c>
      <c r="CO49" s="100">
        <v>8866.7999999999993</v>
      </c>
      <c r="CP49" s="100">
        <v>9</v>
      </c>
      <c r="CQ49" s="100">
        <v>8866.7999999999993</v>
      </c>
      <c r="CR49" s="100">
        <v>13</v>
      </c>
      <c r="CS49" s="100">
        <v>12807.599999999999</v>
      </c>
      <c r="CT49" s="100">
        <v>11</v>
      </c>
      <c r="CU49" s="100">
        <v>10837.199999999999</v>
      </c>
    </row>
    <row r="50" spans="2:99">
      <c r="C50" s="99" t="s">
        <v>216</v>
      </c>
      <c r="D50" s="100">
        <v>13</v>
      </c>
      <c r="E50" s="100">
        <v>3666</v>
      </c>
      <c r="F50" s="100">
        <v>12</v>
      </c>
      <c r="G50" s="100">
        <v>3384</v>
      </c>
      <c r="H50" s="100">
        <v>18</v>
      </c>
      <c r="I50" s="100">
        <v>5076</v>
      </c>
      <c r="J50" s="100">
        <v>17</v>
      </c>
      <c r="K50" s="100">
        <v>4794</v>
      </c>
      <c r="L50" s="100">
        <v>9</v>
      </c>
      <c r="M50" s="100">
        <v>2538</v>
      </c>
      <c r="N50" s="100">
        <v>11</v>
      </c>
      <c r="O50" s="100">
        <v>3102</v>
      </c>
      <c r="P50" s="100">
        <v>7.2175324467076392</v>
      </c>
      <c r="Q50" s="100">
        <v>2035.3441499715543</v>
      </c>
      <c r="R50" s="100">
        <v>11</v>
      </c>
      <c r="S50" s="100">
        <v>3102</v>
      </c>
      <c r="T50" s="100">
        <v>16</v>
      </c>
      <c r="U50" s="100">
        <v>4512</v>
      </c>
      <c r="V50" s="100">
        <v>16</v>
      </c>
      <c r="W50" s="100">
        <v>4512</v>
      </c>
      <c r="X50" s="100">
        <v>18</v>
      </c>
      <c r="Y50" s="100">
        <v>5076</v>
      </c>
      <c r="Z50" s="100">
        <v>13</v>
      </c>
      <c r="AA50" s="100">
        <v>3666</v>
      </c>
      <c r="AB50" s="100">
        <v>14</v>
      </c>
      <c r="AC50" s="100">
        <v>3948</v>
      </c>
      <c r="AD50" s="100">
        <v>14</v>
      </c>
      <c r="AE50" s="100">
        <v>3948</v>
      </c>
      <c r="AF50" s="100">
        <v>9</v>
      </c>
      <c r="AG50" s="100">
        <v>2538</v>
      </c>
      <c r="AH50" s="100">
        <v>17</v>
      </c>
      <c r="AI50" s="100">
        <v>4794</v>
      </c>
      <c r="AJ50" s="100">
        <v>11</v>
      </c>
      <c r="AK50" s="100">
        <v>3102</v>
      </c>
      <c r="AL50" s="100">
        <v>10</v>
      </c>
      <c r="AM50" s="100">
        <v>2820</v>
      </c>
      <c r="AN50" s="100">
        <v>8</v>
      </c>
      <c r="AO50" s="100">
        <v>2256</v>
      </c>
      <c r="AP50" s="100">
        <v>10.018160460294524</v>
      </c>
      <c r="AQ50" s="100">
        <v>2825.1212498030559</v>
      </c>
      <c r="AR50" s="100">
        <v>7.4273742519209103</v>
      </c>
      <c r="AS50" s="100">
        <v>2094.5195390416966</v>
      </c>
      <c r="AT50" s="100">
        <v>15</v>
      </c>
      <c r="AU50" s="100">
        <v>4230</v>
      </c>
      <c r="AV50" s="100">
        <v>3.0728840060122899</v>
      </c>
      <c r="AW50" s="100">
        <v>866.55328969546576</v>
      </c>
      <c r="AX50" s="100">
        <v>11</v>
      </c>
      <c r="AY50" s="100">
        <v>3102</v>
      </c>
      <c r="AZ50" s="100">
        <v>0</v>
      </c>
      <c r="BA50" s="100">
        <v>0</v>
      </c>
      <c r="BB50" s="100">
        <v>0</v>
      </c>
      <c r="BC50" s="100">
        <v>0</v>
      </c>
      <c r="BD50" s="100">
        <v>0.20888015819201905</v>
      </c>
      <c r="BE50" s="100">
        <v>58.904204610149371</v>
      </c>
      <c r="BF50" s="100">
        <v>15</v>
      </c>
      <c r="BG50" s="100">
        <v>4230</v>
      </c>
      <c r="BH50" s="100">
        <v>12</v>
      </c>
      <c r="BI50" s="100">
        <v>3384</v>
      </c>
      <c r="BJ50" s="100">
        <v>0</v>
      </c>
      <c r="BK50" s="100">
        <v>0</v>
      </c>
      <c r="BL50" s="100">
        <v>1.151858243813408</v>
      </c>
      <c r="BM50" s="100">
        <v>324.82402475538106</v>
      </c>
      <c r="BN50" s="100">
        <v>2.370526135752494</v>
      </c>
      <c r="BO50" s="100">
        <v>668.48837028220328</v>
      </c>
      <c r="BP50" s="100">
        <v>13</v>
      </c>
      <c r="BQ50" s="100">
        <v>3666</v>
      </c>
      <c r="BR50" s="100">
        <v>0</v>
      </c>
      <c r="BS50" s="100">
        <v>0</v>
      </c>
      <c r="BT50" s="100">
        <v>0.47649190390118229</v>
      </c>
      <c r="BU50" s="100">
        <v>134.3707169001334</v>
      </c>
      <c r="BV50" s="100">
        <v>0</v>
      </c>
      <c r="BW50" s="100">
        <v>0</v>
      </c>
      <c r="BX50" s="100">
        <v>9</v>
      </c>
      <c r="BY50" s="100">
        <v>2538</v>
      </c>
      <c r="BZ50" s="100">
        <v>0</v>
      </c>
      <c r="CA50" s="100">
        <v>0</v>
      </c>
      <c r="CB50" s="100">
        <v>16.960245468512472</v>
      </c>
      <c r="CC50" s="100">
        <v>4782.7892221205175</v>
      </c>
      <c r="CD50" s="100">
        <v>0.21968871595552425</v>
      </c>
      <c r="CE50" s="100">
        <v>61.952217899457835</v>
      </c>
      <c r="CF50" s="100">
        <v>8.9232268519363078</v>
      </c>
      <c r="CG50" s="100">
        <v>2516.3499722460388</v>
      </c>
      <c r="CH50" s="100">
        <v>11</v>
      </c>
      <c r="CI50" s="100">
        <v>3102</v>
      </c>
      <c r="CJ50" s="100">
        <v>0.63743135777345017</v>
      </c>
      <c r="CK50" s="100">
        <v>179.75564289211295</v>
      </c>
      <c r="CL50" s="100">
        <v>0</v>
      </c>
      <c r="CM50" s="100">
        <v>0</v>
      </c>
      <c r="CN50" s="100">
        <v>0.42305655978720702</v>
      </c>
      <c r="CO50" s="100">
        <v>119.30194985999238</v>
      </c>
      <c r="CP50" s="100">
        <v>2.5748908928861396</v>
      </c>
      <c r="CQ50" s="100">
        <v>726.11923179389134</v>
      </c>
      <c r="CR50" s="100">
        <v>15</v>
      </c>
      <c r="CS50" s="100">
        <v>4230</v>
      </c>
      <c r="CT50" s="100">
        <v>12</v>
      </c>
      <c r="CU50" s="100">
        <v>3384</v>
      </c>
    </row>
    <row r="51" spans="2:99">
      <c r="C51" s="99" t="s">
        <v>217</v>
      </c>
      <c r="D51" s="100">
        <v>14</v>
      </c>
      <c r="E51" s="100">
        <v>11961.6</v>
      </c>
      <c r="F51" s="100">
        <v>13</v>
      </c>
      <c r="G51" s="100">
        <v>11107.199999999999</v>
      </c>
      <c r="H51" s="100">
        <v>17</v>
      </c>
      <c r="I51" s="100">
        <v>14524.8</v>
      </c>
      <c r="J51" s="100">
        <v>15</v>
      </c>
      <c r="K51" s="100">
        <v>12816</v>
      </c>
      <c r="L51" s="100">
        <v>9</v>
      </c>
      <c r="M51" s="100">
        <v>7689.5999999999995</v>
      </c>
      <c r="N51" s="100">
        <v>9</v>
      </c>
      <c r="O51" s="100">
        <v>7689.5999999999995</v>
      </c>
      <c r="P51" s="100">
        <v>6.70199441479995</v>
      </c>
      <c r="Q51" s="100">
        <v>5726.1840280050774</v>
      </c>
      <c r="R51" s="100">
        <v>10</v>
      </c>
      <c r="S51" s="100">
        <v>8544</v>
      </c>
      <c r="T51" s="100">
        <v>15</v>
      </c>
      <c r="U51" s="100">
        <v>12816</v>
      </c>
      <c r="V51" s="100">
        <v>18</v>
      </c>
      <c r="W51" s="100">
        <v>15379.199999999999</v>
      </c>
      <c r="X51" s="100">
        <v>18</v>
      </c>
      <c r="Y51" s="100">
        <v>15379.199999999999</v>
      </c>
      <c r="Z51" s="100">
        <v>11</v>
      </c>
      <c r="AA51" s="100">
        <v>9398.4</v>
      </c>
      <c r="AB51" s="100">
        <v>12</v>
      </c>
      <c r="AC51" s="100">
        <v>10252.799999999999</v>
      </c>
      <c r="AD51" s="100">
        <v>15</v>
      </c>
      <c r="AE51" s="100">
        <v>12816</v>
      </c>
      <c r="AF51" s="100">
        <v>9</v>
      </c>
      <c r="AG51" s="100">
        <v>7689.5999999999995</v>
      </c>
      <c r="AH51" s="100">
        <v>15</v>
      </c>
      <c r="AI51" s="100">
        <v>12816</v>
      </c>
      <c r="AJ51" s="100">
        <v>9</v>
      </c>
      <c r="AK51" s="100">
        <v>7689.5999999999995</v>
      </c>
      <c r="AL51" s="100">
        <v>11</v>
      </c>
      <c r="AM51" s="100">
        <v>9398.4</v>
      </c>
      <c r="AN51" s="100">
        <v>8</v>
      </c>
      <c r="AO51" s="100">
        <v>6835.2</v>
      </c>
      <c r="AP51" s="100">
        <v>10.73374335031556</v>
      </c>
      <c r="AQ51" s="100">
        <v>9170.9103185096137</v>
      </c>
      <c r="AR51" s="100">
        <v>6.8084263975941681</v>
      </c>
      <c r="AS51" s="100">
        <v>5817.1195141044573</v>
      </c>
      <c r="AT51" s="100">
        <v>14</v>
      </c>
      <c r="AU51" s="100">
        <v>11961.6</v>
      </c>
      <c r="AV51" s="100">
        <v>2.8168103388445993</v>
      </c>
      <c r="AW51" s="100">
        <v>2406.6827535088255</v>
      </c>
      <c r="AX51" s="100">
        <v>10</v>
      </c>
      <c r="AY51" s="100">
        <v>8544</v>
      </c>
      <c r="AZ51" s="100">
        <v>0</v>
      </c>
      <c r="BA51" s="100">
        <v>0</v>
      </c>
      <c r="BB51" s="100">
        <v>0</v>
      </c>
      <c r="BC51" s="100">
        <v>0</v>
      </c>
      <c r="BD51" s="100">
        <v>0.18102947043308318</v>
      </c>
      <c r="BE51" s="100">
        <v>154.67157953802626</v>
      </c>
      <c r="BF51" s="100">
        <v>14</v>
      </c>
      <c r="BG51" s="100">
        <v>11961.6</v>
      </c>
      <c r="BH51" s="100">
        <v>13</v>
      </c>
      <c r="BI51" s="100">
        <v>11107.199999999999</v>
      </c>
      <c r="BJ51" s="100">
        <v>0</v>
      </c>
      <c r="BK51" s="100">
        <v>0</v>
      </c>
      <c r="BL51" s="100">
        <v>1.0558700568289572</v>
      </c>
      <c r="BM51" s="100">
        <v>902.13537655466098</v>
      </c>
      <c r="BN51" s="100">
        <v>2.370526135752494</v>
      </c>
      <c r="BO51" s="100">
        <v>2025.3775303869309</v>
      </c>
      <c r="BP51" s="100">
        <v>12</v>
      </c>
      <c r="BQ51" s="100">
        <v>10252.799999999999</v>
      </c>
      <c r="BR51" s="100">
        <v>0</v>
      </c>
      <c r="BS51" s="100">
        <v>0</v>
      </c>
      <c r="BT51" s="100">
        <v>0.44671115990735843</v>
      </c>
      <c r="BU51" s="100">
        <v>381.67001502484703</v>
      </c>
      <c r="BV51" s="100">
        <v>0</v>
      </c>
      <c r="BW51" s="100">
        <v>0</v>
      </c>
      <c r="BX51" s="100">
        <v>9</v>
      </c>
      <c r="BY51" s="100">
        <v>7689.5999999999995</v>
      </c>
      <c r="BZ51" s="100">
        <v>0</v>
      </c>
      <c r="CA51" s="100">
        <v>0</v>
      </c>
      <c r="CB51" s="100">
        <v>14.964922472216889</v>
      </c>
      <c r="CC51" s="100">
        <v>12786.02976026211</v>
      </c>
      <c r="CD51" s="100">
        <v>0.21968871595552425</v>
      </c>
      <c r="CE51" s="100">
        <v>187.70203891239993</v>
      </c>
      <c r="CF51" s="100">
        <v>8.9232268519363078</v>
      </c>
      <c r="CG51" s="100">
        <v>7624.005022294381</v>
      </c>
      <c r="CH51" s="100">
        <v>10</v>
      </c>
      <c r="CI51" s="100">
        <v>8544</v>
      </c>
      <c r="CJ51" s="100">
        <v>0.57948305252131838</v>
      </c>
      <c r="CK51" s="100">
        <v>495.11032007421443</v>
      </c>
      <c r="CL51" s="100">
        <v>0</v>
      </c>
      <c r="CM51" s="100">
        <v>0</v>
      </c>
      <c r="CN51" s="100">
        <v>0.38075090380848636</v>
      </c>
      <c r="CO51" s="100">
        <v>325.31357221397076</v>
      </c>
      <c r="CP51" s="100">
        <v>2.3174018035975257</v>
      </c>
      <c r="CQ51" s="100">
        <v>1979.988100993726</v>
      </c>
      <c r="CR51" s="100">
        <v>15</v>
      </c>
      <c r="CS51" s="100">
        <v>12816</v>
      </c>
      <c r="CT51" s="100">
        <v>12</v>
      </c>
      <c r="CU51" s="100">
        <v>10252.799999999999</v>
      </c>
    </row>
    <row r="52" spans="2:99">
      <c r="C52" s="99" t="s">
        <v>218</v>
      </c>
      <c r="D52" s="100">
        <v>14</v>
      </c>
      <c r="E52" s="100">
        <v>7560</v>
      </c>
      <c r="F52" s="100">
        <v>12</v>
      </c>
      <c r="G52" s="100">
        <v>6480</v>
      </c>
      <c r="H52" s="100">
        <v>17</v>
      </c>
      <c r="I52" s="100">
        <v>9180</v>
      </c>
      <c r="J52" s="100">
        <v>14</v>
      </c>
      <c r="K52" s="100">
        <v>7560</v>
      </c>
      <c r="L52" s="100">
        <v>9</v>
      </c>
      <c r="M52" s="100">
        <v>4860</v>
      </c>
      <c r="N52" s="100">
        <v>10</v>
      </c>
      <c r="O52" s="100">
        <v>5400</v>
      </c>
      <c r="P52" s="100">
        <v>6.70199441479995</v>
      </c>
      <c r="Q52" s="100">
        <v>3619.0769839919731</v>
      </c>
      <c r="R52" s="100">
        <v>9</v>
      </c>
      <c r="S52" s="100">
        <v>4860</v>
      </c>
      <c r="T52" s="100">
        <v>16</v>
      </c>
      <c r="U52" s="100">
        <v>8640</v>
      </c>
      <c r="V52" s="100">
        <v>18</v>
      </c>
      <c r="W52" s="100">
        <v>9720</v>
      </c>
      <c r="X52" s="100">
        <v>18</v>
      </c>
      <c r="Y52" s="100">
        <v>9720</v>
      </c>
      <c r="Z52" s="100">
        <v>11</v>
      </c>
      <c r="AA52" s="100">
        <v>5940</v>
      </c>
      <c r="AB52" s="100">
        <v>14</v>
      </c>
      <c r="AC52" s="100">
        <v>7560</v>
      </c>
      <c r="AD52" s="100">
        <v>15</v>
      </c>
      <c r="AE52" s="100">
        <v>8100</v>
      </c>
      <c r="AF52" s="100">
        <v>9</v>
      </c>
      <c r="AG52" s="100">
        <v>4860</v>
      </c>
      <c r="AH52" s="100">
        <v>16</v>
      </c>
      <c r="AI52" s="100">
        <v>8640</v>
      </c>
      <c r="AJ52" s="100">
        <v>10</v>
      </c>
      <c r="AK52" s="100">
        <v>5400</v>
      </c>
      <c r="AL52" s="100">
        <v>10</v>
      </c>
      <c r="AM52" s="100">
        <v>5400</v>
      </c>
      <c r="AN52" s="100">
        <v>9</v>
      </c>
      <c r="AO52" s="100">
        <v>4860</v>
      </c>
      <c r="AP52" s="100">
        <v>10.73374335031556</v>
      </c>
      <c r="AQ52" s="100">
        <v>5796.2214091704027</v>
      </c>
      <c r="AR52" s="100">
        <v>7.4273742519209103</v>
      </c>
      <c r="AS52" s="100">
        <v>4010.7820960372915</v>
      </c>
      <c r="AT52" s="100">
        <v>15</v>
      </c>
      <c r="AU52" s="100">
        <v>8100</v>
      </c>
      <c r="AV52" s="100">
        <v>2.8168103388445993</v>
      </c>
      <c r="AW52" s="100">
        <v>1521.0775829760837</v>
      </c>
      <c r="AX52" s="100">
        <v>12</v>
      </c>
      <c r="AY52" s="100">
        <v>6480</v>
      </c>
      <c r="AZ52" s="100">
        <v>0</v>
      </c>
      <c r="BA52" s="100">
        <v>0</v>
      </c>
      <c r="BB52" s="100">
        <v>0</v>
      </c>
      <c r="BC52" s="100">
        <v>0</v>
      </c>
      <c r="BD52" s="100">
        <v>0.20888015819201905</v>
      </c>
      <c r="BE52" s="100">
        <v>112.79528542369029</v>
      </c>
      <c r="BF52" s="100">
        <v>13</v>
      </c>
      <c r="BG52" s="100">
        <v>7020</v>
      </c>
      <c r="BH52" s="100">
        <v>13</v>
      </c>
      <c r="BI52" s="100">
        <v>7020</v>
      </c>
      <c r="BJ52" s="100">
        <v>0</v>
      </c>
      <c r="BK52" s="100">
        <v>0</v>
      </c>
      <c r="BL52" s="100">
        <v>1.2478464307978585</v>
      </c>
      <c r="BM52" s="100">
        <v>673.83707263084364</v>
      </c>
      <c r="BN52" s="100">
        <v>2.7352224643298011</v>
      </c>
      <c r="BO52" s="100">
        <v>1477.0201307380926</v>
      </c>
      <c r="BP52" s="100">
        <v>12</v>
      </c>
      <c r="BQ52" s="100">
        <v>6480</v>
      </c>
      <c r="BR52" s="100">
        <v>0</v>
      </c>
      <c r="BS52" s="100">
        <v>0</v>
      </c>
      <c r="BT52" s="100">
        <v>0.44671115990735843</v>
      </c>
      <c r="BU52" s="100">
        <v>241.22402634997354</v>
      </c>
      <c r="BV52" s="100">
        <v>0</v>
      </c>
      <c r="BW52" s="100">
        <v>0</v>
      </c>
      <c r="BX52" s="100">
        <v>9</v>
      </c>
      <c r="BY52" s="100">
        <v>4860</v>
      </c>
      <c r="BZ52" s="100">
        <v>0</v>
      </c>
      <c r="CA52" s="100">
        <v>0</v>
      </c>
      <c r="CB52" s="100">
        <v>14.964922472216889</v>
      </c>
      <c r="CC52" s="100">
        <v>8081.0581349971199</v>
      </c>
      <c r="CD52" s="100">
        <v>0.21968871595552425</v>
      </c>
      <c r="CE52" s="100">
        <v>118.6319066159831</v>
      </c>
      <c r="CF52" s="100">
        <v>9.9146965021514522</v>
      </c>
      <c r="CG52" s="100">
        <v>5353.9361111617845</v>
      </c>
      <c r="CH52" s="100">
        <v>10</v>
      </c>
      <c r="CI52" s="100">
        <v>5400</v>
      </c>
      <c r="CJ52" s="100">
        <v>0.63743135777345017</v>
      </c>
      <c r="CK52" s="100">
        <v>344.21293319766312</v>
      </c>
      <c r="CL52" s="100">
        <v>0</v>
      </c>
      <c r="CM52" s="100">
        <v>0</v>
      </c>
      <c r="CN52" s="100">
        <v>0.38075090380848636</v>
      </c>
      <c r="CO52" s="100">
        <v>205.60548805658263</v>
      </c>
      <c r="CP52" s="100">
        <v>2.3174018035975257</v>
      </c>
      <c r="CQ52" s="100">
        <v>1251.3969739426639</v>
      </c>
      <c r="CR52" s="100">
        <v>16</v>
      </c>
      <c r="CS52" s="100">
        <v>8640</v>
      </c>
      <c r="CT52" s="100">
        <v>13</v>
      </c>
      <c r="CU52" s="100">
        <v>7020</v>
      </c>
    </row>
    <row r="53" spans="2:99">
      <c r="C53" s="99" t="s">
        <v>219</v>
      </c>
      <c r="D53" s="100">
        <v>14</v>
      </c>
      <c r="E53" s="100">
        <v>5695.2</v>
      </c>
      <c r="F53" s="100">
        <v>14</v>
      </c>
      <c r="G53" s="100">
        <v>5695.2</v>
      </c>
      <c r="H53" s="100">
        <v>17</v>
      </c>
      <c r="I53" s="100">
        <v>6915.6</v>
      </c>
      <c r="J53" s="100">
        <v>15</v>
      </c>
      <c r="K53" s="100">
        <v>6102</v>
      </c>
      <c r="L53" s="100">
        <v>9</v>
      </c>
      <c r="M53" s="100">
        <v>3661.2000000000003</v>
      </c>
      <c r="N53" s="100">
        <v>9</v>
      </c>
      <c r="O53" s="100">
        <v>3661.2000000000003</v>
      </c>
      <c r="P53" s="100">
        <v>6.70199441479995</v>
      </c>
      <c r="Q53" s="100">
        <v>2726.3713279406197</v>
      </c>
      <c r="R53" s="100">
        <v>10</v>
      </c>
      <c r="S53" s="100">
        <v>4068</v>
      </c>
      <c r="T53" s="100">
        <v>15</v>
      </c>
      <c r="U53" s="100">
        <v>6102</v>
      </c>
      <c r="V53" s="100">
        <v>18</v>
      </c>
      <c r="W53" s="100">
        <v>7322.4000000000005</v>
      </c>
      <c r="X53" s="100">
        <v>17</v>
      </c>
      <c r="Y53" s="100">
        <v>6915.6</v>
      </c>
      <c r="Z53" s="100">
        <v>13</v>
      </c>
      <c r="AA53" s="100">
        <v>5288.4000000000005</v>
      </c>
      <c r="AB53" s="100">
        <v>13</v>
      </c>
      <c r="AC53" s="100">
        <v>5288.4000000000005</v>
      </c>
      <c r="AD53" s="100">
        <v>17</v>
      </c>
      <c r="AE53" s="100">
        <v>6915.6</v>
      </c>
      <c r="AF53" s="100">
        <v>9</v>
      </c>
      <c r="AG53" s="100">
        <v>3661.2000000000003</v>
      </c>
      <c r="AH53" s="100">
        <v>16</v>
      </c>
      <c r="AI53" s="100">
        <v>6508.8</v>
      </c>
      <c r="AJ53" s="100">
        <v>9</v>
      </c>
      <c r="AK53" s="100">
        <v>3661.2000000000003</v>
      </c>
      <c r="AL53" s="100">
        <v>11</v>
      </c>
      <c r="AM53" s="100">
        <v>4474.8</v>
      </c>
      <c r="AN53" s="100">
        <v>9</v>
      </c>
      <c r="AO53" s="100">
        <v>3661.2000000000003</v>
      </c>
      <c r="AP53" s="100">
        <v>10.018160460294524</v>
      </c>
      <c r="AQ53" s="100">
        <v>4075.3876752478127</v>
      </c>
      <c r="AR53" s="100">
        <v>7.4273742519209103</v>
      </c>
      <c r="AS53" s="100">
        <v>3021.4558456814266</v>
      </c>
      <c r="AT53" s="100">
        <v>17</v>
      </c>
      <c r="AU53" s="100">
        <v>6915.6</v>
      </c>
      <c r="AV53" s="100">
        <v>3.0728840060122899</v>
      </c>
      <c r="AW53" s="100">
        <v>1250.0492136457997</v>
      </c>
      <c r="AX53" s="100">
        <v>12</v>
      </c>
      <c r="AY53" s="100">
        <v>4881.6000000000004</v>
      </c>
      <c r="AZ53" s="100">
        <v>0</v>
      </c>
      <c r="BA53" s="100">
        <v>0</v>
      </c>
      <c r="BB53" s="100">
        <v>0</v>
      </c>
      <c r="BC53" s="100">
        <v>0</v>
      </c>
      <c r="BD53" s="100">
        <v>0.20888015819201905</v>
      </c>
      <c r="BE53" s="100">
        <v>84.972448352513354</v>
      </c>
      <c r="BF53" s="100">
        <v>14</v>
      </c>
      <c r="BG53" s="100">
        <v>5695.2</v>
      </c>
      <c r="BH53" s="100">
        <v>12</v>
      </c>
      <c r="BI53" s="100">
        <v>4881.6000000000004</v>
      </c>
      <c r="BJ53" s="100">
        <v>0</v>
      </c>
      <c r="BK53" s="100">
        <v>0</v>
      </c>
      <c r="BL53" s="100">
        <v>1.3438346177823093</v>
      </c>
      <c r="BM53" s="100">
        <v>546.67192251384347</v>
      </c>
      <c r="BN53" s="100">
        <v>2.370526135752494</v>
      </c>
      <c r="BO53" s="100">
        <v>964.33003202411464</v>
      </c>
      <c r="BP53" s="100">
        <v>11</v>
      </c>
      <c r="BQ53" s="100">
        <v>4474.8</v>
      </c>
      <c r="BR53" s="100">
        <v>0</v>
      </c>
      <c r="BS53" s="100">
        <v>0</v>
      </c>
      <c r="BT53" s="100">
        <v>0.47649190390118229</v>
      </c>
      <c r="BU53" s="100">
        <v>193.83690650700095</v>
      </c>
      <c r="BV53" s="100">
        <v>0</v>
      </c>
      <c r="BW53" s="100">
        <v>0</v>
      </c>
      <c r="BX53" s="100">
        <v>11</v>
      </c>
      <c r="BY53" s="100">
        <v>4474.8</v>
      </c>
      <c r="BZ53" s="100">
        <v>0</v>
      </c>
      <c r="CA53" s="100">
        <v>0</v>
      </c>
      <c r="CB53" s="100">
        <v>16.960245468512472</v>
      </c>
      <c r="CC53" s="100">
        <v>6899.4278565908735</v>
      </c>
      <c r="CD53" s="100">
        <v>0.19527885862713265</v>
      </c>
      <c r="CE53" s="100">
        <v>79.43943968951757</v>
      </c>
      <c r="CF53" s="100">
        <v>9.9146965021514522</v>
      </c>
      <c r="CG53" s="100">
        <v>4033.2985370752108</v>
      </c>
      <c r="CH53" s="100">
        <v>11</v>
      </c>
      <c r="CI53" s="100">
        <v>4474.8</v>
      </c>
      <c r="CJ53" s="100">
        <v>0.69537966302558207</v>
      </c>
      <c r="CK53" s="100">
        <v>282.8804469188068</v>
      </c>
      <c r="CL53" s="100">
        <v>0</v>
      </c>
      <c r="CM53" s="100">
        <v>0</v>
      </c>
      <c r="CN53" s="100">
        <v>0.38075090380848636</v>
      </c>
      <c r="CO53" s="100">
        <v>154.88946766929226</v>
      </c>
      <c r="CP53" s="100">
        <v>2.832379982174754</v>
      </c>
      <c r="CQ53" s="100">
        <v>1152.2121767486899</v>
      </c>
      <c r="CR53" s="100">
        <v>16</v>
      </c>
      <c r="CS53" s="100">
        <v>6508.8</v>
      </c>
      <c r="CT53" s="100">
        <v>12</v>
      </c>
      <c r="CU53" s="100">
        <v>4881.6000000000004</v>
      </c>
    </row>
    <row r="54" spans="2:99">
      <c r="C54" s="99" t="s">
        <v>220</v>
      </c>
      <c r="D54" s="100">
        <v>14</v>
      </c>
      <c r="E54" s="100">
        <v>4687.2</v>
      </c>
      <c r="F54" s="100">
        <v>12</v>
      </c>
      <c r="G54" s="100">
        <v>4017.6000000000004</v>
      </c>
      <c r="H54" s="100">
        <v>18</v>
      </c>
      <c r="I54" s="100">
        <v>6026.4000000000005</v>
      </c>
      <c r="J54" s="100">
        <v>17</v>
      </c>
      <c r="K54" s="100">
        <v>5691.6</v>
      </c>
      <c r="L54" s="100">
        <v>10</v>
      </c>
      <c r="M54" s="100">
        <v>3348</v>
      </c>
      <c r="N54" s="100">
        <v>9</v>
      </c>
      <c r="O54" s="100">
        <v>3013.2000000000003</v>
      </c>
      <c r="P54" s="100">
        <v>6.70199441479995</v>
      </c>
      <c r="Q54" s="100">
        <v>2243.8277300750233</v>
      </c>
      <c r="R54" s="100">
        <v>10</v>
      </c>
      <c r="S54" s="100">
        <v>3348</v>
      </c>
      <c r="T54" s="100">
        <v>17</v>
      </c>
      <c r="U54" s="100">
        <v>5691.6</v>
      </c>
      <c r="V54" s="100">
        <v>18</v>
      </c>
      <c r="W54" s="100">
        <v>6026.4000000000005</v>
      </c>
      <c r="X54" s="100">
        <v>16</v>
      </c>
      <c r="Y54" s="100">
        <v>5356.8</v>
      </c>
      <c r="Z54" s="100">
        <v>13</v>
      </c>
      <c r="AA54" s="100">
        <v>4352.4000000000005</v>
      </c>
      <c r="AB54" s="100">
        <v>13</v>
      </c>
      <c r="AC54" s="100">
        <v>4352.4000000000005</v>
      </c>
      <c r="AD54" s="100">
        <v>16</v>
      </c>
      <c r="AE54" s="100">
        <v>5356.8</v>
      </c>
      <c r="AF54" s="100">
        <v>10</v>
      </c>
      <c r="AG54" s="100">
        <v>3348</v>
      </c>
      <c r="AH54" s="100">
        <v>17</v>
      </c>
      <c r="AI54" s="100">
        <v>5691.6</v>
      </c>
      <c r="AJ54" s="100">
        <v>10</v>
      </c>
      <c r="AK54" s="100">
        <v>3348</v>
      </c>
      <c r="AL54" s="100">
        <v>12</v>
      </c>
      <c r="AM54" s="100">
        <v>4017.6000000000004</v>
      </c>
      <c r="AN54" s="100">
        <v>8</v>
      </c>
      <c r="AO54" s="100">
        <v>2678.4</v>
      </c>
      <c r="AP54" s="100">
        <v>10.018160460294524</v>
      </c>
      <c r="AQ54" s="100">
        <v>3354.0801221066067</v>
      </c>
      <c r="AR54" s="100">
        <v>7.4273742519209103</v>
      </c>
      <c r="AS54" s="100">
        <v>2486.684899543121</v>
      </c>
      <c r="AT54" s="100">
        <v>16</v>
      </c>
      <c r="AU54" s="100">
        <v>5356.8</v>
      </c>
      <c r="AV54" s="100">
        <v>2.8168103388445993</v>
      </c>
      <c r="AW54" s="100">
        <v>943.06810144517192</v>
      </c>
      <c r="AX54" s="100">
        <v>12</v>
      </c>
      <c r="AY54" s="100">
        <v>4017.6000000000004</v>
      </c>
      <c r="AZ54" s="100">
        <v>0</v>
      </c>
      <c r="BA54" s="100">
        <v>0</v>
      </c>
      <c r="BB54" s="100">
        <v>0</v>
      </c>
      <c r="BC54" s="100">
        <v>0</v>
      </c>
      <c r="BD54" s="100">
        <v>0.18102947043308318</v>
      </c>
      <c r="BE54" s="100">
        <v>60.608666700996253</v>
      </c>
      <c r="BF54" s="100">
        <v>14</v>
      </c>
      <c r="BG54" s="100">
        <v>4687.2</v>
      </c>
      <c r="BH54" s="100">
        <v>14</v>
      </c>
      <c r="BI54" s="100">
        <v>4687.2</v>
      </c>
      <c r="BJ54" s="100">
        <v>0</v>
      </c>
      <c r="BK54" s="100">
        <v>0</v>
      </c>
      <c r="BL54" s="100">
        <v>1.151858243813408</v>
      </c>
      <c r="BM54" s="100">
        <v>385.64214002872899</v>
      </c>
      <c r="BN54" s="100">
        <v>2.370526135752494</v>
      </c>
      <c r="BO54" s="100">
        <v>793.65215024993506</v>
      </c>
      <c r="BP54" s="100">
        <v>13</v>
      </c>
      <c r="BQ54" s="100">
        <v>4352.4000000000005</v>
      </c>
      <c r="BR54" s="100">
        <v>0</v>
      </c>
      <c r="BS54" s="100">
        <v>0</v>
      </c>
      <c r="BT54" s="100">
        <v>0.44671115990735843</v>
      </c>
      <c r="BU54" s="100">
        <v>149.55889633698362</v>
      </c>
      <c r="BV54" s="100">
        <v>0</v>
      </c>
      <c r="BW54" s="100">
        <v>0</v>
      </c>
      <c r="BX54" s="100">
        <v>11</v>
      </c>
      <c r="BY54" s="100">
        <v>3682.8</v>
      </c>
      <c r="BZ54" s="100">
        <v>0</v>
      </c>
      <c r="CA54" s="100">
        <v>0</v>
      </c>
      <c r="CB54" s="100">
        <v>14.964922472216889</v>
      </c>
      <c r="CC54" s="100">
        <v>5010.2560436982149</v>
      </c>
      <c r="CD54" s="100">
        <v>0.21968871595552425</v>
      </c>
      <c r="CE54" s="100">
        <v>73.551782101909524</v>
      </c>
      <c r="CF54" s="100">
        <v>9.9146965021514522</v>
      </c>
      <c r="CG54" s="100">
        <v>3319.4403889203063</v>
      </c>
      <c r="CH54" s="100">
        <v>11</v>
      </c>
      <c r="CI54" s="100">
        <v>3682.8</v>
      </c>
      <c r="CJ54" s="100">
        <v>0.57948305252131838</v>
      </c>
      <c r="CK54" s="100">
        <v>194.0109259841374</v>
      </c>
      <c r="CL54" s="100">
        <v>0</v>
      </c>
      <c r="CM54" s="100">
        <v>0</v>
      </c>
      <c r="CN54" s="100">
        <v>0.38075090380848636</v>
      </c>
      <c r="CO54" s="100">
        <v>127.47540259508123</v>
      </c>
      <c r="CP54" s="100">
        <v>2.5748908928861396</v>
      </c>
      <c r="CQ54" s="100">
        <v>862.07347093827957</v>
      </c>
      <c r="CR54" s="100">
        <v>16</v>
      </c>
      <c r="CS54" s="100">
        <v>5356.8</v>
      </c>
      <c r="CT54" s="100">
        <v>13</v>
      </c>
      <c r="CU54" s="100">
        <v>4352.4000000000005</v>
      </c>
    </row>
    <row r="55" spans="2:99">
      <c r="C55" s="99" t="s">
        <v>221</v>
      </c>
      <c r="D55" s="100">
        <v>15</v>
      </c>
      <c r="E55" s="100">
        <v>9954</v>
      </c>
      <c r="F55" s="100">
        <v>12</v>
      </c>
      <c r="G55" s="100">
        <v>7963.2000000000007</v>
      </c>
      <c r="H55" s="100">
        <v>18</v>
      </c>
      <c r="I55" s="100">
        <v>11944.800000000001</v>
      </c>
      <c r="J55" s="100">
        <v>16</v>
      </c>
      <c r="K55" s="100">
        <v>10617.6</v>
      </c>
      <c r="L55" s="100">
        <v>10</v>
      </c>
      <c r="M55" s="100">
        <v>6636</v>
      </c>
      <c r="N55" s="100">
        <v>9</v>
      </c>
      <c r="O55" s="100">
        <v>5972.4000000000005</v>
      </c>
      <c r="P55" s="100">
        <v>6.1864563828922607</v>
      </c>
      <c r="Q55" s="100">
        <v>4105.332455687304</v>
      </c>
      <c r="R55" s="100">
        <v>10</v>
      </c>
      <c r="S55" s="100">
        <v>6636</v>
      </c>
      <c r="T55" s="100">
        <v>17</v>
      </c>
      <c r="U55" s="100">
        <v>11281.2</v>
      </c>
      <c r="V55" s="100">
        <v>17</v>
      </c>
      <c r="W55" s="100">
        <v>11281.2</v>
      </c>
      <c r="X55" s="100">
        <v>16</v>
      </c>
      <c r="Y55" s="100">
        <v>10617.6</v>
      </c>
      <c r="Z55" s="100">
        <v>12</v>
      </c>
      <c r="AA55" s="100">
        <v>7963.2000000000007</v>
      </c>
      <c r="AB55" s="100">
        <v>13</v>
      </c>
      <c r="AC55" s="100">
        <v>8626.8000000000011</v>
      </c>
      <c r="AD55" s="100">
        <v>16</v>
      </c>
      <c r="AE55" s="100">
        <v>10617.6</v>
      </c>
      <c r="AF55" s="100">
        <v>9</v>
      </c>
      <c r="AG55" s="100">
        <v>5972.4000000000005</v>
      </c>
      <c r="AH55" s="100">
        <v>14</v>
      </c>
      <c r="AI55" s="100">
        <v>9290.4</v>
      </c>
      <c r="AJ55" s="100">
        <v>9</v>
      </c>
      <c r="AK55" s="100">
        <v>5972.4000000000005</v>
      </c>
      <c r="AL55" s="100">
        <v>12</v>
      </c>
      <c r="AM55" s="100">
        <v>7963.2000000000007</v>
      </c>
      <c r="AN55" s="100">
        <v>8</v>
      </c>
      <c r="AO55" s="100">
        <v>5308.8</v>
      </c>
      <c r="AP55" s="100">
        <v>11.449326240336598</v>
      </c>
      <c r="AQ55" s="100">
        <v>7597.7728930873664</v>
      </c>
      <c r="AR55" s="100">
        <v>8.0463221062476524</v>
      </c>
      <c r="AS55" s="100">
        <v>5339.5393497059422</v>
      </c>
      <c r="AT55" s="100">
        <v>16</v>
      </c>
      <c r="AU55" s="100">
        <v>10617.6</v>
      </c>
      <c r="AV55" s="100">
        <v>2.8168103388445993</v>
      </c>
      <c r="AW55" s="100">
        <v>1869.2353408572762</v>
      </c>
      <c r="AX55" s="100">
        <v>12</v>
      </c>
      <c r="AY55" s="100">
        <v>7963.2000000000007</v>
      </c>
      <c r="AZ55" s="100">
        <v>0</v>
      </c>
      <c r="BA55" s="100">
        <v>0</v>
      </c>
      <c r="BB55" s="100">
        <v>0</v>
      </c>
      <c r="BC55" s="100">
        <v>0</v>
      </c>
      <c r="BD55" s="100">
        <v>0.18102947043308318</v>
      </c>
      <c r="BE55" s="100">
        <v>120.131156579394</v>
      </c>
      <c r="BF55" s="100">
        <v>13</v>
      </c>
      <c r="BG55" s="100">
        <v>8626.8000000000011</v>
      </c>
      <c r="BH55" s="100">
        <v>13</v>
      </c>
      <c r="BI55" s="100">
        <v>8626.8000000000011</v>
      </c>
      <c r="BJ55" s="100">
        <v>0</v>
      </c>
      <c r="BK55" s="100">
        <v>0</v>
      </c>
      <c r="BL55" s="100">
        <v>1.0558700568289572</v>
      </c>
      <c r="BM55" s="100">
        <v>700.67536971169602</v>
      </c>
      <c r="BN55" s="100">
        <v>2.188177971463841</v>
      </c>
      <c r="BO55" s="100">
        <v>1452.0749018634049</v>
      </c>
      <c r="BP55" s="100">
        <v>12</v>
      </c>
      <c r="BQ55" s="100">
        <v>7963.2000000000007</v>
      </c>
      <c r="BR55" s="100">
        <v>0</v>
      </c>
      <c r="BS55" s="100">
        <v>0</v>
      </c>
      <c r="BT55" s="100">
        <v>0.47649190390118229</v>
      </c>
      <c r="BU55" s="100">
        <v>316.20002742882457</v>
      </c>
      <c r="BV55" s="100">
        <v>0</v>
      </c>
      <c r="BW55" s="100">
        <v>0</v>
      </c>
      <c r="BX55" s="100">
        <v>10</v>
      </c>
      <c r="BY55" s="100">
        <v>6636</v>
      </c>
      <c r="BZ55" s="100">
        <v>0</v>
      </c>
      <c r="CA55" s="100">
        <v>0</v>
      </c>
      <c r="CB55" s="100">
        <v>16.960245468512472</v>
      </c>
      <c r="CC55" s="100">
        <v>11254.818892904877</v>
      </c>
      <c r="CD55" s="100">
        <v>0.19527885862713265</v>
      </c>
      <c r="CE55" s="100">
        <v>129.58705058496523</v>
      </c>
      <c r="CF55" s="100">
        <v>8.9232268519363078</v>
      </c>
      <c r="CG55" s="100">
        <v>5921.4533389449343</v>
      </c>
      <c r="CH55" s="100">
        <v>10</v>
      </c>
      <c r="CI55" s="100">
        <v>6636</v>
      </c>
      <c r="CJ55" s="100">
        <v>0.57948305252131838</v>
      </c>
      <c r="CK55" s="100">
        <v>384.54495365314688</v>
      </c>
      <c r="CL55" s="100">
        <v>0</v>
      </c>
      <c r="CM55" s="100">
        <v>0</v>
      </c>
      <c r="CN55" s="100">
        <v>0.33844524782976559</v>
      </c>
      <c r="CO55" s="100">
        <v>224.59226645983244</v>
      </c>
      <c r="CP55" s="100">
        <v>2.5748908928861396</v>
      </c>
      <c r="CQ55" s="100">
        <v>1708.6975965192423</v>
      </c>
      <c r="CR55" s="100">
        <v>14</v>
      </c>
      <c r="CS55" s="100">
        <v>9290.4</v>
      </c>
      <c r="CT55" s="100">
        <v>12</v>
      </c>
      <c r="CU55" s="100">
        <v>7963.2000000000007</v>
      </c>
    </row>
    <row r="56" spans="2:99">
      <c r="C56" s="99" t="s">
        <v>222</v>
      </c>
      <c r="D56" s="100">
        <v>14</v>
      </c>
      <c r="E56" s="100">
        <v>13742.399999999998</v>
      </c>
      <c r="F56" s="100">
        <v>11</v>
      </c>
      <c r="G56" s="100">
        <v>10797.599999999999</v>
      </c>
      <c r="H56" s="100">
        <v>17</v>
      </c>
      <c r="I56" s="100">
        <v>16687.199999999997</v>
      </c>
      <c r="J56" s="100">
        <v>15</v>
      </c>
      <c r="K56" s="100">
        <v>14723.999999999998</v>
      </c>
      <c r="L56" s="100">
        <v>9</v>
      </c>
      <c r="M56" s="100">
        <v>8834.4</v>
      </c>
      <c r="N56" s="100">
        <v>10</v>
      </c>
      <c r="O56" s="100">
        <v>9816</v>
      </c>
      <c r="P56" s="100">
        <v>12</v>
      </c>
      <c r="Q56" s="100">
        <v>11779.199999999999</v>
      </c>
      <c r="R56" s="100">
        <v>9</v>
      </c>
      <c r="S56" s="100">
        <v>8834.4</v>
      </c>
      <c r="T56" s="100">
        <v>17</v>
      </c>
      <c r="U56" s="100">
        <v>16687.199999999997</v>
      </c>
      <c r="V56" s="100">
        <v>18</v>
      </c>
      <c r="W56" s="100">
        <v>17668.8</v>
      </c>
      <c r="X56" s="100">
        <v>17</v>
      </c>
      <c r="Y56" s="100">
        <v>16687.199999999997</v>
      </c>
      <c r="Z56" s="100">
        <v>11</v>
      </c>
      <c r="AA56" s="100">
        <v>10797.599999999999</v>
      </c>
      <c r="AB56" s="100">
        <v>13</v>
      </c>
      <c r="AC56" s="100">
        <v>12760.8</v>
      </c>
      <c r="AD56" s="100">
        <v>13</v>
      </c>
      <c r="AE56" s="100">
        <v>12760.8</v>
      </c>
      <c r="AF56" s="100">
        <v>9</v>
      </c>
      <c r="AG56" s="100">
        <v>8834.4</v>
      </c>
      <c r="AH56" s="100">
        <v>15</v>
      </c>
      <c r="AI56" s="100">
        <v>14723.999999999998</v>
      </c>
      <c r="AJ56" s="100">
        <v>9</v>
      </c>
      <c r="AK56" s="100">
        <v>8834.4</v>
      </c>
      <c r="AL56" s="100">
        <v>10</v>
      </c>
      <c r="AM56" s="100">
        <v>9816</v>
      </c>
      <c r="AN56" s="100">
        <v>9</v>
      </c>
      <c r="AO56" s="100">
        <v>8834.4</v>
      </c>
      <c r="AP56" s="100">
        <v>15</v>
      </c>
      <c r="AQ56" s="100">
        <v>14723.999999999998</v>
      </c>
      <c r="AR56" s="100">
        <v>12</v>
      </c>
      <c r="AS56" s="100">
        <v>11779.199999999999</v>
      </c>
      <c r="AT56" s="100">
        <v>14</v>
      </c>
      <c r="AU56" s="100">
        <v>13742.399999999998</v>
      </c>
      <c r="AV56" s="100">
        <v>12</v>
      </c>
      <c r="AW56" s="100">
        <v>11779.199999999999</v>
      </c>
      <c r="AX56" s="100">
        <v>10</v>
      </c>
      <c r="AY56" s="100">
        <v>9816</v>
      </c>
      <c r="AZ56" s="100">
        <v>9</v>
      </c>
      <c r="BA56" s="100">
        <v>8834.4</v>
      </c>
      <c r="BB56" s="100">
        <v>10</v>
      </c>
      <c r="BC56" s="100">
        <v>9816</v>
      </c>
      <c r="BD56" s="100">
        <v>15</v>
      </c>
      <c r="BE56" s="100">
        <v>14723.999999999998</v>
      </c>
      <c r="BF56" s="100">
        <v>13</v>
      </c>
      <c r="BG56" s="100">
        <v>12760.8</v>
      </c>
      <c r="BH56" s="100">
        <v>12</v>
      </c>
      <c r="BI56" s="100">
        <v>11779.199999999999</v>
      </c>
      <c r="BJ56" s="100">
        <v>12</v>
      </c>
      <c r="BK56" s="100">
        <v>11779.199999999999</v>
      </c>
      <c r="BL56" s="100">
        <v>11</v>
      </c>
      <c r="BM56" s="100">
        <v>10797.599999999999</v>
      </c>
      <c r="BN56" s="100">
        <v>14</v>
      </c>
      <c r="BO56" s="100">
        <v>13742.399999999998</v>
      </c>
      <c r="BP56" s="100">
        <v>11</v>
      </c>
      <c r="BQ56" s="100">
        <v>10797.599999999999</v>
      </c>
      <c r="BR56" s="100">
        <v>13</v>
      </c>
      <c r="BS56" s="100">
        <v>12760.8</v>
      </c>
      <c r="BT56" s="100">
        <v>15</v>
      </c>
      <c r="BU56" s="100">
        <v>14723.999999999998</v>
      </c>
      <c r="BV56" s="100">
        <v>11</v>
      </c>
      <c r="BW56" s="100">
        <v>10797.599999999999</v>
      </c>
      <c r="BX56" s="100">
        <v>10</v>
      </c>
      <c r="BY56" s="100">
        <v>9816</v>
      </c>
      <c r="BZ56" s="100">
        <v>15</v>
      </c>
      <c r="CA56" s="100">
        <v>14723.999999999998</v>
      </c>
      <c r="CB56" s="100">
        <v>15</v>
      </c>
      <c r="CC56" s="100">
        <v>14723.999999999998</v>
      </c>
      <c r="CD56" s="100">
        <v>9</v>
      </c>
      <c r="CE56" s="100">
        <v>8834.4</v>
      </c>
      <c r="CF56" s="100">
        <v>10</v>
      </c>
      <c r="CG56" s="100">
        <v>9816</v>
      </c>
      <c r="CH56" s="100">
        <v>10</v>
      </c>
      <c r="CI56" s="100">
        <v>9816</v>
      </c>
      <c r="CJ56" s="100">
        <v>11</v>
      </c>
      <c r="CK56" s="100">
        <v>10797.599999999999</v>
      </c>
      <c r="CL56" s="100">
        <v>15</v>
      </c>
      <c r="CM56" s="100">
        <v>14723.999999999998</v>
      </c>
      <c r="CN56" s="100">
        <v>8</v>
      </c>
      <c r="CO56" s="100">
        <v>7852.7999999999993</v>
      </c>
      <c r="CP56" s="100">
        <v>10</v>
      </c>
      <c r="CQ56" s="100">
        <v>9816</v>
      </c>
      <c r="CR56" s="100">
        <v>13</v>
      </c>
      <c r="CS56" s="100">
        <v>12760.8</v>
      </c>
      <c r="CT56" s="100">
        <v>11</v>
      </c>
      <c r="CU56" s="100">
        <v>10797.599999999999</v>
      </c>
    </row>
    <row r="57" spans="2:99">
      <c r="C57" s="99" t="s">
        <v>223</v>
      </c>
      <c r="D57" s="100">
        <v>13</v>
      </c>
      <c r="E57" s="100">
        <v>18345.600000000002</v>
      </c>
      <c r="F57" s="100">
        <v>12</v>
      </c>
      <c r="G57" s="100">
        <v>16934.400000000001</v>
      </c>
      <c r="H57" s="100">
        <v>16</v>
      </c>
      <c r="I57" s="100">
        <v>22579.200000000001</v>
      </c>
      <c r="J57" s="100">
        <v>14</v>
      </c>
      <c r="K57" s="100">
        <v>19756.8</v>
      </c>
      <c r="L57" s="100">
        <v>9</v>
      </c>
      <c r="M57" s="100">
        <v>12700.800000000001</v>
      </c>
      <c r="N57" s="100">
        <v>8</v>
      </c>
      <c r="O57" s="100">
        <v>11289.6</v>
      </c>
      <c r="P57" s="100">
        <v>5.6709183509845733</v>
      </c>
      <c r="Q57" s="100">
        <v>8002.7999769094304</v>
      </c>
      <c r="R57" s="100">
        <v>9</v>
      </c>
      <c r="S57" s="100">
        <v>12700.800000000001</v>
      </c>
      <c r="T57" s="100">
        <v>15</v>
      </c>
      <c r="U57" s="100">
        <v>21168</v>
      </c>
      <c r="V57" s="100">
        <v>15</v>
      </c>
      <c r="W57" s="100">
        <v>21168</v>
      </c>
      <c r="X57" s="100">
        <v>16</v>
      </c>
      <c r="Y57" s="100">
        <v>22579.200000000001</v>
      </c>
      <c r="Z57" s="100">
        <v>10</v>
      </c>
      <c r="AA57" s="100">
        <v>14112</v>
      </c>
      <c r="AB57" s="100">
        <v>12</v>
      </c>
      <c r="AC57" s="100">
        <v>16934.400000000001</v>
      </c>
      <c r="AD57" s="100">
        <v>14</v>
      </c>
      <c r="AE57" s="100">
        <v>19756.8</v>
      </c>
      <c r="AF57" s="100">
        <v>9</v>
      </c>
      <c r="AG57" s="100">
        <v>12700.800000000001</v>
      </c>
      <c r="AH57" s="100">
        <v>15</v>
      </c>
      <c r="AI57" s="100">
        <v>21168</v>
      </c>
      <c r="AJ57" s="100">
        <v>9</v>
      </c>
      <c r="AK57" s="100">
        <v>12700.800000000001</v>
      </c>
      <c r="AL57" s="100">
        <v>11</v>
      </c>
      <c r="AM57" s="100">
        <v>15523.2</v>
      </c>
      <c r="AN57" s="100">
        <v>8</v>
      </c>
      <c r="AO57" s="100">
        <v>11289.6</v>
      </c>
      <c r="AP57" s="100">
        <v>8.5869946802524488</v>
      </c>
      <c r="AQ57" s="100">
        <v>12117.966892772256</v>
      </c>
      <c r="AR57" s="100">
        <v>6.8084263975941681</v>
      </c>
      <c r="AS57" s="100">
        <v>9608.051332284891</v>
      </c>
      <c r="AT57" s="100">
        <v>13</v>
      </c>
      <c r="AU57" s="100">
        <v>18345.600000000002</v>
      </c>
      <c r="AV57" s="100">
        <v>2.5607366716769087</v>
      </c>
      <c r="AW57" s="100">
        <v>3613.7115910704538</v>
      </c>
      <c r="AX57" s="100">
        <v>10</v>
      </c>
      <c r="AY57" s="100">
        <v>14112</v>
      </c>
      <c r="AZ57" s="100">
        <v>0</v>
      </c>
      <c r="BA57" s="100">
        <v>0</v>
      </c>
      <c r="BB57" s="100">
        <v>0</v>
      </c>
      <c r="BC57" s="100">
        <v>0</v>
      </c>
      <c r="BD57" s="100">
        <v>0.16710412655361523</v>
      </c>
      <c r="BE57" s="100">
        <v>235.81734339246182</v>
      </c>
      <c r="BF57" s="100">
        <v>13</v>
      </c>
      <c r="BG57" s="100">
        <v>18345.600000000002</v>
      </c>
      <c r="BH57" s="100">
        <v>12</v>
      </c>
      <c r="BI57" s="100">
        <v>16934.400000000001</v>
      </c>
      <c r="BJ57" s="100">
        <v>0</v>
      </c>
      <c r="BK57" s="100">
        <v>0</v>
      </c>
      <c r="BL57" s="100">
        <v>1.151858243813408</v>
      </c>
      <c r="BM57" s="100">
        <v>1625.5023536694814</v>
      </c>
      <c r="BN57" s="100">
        <v>2.370526135752494</v>
      </c>
      <c r="BO57" s="100">
        <v>3345.2864827739195</v>
      </c>
      <c r="BP57" s="100">
        <v>11</v>
      </c>
      <c r="BQ57" s="100">
        <v>15523.2</v>
      </c>
      <c r="BR57" s="100">
        <v>0</v>
      </c>
      <c r="BS57" s="100">
        <v>0</v>
      </c>
      <c r="BT57" s="100">
        <v>0.41693041591353458</v>
      </c>
      <c r="BU57" s="100">
        <v>588.37220293717996</v>
      </c>
      <c r="BV57" s="100">
        <v>0</v>
      </c>
      <c r="BW57" s="100">
        <v>0</v>
      </c>
      <c r="BX57" s="100">
        <v>8</v>
      </c>
      <c r="BY57" s="100">
        <v>11289.6</v>
      </c>
      <c r="BZ57" s="100">
        <v>0</v>
      </c>
      <c r="CA57" s="100">
        <v>0</v>
      </c>
      <c r="CB57" s="100">
        <v>14.964922472216889</v>
      </c>
      <c r="CC57" s="100">
        <v>21118.498592792475</v>
      </c>
      <c r="CD57" s="100">
        <v>0.19527885862713265</v>
      </c>
      <c r="CE57" s="100">
        <v>275.57752529460959</v>
      </c>
      <c r="CF57" s="100">
        <v>8.9232268519363078</v>
      </c>
      <c r="CG57" s="100">
        <v>12592.457733452518</v>
      </c>
      <c r="CH57" s="100">
        <v>9</v>
      </c>
      <c r="CI57" s="100">
        <v>12700.800000000001</v>
      </c>
      <c r="CJ57" s="100">
        <v>0.57948305252131838</v>
      </c>
      <c r="CK57" s="100">
        <v>817.76648371808449</v>
      </c>
      <c r="CL57" s="100">
        <v>0</v>
      </c>
      <c r="CM57" s="100">
        <v>0</v>
      </c>
      <c r="CN57" s="100">
        <v>0.33844524782976559</v>
      </c>
      <c r="CO57" s="100">
        <v>477.61393373736524</v>
      </c>
      <c r="CP57" s="100">
        <v>2.0599127143089118</v>
      </c>
      <c r="CQ57" s="100">
        <v>2906.9488224327365</v>
      </c>
      <c r="CR57" s="100">
        <v>12</v>
      </c>
      <c r="CS57" s="100">
        <v>16934.400000000001</v>
      </c>
      <c r="CT57" s="100">
        <v>10</v>
      </c>
      <c r="CU57" s="100">
        <v>14112</v>
      </c>
    </row>
    <row r="58" spans="2:99">
      <c r="C58" s="99" t="s">
        <v>224</v>
      </c>
      <c r="D58" s="100">
        <v>13</v>
      </c>
      <c r="E58" s="100">
        <v>15303.6</v>
      </c>
      <c r="F58" s="100">
        <v>11</v>
      </c>
      <c r="G58" s="100">
        <v>12949.2</v>
      </c>
      <c r="H58" s="100">
        <v>16</v>
      </c>
      <c r="I58" s="100">
        <v>18835.2</v>
      </c>
      <c r="J58" s="100">
        <v>15</v>
      </c>
      <c r="K58" s="100">
        <v>17658</v>
      </c>
      <c r="L58" s="100">
        <v>8</v>
      </c>
      <c r="M58" s="100">
        <v>9417.6</v>
      </c>
      <c r="N58" s="100">
        <v>10</v>
      </c>
      <c r="O58" s="100">
        <v>11772</v>
      </c>
      <c r="P58" s="100">
        <v>11</v>
      </c>
      <c r="Q58" s="100">
        <v>12949.2</v>
      </c>
      <c r="R58" s="100">
        <v>10</v>
      </c>
      <c r="S58" s="100">
        <v>11772</v>
      </c>
      <c r="T58" s="100">
        <v>14</v>
      </c>
      <c r="U58" s="100">
        <v>16480.8</v>
      </c>
      <c r="V58" s="100">
        <v>16</v>
      </c>
      <c r="W58" s="100">
        <v>18835.2</v>
      </c>
      <c r="X58" s="100">
        <v>16</v>
      </c>
      <c r="Y58" s="100">
        <v>18835.2</v>
      </c>
      <c r="Z58" s="100">
        <v>11</v>
      </c>
      <c r="AA58" s="100">
        <v>12949.2</v>
      </c>
      <c r="AB58" s="100">
        <v>11</v>
      </c>
      <c r="AC58" s="100">
        <v>12949.2</v>
      </c>
      <c r="AD58" s="100">
        <v>13</v>
      </c>
      <c r="AE58" s="100">
        <v>15303.6</v>
      </c>
      <c r="AF58" s="100">
        <v>8</v>
      </c>
      <c r="AG58" s="100">
        <v>9417.6</v>
      </c>
      <c r="AH58" s="100">
        <v>14</v>
      </c>
      <c r="AI58" s="100">
        <v>16480.8</v>
      </c>
      <c r="AJ58" s="100">
        <v>9</v>
      </c>
      <c r="AK58" s="100">
        <v>10594.800000000001</v>
      </c>
      <c r="AL58" s="100">
        <v>9</v>
      </c>
      <c r="AM58" s="100">
        <v>10594.800000000001</v>
      </c>
      <c r="AN58" s="100">
        <v>8</v>
      </c>
      <c r="AO58" s="100">
        <v>9417.6</v>
      </c>
      <c r="AP58" s="100">
        <v>14</v>
      </c>
      <c r="AQ58" s="100">
        <v>16480.8</v>
      </c>
      <c r="AR58" s="100">
        <v>12</v>
      </c>
      <c r="AS58" s="100">
        <v>14126.400000000001</v>
      </c>
      <c r="AT58" s="100">
        <v>13</v>
      </c>
      <c r="AU58" s="100">
        <v>15303.6</v>
      </c>
      <c r="AV58" s="100">
        <v>10</v>
      </c>
      <c r="AW58" s="100">
        <v>11772</v>
      </c>
      <c r="AX58" s="100">
        <v>11</v>
      </c>
      <c r="AY58" s="100">
        <v>12949.2</v>
      </c>
      <c r="AZ58" s="100">
        <v>8</v>
      </c>
      <c r="BA58" s="100">
        <v>9417.6</v>
      </c>
      <c r="BB58" s="100">
        <v>9</v>
      </c>
      <c r="BC58" s="100">
        <v>10594.800000000001</v>
      </c>
      <c r="BD58" s="100">
        <v>15</v>
      </c>
      <c r="BE58" s="100">
        <v>17658</v>
      </c>
      <c r="BF58" s="100">
        <v>13</v>
      </c>
      <c r="BG58" s="100">
        <v>15303.6</v>
      </c>
      <c r="BH58" s="100">
        <v>13</v>
      </c>
      <c r="BI58" s="100">
        <v>15303.6</v>
      </c>
      <c r="BJ58" s="100">
        <v>11</v>
      </c>
      <c r="BK58" s="100">
        <v>12949.2</v>
      </c>
      <c r="BL58" s="100">
        <v>12</v>
      </c>
      <c r="BM58" s="100">
        <v>14126.400000000001</v>
      </c>
      <c r="BN58" s="100">
        <v>12</v>
      </c>
      <c r="BO58" s="100">
        <v>14126.400000000001</v>
      </c>
      <c r="BP58" s="100">
        <v>12</v>
      </c>
      <c r="BQ58" s="100">
        <v>14126.400000000001</v>
      </c>
      <c r="BR58" s="100">
        <v>12</v>
      </c>
      <c r="BS58" s="100">
        <v>14126.400000000001</v>
      </c>
      <c r="BT58" s="100">
        <v>13</v>
      </c>
      <c r="BU58" s="100">
        <v>15303.6</v>
      </c>
      <c r="BV58" s="100">
        <v>11</v>
      </c>
      <c r="BW58" s="100">
        <v>12949.2</v>
      </c>
      <c r="BX58" s="100">
        <v>9</v>
      </c>
      <c r="BY58" s="100">
        <v>10594.800000000001</v>
      </c>
      <c r="BZ58" s="100">
        <v>14</v>
      </c>
      <c r="CA58" s="100">
        <v>16480.8</v>
      </c>
      <c r="CB58" s="100">
        <v>14</v>
      </c>
      <c r="CC58" s="100">
        <v>16480.8</v>
      </c>
      <c r="CD58" s="100">
        <v>9</v>
      </c>
      <c r="CE58" s="100">
        <v>10594.800000000001</v>
      </c>
      <c r="CF58" s="100">
        <v>9</v>
      </c>
      <c r="CG58" s="100">
        <v>10594.800000000001</v>
      </c>
      <c r="CH58" s="100">
        <v>8</v>
      </c>
      <c r="CI58" s="100">
        <v>9417.6</v>
      </c>
      <c r="CJ58" s="100">
        <v>11</v>
      </c>
      <c r="CK58" s="100">
        <v>12949.2</v>
      </c>
      <c r="CL58" s="100">
        <v>16</v>
      </c>
      <c r="CM58" s="100">
        <v>18835.2</v>
      </c>
      <c r="CN58" s="100">
        <v>8</v>
      </c>
      <c r="CO58" s="100">
        <v>9417.6</v>
      </c>
      <c r="CP58" s="100">
        <v>9</v>
      </c>
      <c r="CQ58" s="100">
        <v>10594.800000000001</v>
      </c>
      <c r="CR58" s="100">
        <v>15</v>
      </c>
      <c r="CS58" s="100">
        <v>17658</v>
      </c>
      <c r="CT58" s="100">
        <v>12</v>
      </c>
      <c r="CU58" s="100">
        <v>14126.400000000001</v>
      </c>
    </row>
    <row r="59" spans="2:99">
      <c r="C59" s="99" t="s">
        <v>225</v>
      </c>
      <c r="D59" s="100">
        <v>14</v>
      </c>
      <c r="E59" s="100">
        <v>4250.3999999999996</v>
      </c>
      <c r="F59" s="100">
        <v>14</v>
      </c>
      <c r="G59" s="100">
        <v>4250.3999999999996</v>
      </c>
      <c r="H59" s="100">
        <v>18</v>
      </c>
      <c r="I59" s="100">
        <v>5464.7999999999993</v>
      </c>
      <c r="J59" s="100">
        <v>16</v>
      </c>
      <c r="K59" s="100">
        <v>4857.5999999999995</v>
      </c>
      <c r="L59" s="100">
        <v>8</v>
      </c>
      <c r="M59" s="100">
        <v>2428.7999999999997</v>
      </c>
      <c r="N59" s="100">
        <v>9</v>
      </c>
      <c r="O59" s="100">
        <v>2732.3999999999996</v>
      </c>
      <c r="P59" s="100">
        <v>6.70199441479995</v>
      </c>
      <c r="Q59" s="100">
        <v>2034.7255043332646</v>
      </c>
      <c r="R59" s="100">
        <v>10</v>
      </c>
      <c r="S59" s="100">
        <v>3035.9999999999995</v>
      </c>
      <c r="T59" s="100">
        <v>18</v>
      </c>
      <c r="U59" s="100">
        <v>5464.7999999999993</v>
      </c>
      <c r="V59" s="100">
        <v>16</v>
      </c>
      <c r="W59" s="100">
        <v>4857.5999999999995</v>
      </c>
      <c r="X59" s="100">
        <v>17</v>
      </c>
      <c r="Y59" s="100">
        <v>5161.2</v>
      </c>
      <c r="Z59" s="100">
        <v>11</v>
      </c>
      <c r="AA59" s="100">
        <v>3339.5999999999995</v>
      </c>
      <c r="AB59" s="100">
        <v>14</v>
      </c>
      <c r="AC59" s="100">
        <v>4250.3999999999996</v>
      </c>
      <c r="AD59" s="100">
        <v>14</v>
      </c>
      <c r="AE59" s="100">
        <v>4250.3999999999996</v>
      </c>
      <c r="AF59" s="100">
        <v>11</v>
      </c>
      <c r="AG59" s="100">
        <v>3339.5999999999995</v>
      </c>
      <c r="AH59" s="100">
        <v>15</v>
      </c>
      <c r="AI59" s="100">
        <v>4553.9999999999991</v>
      </c>
      <c r="AJ59" s="100">
        <v>11</v>
      </c>
      <c r="AK59" s="100">
        <v>3339.5999999999995</v>
      </c>
      <c r="AL59" s="100">
        <v>10</v>
      </c>
      <c r="AM59" s="100">
        <v>3035.9999999999995</v>
      </c>
      <c r="AN59" s="100">
        <v>8</v>
      </c>
      <c r="AO59" s="100">
        <v>2428.7999999999997</v>
      </c>
      <c r="AP59" s="100">
        <v>10.73374335031556</v>
      </c>
      <c r="AQ59" s="100">
        <v>3258.7644811558039</v>
      </c>
      <c r="AR59" s="100">
        <v>8.6652699605743955</v>
      </c>
      <c r="AS59" s="100">
        <v>2630.7759600303862</v>
      </c>
      <c r="AT59" s="100">
        <v>15</v>
      </c>
      <c r="AU59" s="100">
        <v>4553.9999999999991</v>
      </c>
      <c r="AV59" s="100">
        <v>3.328957673179981</v>
      </c>
      <c r="AW59" s="100">
        <v>1010.6715495774421</v>
      </c>
      <c r="AX59" s="100">
        <v>12</v>
      </c>
      <c r="AY59" s="100">
        <v>3643.2</v>
      </c>
      <c r="AZ59" s="100">
        <v>0</v>
      </c>
      <c r="BA59" s="100">
        <v>0</v>
      </c>
      <c r="BB59" s="100">
        <v>0</v>
      </c>
      <c r="BC59" s="100">
        <v>0</v>
      </c>
      <c r="BD59" s="100">
        <v>0.1949548143125511</v>
      </c>
      <c r="BE59" s="100">
        <v>59.188281625290507</v>
      </c>
      <c r="BF59" s="100">
        <v>16</v>
      </c>
      <c r="BG59" s="100">
        <v>4857.5999999999995</v>
      </c>
      <c r="BH59" s="100">
        <v>13</v>
      </c>
      <c r="BI59" s="100">
        <v>3946.7999999999997</v>
      </c>
      <c r="BJ59" s="100">
        <v>0</v>
      </c>
      <c r="BK59" s="100">
        <v>0</v>
      </c>
      <c r="BL59" s="100">
        <v>1.151858243813408</v>
      </c>
      <c r="BM59" s="100">
        <v>349.70416282175063</v>
      </c>
      <c r="BN59" s="100">
        <v>2.7352224643298011</v>
      </c>
      <c r="BO59" s="100">
        <v>830.41354017052754</v>
      </c>
      <c r="BP59" s="100">
        <v>13</v>
      </c>
      <c r="BQ59" s="100">
        <v>3946.7999999999997</v>
      </c>
      <c r="BR59" s="100">
        <v>0</v>
      </c>
      <c r="BS59" s="100">
        <v>0</v>
      </c>
      <c r="BT59" s="100">
        <v>0.50627264789500626</v>
      </c>
      <c r="BU59" s="100">
        <v>153.70437590092388</v>
      </c>
      <c r="BV59" s="100">
        <v>0</v>
      </c>
      <c r="BW59" s="100">
        <v>0</v>
      </c>
      <c r="BX59" s="100">
        <v>11</v>
      </c>
      <c r="BY59" s="100">
        <v>3339.5999999999995</v>
      </c>
      <c r="BZ59" s="100">
        <v>0</v>
      </c>
      <c r="CA59" s="100">
        <v>0</v>
      </c>
      <c r="CB59" s="100">
        <v>14.964922472216889</v>
      </c>
      <c r="CC59" s="100">
        <v>4543.3504625650467</v>
      </c>
      <c r="CD59" s="100">
        <v>0.21968871595552425</v>
      </c>
      <c r="CE59" s="100">
        <v>66.697494164097151</v>
      </c>
      <c r="CF59" s="100">
        <v>8.9232268519363078</v>
      </c>
      <c r="CG59" s="100">
        <v>2709.0916722478628</v>
      </c>
      <c r="CH59" s="100">
        <v>11</v>
      </c>
      <c r="CI59" s="100">
        <v>3339.5999999999995</v>
      </c>
      <c r="CJ59" s="100">
        <v>0.63743135777345017</v>
      </c>
      <c r="CK59" s="100">
        <v>193.52416022001944</v>
      </c>
      <c r="CL59" s="100">
        <v>0</v>
      </c>
      <c r="CM59" s="100">
        <v>0</v>
      </c>
      <c r="CN59" s="100">
        <v>0.38075090380848636</v>
      </c>
      <c r="CO59" s="100">
        <v>115.59597439625645</v>
      </c>
      <c r="CP59" s="100">
        <v>2.5748908928861396</v>
      </c>
      <c r="CQ59" s="100">
        <v>781.73687508023193</v>
      </c>
      <c r="CR59" s="100">
        <v>15</v>
      </c>
      <c r="CS59" s="100">
        <v>4553.9999999999991</v>
      </c>
      <c r="CT59" s="100">
        <v>13</v>
      </c>
      <c r="CU59" s="100">
        <v>3946.7999999999997</v>
      </c>
    </row>
    <row r="60" spans="2:99">
      <c r="C60" s="99" t="s">
        <v>226</v>
      </c>
      <c r="D60" s="100">
        <v>14</v>
      </c>
      <c r="E60" s="100">
        <v>9122.4</v>
      </c>
      <c r="F60" s="100">
        <v>12</v>
      </c>
      <c r="G60" s="100">
        <v>7819.2000000000007</v>
      </c>
      <c r="H60" s="100">
        <v>16</v>
      </c>
      <c r="I60" s="100">
        <v>10425.6</v>
      </c>
      <c r="J60" s="100">
        <v>15</v>
      </c>
      <c r="K60" s="100">
        <v>9774</v>
      </c>
      <c r="L60" s="100">
        <v>9</v>
      </c>
      <c r="M60" s="100">
        <v>5864.4000000000005</v>
      </c>
      <c r="N60" s="100">
        <v>10</v>
      </c>
      <c r="O60" s="100">
        <v>6516</v>
      </c>
      <c r="P60" s="100">
        <v>6.1864563828922607</v>
      </c>
      <c r="Q60" s="100">
        <v>4031.0949790925974</v>
      </c>
      <c r="R60" s="100">
        <v>11</v>
      </c>
      <c r="S60" s="100">
        <v>7167.6</v>
      </c>
      <c r="T60" s="100">
        <v>16</v>
      </c>
      <c r="U60" s="100">
        <v>10425.6</v>
      </c>
      <c r="V60" s="100">
        <v>18</v>
      </c>
      <c r="W60" s="100">
        <v>11728.800000000001</v>
      </c>
      <c r="X60" s="100">
        <v>17</v>
      </c>
      <c r="Y60" s="100">
        <v>11077.2</v>
      </c>
      <c r="Z60" s="100">
        <v>12</v>
      </c>
      <c r="AA60" s="100">
        <v>7819.2000000000007</v>
      </c>
      <c r="AB60" s="100">
        <v>12</v>
      </c>
      <c r="AC60" s="100">
        <v>7819.2000000000007</v>
      </c>
      <c r="AD60" s="100">
        <v>15</v>
      </c>
      <c r="AE60" s="100">
        <v>9774</v>
      </c>
      <c r="AF60" s="100">
        <v>10</v>
      </c>
      <c r="AG60" s="100">
        <v>6516</v>
      </c>
      <c r="AH60" s="100">
        <v>17</v>
      </c>
      <c r="AI60" s="100">
        <v>11077.2</v>
      </c>
      <c r="AJ60" s="100">
        <v>9</v>
      </c>
      <c r="AK60" s="100">
        <v>5864.4000000000005</v>
      </c>
      <c r="AL60" s="100">
        <v>10</v>
      </c>
      <c r="AM60" s="100">
        <v>6516</v>
      </c>
      <c r="AN60" s="100">
        <v>8</v>
      </c>
      <c r="AO60" s="100">
        <v>5212.8</v>
      </c>
      <c r="AP60" s="100">
        <v>9.3025775702734865</v>
      </c>
      <c r="AQ60" s="100">
        <v>6061.5595447902042</v>
      </c>
      <c r="AR60" s="100">
        <v>7.4273742519209103</v>
      </c>
      <c r="AS60" s="100">
        <v>4839.6770625516656</v>
      </c>
      <c r="AT60" s="100">
        <v>16</v>
      </c>
      <c r="AU60" s="100">
        <v>10425.6</v>
      </c>
      <c r="AV60" s="100">
        <v>2.8168103388445993</v>
      </c>
      <c r="AW60" s="100">
        <v>1835.433616791141</v>
      </c>
      <c r="AX60" s="100">
        <v>11</v>
      </c>
      <c r="AY60" s="100">
        <v>7167.6</v>
      </c>
      <c r="AZ60" s="100">
        <v>0</v>
      </c>
      <c r="BA60" s="100">
        <v>0</v>
      </c>
      <c r="BB60" s="100">
        <v>0</v>
      </c>
      <c r="BC60" s="100">
        <v>0</v>
      </c>
      <c r="BD60" s="100">
        <v>0.20888015819201905</v>
      </c>
      <c r="BE60" s="100">
        <v>136.10631107791963</v>
      </c>
      <c r="BF60" s="100">
        <v>14</v>
      </c>
      <c r="BG60" s="100">
        <v>9122.4</v>
      </c>
      <c r="BH60" s="100">
        <v>12</v>
      </c>
      <c r="BI60" s="100">
        <v>7819.2000000000007</v>
      </c>
      <c r="BJ60" s="100">
        <v>0</v>
      </c>
      <c r="BK60" s="100">
        <v>0</v>
      </c>
      <c r="BL60" s="100">
        <v>1.151858243813408</v>
      </c>
      <c r="BM60" s="100">
        <v>750.55083166881661</v>
      </c>
      <c r="BN60" s="100">
        <v>2.5528743000411476</v>
      </c>
      <c r="BO60" s="100">
        <v>1663.4528939068118</v>
      </c>
      <c r="BP60" s="100">
        <v>11</v>
      </c>
      <c r="BQ60" s="100">
        <v>7167.6</v>
      </c>
      <c r="BR60" s="100">
        <v>0</v>
      </c>
      <c r="BS60" s="100">
        <v>0</v>
      </c>
      <c r="BT60" s="100">
        <v>0.44671115990735843</v>
      </c>
      <c r="BU60" s="100">
        <v>291.07699179563474</v>
      </c>
      <c r="BV60" s="100">
        <v>0</v>
      </c>
      <c r="BW60" s="100">
        <v>0</v>
      </c>
      <c r="BX60" s="100">
        <v>10</v>
      </c>
      <c r="BY60" s="100">
        <v>6516</v>
      </c>
      <c r="BZ60" s="100">
        <v>0</v>
      </c>
      <c r="CA60" s="100">
        <v>0</v>
      </c>
      <c r="CB60" s="100">
        <v>14.964922472216889</v>
      </c>
      <c r="CC60" s="100">
        <v>9751.1434828965248</v>
      </c>
      <c r="CD60" s="100">
        <v>0.21968871595552425</v>
      </c>
      <c r="CE60" s="100">
        <v>143.14916731661961</v>
      </c>
      <c r="CF60" s="100">
        <v>8.9232268519363078</v>
      </c>
      <c r="CG60" s="100">
        <v>5814.3746167216987</v>
      </c>
      <c r="CH60" s="100">
        <v>9</v>
      </c>
      <c r="CI60" s="100">
        <v>5864.4000000000005</v>
      </c>
      <c r="CJ60" s="100">
        <v>0.63743135777345017</v>
      </c>
      <c r="CK60" s="100">
        <v>415.35027272518016</v>
      </c>
      <c r="CL60" s="100">
        <v>0</v>
      </c>
      <c r="CM60" s="100">
        <v>0</v>
      </c>
      <c r="CN60" s="100">
        <v>0.33844524782976559</v>
      </c>
      <c r="CO60" s="100">
        <v>220.53092348587526</v>
      </c>
      <c r="CP60" s="100">
        <v>2.5748908928861396</v>
      </c>
      <c r="CQ60" s="100">
        <v>1677.7989058046087</v>
      </c>
      <c r="CR60" s="100">
        <v>15</v>
      </c>
      <c r="CS60" s="100">
        <v>9774</v>
      </c>
      <c r="CT60" s="100">
        <v>13</v>
      </c>
      <c r="CU60" s="100">
        <v>8470.8000000000011</v>
      </c>
    </row>
    <row r="61" spans="2:99">
      <c r="C61" s="99" t="s">
        <v>227</v>
      </c>
      <c r="D61" s="100">
        <v>13</v>
      </c>
      <c r="E61" s="100">
        <v>12370.8</v>
      </c>
      <c r="F61" s="100">
        <v>13</v>
      </c>
      <c r="G61" s="100">
        <v>12370.8</v>
      </c>
      <c r="H61" s="100">
        <v>14</v>
      </c>
      <c r="I61" s="100">
        <v>13322.399999999998</v>
      </c>
      <c r="J61" s="100">
        <v>14</v>
      </c>
      <c r="K61" s="100">
        <v>13322.399999999998</v>
      </c>
      <c r="L61" s="100">
        <v>8</v>
      </c>
      <c r="M61" s="100">
        <v>7612.7999999999993</v>
      </c>
      <c r="N61" s="100">
        <v>8</v>
      </c>
      <c r="O61" s="100">
        <v>7612.7999999999993</v>
      </c>
      <c r="P61" s="100">
        <v>6.1864563828922607</v>
      </c>
      <c r="Q61" s="100">
        <v>5887.0318939602748</v>
      </c>
      <c r="R61" s="100">
        <v>11</v>
      </c>
      <c r="S61" s="100">
        <v>10467.599999999999</v>
      </c>
      <c r="T61" s="100">
        <v>15</v>
      </c>
      <c r="U61" s="100">
        <v>14273.999999999998</v>
      </c>
      <c r="V61" s="100">
        <v>17</v>
      </c>
      <c r="W61" s="100">
        <v>16177.199999999999</v>
      </c>
      <c r="X61" s="100">
        <v>18</v>
      </c>
      <c r="Y61" s="100">
        <v>17128.8</v>
      </c>
      <c r="Z61" s="100">
        <v>12</v>
      </c>
      <c r="AA61" s="100">
        <v>11419.199999999999</v>
      </c>
      <c r="AB61" s="100">
        <v>14</v>
      </c>
      <c r="AC61" s="100">
        <v>13322.399999999998</v>
      </c>
      <c r="AD61" s="100">
        <v>15</v>
      </c>
      <c r="AE61" s="100">
        <v>14273.999999999998</v>
      </c>
      <c r="AF61" s="100">
        <v>9</v>
      </c>
      <c r="AG61" s="100">
        <v>8564.4</v>
      </c>
      <c r="AH61" s="100">
        <v>15</v>
      </c>
      <c r="AI61" s="100">
        <v>14273.999999999998</v>
      </c>
      <c r="AJ61" s="100">
        <v>10</v>
      </c>
      <c r="AK61" s="100">
        <v>9516</v>
      </c>
      <c r="AL61" s="100">
        <v>11</v>
      </c>
      <c r="AM61" s="100">
        <v>10467.599999999999</v>
      </c>
      <c r="AN61" s="100">
        <v>8</v>
      </c>
      <c r="AO61" s="100">
        <v>7612.7999999999993</v>
      </c>
      <c r="AP61" s="100">
        <v>9.3025775702734865</v>
      </c>
      <c r="AQ61" s="100">
        <v>8852.3328158722488</v>
      </c>
      <c r="AR61" s="100">
        <v>6.8084263975941681</v>
      </c>
      <c r="AS61" s="100">
        <v>6478.8985599506095</v>
      </c>
      <c r="AT61" s="100">
        <v>14</v>
      </c>
      <c r="AU61" s="100">
        <v>13322.399999999998</v>
      </c>
      <c r="AV61" s="100">
        <v>3.0728840060122899</v>
      </c>
      <c r="AW61" s="100">
        <v>2924.156420121295</v>
      </c>
      <c r="AX61" s="100">
        <v>11</v>
      </c>
      <c r="AY61" s="100">
        <v>10467.599999999999</v>
      </c>
      <c r="AZ61" s="100">
        <v>0</v>
      </c>
      <c r="BA61" s="100">
        <v>0</v>
      </c>
      <c r="BB61" s="100">
        <v>0</v>
      </c>
      <c r="BC61" s="100">
        <v>0</v>
      </c>
      <c r="BD61" s="100">
        <v>0.1949548143125511</v>
      </c>
      <c r="BE61" s="100">
        <v>185.5190012998236</v>
      </c>
      <c r="BF61" s="100">
        <v>15</v>
      </c>
      <c r="BG61" s="100">
        <v>14273.999999999998</v>
      </c>
      <c r="BH61" s="100">
        <v>12</v>
      </c>
      <c r="BI61" s="100">
        <v>11419.199999999999</v>
      </c>
      <c r="BJ61" s="100">
        <v>0</v>
      </c>
      <c r="BK61" s="100">
        <v>0</v>
      </c>
      <c r="BL61" s="100">
        <v>1.151858243813408</v>
      </c>
      <c r="BM61" s="100">
        <v>1096.1083048128389</v>
      </c>
      <c r="BN61" s="100">
        <v>2.5528743000411476</v>
      </c>
      <c r="BO61" s="100">
        <v>2429.315183919156</v>
      </c>
      <c r="BP61" s="100">
        <v>11</v>
      </c>
      <c r="BQ61" s="100">
        <v>10467.599999999999</v>
      </c>
      <c r="BR61" s="100">
        <v>0</v>
      </c>
      <c r="BS61" s="100">
        <v>0</v>
      </c>
      <c r="BT61" s="100">
        <v>0.47649190390118229</v>
      </c>
      <c r="BU61" s="100">
        <v>453.42969575236503</v>
      </c>
      <c r="BV61" s="100">
        <v>0</v>
      </c>
      <c r="BW61" s="100">
        <v>0</v>
      </c>
      <c r="BX61" s="100">
        <v>9</v>
      </c>
      <c r="BY61" s="100">
        <v>8564.4</v>
      </c>
      <c r="BZ61" s="100">
        <v>0</v>
      </c>
      <c r="CA61" s="100">
        <v>0</v>
      </c>
      <c r="CB61" s="100">
        <v>15.96258397036468</v>
      </c>
      <c r="CC61" s="100">
        <v>15189.994906199028</v>
      </c>
      <c r="CD61" s="100">
        <v>0.19527885862713265</v>
      </c>
      <c r="CE61" s="100">
        <v>185.82736186957942</v>
      </c>
      <c r="CF61" s="100">
        <v>7.9317572017211617</v>
      </c>
      <c r="CG61" s="100">
        <v>7547.860153157857</v>
      </c>
      <c r="CH61" s="100">
        <v>10</v>
      </c>
      <c r="CI61" s="100">
        <v>9516</v>
      </c>
      <c r="CJ61" s="100">
        <v>0.52153474726918658</v>
      </c>
      <c r="CK61" s="100">
        <v>496.29246550135792</v>
      </c>
      <c r="CL61" s="100">
        <v>0</v>
      </c>
      <c r="CM61" s="100">
        <v>0</v>
      </c>
      <c r="CN61" s="100">
        <v>0.38075090380848636</v>
      </c>
      <c r="CO61" s="100">
        <v>362.3225600641556</v>
      </c>
      <c r="CP61" s="100">
        <v>2.3174018035975257</v>
      </c>
      <c r="CQ61" s="100">
        <v>2205.2395563034052</v>
      </c>
      <c r="CR61" s="100">
        <v>15</v>
      </c>
      <c r="CS61" s="100">
        <v>14273.999999999998</v>
      </c>
      <c r="CT61" s="100">
        <v>11</v>
      </c>
      <c r="CU61" s="100">
        <v>10467.599999999999</v>
      </c>
    </row>
    <row r="62" spans="2:99">
      <c r="C62" s="99" t="s">
        <v>228</v>
      </c>
      <c r="D62" s="100">
        <v>13</v>
      </c>
      <c r="E62" s="100">
        <v>21699.600000000002</v>
      </c>
      <c r="F62" s="100">
        <v>12</v>
      </c>
      <c r="G62" s="100">
        <v>20030.400000000001</v>
      </c>
      <c r="H62" s="100">
        <v>16</v>
      </c>
      <c r="I62" s="100">
        <v>26707.200000000001</v>
      </c>
      <c r="J62" s="100">
        <v>13</v>
      </c>
      <c r="K62" s="100">
        <v>21699.600000000002</v>
      </c>
      <c r="L62" s="100">
        <v>8</v>
      </c>
      <c r="M62" s="100">
        <v>13353.6</v>
      </c>
      <c r="N62" s="100">
        <v>9</v>
      </c>
      <c r="O62" s="100">
        <v>15022.800000000001</v>
      </c>
      <c r="P62" s="100">
        <v>12</v>
      </c>
      <c r="Q62" s="100">
        <v>20030.400000000001</v>
      </c>
      <c r="R62" s="100">
        <v>9</v>
      </c>
      <c r="S62" s="100">
        <v>15022.800000000001</v>
      </c>
      <c r="T62" s="100">
        <v>14</v>
      </c>
      <c r="U62" s="100">
        <v>23368.799999999999</v>
      </c>
      <c r="V62" s="100">
        <v>15</v>
      </c>
      <c r="W62" s="100">
        <v>25038</v>
      </c>
      <c r="X62" s="100">
        <v>15</v>
      </c>
      <c r="Y62" s="100">
        <v>25038</v>
      </c>
      <c r="Z62" s="100">
        <v>10</v>
      </c>
      <c r="AA62" s="100">
        <v>16692</v>
      </c>
      <c r="AB62" s="100">
        <v>13</v>
      </c>
      <c r="AC62" s="100">
        <v>21699.600000000002</v>
      </c>
      <c r="AD62" s="100">
        <v>12</v>
      </c>
      <c r="AE62" s="100">
        <v>20030.400000000001</v>
      </c>
      <c r="AF62" s="100">
        <v>9</v>
      </c>
      <c r="AG62" s="100">
        <v>15022.800000000001</v>
      </c>
      <c r="AH62" s="100">
        <v>13</v>
      </c>
      <c r="AI62" s="100">
        <v>21699.600000000002</v>
      </c>
      <c r="AJ62" s="100">
        <v>9</v>
      </c>
      <c r="AK62" s="100">
        <v>15022.800000000001</v>
      </c>
      <c r="AL62" s="100">
        <v>9</v>
      </c>
      <c r="AM62" s="100">
        <v>15022.800000000001</v>
      </c>
      <c r="AN62" s="100">
        <v>7</v>
      </c>
      <c r="AO62" s="100">
        <v>11684.4</v>
      </c>
      <c r="AP62" s="100">
        <v>14</v>
      </c>
      <c r="AQ62" s="100">
        <v>23368.799999999999</v>
      </c>
      <c r="AR62" s="100">
        <v>12</v>
      </c>
      <c r="AS62" s="100">
        <v>20030.400000000001</v>
      </c>
      <c r="AT62" s="100">
        <v>14</v>
      </c>
      <c r="AU62" s="100">
        <v>23368.799999999999</v>
      </c>
      <c r="AV62" s="100">
        <v>11</v>
      </c>
      <c r="AW62" s="100">
        <v>18361.2</v>
      </c>
      <c r="AX62" s="100">
        <v>11</v>
      </c>
      <c r="AY62" s="100">
        <v>18361.2</v>
      </c>
      <c r="AZ62" s="100">
        <v>9</v>
      </c>
      <c r="BA62" s="100">
        <v>15022.800000000001</v>
      </c>
      <c r="BB62" s="100">
        <v>9</v>
      </c>
      <c r="BC62" s="100">
        <v>15022.800000000001</v>
      </c>
      <c r="BD62" s="100">
        <v>13</v>
      </c>
      <c r="BE62" s="100">
        <v>21699.600000000002</v>
      </c>
      <c r="BF62" s="100">
        <v>14</v>
      </c>
      <c r="BG62" s="100">
        <v>23368.799999999999</v>
      </c>
      <c r="BH62" s="100">
        <v>12</v>
      </c>
      <c r="BI62" s="100">
        <v>20030.400000000001</v>
      </c>
      <c r="BJ62" s="100">
        <v>11</v>
      </c>
      <c r="BK62" s="100">
        <v>18361.2</v>
      </c>
      <c r="BL62" s="100">
        <v>12</v>
      </c>
      <c r="BM62" s="100">
        <v>20030.400000000001</v>
      </c>
      <c r="BN62" s="100">
        <v>12</v>
      </c>
      <c r="BO62" s="100">
        <v>20030.400000000001</v>
      </c>
      <c r="BP62" s="100">
        <v>11</v>
      </c>
      <c r="BQ62" s="100">
        <v>18361.2</v>
      </c>
      <c r="BR62" s="100">
        <v>11</v>
      </c>
      <c r="BS62" s="100">
        <v>18361.2</v>
      </c>
      <c r="BT62" s="100">
        <v>14</v>
      </c>
      <c r="BU62" s="100">
        <v>23368.799999999999</v>
      </c>
      <c r="BV62" s="100">
        <v>9</v>
      </c>
      <c r="BW62" s="100">
        <v>15022.800000000001</v>
      </c>
      <c r="BX62" s="100">
        <v>9</v>
      </c>
      <c r="BY62" s="100">
        <v>15022.800000000001</v>
      </c>
      <c r="BZ62" s="100">
        <v>13</v>
      </c>
      <c r="CA62" s="100">
        <v>21699.600000000002</v>
      </c>
      <c r="CB62" s="100">
        <v>15</v>
      </c>
      <c r="CC62" s="100">
        <v>25038</v>
      </c>
      <c r="CD62" s="100">
        <v>8</v>
      </c>
      <c r="CE62" s="100">
        <v>13353.6</v>
      </c>
      <c r="CF62" s="100">
        <v>8</v>
      </c>
      <c r="CG62" s="100">
        <v>13353.6</v>
      </c>
      <c r="CH62" s="100">
        <v>9</v>
      </c>
      <c r="CI62" s="100">
        <v>15022.800000000001</v>
      </c>
      <c r="CJ62" s="100">
        <v>10</v>
      </c>
      <c r="CK62" s="100">
        <v>16692</v>
      </c>
      <c r="CL62" s="100">
        <v>14</v>
      </c>
      <c r="CM62" s="100">
        <v>23368.799999999999</v>
      </c>
      <c r="CN62" s="100">
        <v>8</v>
      </c>
      <c r="CO62" s="100">
        <v>13353.6</v>
      </c>
      <c r="CP62" s="100">
        <v>9</v>
      </c>
      <c r="CQ62" s="100">
        <v>15022.800000000001</v>
      </c>
      <c r="CR62" s="100">
        <v>13</v>
      </c>
      <c r="CS62" s="100">
        <v>21699.600000000002</v>
      </c>
      <c r="CT62" s="100">
        <v>10</v>
      </c>
      <c r="CU62" s="100">
        <v>16692</v>
      </c>
    </row>
    <row r="63" spans="2:99">
      <c r="C63" s="99" t="s">
        <v>229</v>
      </c>
      <c r="D63" s="100">
        <v>13</v>
      </c>
      <c r="E63" s="100">
        <v>10342.800000000001</v>
      </c>
      <c r="F63" s="100">
        <v>11</v>
      </c>
      <c r="G63" s="100">
        <v>8751.6</v>
      </c>
      <c r="H63" s="100">
        <v>15</v>
      </c>
      <c r="I63" s="100">
        <v>11934</v>
      </c>
      <c r="J63" s="100">
        <v>15</v>
      </c>
      <c r="K63" s="100">
        <v>11934</v>
      </c>
      <c r="L63" s="100">
        <v>9</v>
      </c>
      <c r="M63" s="100">
        <v>7160.4000000000005</v>
      </c>
      <c r="N63" s="100">
        <v>10</v>
      </c>
      <c r="O63" s="100">
        <v>7956</v>
      </c>
      <c r="P63" s="100">
        <v>6.70199441479995</v>
      </c>
      <c r="Q63" s="100">
        <v>5332.1067564148407</v>
      </c>
      <c r="R63" s="100">
        <v>9</v>
      </c>
      <c r="S63" s="100">
        <v>7160.4000000000005</v>
      </c>
      <c r="T63" s="100">
        <v>16</v>
      </c>
      <c r="U63" s="100">
        <v>12729.6</v>
      </c>
      <c r="V63" s="100">
        <v>18</v>
      </c>
      <c r="W63" s="100">
        <v>14320.800000000001</v>
      </c>
      <c r="X63" s="100">
        <v>16</v>
      </c>
      <c r="Y63" s="100">
        <v>12729.6</v>
      </c>
      <c r="Z63" s="100">
        <v>11</v>
      </c>
      <c r="AA63" s="100">
        <v>8751.6</v>
      </c>
      <c r="AB63" s="100">
        <v>12</v>
      </c>
      <c r="AC63" s="100">
        <v>9547.2000000000007</v>
      </c>
      <c r="AD63" s="100">
        <v>14</v>
      </c>
      <c r="AE63" s="100">
        <v>11138.4</v>
      </c>
      <c r="AF63" s="100">
        <v>9</v>
      </c>
      <c r="AG63" s="100">
        <v>7160.4000000000005</v>
      </c>
      <c r="AH63" s="100">
        <v>15</v>
      </c>
      <c r="AI63" s="100">
        <v>11934</v>
      </c>
      <c r="AJ63" s="100">
        <v>11</v>
      </c>
      <c r="AK63" s="100">
        <v>8751.6</v>
      </c>
      <c r="AL63" s="100">
        <v>11</v>
      </c>
      <c r="AM63" s="100">
        <v>8751.6</v>
      </c>
      <c r="AN63" s="100">
        <v>8</v>
      </c>
      <c r="AO63" s="100">
        <v>6364.8</v>
      </c>
      <c r="AP63" s="100">
        <v>9.3025775702734865</v>
      </c>
      <c r="AQ63" s="100">
        <v>7401.1307149095865</v>
      </c>
      <c r="AR63" s="100">
        <v>7.4273742519209103</v>
      </c>
      <c r="AS63" s="100">
        <v>5909.2189548282768</v>
      </c>
      <c r="AT63" s="100">
        <v>15</v>
      </c>
      <c r="AU63" s="100">
        <v>11934</v>
      </c>
      <c r="AV63" s="100">
        <v>3.0728840060122899</v>
      </c>
      <c r="AW63" s="100">
        <v>2444.786515183378</v>
      </c>
      <c r="AX63" s="100">
        <v>12</v>
      </c>
      <c r="AY63" s="100">
        <v>9547.2000000000007</v>
      </c>
      <c r="AZ63" s="100">
        <v>0</v>
      </c>
      <c r="BA63" s="100">
        <v>0</v>
      </c>
      <c r="BB63" s="100">
        <v>0</v>
      </c>
      <c r="BC63" s="100">
        <v>0</v>
      </c>
      <c r="BD63" s="100">
        <v>0.1949548143125511</v>
      </c>
      <c r="BE63" s="100">
        <v>155.10605026706565</v>
      </c>
      <c r="BF63" s="100">
        <v>14</v>
      </c>
      <c r="BG63" s="100">
        <v>11138.4</v>
      </c>
      <c r="BH63" s="100">
        <v>12</v>
      </c>
      <c r="BI63" s="100">
        <v>9547.2000000000007</v>
      </c>
      <c r="BJ63" s="100">
        <v>0</v>
      </c>
      <c r="BK63" s="100">
        <v>0</v>
      </c>
      <c r="BL63" s="100">
        <v>1.151858243813408</v>
      </c>
      <c r="BM63" s="100">
        <v>916.41841877794741</v>
      </c>
      <c r="BN63" s="100">
        <v>2.188177971463841</v>
      </c>
      <c r="BO63" s="100">
        <v>1740.9143940966319</v>
      </c>
      <c r="BP63" s="100">
        <v>11</v>
      </c>
      <c r="BQ63" s="100">
        <v>8751.6</v>
      </c>
      <c r="BR63" s="100">
        <v>0</v>
      </c>
      <c r="BS63" s="100">
        <v>0</v>
      </c>
      <c r="BT63" s="100">
        <v>0.41693041591353458</v>
      </c>
      <c r="BU63" s="100">
        <v>331.70983890080811</v>
      </c>
      <c r="BV63" s="100">
        <v>0</v>
      </c>
      <c r="BW63" s="100">
        <v>0</v>
      </c>
      <c r="BX63" s="100">
        <v>10</v>
      </c>
      <c r="BY63" s="100">
        <v>7956</v>
      </c>
      <c r="BZ63" s="100">
        <v>0</v>
      </c>
      <c r="CA63" s="100">
        <v>0</v>
      </c>
      <c r="CB63" s="100">
        <v>16.960245468512472</v>
      </c>
      <c r="CC63" s="100">
        <v>13493.571294748523</v>
      </c>
      <c r="CD63" s="100">
        <v>0.19527885862713265</v>
      </c>
      <c r="CE63" s="100">
        <v>155.36385992374673</v>
      </c>
      <c r="CF63" s="100">
        <v>9.9146965021514522</v>
      </c>
      <c r="CG63" s="100">
        <v>7888.1325371116955</v>
      </c>
      <c r="CH63" s="100">
        <v>9</v>
      </c>
      <c r="CI63" s="100">
        <v>7160.4000000000005</v>
      </c>
      <c r="CJ63" s="100">
        <v>0.63743135777345017</v>
      </c>
      <c r="CK63" s="100">
        <v>507.14038824455696</v>
      </c>
      <c r="CL63" s="100">
        <v>0</v>
      </c>
      <c r="CM63" s="100">
        <v>0</v>
      </c>
      <c r="CN63" s="100">
        <v>0.42305655978720702</v>
      </c>
      <c r="CO63" s="100">
        <v>336.58379896670192</v>
      </c>
      <c r="CP63" s="100">
        <v>2.3174018035975257</v>
      </c>
      <c r="CQ63" s="100">
        <v>1843.7248749421915</v>
      </c>
      <c r="CR63" s="100">
        <v>13</v>
      </c>
      <c r="CS63" s="100">
        <v>10342.800000000001</v>
      </c>
      <c r="CT63" s="100">
        <v>11</v>
      </c>
      <c r="CU63" s="100">
        <v>8751.6</v>
      </c>
    </row>
    <row r="64" spans="2:99">
      <c r="C64" s="99" t="s">
        <v>230</v>
      </c>
      <c r="D64" s="100">
        <v>13</v>
      </c>
      <c r="E64" s="100">
        <v>13119.599999999999</v>
      </c>
      <c r="F64" s="100">
        <v>11</v>
      </c>
      <c r="G64" s="100">
        <v>11101.199999999997</v>
      </c>
      <c r="H64" s="100">
        <v>15</v>
      </c>
      <c r="I64" s="100">
        <v>15137.999999999996</v>
      </c>
      <c r="J64" s="100">
        <v>15</v>
      </c>
      <c r="K64" s="100">
        <v>15137.999999999996</v>
      </c>
      <c r="L64" s="100">
        <v>9</v>
      </c>
      <c r="M64" s="100">
        <v>9082.7999999999993</v>
      </c>
      <c r="N64" s="100">
        <v>10</v>
      </c>
      <c r="O64" s="100">
        <v>10091.999999999998</v>
      </c>
      <c r="P64" s="100">
        <v>5.6709183509845733</v>
      </c>
      <c r="Q64" s="100">
        <v>5723.0907998136299</v>
      </c>
      <c r="R64" s="100">
        <v>10</v>
      </c>
      <c r="S64" s="100">
        <v>10091.999999999998</v>
      </c>
      <c r="T64" s="100">
        <v>16</v>
      </c>
      <c r="U64" s="100">
        <v>16147.199999999997</v>
      </c>
      <c r="V64" s="100">
        <v>16</v>
      </c>
      <c r="W64" s="100">
        <v>16147.199999999997</v>
      </c>
      <c r="X64" s="100">
        <v>17</v>
      </c>
      <c r="Y64" s="100">
        <v>17156.399999999998</v>
      </c>
      <c r="Z64" s="100">
        <v>11</v>
      </c>
      <c r="AA64" s="100">
        <v>11101.199999999997</v>
      </c>
      <c r="AB64" s="100">
        <v>12</v>
      </c>
      <c r="AC64" s="100">
        <v>12110.399999999998</v>
      </c>
      <c r="AD64" s="100">
        <v>14</v>
      </c>
      <c r="AE64" s="100">
        <v>14128.799999999997</v>
      </c>
      <c r="AF64" s="100">
        <v>9</v>
      </c>
      <c r="AG64" s="100">
        <v>9082.7999999999993</v>
      </c>
      <c r="AH64" s="100">
        <v>15</v>
      </c>
      <c r="AI64" s="100">
        <v>15137.999999999996</v>
      </c>
      <c r="AJ64" s="100">
        <v>9</v>
      </c>
      <c r="AK64" s="100">
        <v>9082.7999999999993</v>
      </c>
      <c r="AL64" s="100">
        <v>10</v>
      </c>
      <c r="AM64" s="100">
        <v>10091.999999999998</v>
      </c>
      <c r="AN64" s="100">
        <v>9</v>
      </c>
      <c r="AO64" s="100">
        <v>9082.7999999999993</v>
      </c>
      <c r="AP64" s="100">
        <v>9.3025775702734865</v>
      </c>
      <c r="AQ64" s="100">
        <v>9388.1612839200006</v>
      </c>
      <c r="AR64" s="100">
        <v>7.4273742519209103</v>
      </c>
      <c r="AS64" s="100">
        <v>7495.7060950385812</v>
      </c>
      <c r="AT64" s="100">
        <v>15</v>
      </c>
      <c r="AU64" s="100">
        <v>15137.999999999996</v>
      </c>
      <c r="AV64" s="100">
        <v>2.8168103388445993</v>
      </c>
      <c r="AW64" s="100">
        <v>2842.7249939619692</v>
      </c>
      <c r="AX64" s="100">
        <v>11</v>
      </c>
      <c r="AY64" s="100">
        <v>11101.199999999997</v>
      </c>
      <c r="AZ64" s="100">
        <v>0</v>
      </c>
      <c r="BA64" s="100">
        <v>0</v>
      </c>
      <c r="BB64" s="100">
        <v>0</v>
      </c>
      <c r="BC64" s="100">
        <v>0</v>
      </c>
      <c r="BD64" s="100">
        <v>0.1949548143125511</v>
      </c>
      <c r="BE64" s="100">
        <v>196.74839860422654</v>
      </c>
      <c r="BF64" s="100">
        <v>13</v>
      </c>
      <c r="BG64" s="100">
        <v>13119.599999999999</v>
      </c>
      <c r="BH64" s="100">
        <v>13</v>
      </c>
      <c r="BI64" s="100">
        <v>13119.599999999999</v>
      </c>
      <c r="BJ64" s="100">
        <v>0</v>
      </c>
      <c r="BK64" s="100">
        <v>0</v>
      </c>
      <c r="BL64" s="100">
        <v>1.0558700568289572</v>
      </c>
      <c r="BM64" s="100">
        <v>1065.5840613517835</v>
      </c>
      <c r="BN64" s="100">
        <v>2.188177971463841</v>
      </c>
      <c r="BO64" s="100">
        <v>2208.3092088013077</v>
      </c>
      <c r="BP64" s="100">
        <v>12</v>
      </c>
      <c r="BQ64" s="100">
        <v>12110.399999999998</v>
      </c>
      <c r="BR64" s="100">
        <v>0</v>
      </c>
      <c r="BS64" s="100">
        <v>0</v>
      </c>
      <c r="BT64" s="100">
        <v>0.41693041591353458</v>
      </c>
      <c r="BU64" s="100">
        <v>420.766175739939</v>
      </c>
      <c r="BV64" s="100">
        <v>0</v>
      </c>
      <c r="BW64" s="100">
        <v>0</v>
      </c>
      <c r="BX64" s="100">
        <v>9</v>
      </c>
      <c r="BY64" s="100">
        <v>9082.7999999999993</v>
      </c>
      <c r="BZ64" s="100">
        <v>0</v>
      </c>
      <c r="CA64" s="100">
        <v>0</v>
      </c>
      <c r="CB64" s="100">
        <v>14.964922472216889</v>
      </c>
      <c r="CC64" s="100">
        <v>15102.599758961282</v>
      </c>
      <c r="CD64" s="100">
        <v>0.19527885862713265</v>
      </c>
      <c r="CE64" s="100">
        <v>197.07542412650224</v>
      </c>
      <c r="CF64" s="100">
        <v>8.9232268519363078</v>
      </c>
      <c r="CG64" s="100">
        <v>9005.3205389741197</v>
      </c>
      <c r="CH64" s="100">
        <v>10</v>
      </c>
      <c r="CI64" s="100">
        <v>10091.999999999998</v>
      </c>
      <c r="CJ64" s="100">
        <v>0.57948305252131838</v>
      </c>
      <c r="CK64" s="100">
        <v>584.81429660451442</v>
      </c>
      <c r="CL64" s="100">
        <v>0</v>
      </c>
      <c r="CM64" s="100">
        <v>0</v>
      </c>
      <c r="CN64" s="100">
        <v>0.38075090380848636</v>
      </c>
      <c r="CO64" s="100">
        <v>384.25381212352437</v>
      </c>
      <c r="CP64" s="100">
        <v>2.5748908928861396</v>
      </c>
      <c r="CQ64" s="100">
        <v>2598.5798891006916</v>
      </c>
      <c r="CR64" s="100">
        <v>13</v>
      </c>
      <c r="CS64" s="100">
        <v>13119.599999999999</v>
      </c>
      <c r="CT64" s="100">
        <v>12</v>
      </c>
      <c r="CU64" s="100">
        <v>12110.399999999998</v>
      </c>
    </row>
    <row r="65" spans="2:99">
      <c r="C65" s="99" t="s">
        <v>231</v>
      </c>
      <c r="D65" s="100">
        <v>12</v>
      </c>
      <c r="E65" s="100">
        <v>12312</v>
      </c>
      <c r="F65" s="100">
        <v>11</v>
      </c>
      <c r="G65" s="100">
        <v>11286</v>
      </c>
      <c r="H65" s="100">
        <v>15</v>
      </c>
      <c r="I65" s="100">
        <v>15390</v>
      </c>
      <c r="J65" s="100">
        <v>16</v>
      </c>
      <c r="K65" s="100">
        <v>16416</v>
      </c>
      <c r="L65" s="100">
        <v>8</v>
      </c>
      <c r="M65" s="100">
        <v>8208</v>
      </c>
      <c r="N65" s="100">
        <v>9</v>
      </c>
      <c r="O65" s="100">
        <v>9234</v>
      </c>
      <c r="P65" s="100">
        <v>5.6709183509845733</v>
      </c>
      <c r="Q65" s="100">
        <v>5818.3622281101725</v>
      </c>
      <c r="R65" s="100">
        <v>10</v>
      </c>
      <c r="S65" s="100">
        <v>10260</v>
      </c>
      <c r="T65" s="100">
        <v>17</v>
      </c>
      <c r="U65" s="100">
        <v>17442</v>
      </c>
      <c r="V65" s="100">
        <v>16</v>
      </c>
      <c r="W65" s="100">
        <v>16416</v>
      </c>
      <c r="X65" s="100">
        <v>18</v>
      </c>
      <c r="Y65" s="100">
        <v>18468</v>
      </c>
      <c r="Z65" s="100">
        <v>12</v>
      </c>
      <c r="AA65" s="100">
        <v>12312</v>
      </c>
      <c r="AB65" s="100">
        <v>13</v>
      </c>
      <c r="AC65" s="100">
        <v>13338</v>
      </c>
      <c r="AD65" s="100">
        <v>15</v>
      </c>
      <c r="AE65" s="100">
        <v>15390</v>
      </c>
      <c r="AF65" s="100">
        <v>9</v>
      </c>
      <c r="AG65" s="100">
        <v>9234</v>
      </c>
      <c r="AH65" s="100">
        <v>14</v>
      </c>
      <c r="AI65" s="100">
        <v>14364</v>
      </c>
      <c r="AJ65" s="100">
        <v>10</v>
      </c>
      <c r="AK65" s="100">
        <v>10260</v>
      </c>
      <c r="AL65" s="100">
        <v>10</v>
      </c>
      <c r="AM65" s="100">
        <v>10260</v>
      </c>
      <c r="AN65" s="100">
        <v>8</v>
      </c>
      <c r="AO65" s="100">
        <v>8208</v>
      </c>
      <c r="AP65" s="100">
        <v>9.3025775702734865</v>
      </c>
      <c r="AQ65" s="100">
        <v>9544.4445871005973</v>
      </c>
      <c r="AR65" s="100">
        <v>6.8084263975941681</v>
      </c>
      <c r="AS65" s="100">
        <v>6985.4454839316168</v>
      </c>
      <c r="AT65" s="100">
        <v>15</v>
      </c>
      <c r="AU65" s="100">
        <v>15390</v>
      </c>
      <c r="AV65" s="100">
        <v>3.0728840060122899</v>
      </c>
      <c r="AW65" s="100">
        <v>3152.7789901686097</v>
      </c>
      <c r="AX65" s="100">
        <v>11</v>
      </c>
      <c r="AY65" s="100">
        <v>11286</v>
      </c>
      <c r="AZ65" s="100">
        <v>0</v>
      </c>
      <c r="BA65" s="100">
        <v>0</v>
      </c>
      <c r="BB65" s="100">
        <v>0</v>
      </c>
      <c r="BC65" s="100">
        <v>0</v>
      </c>
      <c r="BD65" s="100">
        <v>0.20888015819201905</v>
      </c>
      <c r="BE65" s="100">
        <v>214.31104230501154</v>
      </c>
      <c r="BF65" s="100">
        <v>14</v>
      </c>
      <c r="BG65" s="100">
        <v>14364</v>
      </c>
      <c r="BH65" s="100">
        <v>13</v>
      </c>
      <c r="BI65" s="100">
        <v>13338</v>
      </c>
      <c r="BJ65" s="100">
        <v>0</v>
      </c>
      <c r="BK65" s="100">
        <v>0</v>
      </c>
      <c r="BL65" s="100">
        <v>1.0558700568289572</v>
      </c>
      <c r="BM65" s="100">
        <v>1083.3226783065102</v>
      </c>
      <c r="BN65" s="100">
        <v>2.5528743000411476</v>
      </c>
      <c r="BO65" s="100">
        <v>2619.2490318422174</v>
      </c>
      <c r="BP65" s="100">
        <v>12</v>
      </c>
      <c r="BQ65" s="100">
        <v>12312</v>
      </c>
      <c r="BR65" s="100">
        <v>0</v>
      </c>
      <c r="BS65" s="100">
        <v>0</v>
      </c>
      <c r="BT65" s="100">
        <v>0.44671115990735843</v>
      </c>
      <c r="BU65" s="100">
        <v>458.32565006494974</v>
      </c>
      <c r="BV65" s="100">
        <v>0</v>
      </c>
      <c r="BW65" s="100">
        <v>0</v>
      </c>
      <c r="BX65" s="100">
        <v>9</v>
      </c>
      <c r="BY65" s="100">
        <v>9234</v>
      </c>
      <c r="BZ65" s="100">
        <v>0</v>
      </c>
      <c r="CA65" s="100">
        <v>0</v>
      </c>
      <c r="CB65" s="100">
        <v>16.960245468512472</v>
      </c>
      <c r="CC65" s="100">
        <v>17401.211850693795</v>
      </c>
      <c r="CD65" s="100">
        <v>0.21968871595552425</v>
      </c>
      <c r="CE65" s="100">
        <v>225.40062257036789</v>
      </c>
      <c r="CF65" s="100">
        <v>8.9232268519363078</v>
      </c>
      <c r="CG65" s="100">
        <v>9155.2307500866518</v>
      </c>
      <c r="CH65" s="100">
        <v>9</v>
      </c>
      <c r="CI65" s="100">
        <v>9234</v>
      </c>
      <c r="CJ65" s="100">
        <v>0.52153474726918658</v>
      </c>
      <c r="CK65" s="100">
        <v>535.09465069818543</v>
      </c>
      <c r="CL65" s="100">
        <v>0</v>
      </c>
      <c r="CM65" s="100">
        <v>0</v>
      </c>
      <c r="CN65" s="100">
        <v>0.33844524782976559</v>
      </c>
      <c r="CO65" s="100">
        <v>347.24482427333947</v>
      </c>
      <c r="CP65" s="100">
        <v>2.3174018035975257</v>
      </c>
      <c r="CQ65" s="100">
        <v>2377.6542504910612</v>
      </c>
      <c r="CR65" s="100">
        <v>15</v>
      </c>
      <c r="CS65" s="100">
        <v>15390</v>
      </c>
      <c r="CT65" s="100">
        <v>12</v>
      </c>
      <c r="CU65" s="100">
        <v>12312</v>
      </c>
    </row>
    <row r="66" spans="2:99">
      <c r="C66" s="99" t="s">
        <v>232</v>
      </c>
      <c r="D66" s="100">
        <v>13</v>
      </c>
      <c r="E66" s="100">
        <v>15475.199999999999</v>
      </c>
      <c r="F66" s="100">
        <v>12</v>
      </c>
      <c r="G66" s="100">
        <v>14284.8</v>
      </c>
      <c r="H66" s="100">
        <v>15</v>
      </c>
      <c r="I66" s="100">
        <v>17855.999999999996</v>
      </c>
      <c r="J66" s="100">
        <v>14</v>
      </c>
      <c r="K66" s="100">
        <v>16665.599999999999</v>
      </c>
      <c r="L66" s="100">
        <v>8</v>
      </c>
      <c r="M66" s="100">
        <v>9523.1999999999989</v>
      </c>
      <c r="N66" s="100">
        <v>9</v>
      </c>
      <c r="O66" s="100">
        <v>10713.599999999999</v>
      </c>
      <c r="P66" s="100">
        <v>5.6709183509845733</v>
      </c>
      <c r="Q66" s="100">
        <v>6750.6612050120357</v>
      </c>
      <c r="R66" s="100">
        <v>10</v>
      </c>
      <c r="S66" s="100">
        <v>11903.999999999998</v>
      </c>
      <c r="T66" s="100">
        <v>14</v>
      </c>
      <c r="U66" s="100">
        <v>16665.599999999999</v>
      </c>
      <c r="V66" s="100">
        <v>17</v>
      </c>
      <c r="W66" s="100">
        <v>20236.8</v>
      </c>
      <c r="X66" s="100">
        <v>17</v>
      </c>
      <c r="Y66" s="100">
        <v>20236.8</v>
      </c>
      <c r="Z66" s="100">
        <v>11</v>
      </c>
      <c r="AA66" s="100">
        <v>13094.399999999998</v>
      </c>
      <c r="AB66" s="100">
        <v>12</v>
      </c>
      <c r="AC66" s="100">
        <v>14284.8</v>
      </c>
      <c r="AD66" s="100">
        <v>13</v>
      </c>
      <c r="AE66" s="100">
        <v>15475.199999999999</v>
      </c>
      <c r="AF66" s="100">
        <v>8</v>
      </c>
      <c r="AG66" s="100">
        <v>9523.1999999999989</v>
      </c>
      <c r="AH66" s="100">
        <v>14</v>
      </c>
      <c r="AI66" s="100">
        <v>16665.599999999999</v>
      </c>
      <c r="AJ66" s="100">
        <v>9</v>
      </c>
      <c r="AK66" s="100">
        <v>10713.599999999999</v>
      </c>
      <c r="AL66" s="100">
        <v>10</v>
      </c>
      <c r="AM66" s="100">
        <v>11903.999999999998</v>
      </c>
      <c r="AN66" s="100">
        <v>8</v>
      </c>
      <c r="AO66" s="100">
        <v>9523.1999999999989</v>
      </c>
      <c r="AP66" s="100">
        <v>10.018160460294524</v>
      </c>
      <c r="AQ66" s="100">
        <v>11925.618211934599</v>
      </c>
      <c r="AR66" s="100">
        <v>8.0463221062476524</v>
      </c>
      <c r="AS66" s="100">
        <v>9578.3418352772042</v>
      </c>
      <c r="AT66" s="100">
        <v>15</v>
      </c>
      <c r="AU66" s="100">
        <v>17855.999999999996</v>
      </c>
      <c r="AV66" s="100">
        <v>2.5607366716769087</v>
      </c>
      <c r="AW66" s="100">
        <v>3048.3009339641917</v>
      </c>
      <c r="AX66" s="100">
        <v>11</v>
      </c>
      <c r="AY66" s="100">
        <v>13094.399999999998</v>
      </c>
      <c r="AZ66" s="100">
        <v>0</v>
      </c>
      <c r="BA66" s="100">
        <v>0</v>
      </c>
      <c r="BB66" s="100">
        <v>0</v>
      </c>
      <c r="BC66" s="100">
        <v>0</v>
      </c>
      <c r="BD66" s="100">
        <v>0.16710412655361523</v>
      </c>
      <c r="BE66" s="100">
        <v>198.92075224942354</v>
      </c>
      <c r="BF66" s="100">
        <v>13</v>
      </c>
      <c r="BG66" s="100">
        <v>15475.199999999999</v>
      </c>
      <c r="BH66" s="100">
        <v>12</v>
      </c>
      <c r="BI66" s="100">
        <v>14284.8</v>
      </c>
      <c r="BJ66" s="100">
        <v>0</v>
      </c>
      <c r="BK66" s="100">
        <v>0</v>
      </c>
      <c r="BL66" s="100">
        <v>1.0558700568289572</v>
      </c>
      <c r="BM66" s="100">
        <v>1256.9077156491905</v>
      </c>
      <c r="BN66" s="100">
        <v>2.370526135752494</v>
      </c>
      <c r="BO66" s="100">
        <v>2821.8743119997685</v>
      </c>
      <c r="BP66" s="100">
        <v>12</v>
      </c>
      <c r="BQ66" s="100">
        <v>14284.8</v>
      </c>
      <c r="BR66" s="100">
        <v>0</v>
      </c>
      <c r="BS66" s="100">
        <v>0</v>
      </c>
      <c r="BT66" s="100">
        <v>0.41693041591353458</v>
      </c>
      <c r="BU66" s="100">
        <v>496.3139671034715</v>
      </c>
      <c r="BV66" s="100">
        <v>0</v>
      </c>
      <c r="BW66" s="100">
        <v>0</v>
      </c>
      <c r="BX66" s="100">
        <v>8</v>
      </c>
      <c r="BY66" s="100">
        <v>9523.1999999999989</v>
      </c>
      <c r="BZ66" s="100">
        <v>0</v>
      </c>
      <c r="CA66" s="100">
        <v>0</v>
      </c>
      <c r="CB66" s="100">
        <v>15.96258397036468</v>
      </c>
      <c r="CC66" s="100">
        <v>19001.859958322111</v>
      </c>
      <c r="CD66" s="100">
        <v>0.19527885862713265</v>
      </c>
      <c r="CE66" s="100">
        <v>232.45995330973869</v>
      </c>
      <c r="CF66" s="100">
        <v>8.9232268519363078</v>
      </c>
      <c r="CG66" s="100">
        <v>10622.20924454498</v>
      </c>
      <c r="CH66" s="100">
        <v>9</v>
      </c>
      <c r="CI66" s="100">
        <v>10713.599999999999</v>
      </c>
      <c r="CJ66" s="100">
        <v>0.52153474726918658</v>
      </c>
      <c r="CK66" s="100">
        <v>620.83496314923968</v>
      </c>
      <c r="CL66" s="100">
        <v>0</v>
      </c>
      <c r="CM66" s="100">
        <v>0</v>
      </c>
      <c r="CN66" s="100">
        <v>0.38075090380848636</v>
      </c>
      <c r="CO66" s="100">
        <v>453.2458758936221</v>
      </c>
      <c r="CP66" s="100">
        <v>2.3174018035975257</v>
      </c>
      <c r="CQ66" s="100">
        <v>2758.6351070024944</v>
      </c>
      <c r="CR66" s="100">
        <v>13</v>
      </c>
      <c r="CS66" s="100">
        <v>15475.199999999999</v>
      </c>
      <c r="CT66" s="100">
        <v>11</v>
      </c>
      <c r="CU66" s="100">
        <v>13094.399999999998</v>
      </c>
    </row>
    <row r="67" spans="2:99">
      <c r="C67" s="99" t="s">
        <v>233</v>
      </c>
      <c r="D67" s="100">
        <v>14</v>
      </c>
      <c r="E67" s="100">
        <v>15724.800000000001</v>
      </c>
      <c r="F67" s="100">
        <v>11</v>
      </c>
      <c r="G67" s="100">
        <v>12355.2</v>
      </c>
      <c r="H67" s="100">
        <v>16</v>
      </c>
      <c r="I67" s="100">
        <v>17971.2</v>
      </c>
      <c r="J67" s="100">
        <v>15</v>
      </c>
      <c r="K67" s="100">
        <v>16848</v>
      </c>
      <c r="L67" s="100">
        <v>8</v>
      </c>
      <c r="M67" s="100">
        <v>8985.6</v>
      </c>
      <c r="N67" s="100">
        <v>10</v>
      </c>
      <c r="O67" s="100">
        <v>11232</v>
      </c>
      <c r="P67" s="100">
        <v>6.1864563828922607</v>
      </c>
      <c r="Q67" s="100">
        <v>6948.627809264588</v>
      </c>
      <c r="R67" s="100">
        <v>10</v>
      </c>
      <c r="S67" s="100">
        <v>11232</v>
      </c>
      <c r="T67" s="100">
        <v>15</v>
      </c>
      <c r="U67" s="100">
        <v>16848</v>
      </c>
      <c r="V67" s="100">
        <v>18</v>
      </c>
      <c r="W67" s="100">
        <v>20217.600000000002</v>
      </c>
      <c r="X67" s="100">
        <v>16</v>
      </c>
      <c r="Y67" s="100">
        <v>17971.2</v>
      </c>
      <c r="Z67" s="100">
        <v>12</v>
      </c>
      <c r="AA67" s="100">
        <v>13478.400000000001</v>
      </c>
      <c r="AB67" s="100">
        <v>13</v>
      </c>
      <c r="AC67" s="100">
        <v>14601.6</v>
      </c>
      <c r="AD67" s="100">
        <v>15</v>
      </c>
      <c r="AE67" s="100">
        <v>16848</v>
      </c>
      <c r="AF67" s="100">
        <v>10</v>
      </c>
      <c r="AG67" s="100">
        <v>11232</v>
      </c>
      <c r="AH67" s="100">
        <v>16</v>
      </c>
      <c r="AI67" s="100">
        <v>17971.2</v>
      </c>
      <c r="AJ67" s="100">
        <v>9</v>
      </c>
      <c r="AK67" s="100">
        <v>10108.800000000001</v>
      </c>
      <c r="AL67" s="100">
        <v>11</v>
      </c>
      <c r="AM67" s="100">
        <v>12355.2</v>
      </c>
      <c r="AN67" s="100">
        <v>8</v>
      </c>
      <c r="AO67" s="100">
        <v>8985.6</v>
      </c>
      <c r="AP67" s="100">
        <v>10.018160460294524</v>
      </c>
      <c r="AQ67" s="100">
        <v>11252.39782900281</v>
      </c>
      <c r="AR67" s="100">
        <v>7.4273742519209103</v>
      </c>
      <c r="AS67" s="100">
        <v>8342.4267597575672</v>
      </c>
      <c r="AT67" s="100">
        <v>15</v>
      </c>
      <c r="AU67" s="100">
        <v>16848</v>
      </c>
      <c r="AV67" s="100">
        <v>2.5607366716769087</v>
      </c>
      <c r="AW67" s="100">
        <v>2876.2194296275038</v>
      </c>
      <c r="AX67" s="100">
        <v>11</v>
      </c>
      <c r="AY67" s="100">
        <v>12355.2</v>
      </c>
      <c r="AZ67" s="100">
        <v>0</v>
      </c>
      <c r="BA67" s="100">
        <v>0</v>
      </c>
      <c r="BB67" s="100">
        <v>0</v>
      </c>
      <c r="BC67" s="100">
        <v>0</v>
      </c>
      <c r="BD67" s="100">
        <v>0.18102947043308318</v>
      </c>
      <c r="BE67" s="100">
        <v>203.33230119043904</v>
      </c>
      <c r="BF67" s="100">
        <v>13</v>
      </c>
      <c r="BG67" s="100">
        <v>14601.6</v>
      </c>
      <c r="BH67" s="100">
        <v>13</v>
      </c>
      <c r="BI67" s="100">
        <v>14601.6</v>
      </c>
      <c r="BJ67" s="100">
        <v>0</v>
      </c>
      <c r="BK67" s="100">
        <v>0</v>
      </c>
      <c r="BL67" s="100">
        <v>1.151858243813408</v>
      </c>
      <c r="BM67" s="100">
        <v>1293.7671794512198</v>
      </c>
      <c r="BN67" s="100">
        <v>2.370526135752494</v>
      </c>
      <c r="BO67" s="100">
        <v>2662.5749556772016</v>
      </c>
      <c r="BP67" s="100">
        <v>11</v>
      </c>
      <c r="BQ67" s="100">
        <v>12355.2</v>
      </c>
      <c r="BR67" s="100">
        <v>0</v>
      </c>
      <c r="BS67" s="100">
        <v>0</v>
      </c>
      <c r="BT67" s="100">
        <v>0.47649190390118229</v>
      </c>
      <c r="BU67" s="100">
        <v>535.19570646180796</v>
      </c>
      <c r="BV67" s="100">
        <v>0</v>
      </c>
      <c r="BW67" s="100">
        <v>0</v>
      </c>
      <c r="BX67" s="100">
        <v>8</v>
      </c>
      <c r="BY67" s="100">
        <v>8985.6</v>
      </c>
      <c r="BZ67" s="100">
        <v>0</v>
      </c>
      <c r="CA67" s="100">
        <v>0</v>
      </c>
      <c r="CB67" s="100">
        <v>13.967260974069095</v>
      </c>
      <c r="CC67" s="100">
        <v>15688.027526074407</v>
      </c>
      <c r="CD67" s="100">
        <v>0.19527885862713265</v>
      </c>
      <c r="CE67" s="100">
        <v>219.33721400999539</v>
      </c>
      <c r="CF67" s="100">
        <v>8.9232268519363078</v>
      </c>
      <c r="CG67" s="100">
        <v>10022.568400094862</v>
      </c>
      <c r="CH67" s="100">
        <v>9</v>
      </c>
      <c r="CI67" s="100">
        <v>10108.800000000001</v>
      </c>
      <c r="CJ67" s="100">
        <v>0.57948305252131838</v>
      </c>
      <c r="CK67" s="100">
        <v>650.87536459194484</v>
      </c>
      <c r="CL67" s="100">
        <v>0</v>
      </c>
      <c r="CM67" s="100">
        <v>0</v>
      </c>
      <c r="CN67" s="100">
        <v>0.33844524782976559</v>
      </c>
      <c r="CO67" s="100">
        <v>380.14170236239272</v>
      </c>
      <c r="CP67" s="100">
        <v>2.0599127143089118</v>
      </c>
      <c r="CQ67" s="100">
        <v>2313.6939607117697</v>
      </c>
      <c r="CR67" s="100">
        <v>13</v>
      </c>
      <c r="CS67" s="100">
        <v>14601.6</v>
      </c>
      <c r="CT67" s="100">
        <v>11</v>
      </c>
      <c r="CU67" s="100">
        <v>12355.2</v>
      </c>
    </row>
    <row r="68" spans="2:99">
      <c r="C68" s="99" t="s">
        <v>234</v>
      </c>
      <c r="D68" s="100">
        <v>14</v>
      </c>
      <c r="E68" s="100">
        <v>14464.800000000001</v>
      </c>
      <c r="F68" s="100">
        <v>13</v>
      </c>
      <c r="G68" s="100">
        <v>13431.6</v>
      </c>
      <c r="H68" s="100">
        <v>17</v>
      </c>
      <c r="I68" s="100">
        <v>17564.400000000001</v>
      </c>
      <c r="J68" s="100">
        <v>15</v>
      </c>
      <c r="K68" s="100">
        <v>15498</v>
      </c>
      <c r="L68" s="100">
        <v>9</v>
      </c>
      <c r="M68" s="100">
        <v>9298.8000000000011</v>
      </c>
      <c r="N68" s="100">
        <v>8</v>
      </c>
      <c r="O68" s="100">
        <v>8265.6</v>
      </c>
      <c r="P68" s="100">
        <v>6.70199441479995</v>
      </c>
      <c r="Q68" s="100">
        <v>6924.5006293713086</v>
      </c>
      <c r="R68" s="100">
        <v>10</v>
      </c>
      <c r="S68" s="100">
        <v>10332</v>
      </c>
      <c r="T68" s="100">
        <v>15</v>
      </c>
      <c r="U68" s="100">
        <v>15498</v>
      </c>
      <c r="V68" s="100">
        <v>17</v>
      </c>
      <c r="W68" s="100">
        <v>17564.400000000001</v>
      </c>
      <c r="X68" s="100">
        <v>15</v>
      </c>
      <c r="Y68" s="100">
        <v>15498</v>
      </c>
      <c r="Z68" s="100">
        <v>12</v>
      </c>
      <c r="AA68" s="100">
        <v>12398.400000000001</v>
      </c>
      <c r="AB68" s="100">
        <v>13</v>
      </c>
      <c r="AC68" s="100">
        <v>13431.6</v>
      </c>
      <c r="AD68" s="100">
        <v>14</v>
      </c>
      <c r="AE68" s="100">
        <v>14464.800000000001</v>
      </c>
      <c r="AF68" s="100">
        <v>9</v>
      </c>
      <c r="AG68" s="100">
        <v>9298.8000000000011</v>
      </c>
      <c r="AH68" s="100">
        <v>16</v>
      </c>
      <c r="AI68" s="100">
        <v>16531.2</v>
      </c>
      <c r="AJ68" s="100">
        <v>9</v>
      </c>
      <c r="AK68" s="100">
        <v>9298.8000000000011</v>
      </c>
      <c r="AL68" s="100">
        <v>11</v>
      </c>
      <c r="AM68" s="100">
        <v>11365.2</v>
      </c>
      <c r="AN68" s="100">
        <v>9</v>
      </c>
      <c r="AO68" s="100">
        <v>9298.8000000000011</v>
      </c>
      <c r="AP68" s="100">
        <v>9.3025775702734865</v>
      </c>
      <c r="AQ68" s="100">
        <v>9611.4231456065663</v>
      </c>
      <c r="AR68" s="100">
        <v>7.4273742519209103</v>
      </c>
      <c r="AS68" s="100">
        <v>7673.9630770846852</v>
      </c>
      <c r="AT68" s="100">
        <v>16</v>
      </c>
      <c r="AU68" s="100">
        <v>16531.2</v>
      </c>
      <c r="AV68" s="100">
        <v>3.0728840060122899</v>
      </c>
      <c r="AW68" s="100">
        <v>3174.9037550118983</v>
      </c>
      <c r="AX68" s="100">
        <v>11</v>
      </c>
      <c r="AY68" s="100">
        <v>11365.2</v>
      </c>
      <c r="AZ68" s="100">
        <v>0</v>
      </c>
      <c r="BA68" s="100">
        <v>0</v>
      </c>
      <c r="BB68" s="100">
        <v>0</v>
      </c>
      <c r="BC68" s="100">
        <v>0</v>
      </c>
      <c r="BD68" s="100">
        <v>0.1949548143125511</v>
      </c>
      <c r="BE68" s="100">
        <v>201.4273141477278</v>
      </c>
      <c r="BF68" s="100">
        <v>13</v>
      </c>
      <c r="BG68" s="100">
        <v>13431.6</v>
      </c>
      <c r="BH68" s="100">
        <v>13</v>
      </c>
      <c r="BI68" s="100">
        <v>13431.6</v>
      </c>
      <c r="BJ68" s="100">
        <v>0</v>
      </c>
      <c r="BK68" s="100">
        <v>0</v>
      </c>
      <c r="BL68" s="100">
        <v>1.151858243813408</v>
      </c>
      <c r="BM68" s="100">
        <v>1190.0999375080132</v>
      </c>
      <c r="BN68" s="100">
        <v>2.188177971463841</v>
      </c>
      <c r="BO68" s="100">
        <v>2260.8254801164408</v>
      </c>
      <c r="BP68" s="100">
        <v>10</v>
      </c>
      <c r="BQ68" s="100">
        <v>10332</v>
      </c>
      <c r="BR68" s="100">
        <v>0</v>
      </c>
      <c r="BS68" s="100">
        <v>0</v>
      </c>
      <c r="BT68" s="100">
        <v>0.41693041591353458</v>
      </c>
      <c r="BU68" s="100">
        <v>430.77250572186392</v>
      </c>
      <c r="BV68" s="100">
        <v>0</v>
      </c>
      <c r="BW68" s="100">
        <v>0</v>
      </c>
      <c r="BX68" s="100">
        <v>10</v>
      </c>
      <c r="BY68" s="100">
        <v>10332</v>
      </c>
      <c r="BZ68" s="100">
        <v>0</v>
      </c>
      <c r="CA68" s="100">
        <v>0</v>
      </c>
      <c r="CB68" s="100">
        <v>13.967260974069095</v>
      </c>
      <c r="CC68" s="100">
        <v>14430.974038408191</v>
      </c>
      <c r="CD68" s="100">
        <v>0.19527885862713265</v>
      </c>
      <c r="CE68" s="100">
        <v>201.76211673355346</v>
      </c>
      <c r="CF68" s="100">
        <v>8.9232268519363078</v>
      </c>
      <c r="CG68" s="100">
        <v>9219.4779834205929</v>
      </c>
      <c r="CH68" s="100">
        <v>10</v>
      </c>
      <c r="CI68" s="100">
        <v>10332</v>
      </c>
      <c r="CJ68" s="100">
        <v>0.52153474726918658</v>
      </c>
      <c r="CK68" s="100">
        <v>538.84970087852355</v>
      </c>
      <c r="CL68" s="100">
        <v>0</v>
      </c>
      <c r="CM68" s="100">
        <v>0</v>
      </c>
      <c r="CN68" s="100">
        <v>0.33844524782976559</v>
      </c>
      <c r="CO68" s="100">
        <v>349.68163005771385</v>
      </c>
      <c r="CP68" s="100">
        <v>2.3174018035975257</v>
      </c>
      <c r="CQ68" s="100">
        <v>2394.3395434769636</v>
      </c>
      <c r="CR68" s="100">
        <v>13</v>
      </c>
      <c r="CS68" s="100">
        <v>13431.6</v>
      </c>
      <c r="CT68" s="100">
        <v>12</v>
      </c>
      <c r="CU68" s="100">
        <v>12398.400000000001</v>
      </c>
    </row>
    <row r="69" spans="2:99">
      <c r="C69" s="99" t="s">
        <v>235</v>
      </c>
      <c r="D69" s="100">
        <v>13</v>
      </c>
      <c r="E69" s="100">
        <v>9859.1999999999989</v>
      </c>
      <c r="F69" s="100">
        <v>13</v>
      </c>
      <c r="G69" s="100">
        <v>9859.1999999999989</v>
      </c>
      <c r="H69" s="100">
        <v>17</v>
      </c>
      <c r="I69" s="100">
        <v>12892.8</v>
      </c>
      <c r="J69" s="100">
        <v>14</v>
      </c>
      <c r="K69" s="100">
        <v>10617.6</v>
      </c>
      <c r="L69" s="100">
        <v>9</v>
      </c>
      <c r="M69" s="100">
        <v>6825.5999999999995</v>
      </c>
      <c r="N69" s="100">
        <v>9</v>
      </c>
      <c r="O69" s="100">
        <v>6825.5999999999995</v>
      </c>
      <c r="P69" s="100">
        <v>6.70199441479995</v>
      </c>
      <c r="Q69" s="100">
        <v>5082.7925641842821</v>
      </c>
      <c r="R69" s="100">
        <v>10</v>
      </c>
      <c r="S69" s="100">
        <v>7584</v>
      </c>
      <c r="T69" s="100">
        <v>15</v>
      </c>
      <c r="U69" s="100">
        <v>11376</v>
      </c>
      <c r="V69" s="100">
        <v>16</v>
      </c>
      <c r="W69" s="100">
        <v>12134.4</v>
      </c>
      <c r="X69" s="100">
        <v>18</v>
      </c>
      <c r="Y69" s="100">
        <v>13651.199999999999</v>
      </c>
      <c r="Z69" s="100">
        <v>13</v>
      </c>
      <c r="AA69" s="100">
        <v>9859.1999999999989</v>
      </c>
      <c r="AB69" s="100">
        <v>13</v>
      </c>
      <c r="AC69" s="100">
        <v>9859.1999999999989</v>
      </c>
      <c r="AD69" s="100">
        <v>16</v>
      </c>
      <c r="AE69" s="100">
        <v>12134.4</v>
      </c>
      <c r="AF69" s="100">
        <v>10</v>
      </c>
      <c r="AG69" s="100">
        <v>7584</v>
      </c>
      <c r="AH69" s="100">
        <v>16</v>
      </c>
      <c r="AI69" s="100">
        <v>12134.4</v>
      </c>
      <c r="AJ69" s="100">
        <v>9</v>
      </c>
      <c r="AK69" s="100">
        <v>6825.5999999999995</v>
      </c>
      <c r="AL69" s="100">
        <v>10</v>
      </c>
      <c r="AM69" s="100">
        <v>7584</v>
      </c>
      <c r="AN69" s="100">
        <v>8</v>
      </c>
      <c r="AO69" s="100">
        <v>6067.2</v>
      </c>
      <c r="AP69" s="100">
        <v>10.73374335031556</v>
      </c>
      <c r="AQ69" s="100">
        <v>8140.4709568793205</v>
      </c>
      <c r="AR69" s="100">
        <v>8.0463221062476524</v>
      </c>
      <c r="AS69" s="100">
        <v>6102.3306853782196</v>
      </c>
      <c r="AT69" s="100">
        <v>14</v>
      </c>
      <c r="AU69" s="100">
        <v>10617.6</v>
      </c>
      <c r="AV69" s="100">
        <v>3.0728840060122899</v>
      </c>
      <c r="AW69" s="100">
        <v>2330.4752301597205</v>
      </c>
      <c r="AX69" s="100">
        <v>10</v>
      </c>
      <c r="AY69" s="100">
        <v>7584</v>
      </c>
      <c r="AZ69" s="100">
        <v>0</v>
      </c>
      <c r="BA69" s="100">
        <v>0</v>
      </c>
      <c r="BB69" s="100">
        <v>0</v>
      </c>
      <c r="BC69" s="100">
        <v>0</v>
      </c>
      <c r="BD69" s="100">
        <v>0.20888015819201905</v>
      </c>
      <c r="BE69" s="100">
        <v>158.41471197282723</v>
      </c>
      <c r="BF69" s="100">
        <v>13</v>
      </c>
      <c r="BG69" s="100">
        <v>9859.1999999999989</v>
      </c>
      <c r="BH69" s="100">
        <v>12</v>
      </c>
      <c r="BI69" s="100">
        <v>9100.7999999999993</v>
      </c>
      <c r="BJ69" s="100">
        <v>0</v>
      </c>
      <c r="BK69" s="100">
        <v>0</v>
      </c>
      <c r="BL69" s="100">
        <v>1.151858243813408</v>
      </c>
      <c r="BM69" s="100">
        <v>873.56929210808858</v>
      </c>
      <c r="BN69" s="100">
        <v>2.370526135752494</v>
      </c>
      <c r="BO69" s="100">
        <v>1797.8070213546914</v>
      </c>
      <c r="BP69" s="100">
        <v>13</v>
      </c>
      <c r="BQ69" s="100">
        <v>9859.1999999999989</v>
      </c>
      <c r="BR69" s="100">
        <v>0</v>
      </c>
      <c r="BS69" s="100">
        <v>0</v>
      </c>
      <c r="BT69" s="100">
        <v>0.41693041591353458</v>
      </c>
      <c r="BU69" s="100">
        <v>316.20002742882463</v>
      </c>
      <c r="BV69" s="100">
        <v>0</v>
      </c>
      <c r="BW69" s="100">
        <v>0</v>
      </c>
      <c r="BX69" s="100">
        <v>9</v>
      </c>
      <c r="BY69" s="100">
        <v>6825.5999999999995</v>
      </c>
      <c r="BZ69" s="100">
        <v>0</v>
      </c>
      <c r="CA69" s="100">
        <v>0</v>
      </c>
      <c r="CB69" s="100">
        <v>14.964922472216889</v>
      </c>
      <c r="CC69" s="100">
        <v>11349.397202929289</v>
      </c>
      <c r="CD69" s="100">
        <v>0.19527885862713265</v>
      </c>
      <c r="CE69" s="100">
        <v>148.09948638281739</v>
      </c>
      <c r="CF69" s="100">
        <v>8.9232268519363078</v>
      </c>
      <c r="CG69" s="100">
        <v>6767.3752445084956</v>
      </c>
      <c r="CH69" s="100">
        <v>11</v>
      </c>
      <c r="CI69" s="100">
        <v>8342.4</v>
      </c>
      <c r="CJ69" s="100">
        <v>0.57948305252131838</v>
      </c>
      <c r="CK69" s="100">
        <v>439.47994703216784</v>
      </c>
      <c r="CL69" s="100">
        <v>0</v>
      </c>
      <c r="CM69" s="100">
        <v>0</v>
      </c>
      <c r="CN69" s="100">
        <v>0.42305655978720702</v>
      </c>
      <c r="CO69" s="100">
        <v>320.84609494261781</v>
      </c>
      <c r="CP69" s="100">
        <v>2.5748908928861396</v>
      </c>
      <c r="CQ69" s="100">
        <v>1952.7972531648481</v>
      </c>
      <c r="CR69" s="100">
        <v>14</v>
      </c>
      <c r="CS69" s="100">
        <v>10617.6</v>
      </c>
      <c r="CT69" s="100">
        <v>11</v>
      </c>
      <c r="CU69" s="100">
        <v>8342.4</v>
      </c>
    </row>
    <row r="70" spans="2:99">
      <c r="C70" s="99" t="s">
        <v>236</v>
      </c>
      <c r="D70" s="100">
        <v>15</v>
      </c>
      <c r="E70" s="100">
        <v>8027.9999999999991</v>
      </c>
      <c r="F70" s="100">
        <v>13</v>
      </c>
      <c r="G70" s="100">
        <v>6957.5999999999995</v>
      </c>
      <c r="H70" s="100">
        <v>15</v>
      </c>
      <c r="I70" s="100">
        <v>8027.9999999999991</v>
      </c>
      <c r="J70" s="100">
        <v>16</v>
      </c>
      <c r="K70" s="100">
        <v>8563.1999999999989</v>
      </c>
      <c r="L70" s="100">
        <v>8</v>
      </c>
      <c r="M70" s="100">
        <v>4281.5999999999995</v>
      </c>
      <c r="N70" s="100">
        <v>9</v>
      </c>
      <c r="O70" s="100">
        <v>4816.7999999999993</v>
      </c>
      <c r="P70" s="100">
        <v>6.70199441479995</v>
      </c>
      <c r="Q70" s="100">
        <v>3586.9074108009327</v>
      </c>
      <c r="R70" s="100">
        <v>11</v>
      </c>
      <c r="S70" s="100">
        <v>5887.1999999999989</v>
      </c>
      <c r="T70" s="100">
        <v>17</v>
      </c>
      <c r="U70" s="100">
        <v>9098.4</v>
      </c>
      <c r="V70" s="100">
        <v>16</v>
      </c>
      <c r="W70" s="100">
        <v>8563.1999999999989</v>
      </c>
      <c r="X70" s="100">
        <v>17</v>
      </c>
      <c r="Y70" s="100">
        <v>9098.4</v>
      </c>
      <c r="Z70" s="100">
        <v>13</v>
      </c>
      <c r="AA70" s="100">
        <v>6957.5999999999995</v>
      </c>
      <c r="AB70" s="100">
        <v>14</v>
      </c>
      <c r="AC70" s="100">
        <v>7492.7999999999993</v>
      </c>
      <c r="AD70" s="100">
        <v>16</v>
      </c>
      <c r="AE70" s="100">
        <v>8563.1999999999989</v>
      </c>
      <c r="AF70" s="100">
        <v>10</v>
      </c>
      <c r="AG70" s="100">
        <v>5351.9999999999991</v>
      </c>
      <c r="AH70" s="100">
        <v>15</v>
      </c>
      <c r="AI70" s="100">
        <v>8027.9999999999991</v>
      </c>
      <c r="AJ70" s="100">
        <v>9</v>
      </c>
      <c r="AK70" s="100">
        <v>4816.7999999999993</v>
      </c>
      <c r="AL70" s="100">
        <v>11</v>
      </c>
      <c r="AM70" s="100">
        <v>5887.1999999999989</v>
      </c>
      <c r="AN70" s="100">
        <v>9</v>
      </c>
      <c r="AO70" s="100">
        <v>4816.7999999999993</v>
      </c>
      <c r="AP70" s="100">
        <v>10.018160460294524</v>
      </c>
      <c r="AQ70" s="100">
        <v>5361.7194783496288</v>
      </c>
      <c r="AR70" s="100">
        <v>8.0463221062476524</v>
      </c>
      <c r="AS70" s="100">
        <v>4306.3915912637431</v>
      </c>
      <c r="AT70" s="100">
        <v>15</v>
      </c>
      <c r="AU70" s="100">
        <v>8027.9999999999991</v>
      </c>
      <c r="AV70" s="100">
        <v>2.8168103388445993</v>
      </c>
      <c r="AW70" s="100">
        <v>1507.5568933496293</v>
      </c>
      <c r="AX70" s="100">
        <v>12</v>
      </c>
      <c r="AY70" s="100">
        <v>6422.4</v>
      </c>
      <c r="AZ70" s="100">
        <v>0</v>
      </c>
      <c r="BA70" s="100">
        <v>0</v>
      </c>
      <c r="BB70" s="100">
        <v>0</v>
      </c>
      <c r="BC70" s="100">
        <v>0</v>
      </c>
      <c r="BD70" s="100">
        <v>0.1949548143125511</v>
      </c>
      <c r="BE70" s="100">
        <v>104.33981662007733</v>
      </c>
      <c r="BF70" s="100">
        <v>13</v>
      </c>
      <c r="BG70" s="100">
        <v>6957.5999999999995</v>
      </c>
      <c r="BH70" s="100">
        <v>12</v>
      </c>
      <c r="BI70" s="100">
        <v>6422.4</v>
      </c>
      <c r="BJ70" s="100">
        <v>0</v>
      </c>
      <c r="BK70" s="100">
        <v>0</v>
      </c>
      <c r="BL70" s="100">
        <v>1.0558700568289572</v>
      </c>
      <c r="BM70" s="100">
        <v>565.10165441485776</v>
      </c>
      <c r="BN70" s="100">
        <v>2.5528743000411476</v>
      </c>
      <c r="BO70" s="100">
        <v>1366.2983253820221</v>
      </c>
      <c r="BP70" s="100">
        <v>12</v>
      </c>
      <c r="BQ70" s="100">
        <v>6422.4</v>
      </c>
      <c r="BR70" s="100">
        <v>0</v>
      </c>
      <c r="BS70" s="100">
        <v>0</v>
      </c>
      <c r="BT70" s="100">
        <v>0.50627264789500626</v>
      </c>
      <c r="BU70" s="100">
        <v>270.95712115340729</v>
      </c>
      <c r="BV70" s="100">
        <v>0</v>
      </c>
      <c r="BW70" s="100">
        <v>0</v>
      </c>
      <c r="BX70" s="100">
        <v>9</v>
      </c>
      <c r="BY70" s="100">
        <v>4816.7999999999993</v>
      </c>
      <c r="BZ70" s="100">
        <v>0</v>
      </c>
      <c r="CA70" s="100">
        <v>0</v>
      </c>
      <c r="CB70" s="100">
        <v>15.96258397036468</v>
      </c>
      <c r="CC70" s="100">
        <v>8543.1749409391759</v>
      </c>
      <c r="CD70" s="100">
        <v>0.21968871595552425</v>
      </c>
      <c r="CE70" s="100">
        <v>117.57740077939657</v>
      </c>
      <c r="CF70" s="100">
        <v>9.9146965021514522</v>
      </c>
      <c r="CG70" s="100">
        <v>5306.3455679514564</v>
      </c>
      <c r="CH70" s="100">
        <v>10</v>
      </c>
      <c r="CI70" s="100">
        <v>5351.9999999999991</v>
      </c>
      <c r="CJ70" s="100">
        <v>0.63743135777345017</v>
      </c>
      <c r="CK70" s="100">
        <v>341.15326268035051</v>
      </c>
      <c r="CL70" s="100">
        <v>0</v>
      </c>
      <c r="CM70" s="100">
        <v>0</v>
      </c>
      <c r="CN70" s="100">
        <v>0.38075090380848636</v>
      </c>
      <c r="CO70" s="100">
        <v>203.77788371830187</v>
      </c>
      <c r="CP70" s="100">
        <v>2.3174018035975257</v>
      </c>
      <c r="CQ70" s="100">
        <v>1240.2734452853956</v>
      </c>
      <c r="CR70" s="100">
        <v>14</v>
      </c>
      <c r="CS70" s="100">
        <v>7492.7999999999993</v>
      </c>
      <c r="CT70" s="100">
        <v>11</v>
      </c>
      <c r="CU70" s="100">
        <v>5887.1999999999989</v>
      </c>
    </row>
    <row r="71" spans="2:99">
      <c r="B71" s="99" t="s">
        <v>130</v>
      </c>
      <c r="C71" s="99" t="s">
        <v>237</v>
      </c>
      <c r="D71" s="100">
        <v>6</v>
      </c>
      <c r="E71" s="100">
        <v>3384</v>
      </c>
      <c r="F71" s="100">
        <v>7</v>
      </c>
      <c r="G71" s="100">
        <v>3948</v>
      </c>
      <c r="H71" s="100">
        <v>8</v>
      </c>
      <c r="I71" s="100">
        <v>4512</v>
      </c>
      <c r="J71" s="100">
        <v>6</v>
      </c>
      <c r="K71" s="100">
        <v>3384</v>
      </c>
      <c r="L71" s="100">
        <v>6</v>
      </c>
      <c r="M71" s="100">
        <v>3384</v>
      </c>
      <c r="N71" s="100">
        <v>6</v>
      </c>
      <c r="O71" s="100">
        <v>3384</v>
      </c>
      <c r="P71" s="100">
        <v>7</v>
      </c>
      <c r="Q71" s="100">
        <v>3948</v>
      </c>
      <c r="R71" s="100">
        <v>8</v>
      </c>
      <c r="S71" s="100">
        <v>4512</v>
      </c>
      <c r="T71" s="100">
        <v>9</v>
      </c>
      <c r="U71" s="100">
        <v>5076</v>
      </c>
      <c r="V71" s="100">
        <v>9</v>
      </c>
      <c r="W71" s="100">
        <v>5076</v>
      </c>
      <c r="X71" s="100">
        <v>5</v>
      </c>
      <c r="Y71" s="100">
        <v>2820</v>
      </c>
      <c r="Z71" s="100">
        <v>8</v>
      </c>
      <c r="AA71" s="100">
        <v>4512</v>
      </c>
      <c r="AB71" s="100">
        <v>7</v>
      </c>
      <c r="AC71" s="100">
        <v>3948</v>
      </c>
      <c r="AD71" s="100">
        <v>7</v>
      </c>
      <c r="AE71" s="100">
        <v>3948</v>
      </c>
      <c r="AF71" s="100">
        <v>10</v>
      </c>
      <c r="AG71" s="100">
        <v>5640</v>
      </c>
      <c r="AH71" s="100">
        <v>6</v>
      </c>
      <c r="AI71" s="100">
        <v>3384</v>
      </c>
      <c r="AJ71" s="100">
        <v>5</v>
      </c>
      <c r="AK71" s="100">
        <v>2820</v>
      </c>
      <c r="AL71" s="100">
        <v>8</v>
      </c>
      <c r="AM71" s="100">
        <v>4512</v>
      </c>
      <c r="AN71" s="100">
        <v>7</v>
      </c>
      <c r="AO71" s="100">
        <v>3948</v>
      </c>
      <c r="AP71" s="100">
        <v>8</v>
      </c>
      <c r="AQ71" s="100">
        <v>4512</v>
      </c>
      <c r="AR71" s="100">
        <v>8</v>
      </c>
      <c r="AS71" s="100">
        <v>4512</v>
      </c>
      <c r="AT71" s="100">
        <v>6</v>
      </c>
      <c r="AU71" s="100">
        <v>3384</v>
      </c>
      <c r="AV71" s="100">
        <v>9</v>
      </c>
      <c r="AW71" s="100">
        <v>5076</v>
      </c>
      <c r="AX71" s="100">
        <v>6</v>
      </c>
      <c r="AY71" s="100">
        <v>3384</v>
      </c>
      <c r="AZ71" s="100">
        <v>9</v>
      </c>
      <c r="BA71" s="100">
        <v>5076</v>
      </c>
      <c r="BB71" s="100">
        <v>6</v>
      </c>
      <c r="BC71" s="100">
        <v>3384</v>
      </c>
      <c r="BD71" s="100">
        <v>9</v>
      </c>
      <c r="BE71" s="100">
        <v>5076</v>
      </c>
      <c r="BF71" s="100">
        <v>6</v>
      </c>
      <c r="BG71" s="100">
        <v>3384</v>
      </c>
      <c r="BH71" s="100">
        <v>5</v>
      </c>
      <c r="BI71" s="100">
        <v>2820</v>
      </c>
      <c r="BJ71" s="100">
        <v>6</v>
      </c>
      <c r="BK71" s="100">
        <v>3384</v>
      </c>
      <c r="BL71" s="100">
        <v>5</v>
      </c>
      <c r="BM71" s="100">
        <v>2820</v>
      </c>
      <c r="BN71" s="100">
        <v>7</v>
      </c>
      <c r="BO71" s="100">
        <v>3948</v>
      </c>
      <c r="BP71" s="100">
        <v>9</v>
      </c>
      <c r="BQ71" s="100">
        <v>5076</v>
      </c>
      <c r="BR71" s="100">
        <v>5</v>
      </c>
      <c r="BS71" s="100">
        <v>2820</v>
      </c>
      <c r="BT71" s="100">
        <v>9</v>
      </c>
      <c r="BU71" s="100">
        <v>5076</v>
      </c>
      <c r="BV71" s="100">
        <v>6</v>
      </c>
      <c r="BW71" s="100">
        <v>3384</v>
      </c>
      <c r="BX71" s="100">
        <v>11</v>
      </c>
      <c r="BY71" s="100">
        <v>6204</v>
      </c>
      <c r="BZ71" s="100">
        <v>10</v>
      </c>
      <c r="CA71" s="100">
        <v>5640</v>
      </c>
      <c r="CB71" s="100">
        <v>6</v>
      </c>
      <c r="CC71" s="100">
        <v>3384</v>
      </c>
      <c r="CD71" s="100">
        <v>9</v>
      </c>
      <c r="CE71" s="100">
        <v>5076</v>
      </c>
      <c r="CF71" s="100">
        <v>6</v>
      </c>
      <c r="CG71" s="100">
        <v>3384</v>
      </c>
      <c r="CH71" s="100">
        <v>10</v>
      </c>
      <c r="CI71" s="100">
        <v>5640</v>
      </c>
      <c r="CJ71" s="100">
        <v>8</v>
      </c>
      <c r="CK71" s="100">
        <v>4512</v>
      </c>
      <c r="CL71" s="100">
        <v>10</v>
      </c>
      <c r="CM71" s="100">
        <v>5640</v>
      </c>
      <c r="CN71" s="100">
        <v>6</v>
      </c>
      <c r="CO71" s="100">
        <v>3384</v>
      </c>
      <c r="CP71" s="100">
        <v>7</v>
      </c>
      <c r="CQ71" s="100">
        <v>3948</v>
      </c>
      <c r="CR71" s="100">
        <v>8</v>
      </c>
      <c r="CS71" s="100">
        <v>4512</v>
      </c>
      <c r="CT71" s="100">
        <v>7</v>
      </c>
      <c r="CU71" s="100">
        <v>3948</v>
      </c>
    </row>
    <row r="72" spans="2:99">
      <c r="C72" s="99" t="s">
        <v>238</v>
      </c>
      <c r="D72" s="100">
        <v>6</v>
      </c>
      <c r="E72" s="100">
        <v>446.4</v>
      </c>
      <c r="F72" s="100">
        <v>7</v>
      </c>
      <c r="G72" s="100">
        <v>520.79999999999995</v>
      </c>
      <c r="H72" s="100">
        <v>9</v>
      </c>
      <c r="I72" s="100">
        <v>669.59999999999991</v>
      </c>
      <c r="J72" s="100">
        <v>6</v>
      </c>
      <c r="K72" s="100">
        <v>446.4</v>
      </c>
      <c r="L72" s="100">
        <v>6</v>
      </c>
      <c r="M72" s="100">
        <v>446.4</v>
      </c>
      <c r="N72" s="100">
        <v>6</v>
      </c>
      <c r="O72" s="100">
        <v>446.4</v>
      </c>
      <c r="P72" s="100">
        <v>7</v>
      </c>
      <c r="Q72" s="100">
        <v>520.79999999999995</v>
      </c>
      <c r="R72" s="100">
        <v>10</v>
      </c>
      <c r="S72" s="100">
        <v>743.99999999999989</v>
      </c>
      <c r="T72" s="100">
        <v>10</v>
      </c>
      <c r="U72" s="100">
        <v>743.99999999999989</v>
      </c>
      <c r="V72" s="100">
        <v>10</v>
      </c>
      <c r="W72" s="100">
        <v>743.99999999999989</v>
      </c>
      <c r="X72" s="100">
        <v>5</v>
      </c>
      <c r="Y72" s="100">
        <v>371.99999999999994</v>
      </c>
      <c r="Z72" s="100">
        <v>8</v>
      </c>
      <c r="AA72" s="100">
        <v>595.19999999999993</v>
      </c>
      <c r="AB72" s="100">
        <v>7</v>
      </c>
      <c r="AC72" s="100">
        <v>520.79999999999995</v>
      </c>
      <c r="AD72" s="100">
        <v>8</v>
      </c>
      <c r="AE72" s="100">
        <v>595.19999999999993</v>
      </c>
      <c r="AF72" s="100">
        <v>10</v>
      </c>
      <c r="AG72" s="100">
        <v>743.99999999999989</v>
      </c>
      <c r="AH72" s="100">
        <v>6</v>
      </c>
      <c r="AI72" s="100">
        <v>446.4</v>
      </c>
      <c r="AJ72" s="100">
        <v>6</v>
      </c>
      <c r="AK72" s="100">
        <v>446.4</v>
      </c>
      <c r="AL72" s="100">
        <v>9</v>
      </c>
      <c r="AM72" s="100">
        <v>669.59999999999991</v>
      </c>
      <c r="AN72" s="100">
        <v>7</v>
      </c>
      <c r="AO72" s="100">
        <v>520.79999999999995</v>
      </c>
      <c r="AP72" s="100">
        <v>10</v>
      </c>
      <c r="AQ72" s="100">
        <v>743.99999999999989</v>
      </c>
      <c r="AR72" s="100">
        <v>9</v>
      </c>
      <c r="AS72" s="100">
        <v>669.59999999999991</v>
      </c>
      <c r="AT72" s="100">
        <v>7</v>
      </c>
      <c r="AU72" s="100">
        <v>520.79999999999995</v>
      </c>
      <c r="AV72" s="100">
        <v>10</v>
      </c>
      <c r="AW72" s="100">
        <v>743.99999999999989</v>
      </c>
      <c r="AX72" s="100">
        <v>6</v>
      </c>
      <c r="AY72" s="100">
        <v>446.4</v>
      </c>
      <c r="AZ72" s="100">
        <v>8</v>
      </c>
      <c r="BA72" s="100">
        <v>595.19999999999993</v>
      </c>
      <c r="BB72" s="100">
        <v>6</v>
      </c>
      <c r="BC72" s="100">
        <v>446.4</v>
      </c>
      <c r="BD72" s="100">
        <v>10</v>
      </c>
      <c r="BE72" s="100">
        <v>743.99999999999989</v>
      </c>
      <c r="BF72" s="100">
        <v>6</v>
      </c>
      <c r="BG72" s="100">
        <v>446.4</v>
      </c>
      <c r="BH72" s="100">
        <v>5</v>
      </c>
      <c r="BI72" s="100">
        <v>371.99999999999994</v>
      </c>
      <c r="BJ72" s="100">
        <v>7</v>
      </c>
      <c r="BK72" s="100">
        <v>520.79999999999995</v>
      </c>
      <c r="BL72" s="100">
        <v>6</v>
      </c>
      <c r="BM72" s="100">
        <v>446.4</v>
      </c>
      <c r="BN72" s="100">
        <v>8</v>
      </c>
      <c r="BO72" s="100">
        <v>595.19999999999993</v>
      </c>
      <c r="BP72" s="100">
        <v>11</v>
      </c>
      <c r="BQ72" s="100">
        <v>818.39999999999986</v>
      </c>
      <c r="BR72" s="100">
        <v>5</v>
      </c>
      <c r="BS72" s="100">
        <v>371.99999999999994</v>
      </c>
      <c r="BT72" s="100">
        <v>9</v>
      </c>
      <c r="BU72" s="100">
        <v>669.59999999999991</v>
      </c>
      <c r="BV72" s="100">
        <v>6</v>
      </c>
      <c r="BW72" s="100">
        <v>446.4</v>
      </c>
      <c r="BX72" s="100">
        <v>10</v>
      </c>
      <c r="BY72" s="100">
        <v>743.99999999999989</v>
      </c>
      <c r="BZ72" s="100">
        <v>10</v>
      </c>
      <c r="CA72" s="100">
        <v>743.99999999999989</v>
      </c>
      <c r="CB72" s="100">
        <v>6</v>
      </c>
      <c r="CC72" s="100">
        <v>446.4</v>
      </c>
      <c r="CD72" s="100">
        <v>9</v>
      </c>
      <c r="CE72" s="100">
        <v>669.59999999999991</v>
      </c>
      <c r="CF72" s="100">
        <v>7</v>
      </c>
      <c r="CG72" s="100">
        <v>520.79999999999995</v>
      </c>
      <c r="CH72" s="100">
        <v>11</v>
      </c>
      <c r="CI72" s="100">
        <v>818.39999999999986</v>
      </c>
      <c r="CJ72" s="100">
        <v>10</v>
      </c>
      <c r="CK72" s="100">
        <v>743.99999999999989</v>
      </c>
      <c r="CL72" s="100">
        <v>11</v>
      </c>
      <c r="CM72" s="100">
        <v>818.39999999999986</v>
      </c>
      <c r="CN72" s="100">
        <v>6</v>
      </c>
      <c r="CO72" s="100">
        <v>446.4</v>
      </c>
      <c r="CP72" s="100">
        <v>7</v>
      </c>
      <c r="CQ72" s="100">
        <v>520.79999999999995</v>
      </c>
      <c r="CR72" s="100">
        <v>7</v>
      </c>
      <c r="CS72" s="100">
        <v>520.79999999999995</v>
      </c>
      <c r="CT72" s="100">
        <v>7</v>
      </c>
      <c r="CU72" s="100">
        <v>520.79999999999995</v>
      </c>
    </row>
    <row r="73" spans="2:99">
      <c r="C73" s="99" t="s">
        <v>239</v>
      </c>
      <c r="D73" s="100">
        <v>6</v>
      </c>
      <c r="E73" s="100">
        <v>3355.2</v>
      </c>
      <c r="F73" s="100">
        <v>7</v>
      </c>
      <c r="G73" s="100">
        <v>3914.3999999999996</v>
      </c>
      <c r="H73" s="100">
        <v>8</v>
      </c>
      <c r="I73" s="100">
        <v>4473.5999999999995</v>
      </c>
      <c r="J73" s="100">
        <v>7</v>
      </c>
      <c r="K73" s="100">
        <v>3914.3999999999996</v>
      </c>
      <c r="L73" s="100">
        <v>6</v>
      </c>
      <c r="M73" s="100">
        <v>3355.2</v>
      </c>
      <c r="N73" s="100">
        <v>6</v>
      </c>
      <c r="O73" s="100">
        <v>3355.2</v>
      </c>
      <c r="P73" s="100">
        <v>7</v>
      </c>
      <c r="Q73" s="100">
        <v>3914.3999999999996</v>
      </c>
      <c r="R73" s="100">
        <v>8</v>
      </c>
      <c r="S73" s="100">
        <v>4473.5999999999995</v>
      </c>
      <c r="T73" s="100">
        <v>10</v>
      </c>
      <c r="U73" s="100">
        <v>5591.9999999999991</v>
      </c>
      <c r="V73" s="100">
        <v>9</v>
      </c>
      <c r="W73" s="100">
        <v>5032.7999999999993</v>
      </c>
      <c r="X73" s="100">
        <v>5</v>
      </c>
      <c r="Y73" s="100">
        <v>2795.9999999999995</v>
      </c>
      <c r="Z73" s="100">
        <v>8</v>
      </c>
      <c r="AA73" s="100">
        <v>4473.5999999999995</v>
      </c>
      <c r="AB73" s="100">
        <v>7</v>
      </c>
      <c r="AC73" s="100">
        <v>3914.3999999999996</v>
      </c>
      <c r="AD73" s="100">
        <v>7</v>
      </c>
      <c r="AE73" s="100">
        <v>3914.3999999999996</v>
      </c>
      <c r="AF73" s="100">
        <v>9</v>
      </c>
      <c r="AG73" s="100">
        <v>5032.7999999999993</v>
      </c>
      <c r="AH73" s="100">
        <v>6</v>
      </c>
      <c r="AI73" s="100">
        <v>3355.2</v>
      </c>
      <c r="AJ73" s="100">
        <v>5</v>
      </c>
      <c r="AK73" s="100">
        <v>2795.9999999999995</v>
      </c>
      <c r="AL73" s="100">
        <v>9</v>
      </c>
      <c r="AM73" s="100">
        <v>5032.7999999999993</v>
      </c>
      <c r="AN73" s="100">
        <v>7</v>
      </c>
      <c r="AO73" s="100">
        <v>3914.3999999999996</v>
      </c>
      <c r="AP73" s="100">
        <v>8</v>
      </c>
      <c r="AQ73" s="100">
        <v>4473.5999999999995</v>
      </c>
      <c r="AR73" s="100">
        <v>9</v>
      </c>
      <c r="AS73" s="100">
        <v>5032.7999999999993</v>
      </c>
      <c r="AT73" s="100">
        <v>7</v>
      </c>
      <c r="AU73" s="100">
        <v>3914.3999999999996</v>
      </c>
      <c r="AV73" s="100">
        <v>10</v>
      </c>
      <c r="AW73" s="100">
        <v>5591.9999999999991</v>
      </c>
      <c r="AX73" s="100">
        <v>6</v>
      </c>
      <c r="AY73" s="100">
        <v>3355.2</v>
      </c>
      <c r="AZ73" s="100">
        <v>9</v>
      </c>
      <c r="BA73" s="100">
        <v>5032.7999999999993</v>
      </c>
      <c r="BB73" s="100">
        <v>7</v>
      </c>
      <c r="BC73" s="100">
        <v>3914.3999999999996</v>
      </c>
      <c r="BD73" s="100">
        <v>9</v>
      </c>
      <c r="BE73" s="100">
        <v>5032.7999999999993</v>
      </c>
      <c r="BF73" s="100">
        <v>6</v>
      </c>
      <c r="BG73" s="100">
        <v>3355.2</v>
      </c>
      <c r="BH73" s="100">
        <v>5</v>
      </c>
      <c r="BI73" s="100">
        <v>2795.9999999999995</v>
      </c>
      <c r="BJ73" s="100">
        <v>6</v>
      </c>
      <c r="BK73" s="100">
        <v>3355.2</v>
      </c>
      <c r="BL73" s="100">
        <v>5</v>
      </c>
      <c r="BM73" s="100">
        <v>2795.9999999999995</v>
      </c>
      <c r="BN73" s="100">
        <v>7</v>
      </c>
      <c r="BO73" s="100">
        <v>3914.3999999999996</v>
      </c>
      <c r="BP73" s="100">
        <v>10</v>
      </c>
      <c r="BQ73" s="100">
        <v>5591.9999999999991</v>
      </c>
      <c r="BR73" s="100">
        <v>5</v>
      </c>
      <c r="BS73" s="100">
        <v>2795.9999999999995</v>
      </c>
      <c r="BT73" s="100">
        <v>9</v>
      </c>
      <c r="BU73" s="100">
        <v>5032.7999999999993</v>
      </c>
      <c r="BV73" s="100">
        <v>6</v>
      </c>
      <c r="BW73" s="100">
        <v>3355.2</v>
      </c>
      <c r="BX73" s="100">
        <v>11</v>
      </c>
      <c r="BY73" s="100">
        <v>6151.1999999999989</v>
      </c>
      <c r="BZ73" s="100">
        <v>10</v>
      </c>
      <c r="CA73" s="100">
        <v>5591.9999999999991</v>
      </c>
      <c r="CB73" s="100">
        <v>6</v>
      </c>
      <c r="CC73" s="100">
        <v>3355.2</v>
      </c>
      <c r="CD73" s="100">
        <v>9</v>
      </c>
      <c r="CE73" s="100">
        <v>5032.7999999999993</v>
      </c>
      <c r="CF73" s="100">
        <v>7</v>
      </c>
      <c r="CG73" s="100">
        <v>3914.3999999999996</v>
      </c>
      <c r="CH73" s="100">
        <v>10</v>
      </c>
      <c r="CI73" s="100">
        <v>5591.9999999999991</v>
      </c>
      <c r="CJ73" s="100">
        <v>10</v>
      </c>
      <c r="CK73" s="100">
        <v>5591.9999999999991</v>
      </c>
      <c r="CL73" s="100">
        <v>9</v>
      </c>
      <c r="CM73" s="100">
        <v>5032.7999999999993</v>
      </c>
      <c r="CN73" s="100">
        <v>6</v>
      </c>
      <c r="CO73" s="100">
        <v>3355.2</v>
      </c>
      <c r="CP73" s="100">
        <v>6</v>
      </c>
      <c r="CQ73" s="100">
        <v>3355.2</v>
      </c>
      <c r="CR73" s="100">
        <v>7</v>
      </c>
      <c r="CS73" s="100">
        <v>3914.3999999999996</v>
      </c>
      <c r="CT73" s="100">
        <v>7</v>
      </c>
      <c r="CU73" s="100">
        <v>3914.3999999999996</v>
      </c>
    </row>
    <row r="74" spans="2:99">
      <c r="C74" s="99" t="s">
        <v>240</v>
      </c>
      <c r="D74" s="100">
        <v>6</v>
      </c>
      <c r="E74" s="100">
        <v>2419.1999999999998</v>
      </c>
      <c r="F74" s="100">
        <v>7</v>
      </c>
      <c r="G74" s="100">
        <v>2822.4</v>
      </c>
      <c r="H74" s="100">
        <v>7</v>
      </c>
      <c r="I74" s="100">
        <v>2822.4</v>
      </c>
      <c r="J74" s="100">
        <v>7</v>
      </c>
      <c r="K74" s="100">
        <v>2822.4</v>
      </c>
      <c r="L74" s="100">
        <v>6</v>
      </c>
      <c r="M74" s="100">
        <v>2419.1999999999998</v>
      </c>
      <c r="N74" s="100">
        <v>6</v>
      </c>
      <c r="O74" s="100">
        <v>2419.1999999999998</v>
      </c>
      <c r="P74" s="100">
        <v>7</v>
      </c>
      <c r="Q74" s="100">
        <v>2822.4</v>
      </c>
      <c r="R74" s="100">
        <v>10</v>
      </c>
      <c r="S74" s="100">
        <v>4032</v>
      </c>
      <c r="T74" s="100">
        <v>9</v>
      </c>
      <c r="U74" s="100">
        <v>3628.7999999999997</v>
      </c>
      <c r="V74" s="100">
        <v>10</v>
      </c>
      <c r="W74" s="100">
        <v>4032</v>
      </c>
      <c r="X74" s="100">
        <v>5</v>
      </c>
      <c r="Y74" s="100">
        <v>2016</v>
      </c>
      <c r="Z74" s="100">
        <v>8</v>
      </c>
      <c r="AA74" s="100">
        <v>3225.6</v>
      </c>
      <c r="AB74" s="100">
        <v>6</v>
      </c>
      <c r="AC74" s="100">
        <v>2419.1999999999998</v>
      </c>
      <c r="AD74" s="100">
        <v>7</v>
      </c>
      <c r="AE74" s="100">
        <v>2822.4</v>
      </c>
      <c r="AF74" s="100">
        <v>9</v>
      </c>
      <c r="AG74" s="100">
        <v>3628.7999999999997</v>
      </c>
      <c r="AH74" s="100">
        <v>6</v>
      </c>
      <c r="AI74" s="100">
        <v>2419.1999999999998</v>
      </c>
      <c r="AJ74" s="100">
        <v>6</v>
      </c>
      <c r="AK74" s="100">
        <v>2419.1999999999998</v>
      </c>
      <c r="AL74" s="100">
        <v>10</v>
      </c>
      <c r="AM74" s="100">
        <v>4032</v>
      </c>
      <c r="AN74" s="100">
        <v>7</v>
      </c>
      <c r="AO74" s="100">
        <v>2822.4</v>
      </c>
      <c r="AP74" s="100">
        <v>9</v>
      </c>
      <c r="AQ74" s="100">
        <v>3628.7999999999997</v>
      </c>
      <c r="AR74" s="100">
        <v>8</v>
      </c>
      <c r="AS74" s="100">
        <v>3225.6</v>
      </c>
      <c r="AT74" s="100">
        <v>7</v>
      </c>
      <c r="AU74" s="100">
        <v>2822.4</v>
      </c>
      <c r="AV74" s="100">
        <v>9</v>
      </c>
      <c r="AW74" s="100">
        <v>3628.7999999999997</v>
      </c>
      <c r="AX74" s="100">
        <v>6</v>
      </c>
      <c r="AY74" s="100">
        <v>2419.1999999999998</v>
      </c>
      <c r="AZ74" s="100">
        <v>9</v>
      </c>
      <c r="BA74" s="100">
        <v>3628.7999999999997</v>
      </c>
      <c r="BB74" s="100">
        <v>7</v>
      </c>
      <c r="BC74" s="100">
        <v>2822.4</v>
      </c>
      <c r="BD74" s="100">
        <v>10</v>
      </c>
      <c r="BE74" s="100">
        <v>4032</v>
      </c>
      <c r="BF74" s="100">
        <v>7</v>
      </c>
      <c r="BG74" s="100">
        <v>2822.4</v>
      </c>
      <c r="BH74" s="100">
        <v>5</v>
      </c>
      <c r="BI74" s="100">
        <v>2016</v>
      </c>
      <c r="BJ74" s="100">
        <v>6</v>
      </c>
      <c r="BK74" s="100">
        <v>2419.1999999999998</v>
      </c>
      <c r="BL74" s="100">
        <v>6</v>
      </c>
      <c r="BM74" s="100">
        <v>2419.1999999999998</v>
      </c>
      <c r="BN74" s="100">
        <v>7</v>
      </c>
      <c r="BO74" s="100">
        <v>2822.4</v>
      </c>
      <c r="BP74" s="100">
        <v>11</v>
      </c>
      <c r="BQ74" s="100">
        <v>4435.2</v>
      </c>
      <c r="BR74" s="100">
        <v>5</v>
      </c>
      <c r="BS74" s="100">
        <v>2016</v>
      </c>
      <c r="BT74" s="100">
        <v>9</v>
      </c>
      <c r="BU74" s="100">
        <v>3628.7999999999997</v>
      </c>
      <c r="BV74" s="100">
        <v>6</v>
      </c>
      <c r="BW74" s="100">
        <v>2419.1999999999998</v>
      </c>
      <c r="BX74" s="100">
        <v>10</v>
      </c>
      <c r="BY74" s="100">
        <v>4032</v>
      </c>
      <c r="BZ74" s="100">
        <v>10</v>
      </c>
      <c r="CA74" s="100">
        <v>4032</v>
      </c>
      <c r="CB74" s="100">
        <v>6</v>
      </c>
      <c r="CC74" s="100">
        <v>2419.1999999999998</v>
      </c>
      <c r="CD74" s="100">
        <v>9</v>
      </c>
      <c r="CE74" s="100">
        <v>3628.7999999999997</v>
      </c>
      <c r="CF74" s="100">
        <v>8</v>
      </c>
      <c r="CG74" s="100">
        <v>3225.6</v>
      </c>
      <c r="CH74" s="100">
        <v>11</v>
      </c>
      <c r="CI74" s="100">
        <v>4435.2</v>
      </c>
      <c r="CJ74" s="100">
        <v>9</v>
      </c>
      <c r="CK74" s="100">
        <v>3628.7999999999997</v>
      </c>
      <c r="CL74" s="100">
        <v>10</v>
      </c>
      <c r="CM74" s="100">
        <v>4032</v>
      </c>
      <c r="CN74" s="100">
        <v>6</v>
      </c>
      <c r="CO74" s="100">
        <v>2419.1999999999998</v>
      </c>
      <c r="CP74" s="100">
        <v>7</v>
      </c>
      <c r="CQ74" s="100">
        <v>2822.4</v>
      </c>
      <c r="CR74" s="100">
        <v>7</v>
      </c>
      <c r="CS74" s="100">
        <v>2822.4</v>
      </c>
      <c r="CT74" s="100">
        <v>7</v>
      </c>
      <c r="CU74" s="100">
        <v>2822.4</v>
      </c>
    </row>
    <row r="75" spans="2:99">
      <c r="C75" s="99" t="s">
        <v>241</v>
      </c>
      <c r="D75" s="100">
        <v>6</v>
      </c>
      <c r="E75" s="100">
        <v>3859.2</v>
      </c>
      <c r="F75" s="100">
        <v>8</v>
      </c>
      <c r="G75" s="100">
        <v>5145.5999999999995</v>
      </c>
      <c r="H75" s="100">
        <v>8</v>
      </c>
      <c r="I75" s="100">
        <v>5145.5999999999995</v>
      </c>
      <c r="J75" s="100">
        <v>6</v>
      </c>
      <c r="K75" s="100">
        <v>3859.2</v>
      </c>
      <c r="L75" s="100">
        <v>6</v>
      </c>
      <c r="M75" s="100">
        <v>3859.2</v>
      </c>
      <c r="N75" s="100">
        <v>6</v>
      </c>
      <c r="O75" s="100">
        <v>3859.2</v>
      </c>
      <c r="P75" s="100">
        <v>6</v>
      </c>
      <c r="Q75" s="100">
        <v>3859.2</v>
      </c>
      <c r="R75" s="100">
        <v>8</v>
      </c>
      <c r="S75" s="100">
        <v>5145.5999999999995</v>
      </c>
      <c r="T75" s="100">
        <v>9</v>
      </c>
      <c r="U75" s="100">
        <v>5788.7999999999993</v>
      </c>
      <c r="V75" s="100">
        <v>9</v>
      </c>
      <c r="W75" s="100">
        <v>5788.7999999999993</v>
      </c>
      <c r="X75" s="100">
        <v>5</v>
      </c>
      <c r="Y75" s="100">
        <v>3215.9999999999995</v>
      </c>
      <c r="Z75" s="100">
        <v>8</v>
      </c>
      <c r="AA75" s="100">
        <v>5145.5999999999995</v>
      </c>
      <c r="AB75" s="100">
        <v>7</v>
      </c>
      <c r="AC75" s="100">
        <v>4502.3999999999996</v>
      </c>
      <c r="AD75" s="100">
        <v>6</v>
      </c>
      <c r="AE75" s="100">
        <v>3859.2</v>
      </c>
      <c r="AF75" s="100">
        <v>9</v>
      </c>
      <c r="AG75" s="100">
        <v>5788.7999999999993</v>
      </c>
      <c r="AH75" s="100">
        <v>5</v>
      </c>
      <c r="AI75" s="100">
        <v>3215.9999999999995</v>
      </c>
      <c r="AJ75" s="100">
        <v>5</v>
      </c>
      <c r="AK75" s="100">
        <v>3215.9999999999995</v>
      </c>
      <c r="AL75" s="100">
        <v>9</v>
      </c>
      <c r="AM75" s="100">
        <v>5788.7999999999993</v>
      </c>
      <c r="AN75" s="100">
        <v>8</v>
      </c>
      <c r="AO75" s="100">
        <v>5145.5999999999995</v>
      </c>
      <c r="AP75" s="100">
        <v>8</v>
      </c>
      <c r="AQ75" s="100">
        <v>5145.5999999999995</v>
      </c>
      <c r="AR75" s="100">
        <v>9</v>
      </c>
      <c r="AS75" s="100">
        <v>5788.7999999999993</v>
      </c>
      <c r="AT75" s="100">
        <v>7</v>
      </c>
      <c r="AU75" s="100">
        <v>4502.3999999999996</v>
      </c>
      <c r="AV75" s="100">
        <v>9</v>
      </c>
      <c r="AW75" s="100">
        <v>5788.7999999999993</v>
      </c>
      <c r="AX75" s="100">
        <v>6</v>
      </c>
      <c r="AY75" s="100">
        <v>3859.2</v>
      </c>
      <c r="AZ75" s="100">
        <v>9</v>
      </c>
      <c r="BA75" s="100">
        <v>5788.7999999999993</v>
      </c>
      <c r="BB75" s="100">
        <v>7</v>
      </c>
      <c r="BC75" s="100">
        <v>4502.3999999999996</v>
      </c>
      <c r="BD75" s="100">
        <v>10</v>
      </c>
      <c r="BE75" s="100">
        <v>6431.9999999999991</v>
      </c>
      <c r="BF75" s="100">
        <v>6</v>
      </c>
      <c r="BG75" s="100">
        <v>3859.2</v>
      </c>
      <c r="BH75" s="100">
        <v>5</v>
      </c>
      <c r="BI75" s="100">
        <v>3215.9999999999995</v>
      </c>
      <c r="BJ75" s="100">
        <v>6</v>
      </c>
      <c r="BK75" s="100">
        <v>3859.2</v>
      </c>
      <c r="BL75" s="100">
        <v>5</v>
      </c>
      <c r="BM75" s="100">
        <v>3215.9999999999995</v>
      </c>
      <c r="BN75" s="100">
        <v>8</v>
      </c>
      <c r="BO75" s="100">
        <v>5145.5999999999995</v>
      </c>
      <c r="BP75" s="100">
        <v>9</v>
      </c>
      <c r="BQ75" s="100">
        <v>5788.7999999999993</v>
      </c>
      <c r="BR75" s="100">
        <v>5</v>
      </c>
      <c r="BS75" s="100">
        <v>3215.9999999999995</v>
      </c>
      <c r="BT75" s="100">
        <v>8</v>
      </c>
      <c r="BU75" s="100">
        <v>5145.5999999999995</v>
      </c>
      <c r="BV75" s="100">
        <v>6</v>
      </c>
      <c r="BW75" s="100">
        <v>3859.2</v>
      </c>
      <c r="BX75" s="100">
        <v>10</v>
      </c>
      <c r="BY75" s="100">
        <v>6431.9999999999991</v>
      </c>
      <c r="BZ75" s="100">
        <v>9</v>
      </c>
      <c r="CA75" s="100">
        <v>5788.7999999999993</v>
      </c>
      <c r="CB75" s="100">
        <v>6</v>
      </c>
      <c r="CC75" s="100">
        <v>3859.2</v>
      </c>
      <c r="CD75" s="100">
        <v>9</v>
      </c>
      <c r="CE75" s="100">
        <v>5788.7999999999993</v>
      </c>
      <c r="CF75" s="100">
        <v>6</v>
      </c>
      <c r="CG75" s="100">
        <v>3859.2</v>
      </c>
      <c r="CH75" s="100">
        <v>11</v>
      </c>
      <c r="CI75" s="100">
        <v>7075.1999999999989</v>
      </c>
      <c r="CJ75" s="100">
        <v>10</v>
      </c>
      <c r="CK75" s="100">
        <v>6431.9999999999991</v>
      </c>
      <c r="CL75" s="100">
        <v>9</v>
      </c>
      <c r="CM75" s="100">
        <v>5788.7999999999993</v>
      </c>
      <c r="CN75" s="100">
        <v>6</v>
      </c>
      <c r="CO75" s="100">
        <v>3859.2</v>
      </c>
      <c r="CP75" s="100">
        <v>7</v>
      </c>
      <c r="CQ75" s="100">
        <v>4502.3999999999996</v>
      </c>
      <c r="CR75" s="100">
        <v>8</v>
      </c>
      <c r="CS75" s="100">
        <v>5145.5999999999995</v>
      </c>
      <c r="CT75" s="100">
        <v>6</v>
      </c>
      <c r="CU75" s="100">
        <v>3859.2</v>
      </c>
    </row>
    <row r="76" spans="2:99">
      <c r="C76" s="99" t="s">
        <v>242</v>
      </c>
      <c r="D76" s="100">
        <v>6</v>
      </c>
      <c r="E76" s="100">
        <v>4672.7999999999993</v>
      </c>
      <c r="F76" s="100">
        <v>7</v>
      </c>
      <c r="G76" s="100">
        <v>5451.5999999999995</v>
      </c>
      <c r="H76" s="100">
        <v>9</v>
      </c>
      <c r="I76" s="100">
        <v>7009.2</v>
      </c>
      <c r="J76" s="100">
        <v>6</v>
      </c>
      <c r="K76" s="100">
        <v>4672.7999999999993</v>
      </c>
      <c r="L76" s="100">
        <v>6</v>
      </c>
      <c r="M76" s="100">
        <v>4672.7999999999993</v>
      </c>
      <c r="N76" s="100">
        <v>6</v>
      </c>
      <c r="O76" s="100">
        <v>4672.7999999999993</v>
      </c>
      <c r="P76" s="100">
        <v>7</v>
      </c>
      <c r="Q76" s="100">
        <v>5451.5999999999995</v>
      </c>
      <c r="R76" s="100">
        <v>9</v>
      </c>
      <c r="S76" s="100">
        <v>7009.2</v>
      </c>
      <c r="T76" s="100">
        <v>9</v>
      </c>
      <c r="U76" s="100">
        <v>7009.2</v>
      </c>
      <c r="V76" s="100">
        <v>10</v>
      </c>
      <c r="W76" s="100">
        <v>7788</v>
      </c>
      <c r="X76" s="100">
        <v>5</v>
      </c>
      <c r="Y76" s="100">
        <v>3894</v>
      </c>
      <c r="Z76" s="100">
        <v>8</v>
      </c>
      <c r="AA76" s="100">
        <v>6230.4</v>
      </c>
      <c r="AB76" s="100">
        <v>7</v>
      </c>
      <c r="AC76" s="100">
        <v>5451.5999999999995</v>
      </c>
      <c r="AD76" s="100">
        <v>7</v>
      </c>
      <c r="AE76" s="100">
        <v>5451.5999999999995</v>
      </c>
      <c r="AF76" s="100">
        <v>9</v>
      </c>
      <c r="AG76" s="100">
        <v>7009.2</v>
      </c>
      <c r="AH76" s="100">
        <v>5</v>
      </c>
      <c r="AI76" s="100">
        <v>3894</v>
      </c>
      <c r="AJ76" s="100">
        <v>5</v>
      </c>
      <c r="AK76" s="100">
        <v>3894</v>
      </c>
      <c r="AL76" s="100">
        <v>9</v>
      </c>
      <c r="AM76" s="100">
        <v>7009.2</v>
      </c>
      <c r="AN76" s="100">
        <v>7</v>
      </c>
      <c r="AO76" s="100">
        <v>5451.5999999999995</v>
      </c>
      <c r="AP76" s="100">
        <v>9</v>
      </c>
      <c r="AQ76" s="100">
        <v>7009.2</v>
      </c>
      <c r="AR76" s="100">
        <v>8</v>
      </c>
      <c r="AS76" s="100">
        <v>6230.4</v>
      </c>
      <c r="AT76" s="100">
        <v>7</v>
      </c>
      <c r="AU76" s="100">
        <v>5451.5999999999995</v>
      </c>
      <c r="AV76" s="100">
        <v>10</v>
      </c>
      <c r="AW76" s="100">
        <v>7788</v>
      </c>
      <c r="AX76" s="100">
        <v>6</v>
      </c>
      <c r="AY76" s="100">
        <v>4672.7999999999993</v>
      </c>
      <c r="AZ76" s="100">
        <v>9</v>
      </c>
      <c r="BA76" s="100">
        <v>7009.2</v>
      </c>
      <c r="BB76" s="100">
        <v>7</v>
      </c>
      <c r="BC76" s="100">
        <v>5451.5999999999995</v>
      </c>
      <c r="BD76" s="100">
        <v>9</v>
      </c>
      <c r="BE76" s="100">
        <v>7009.2</v>
      </c>
      <c r="BF76" s="100">
        <v>6</v>
      </c>
      <c r="BG76" s="100">
        <v>4672.7999999999993</v>
      </c>
      <c r="BH76" s="100">
        <v>5</v>
      </c>
      <c r="BI76" s="100">
        <v>3894</v>
      </c>
      <c r="BJ76" s="100">
        <v>7</v>
      </c>
      <c r="BK76" s="100">
        <v>5451.5999999999995</v>
      </c>
      <c r="BL76" s="100">
        <v>5</v>
      </c>
      <c r="BM76" s="100">
        <v>3894</v>
      </c>
      <c r="BN76" s="100">
        <v>7</v>
      </c>
      <c r="BO76" s="100">
        <v>5451.5999999999995</v>
      </c>
      <c r="BP76" s="100">
        <v>10</v>
      </c>
      <c r="BQ76" s="100">
        <v>7788</v>
      </c>
      <c r="BR76" s="100">
        <v>5</v>
      </c>
      <c r="BS76" s="100">
        <v>3894</v>
      </c>
      <c r="BT76" s="100">
        <v>8</v>
      </c>
      <c r="BU76" s="100">
        <v>6230.4</v>
      </c>
      <c r="BV76" s="100">
        <v>6</v>
      </c>
      <c r="BW76" s="100">
        <v>4672.7999999999993</v>
      </c>
      <c r="BX76" s="100">
        <v>9</v>
      </c>
      <c r="BY76" s="100">
        <v>7009.2</v>
      </c>
      <c r="BZ76" s="100">
        <v>10</v>
      </c>
      <c r="CA76" s="100">
        <v>7788</v>
      </c>
      <c r="CB76" s="100">
        <v>6</v>
      </c>
      <c r="CC76" s="100">
        <v>4672.7999999999993</v>
      </c>
      <c r="CD76" s="100">
        <v>9</v>
      </c>
      <c r="CE76" s="100">
        <v>7009.2</v>
      </c>
      <c r="CF76" s="100">
        <v>6</v>
      </c>
      <c r="CG76" s="100">
        <v>4672.7999999999993</v>
      </c>
      <c r="CH76" s="100">
        <v>10</v>
      </c>
      <c r="CI76" s="100">
        <v>7788</v>
      </c>
      <c r="CJ76" s="100">
        <v>9</v>
      </c>
      <c r="CK76" s="100">
        <v>7009.2</v>
      </c>
      <c r="CL76" s="100">
        <v>9</v>
      </c>
      <c r="CM76" s="100">
        <v>7009.2</v>
      </c>
      <c r="CN76" s="100">
        <v>6</v>
      </c>
      <c r="CO76" s="100">
        <v>4672.7999999999993</v>
      </c>
      <c r="CP76" s="100">
        <v>6</v>
      </c>
      <c r="CQ76" s="100">
        <v>4672.7999999999993</v>
      </c>
      <c r="CR76" s="100">
        <v>8</v>
      </c>
      <c r="CS76" s="100">
        <v>6230.4</v>
      </c>
      <c r="CT76" s="100">
        <v>6</v>
      </c>
      <c r="CU76" s="100">
        <v>4672.7999999999993</v>
      </c>
    </row>
    <row r="77" spans="2:99">
      <c r="C77" s="99" t="s">
        <v>243</v>
      </c>
      <c r="D77" s="100">
        <v>7</v>
      </c>
      <c r="E77" s="100">
        <v>1948.7999999999997</v>
      </c>
      <c r="F77" s="100">
        <v>7</v>
      </c>
      <c r="G77" s="100">
        <v>1948.7999999999997</v>
      </c>
      <c r="H77" s="100">
        <v>8</v>
      </c>
      <c r="I77" s="100">
        <v>2227.1999999999998</v>
      </c>
      <c r="J77" s="100">
        <v>7</v>
      </c>
      <c r="K77" s="100">
        <v>1948.7999999999997</v>
      </c>
      <c r="L77" s="100">
        <v>7</v>
      </c>
      <c r="M77" s="100">
        <v>1948.7999999999997</v>
      </c>
      <c r="N77" s="100">
        <v>6</v>
      </c>
      <c r="O77" s="100">
        <v>1670.3999999999999</v>
      </c>
      <c r="P77" s="100">
        <v>7</v>
      </c>
      <c r="Q77" s="100">
        <v>1948.7999999999997</v>
      </c>
      <c r="R77" s="100">
        <v>9</v>
      </c>
      <c r="S77" s="100">
        <v>2505.6</v>
      </c>
      <c r="T77" s="100">
        <v>9</v>
      </c>
      <c r="U77" s="100">
        <v>2505.6</v>
      </c>
      <c r="V77" s="100">
        <v>9</v>
      </c>
      <c r="W77" s="100">
        <v>2505.6</v>
      </c>
      <c r="X77" s="100">
        <v>6</v>
      </c>
      <c r="Y77" s="100">
        <v>1670.3999999999999</v>
      </c>
      <c r="Z77" s="100">
        <v>8</v>
      </c>
      <c r="AA77" s="100">
        <v>2227.1999999999998</v>
      </c>
      <c r="AB77" s="100">
        <v>8</v>
      </c>
      <c r="AC77" s="100">
        <v>2227.1999999999998</v>
      </c>
      <c r="AD77" s="100">
        <v>6</v>
      </c>
      <c r="AE77" s="100">
        <v>1670.3999999999999</v>
      </c>
      <c r="AF77" s="100">
        <v>9</v>
      </c>
      <c r="AG77" s="100">
        <v>2505.6</v>
      </c>
      <c r="AH77" s="100">
        <v>6</v>
      </c>
      <c r="AI77" s="100">
        <v>1670.3999999999999</v>
      </c>
      <c r="AJ77" s="100">
        <v>5</v>
      </c>
      <c r="AK77" s="100">
        <v>1392</v>
      </c>
      <c r="AL77" s="100">
        <v>10</v>
      </c>
      <c r="AM77" s="100">
        <v>2784</v>
      </c>
      <c r="AN77" s="100">
        <v>8</v>
      </c>
      <c r="AO77" s="100">
        <v>2227.1999999999998</v>
      </c>
      <c r="AP77" s="100">
        <v>9</v>
      </c>
      <c r="AQ77" s="100">
        <v>2505.6</v>
      </c>
      <c r="AR77" s="100">
        <v>9</v>
      </c>
      <c r="AS77" s="100">
        <v>2505.6</v>
      </c>
      <c r="AT77" s="100">
        <v>8</v>
      </c>
      <c r="AU77" s="100">
        <v>2227.1999999999998</v>
      </c>
      <c r="AV77" s="100">
        <v>9</v>
      </c>
      <c r="AW77" s="100">
        <v>2505.6</v>
      </c>
      <c r="AX77" s="100">
        <v>6</v>
      </c>
      <c r="AY77" s="100">
        <v>1670.3999999999999</v>
      </c>
      <c r="AZ77" s="100">
        <v>9</v>
      </c>
      <c r="BA77" s="100">
        <v>2505.6</v>
      </c>
      <c r="BB77" s="100">
        <v>6</v>
      </c>
      <c r="BC77" s="100">
        <v>1670.3999999999999</v>
      </c>
      <c r="BD77" s="100">
        <v>10</v>
      </c>
      <c r="BE77" s="100">
        <v>2784</v>
      </c>
      <c r="BF77" s="100">
        <v>6</v>
      </c>
      <c r="BG77" s="100">
        <v>1670.3999999999999</v>
      </c>
      <c r="BH77" s="100">
        <v>5</v>
      </c>
      <c r="BI77" s="100">
        <v>1392</v>
      </c>
      <c r="BJ77" s="100">
        <v>7</v>
      </c>
      <c r="BK77" s="100">
        <v>1948.7999999999997</v>
      </c>
      <c r="BL77" s="100">
        <v>6</v>
      </c>
      <c r="BM77" s="100">
        <v>1670.3999999999999</v>
      </c>
      <c r="BN77" s="100">
        <v>8</v>
      </c>
      <c r="BO77" s="100">
        <v>2227.1999999999998</v>
      </c>
      <c r="BP77" s="100">
        <v>10</v>
      </c>
      <c r="BQ77" s="100">
        <v>2784</v>
      </c>
      <c r="BR77" s="100">
        <v>6</v>
      </c>
      <c r="BS77" s="100">
        <v>1670.3999999999999</v>
      </c>
      <c r="BT77" s="100">
        <v>9</v>
      </c>
      <c r="BU77" s="100">
        <v>2505.6</v>
      </c>
      <c r="BV77" s="100">
        <v>7</v>
      </c>
      <c r="BW77" s="100">
        <v>1948.7999999999997</v>
      </c>
      <c r="BX77" s="100">
        <v>10</v>
      </c>
      <c r="BY77" s="100">
        <v>2784</v>
      </c>
      <c r="BZ77" s="100">
        <v>9</v>
      </c>
      <c r="CA77" s="100">
        <v>2505.6</v>
      </c>
      <c r="CB77" s="100">
        <v>6</v>
      </c>
      <c r="CC77" s="100">
        <v>1670.3999999999999</v>
      </c>
      <c r="CD77" s="100">
        <v>9</v>
      </c>
      <c r="CE77" s="100">
        <v>2505.6</v>
      </c>
      <c r="CF77" s="100">
        <v>8</v>
      </c>
      <c r="CG77" s="100">
        <v>2227.1999999999998</v>
      </c>
      <c r="CH77" s="100">
        <v>12</v>
      </c>
      <c r="CI77" s="100">
        <v>3340.7999999999997</v>
      </c>
      <c r="CJ77" s="100">
        <v>10</v>
      </c>
      <c r="CK77" s="100">
        <v>2784</v>
      </c>
      <c r="CL77" s="100">
        <v>10</v>
      </c>
      <c r="CM77" s="100">
        <v>2784</v>
      </c>
      <c r="CN77" s="100">
        <v>6</v>
      </c>
      <c r="CO77" s="100">
        <v>1670.3999999999999</v>
      </c>
      <c r="CP77" s="100">
        <v>7</v>
      </c>
      <c r="CQ77" s="100">
        <v>1948.7999999999997</v>
      </c>
      <c r="CR77" s="100">
        <v>7</v>
      </c>
      <c r="CS77" s="100">
        <v>1948.7999999999997</v>
      </c>
      <c r="CT77" s="100">
        <v>6</v>
      </c>
      <c r="CU77" s="100">
        <v>1670.3999999999999</v>
      </c>
    </row>
    <row r="78" spans="2:99">
      <c r="C78" s="99" t="s">
        <v>244</v>
      </c>
      <c r="D78" s="100">
        <v>6</v>
      </c>
      <c r="E78" s="100">
        <v>3312</v>
      </c>
      <c r="F78" s="100">
        <v>7</v>
      </c>
      <c r="G78" s="100">
        <v>3864</v>
      </c>
      <c r="H78" s="100">
        <v>8</v>
      </c>
      <c r="I78" s="100">
        <v>4416</v>
      </c>
      <c r="J78" s="100">
        <v>7</v>
      </c>
      <c r="K78" s="100">
        <v>3864</v>
      </c>
      <c r="L78" s="100">
        <v>6</v>
      </c>
      <c r="M78" s="100">
        <v>3312</v>
      </c>
      <c r="N78" s="100">
        <v>6</v>
      </c>
      <c r="O78" s="100">
        <v>3312</v>
      </c>
      <c r="P78" s="100">
        <v>7</v>
      </c>
      <c r="Q78" s="100">
        <v>3864</v>
      </c>
      <c r="R78" s="100">
        <v>9</v>
      </c>
      <c r="S78" s="100">
        <v>4968</v>
      </c>
      <c r="T78" s="100">
        <v>10</v>
      </c>
      <c r="U78" s="100">
        <v>5520</v>
      </c>
      <c r="V78" s="100">
        <v>10</v>
      </c>
      <c r="W78" s="100">
        <v>5520</v>
      </c>
      <c r="X78" s="100">
        <v>5</v>
      </c>
      <c r="Y78" s="100">
        <v>2760</v>
      </c>
      <c r="Z78" s="100">
        <v>7</v>
      </c>
      <c r="AA78" s="100">
        <v>3864</v>
      </c>
      <c r="AB78" s="100">
        <v>7</v>
      </c>
      <c r="AC78" s="100">
        <v>3864</v>
      </c>
      <c r="AD78" s="100">
        <v>7</v>
      </c>
      <c r="AE78" s="100">
        <v>3864</v>
      </c>
      <c r="AF78" s="100">
        <v>10</v>
      </c>
      <c r="AG78" s="100">
        <v>5520</v>
      </c>
      <c r="AH78" s="100">
        <v>6</v>
      </c>
      <c r="AI78" s="100">
        <v>3312</v>
      </c>
      <c r="AJ78" s="100">
        <v>5</v>
      </c>
      <c r="AK78" s="100">
        <v>2760</v>
      </c>
      <c r="AL78" s="100">
        <v>9</v>
      </c>
      <c r="AM78" s="100">
        <v>4968</v>
      </c>
      <c r="AN78" s="100">
        <v>8</v>
      </c>
      <c r="AO78" s="100">
        <v>4416</v>
      </c>
      <c r="AP78" s="100">
        <v>9</v>
      </c>
      <c r="AQ78" s="100">
        <v>4968</v>
      </c>
      <c r="AR78" s="100">
        <v>8</v>
      </c>
      <c r="AS78" s="100">
        <v>4416</v>
      </c>
      <c r="AT78" s="100">
        <v>7</v>
      </c>
      <c r="AU78" s="100">
        <v>3864</v>
      </c>
      <c r="AV78" s="100">
        <v>9</v>
      </c>
      <c r="AW78" s="100">
        <v>4968</v>
      </c>
      <c r="AX78" s="100">
        <v>6</v>
      </c>
      <c r="AY78" s="100">
        <v>3312</v>
      </c>
      <c r="AZ78" s="100">
        <v>9</v>
      </c>
      <c r="BA78" s="100">
        <v>4968</v>
      </c>
      <c r="BB78" s="100">
        <v>7</v>
      </c>
      <c r="BC78" s="100">
        <v>3864</v>
      </c>
      <c r="BD78" s="100">
        <v>10</v>
      </c>
      <c r="BE78" s="100">
        <v>5520</v>
      </c>
      <c r="BF78" s="100">
        <v>6</v>
      </c>
      <c r="BG78" s="100">
        <v>3312</v>
      </c>
      <c r="BH78" s="100">
        <v>5</v>
      </c>
      <c r="BI78" s="100">
        <v>2760</v>
      </c>
      <c r="BJ78" s="100">
        <v>7</v>
      </c>
      <c r="BK78" s="100">
        <v>3864</v>
      </c>
      <c r="BL78" s="100">
        <v>5</v>
      </c>
      <c r="BM78" s="100">
        <v>2760</v>
      </c>
      <c r="BN78" s="100">
        <v>7</v>
      </c>
      <c r="BO78" s="100">
        <v>3864</v>
      </c>
      <c r="BP78" s="100">
        <v>11</v>
      </c>
      <c r="BQ78" s="100">
        <v>6072</v>
      </c>
      <c r="BR78" s="100">
        <v>6</v>
      </c>
      <c r="BS78" s="100">
        <v>3312</v>
      </c>
      <c r="BT78" s="100">
        <v>9</v>
      </c>
      <c r="BU78" s="100">
        <v>4968</v>
      </c>
      <c r="BV78" s="100">
        <v>6</v>
      </c>
      <c r="BW78" s="100">
        <v>3312</v>
      </c>
      <c r="BX78" s="100">
        <v>10</v>
      </c>
      <c r="BY78" s="100">
        <v>5520</v>
      </c>
      <c r="BZ78" s="100">
        <v>9</v>
      </c>
      <c r="CA78" s="100">
        <v>4968</v>
      </c>
      <c r="CB78" s="100">
        <v>6</v>
      </c>
      <c r="CC78" s="100">
        <v>3312</v>
      </c>
      <c r="CD78" s="100">
        <v>9</v>
      </c>
      <c r="CE78" s="100">
        <v>4968</v>
      </c>
      <c r="CF78" s="100">
        <v>7</v>
      </c>
      <c r="CG78" s="100">
        <v>3864</v>
      </c>
      <c r="CH78" s="100">
        <v>10</v>
      </c>
      <c r="CI78" s="100">
        <v>5520</v>
      </c>
      <c r="CJ78" s="100">
        <v>9</v>
      </c>
      <c r="CK78" s="100">
        <v>4968</v>
      </c>
      <c r="CL78" s="100">
        <v>9</v>
      </c>
      <c r="CM78" s="100">
        <v>4968</v>
      </c>
      <c r="CN78" s="100">
        <v>6</v>
      </c>
      <c r="CO78" s="100">
        <v>3312</v>
      </c>
      <c r="CP78" s="100">
        <v>6</v>
      </c>
      <c r="CQ78" s="100">
        <v>3312</v>
      </c>
      <c r="CR78" s="100">
        <v>8</v>
      </c>
      <c r="CS78" s="100">
        <v>4416</v>
      </c>
      <c r="CT78" s="100">
        <v>6</v>
      </c>
      <c r="CU78" s="100">
        <v>3312</v>
      </c>
    </row>
    <row r="79" spans="2:99">
      <c r="C79" s="99" t="s">
        <v>245</v>
      </c>
      <c r="D79" s="100">
        <v>6</v>
      </c>
      <c r="E79" s="100">
        <v>4543.2</v>
      </c>
      <c r="F79" s="100">
        <v>8</v>
      </c>
      <c r="G79" s="100">
        <v>6057.5999999999995</v>
      </c>
      <c r="H79" s="100">
        <v>7</v>
      </c>
      <c r="I79" s="100">
        <v>5300.4</v>
      </c>
      <c r="J79" s="100">
        <v>6</v>
      </c>
      <c r="K79" s="100">
        <v>4543.2</v>
      </c>
      <c r="L79" s="100">
        <v>6</v>
      </c>
      <c r="M79" s="100">
        <v>4543.2</v>
      </c>
      <c r="N79" s="100">
        <v>5</v>
      </c>
      <c r="O79" s="100">
        <v>3785.9999999999995</v>
      </c>
      <c r="P79" s="100">
        <v>7</v>
      </c>
      <c r="Q79" s="100">
        <v>5300.4</v>
      </c>
      <c r="R79" s="100">
        <v>8</v>
      </c>
      <c r="S79" s="100">
        <v>6057.5999999999995</v>
      </c>
      <c r="T79" s="100">
        <v>10</v>
      </c>
      <c r="U79" s="100">
        <v>7571.9999999999991</v>
      </c>
      <c r="V79" s="100">
        <v>10</v>
      </c>
      <c r="W79" s="100">
        <v>7571.9999999999991</v>
      </c>
      <c r="X79" s="100">
        <v>5</v>
      </c>
      <c r="Y79" s="100">
        <v>3785.9999999999995</v>
      </c>
      <c r="Z79" s="100">
        <v>7</v>
      </c>
      <c r="AA79" s="100">
        <v>5300.4</v>
      </c>
      <c r="AB79" s="100">
        <v>6</v>
      </c>
      <c r="AC79" s="100">
        <v>4543.2</v>
      </c>
      <c r="AD79" s="100">
        <v>6</v>
      </c>
      <c r="AE79" s="100">
        <v>4543.2</v>
      </c>
      <c r="AF79" s="100">
        <v>8</v>
      </c>
      <c r="AG79" s="100">
        <v>6057.5999999999995</v>
      </c>
      <c r="AH79" s="100">
        <v>5</v>
      </c>
      <c r="AI79" s="100">
        <v>3785.9999999999995</v>
      </c>
      <c r="AJ79" s="100">
        <v>5</v>
      </c>
      <c r="AK79" s="100">
        <v>3785.9999999999995</v>
      </c>
      <c r="AL79" s="100">
        <v>9</v>
      </c>
      <c r="AM79" s="100">
        <v>6814.7999999999993</v>
      </c>
      <c r="AN79" s="100">
        <v>7</v>
      </c>
      <c r="AO79" s="100">
        <v>5300.4</v>
      </c>
      <c r="AP79" s="100">
        <v>9</v>
      </c>
      <c r="AQ79" s="100">
        <v>6814.7999999999993</v>
      </c>
      <c r="AR79" s="100">
        <v>9</v>
      </c>
      <c r="AS79" s="100">
        <v>6814.7999999999993</v>
      </c>
      <c r="AT79" s="100">
        <v>7</v>
      </c>
      <c r="AU79" s="100">
        <v>5300.4</v>
      </c>
      <c r="AV79" s="100">
        <v>8</v>
      </c>
      <c r="AW79" s="100">
        <v>6057.5999999999995</v>
      </c>
      <c r="AX79" s="100">
        <v>6</v>
      </c>
      <c r="AY79" s="100">
        <v>4543.2</v>
      </c>
      <c r="AZ79" s="100">
        <v>8</v>
      </c>
      <c r="BA79" s="100">
        <v>6057.5999999999995</v>
      </c>
      <c r="BB79" s="100">
        <v>6</v>
      </c>
      <c r="BC79" s="100">
        <v>4543.2</v>
      </c>
      <c r="BD79" s="100">
        <v>9</v>
      </c>
      <c r="BE79" s="100">
        <v>6814.7999999999993</v>
      </c>
      <c r="BF79" s="100">
        <v>6</v>
      </c>
      <c r="BG79" s="100">
        <v>4543.2</v>
      </c>
      <c r="BH79" s="100">
        <v>5</v>
      </c>
      <c r="BI79" s="100">
        <v>3785.9999999999995</v>
      </c>
      <c r="BJ79" s="100">
        <v>7</v>
      </c>
      <c r="BK79" s="100">
        <v>5300.4</v>
      </c>
      <c r="BL79" s="100">
        <v>5</v>
      </c>
      <c r="BM79" s="100">
        <v>3785.9999999999995</v>
      </c>
      <c r="BN79" s="100">
        <v>8</v>
      </c>
      <c r="BO79" s="100">
        <v>6057.5999999999995</v>
      </c>
      <c r="BP79" s="100">
        <v>10</v>
      </c>
      <c r="BQ79" s="100">
        <v>7571.9999999999991</v>
      </c>
      <c r="BR79" s="100">
        <v>5</v>
      </c>
      <c r="BS79" s="100">
        <v>3785.9999999999995</v>
      </c>
      <c r="BT79" s="100">
        <v>8</v>
      </c>
      <c r="BU79" s="100">
        <v>6057.5999999999995</v>
      </c>
      <c r="BV79" s="100">
        <v>6</v>
      </c>
      <c r="BW79" s="100">
        <v>4543.2</v>
      </c>
      <c r="BX79" s="100">
        <v>10</v>
      </c>
      <c r="BY79" s="100">
        <v>7571.9999999999991</v>
      </c>
      <c r="BZ79" s="100">
        <v>9</v>
      </c>
      <c r="CA79" s="100">
        <v>6814.7999999999993</v>
      </c>
      <c r="CB79" s="100">
        <v>6</v>
      </c>
      <c r="CC79" s="100">
        <v>4543.2</v>
      </c>
      <c r="CD79" s="100">
        <v>9</v>
      </c>
      <c r="CE79" s="100">
        <v>6814.7999999999993</v>
      </c>
      <c r="CF79" s="100">
        <v>7</v>
      </c>
      <c r="CG79" s="100">
        <v>5300.4</v>
      </c>
      <c r="CH79" s="100">
        <v>11</v>
      </c>
      <c r="CI79" s="100">
        <v>8329.1999999999989</v>
      </c>
      <c r="CJ79" s="100">
        <v>10</v>
      </c>
      <c r="CK79" s="100">
        <v>7571.9999999999991</v>
      </c>
      <c r="CL79" s="100">
        <v>9</v>
      </c>
      <c r="CM79" s="100">
        <v>6814.7999999999993</v>
      </c>
      <c r="CN79" s="100">
        <v>5</v>
      </c>
      <c r="CO79" s="100">
        <v>3785.9999999999995</v>
      </c>
      <c r="CP79" s="100">
        <v>6</v>
      </c>
      <c r="CQ79" s="100">
        <v>4543.2</v>
      </c>
      <c r="CR79" s="100">
        <v>7</v>
      </c>
      <c r="CS79" s="100">
        <v>5300.4</v>
      </c>
      <c r="CT79" s="100">
        <v>6</v>
      </c>
      <c r="CU79" s="100">
        <v>4543.2</v>
      </c>
    </row>
    <row r="80" spans="2:99">
      <c r="C80" s="99" t="s">
        <v>246</v>
      </c>
      <c r="D80" s="100">
        <v>5</v>
      </c>
      <c r="E80" s="100">
        <v>4025.9999999999995</v>
      </c>
      <c r="F80" s="100">
        <v>7</v>
      </c>
      <c r="G80" s="100">
        <v>5636.4</v>
      </c>
      <c r="H80" s="100">
        <v>8</v>
      </c>
      <c r="I80" s="100">
        <v>6441.5999999999995</v>
      </c>
      <c r="J80" s="100">
        <v>7</v>
      </c>
      <c r="K80" s="100">
        <v>5636.4</v>
      </c>
      <c r="L80" s="100">
        <v>6</v>
      </c>
      <c r="M80" s="100">
        <v>4831.2</v>
      </c>
      <c r="N80" s="100">
        <v>6</v>
      </c>
      <c r="O80" s="100">
        <v>4831.2</v>
      </c>
      <c r="P80" s="100">
        <v>6</v>
      </c>
      <c r="Q80" s="100">
        <v>4831.2</v>
      </c>
      <c r="R80" s="100">
        <v>8</v>
      </c>
      <c r="S80" s="100">
        <v>6441.5999999999995</v>
      </c>
      <c r="T80" s="100">
        <v>9</v>
      </c>
      <c r="U80" s="100">
        <v>7246.7999999999993</v>
      </c>
      <c r="V80" s="100">
        <v>9</v>
      </c>
      <c r="W80" s="100">
        <v>7246.7999999999993</v>
      </c>
      <c r="X80" s="100">
        <v>5</v>
      </c>
      <c r="Y80" s="100">
        <v>4025.9999999999995</v>
      </c>
      <c r="Z80" s="100">
        <v>7</v>
      </c>
      <c r="AA80" s="100">
        <v>5636.4</v>
      </c>
      <c r="AB80" s="100">
        <v>6</v>
      </c>
      <c r="AC80" s="100">
        <v>4831.2</v>
      </c>
      <c r="AD80" s="100">
        <v>6</v>
      </c>
      <c r="AE80" s="100">
        <v>4831.2</v>
      </c>
      <c r="AF80" s="100">
        <v>10</v>
      </c>
      <c r="AG80" s="100">
        <v>8051.9999999999991</v>
      </c>
      <c r="AH80" s="100">
        <v>5</v>
      </c>
      <c r="AI80" s="100">
        <v>4025.9999999999995</v>
      </c>
      <c r="AJ80" s="100">
        <v>5</v>
      </c>
      <c r="AK80" s="100">
        <v>4025.9999999999995</v>
      </c>
      <c r="AL80" s="100">
        <v>9</v>
      </c>
      <c r="AM80" s="100">
        <v>7246.7999999999993</v>
      </c>
      <c r="AN80" s="100">
        <v>7</v>
      </c>
      <c r="AO80" s="100">
        <v>5636.4</v>
      </c>
      <c r="AP80" s="100">
        <v>8</v>
      </c>
      <c r="AQ80" s="100">
        <v>6441.5999999999995</v>
      </c>
      <c r="AR80" s="100">
        <v>8</v>
      </c>
      <c r="AS80" s="100">
        <v>6441.5999999999995</v>
      </c>
      <c r="AT80" s="100">
        <v>7</v>
      </c>
      <c r="AU80" s="100">
        <v>5636.4</v>
      </c>
      <c r="AV80" s="100">
        <v>8</v>
      </c>
      <c r="AW80" s="100">
        <v>6441.5999999999995</v>
      </c>
      <c r="AX80" s="100">
        <v>6</v>
      </c>
      <c r="AY80" s="100">
        <v>4831.2</v>
      </c>
      <c r="AZ80" s="100">
        <v>8</v>
      </c>
      <c r="BA80" s="100">
        <v>6441.5999999999995</v>
      </c>
      <c r="BB80" s="100">
        <v>6</v>
      </c>
      <c r="BC80" s="100">
        <v>4831.2</v>
      </c>
      <c r="BD80" s="100">
        <v>9</v>
      </c>
      <c r="BE80" s="100">
        <v>7246.7999999999993</v>
      </c>
      <c r="BF80" s="100">
        <v>6</v>
      </c>
      <c r="BG80" s="100">
        <v>4831.2</v>
      </c>
      <c r="BH80" s="100">
        <v>5</v>
      </c>
      <c r="BI80" s="100">
        <v>4025.9999999999995</v>
      </c>
      <c r="BJ80" s="100">
        <v>6</v>
      </c>
      <c r="BK80" s="100">
        <v>4831.2</v>
      </c>
      <c r="BL80" s="100">
        <v>5</v>
      </c>
      <c r="BM80" s="100">
        <v>4025.9999999999995</v>
      </c>
      <c r="BN80" s="100">
        <v>7</v>
      </c>
      <c r="BO80" s="100">
        <v>5636.4</v>
      </c>
      <c r="BP80" s="100">
        <v>10</v>
      </c>
      <c r="BQ80" s="100">
        <v>8051.9999999999991</v>
      </c>
      <c r="BR80" s="100">
        <v>5</v>
      </c>
      <c r="BS80" s="100">
        <v>4025.9999999999995</v>
      </c>
      <c r="BT80" s="100">
        <v>8</v>
      </c>
      <c r="BU80" s="100">
        <v>6441.5999999999995</v>
      </c>
      <c r="BV80" s="100">
        <v>6</v>
      </c>
      <c r="BW80" s="100">
        <v>4831.2</v>
      </c>
      <c r="BX80" s="100">
        <v>10</v>
      </c>
      <c r="BY80" s="100">
        <v>8051.9999999999991</v>
      </c>
      <c r="BZ80" s="100">
        <v>9</v>
      </c>
      <c r="CA80" s="100">
        <v>7246.7999999999993</v>
      </c>
      <c r="CB80" s="100">
        <v>6</v>
      </c>
      <c r="CC80" s="100">
        <v>4831.2</v>
      </c>
      <c r="CD80" s="100">
        <v>8</v>
      </c>
      <c r="CE80" s="100">
        <v>6441.5999999999995</v>
      </c>
      <c r="CF80" s="100">
        <v>7</v>
      </c>
      <c r="CG80" s="100">
        <v>5636.4</v>
      </c>
      <c r="CH80" s="100">
        <v>9</v>
      </c>
      <c r="CI80" s="100">
        <v>7246.7999999999993</v>
      </c>
      <c r="CJ80" s="100">
        <v>8</v>
      </c>
      <c r="CK80" s="100">
        <v>6441.5999999999995</v>
      </c>
      <c r="CL80" s="100">
        <v>10</v>
      </c>
      <c r="CM80" s="100">
        <v>8051.9999999999991</v>
      </c>
      <c r="CN80" s="100">
        <v>6</v>
      </c>
      <c r="CO80" s="100">
        <v>4831.2</v>
      </c>
      <c r="CP80" s="100">
        <v>6</v>
      </c>
      <c r="CQ80" s="100">
        <v>4831.2</v>
      </c>
      <c r="CR80" s="100">
        <v>8</v>
      </c>
      <c r="CS80" s="100">
        <v>6441.5999999999995</v>
      </c>
      <c r="CT80" s="100">
        <v>6</v>
      </c>
      <c r="CU80" s="100">
        <v>4831.2</v>
      </c>
    </row>
    <row r="81" spans="2:99">
      <c r="C81" s="99" t="s">
        <v>247</v>
      </c>
      <c r="D81" s="100">
        <v>6</v>
      </c>
      <c r="E81" s="100">
        <v>4521.6000000000004</v>
      </c>
      <c r="F81" s="100">
        <v>8</v>
      </c>
      <c r="G81" s="100">
        <v>6028.8</v>
      </c>
      <c r="H81" s="100">
        <v>7</v>
      </c>
      <c r="I81" s="100">
        <v>5275.2</v>
      </c>
      <c r="J81" s="100">
        <v>7</v>
      </c>
      <c r="K81" s="100">
        <v>5275.2</v>
      </c>
      <c r="L81" s="100">
        <v>5</v>
      </c>
      <c r="M81" s="100">
        <v>3768</v>
      </c>
      <c r="N81" s="100">
        <v>6</v>
      </c>
      <c r="O81" s="100">
        <v>4521.6000000000004</v>
      </c>
      <c r="P81" s="100">
        <v>7</v>
      </c>
      <c r="Q81" s="100">
        <v>5275.2</v>
      </c>
      <c r="R81" s="100">
        <v>9</v>
      </c>
      <c r="S81" s="100">
        <v>6782.4000000000005</v>
      </c>
      <c r="T81" s="100">
        <v>9</v>
      </c>
      <c r="U81" s="100">
        <v>6782.4000000000005</v>
      </c>
      <c r="V81" s="100">
        <v>10</v>
      </c>
      <c r="W81" s="100">
        <v>7536</v>
      </c>
      <c r="X81" s="100">
        <v>5</v>
      </c>
      <c r="Y81" s="100">
        <v>3768</v>
      </c>
      <c r="Z81" s="100">
        <v>8</v>
      </c>
      <c r="AA81" s="100">
        <v>6028.8</v>
      </c>
      <c r="AB81" s="100">
        <v>7</v>
      </c>
      <c r="AC81" s="100">
        <v>5275.2</v>
      </c>
      <c r="AD81" s="100">
        <v>7</v>
      </c>
      <c r="AE81" s="100">
        <v>5275.2</v>
      </c>
      <c r="AF81" s="100">
        <v>10</v>
      </c>
      <c r="AG81" s="100">
        <v>7536</v>
      </c>
      <c r="AH81" s="100">
        <v>5</v>
      </c>
      <c r="AI81" s="100">
        <v>3768</v>
      </c>
      <c r="AJ81" s="100">
        <v>5</v>
      </c>
      <c r="AK81" s="100">
        <v>3768</v>
      </c>
      <c r="AL81" s="100">
        <v>8</v>
      </c>
      <c r="AM81" s="100">
        <v>6028.8</v>
      </c>
      <c r="AN81" s="100">
        <v>8</v>
      </c>
      <c r="AO81" s="100">
        <v>6028.8</v>
      </c>
      <c r="AP81" s="100">
        <v>9</v>
      </c>
      <c r="AQ81" s="100">
        <v>6782.4000000000005</v>
      </c>
      <c r="AR81" s="100">
        <v>8</v>
      </c>
      <c r="AS81" s="100">
        <v>6028.8</v>
      </c>
      <c r="AT81" s="100">
        <v>7</v>
      </c>
      <c r="AU81" s="100">
        <v>5275.2</v>
      </c>
      <c r="AV81" s="100">
        <v>8</v>
      </c>
      <c r="AW81" s="100">
        <v>6028.8</v>
      </c>
      <c r="AX81" s="100">
        <v>6</v>
      </c>
      <c r="AY81" s="100">
        <v>4521.6000000000004</v>
      </c>
      <c r="AZ81" s="100">
        <v>8</v>
      </c>
      <c r="BA81" s="100">
        <v>6028.8</v>
      </c>
      <c r="BB81" s="100">
        <v>7</v>
      </c>
      <c r="BC81" s="100">
        <v>5275.2</v>
      </c>
      <c r="BD81" s="100">
        <v>10</v>
      </c>
      <c r="BE81" s="100">
        <v>7536</v>
      </c>
      <c r="BF81" s="100">
        <v>6</v>
      </c>
      <c r="BG81" s="100">
        <v>4521.6000000000004</v>
      </c>
      <c r="BH81" s="100">
        <v>5</v>
      </c>
      <c r="BI81" s="100">
        <v>3768</v>
      </c>
      <c r="BJ81" s="100">
        <v>6</v>
      </c>
      <c r="BK81" s="100">
        <v>4521.6000000000004</v>
      </c>
      <c r="BL81" s="100">
        <v>6</v>
      </c>
      <c r="BM81" s="100">
        <v>4521.6000000000004</v>
      </c>
      <c r="BN81" s="100">
        <v>7</v>
      </c>
      <c r="BO81" s="100">
        <v>5275.2</v>
      </c>
      <c r="BP81" s="100">
        <v>10</v>
      </c>
      <c r="BQ81" s="100">
        <v>7536</v>
      </c>
      <c r="BR81" s="100">
        <v>5</v>
      </c>
      <c r="BS81" s="100">
        <v>3768</v>
      </c>
      <c r="BT81" s="100">
        <v>8</v>
      </c>
      <c r="BU81" s="100">
        <v>6028.8</v>
      </c>
      <c r="BV81" s="100">
        <v>6</v>
      </c>
      <c r="BW81" s="100">
        <v>4521.6000000000004</v>
      </c>
      <c r="BX81" s="100">
        <v>10</v>
      </c>
      <c r="BY81" s="100">
        <v>7536</v>
      </c>
      <c r="BZ81" s="100">
        <v>9</v>
      </c>
      <c r="CA81" s="100">
        <v>6782.4000000000005</v>
      </c>
      <c r="CB81" s="100">
        <v>6</v>
      </c>
      <c r="CC81" s="100">
        <v>4521.6000000000004</v>
      </c>
      <c r="CD81" s="100">
        <v>9</v>
      </c>
      <c r="CE81" s="100">
        <v>6782.4000000000005</v>
      </c>
      <c r="CF81" s="100">
        <v>7</v>
      </c>
      <c r="CG81" s="100">
        <v>5275.2</v>
      </c>
      <c r="CH81" s="100">
        <v>10</v>
      </c>
      <c r="CI81" s="100">
        <v>7536</v>
      </c>
      <c r="CJ81" s="100">
        <v>9</v>
      </c>
      <c r="CK81" s="100">
        <v>6782.4000000000005</v>
      </c>
      <c r="CL81" s="100">
        <v>10</v>
      </c>
      <c r="CM81" s="100">
        <v>7536</v>
      </c>
      <c r="CN81" s="100">
        <v>5</v>
      </c>
      <c r="CO81" s="100">
        <v>3768</v>
      </c>
      <c r="CP81" s="100">
        <v>6</v>
      </c>
      <c r="CQ81" s="100">
        <v>4521.6000000000004</v>
      </c>
      <c r="CR81" s="100">
        <v>7</v>
      </c>
      <c r="CS81" s="100">
        <v>5275.2</v>
      </c>
      <c r="CT81" s="100">
        <v>7</v>
      </c>
      <c r="CU81" s="100">
        <v>5275.2</v>
      </c>
    </row>
    <row r="82" spans="2:99">
      <c r="C82" s="99" t="s">
        <v>248</v>
      </c>
      <c r="D82" s="100">
        <v>6</v>
      </c>
      <c r="E82" s="100">
        <v>3052.7999999999993</v>
      </c>
      <c r="F82" s="100">
        <v>7</v>
      </c>
      <c r="G82" s="100">
        <v>3561.5999999999995</v>
      </c>
      <c r="H82" s="100">
        <v>8</v>
      </c>
      <c r="I82" s="100">
        <v>4070.3999999999992</v>
      </c>
      <c r="J82" s="100">
        <v>7</v>
      </c>
      <c r="K82" s="100">
        <v>3561.5999999999995</v>
      </c>
      <c r="L82" s="100">
        <v>6</v>
      </c>
      <c r="M82" s="100">
        <v>3052.7999999999993</v>
      </c>
      <c r="N82" s="100">
        <v>5</v>
      </c>
      <c r="O82" s="100">
        <v>2543.9999999999995</v>
      </c>
      <c r="P82" s="100">
        <v>7</v>
      </c>
      <c r="Q82" s="100">
        <v>3561.5999999999995</v>
      </c>
      <c r="R82" s="100">
        <v>9</v>
      </c>
      <c r="S82" s="100">
        <v>4579.1999999999989</v>
      </c>
      <c r="T82" s="100">
        <v>9</v>
      </c>
      <c r="U82" s="100">
        <v>4579.1999999999989</v>
      </c>
      <c r="V82" s="100">
        <v>9</v>
      </c>
      <c r="W82" s="100">
        <v>4579.1999999999989</v>
      </c>
      <c r="X82" s="100">
        <v>5</v>
      </c>
      <c r="Y82" s="100">
        <v>2543.9999999999995</v>
      </c>
      <c r="Z82" s="100">
        <v>8</v>
      </c>
      <c r="AA82" s="100">
        <v>4070.3999999999992</v>
      </c>
      <c r="AB82" s="100">
        <v>8</v>
      </c>
      <c r="AC82" s="100">
        <v>4070.3999999999992</v>
      </c>
      <c r="AD82" s="100">
        <v>7</v>
      </c>
      <c r="AE82" s="100">
        <v>3561.5999999999995</v>
      </c>
      <c r="AF82" s="100">
        <v>9</v>
      </c>
      <c r="AG82" s="100">
        <v>4579.1999999999989</v>
      </c>
      <c r="AH82" s="100">
        <v>6</v>
      </c>
      <c r="AI82" s="100">
        <v>3052.7999999999993</v>
      </c>
      <c r="AJ82" s="100">
        <v>5</v>
      </c>
      <c r="AK82" s="100">
        <v>2543.9999999999995</v>
      </c>
      <c r="AL82" s="100">
        <v>9</v>
      </c>
      <c r="AM82" s="100">
        <v>4579.1999999999989</v>
      </c>
      <c r="AN82" s="100">
        <v>8</v>
      </c>
      <c r="AO82" s="100">
        <v>4070.3999999999992</v>
      </c>
      <c r="AP82" s="100">
        <v>8</v>
      </c>
      <c r="AQ82" s="100">
        <v>4070.3999999999992</v>
      </c>
      <c r="AR82" s="100">
        <v>8</v>
      </c>
      <c r="AS82" s="100">
        <v>4070.3999999999992</v>
      </c>
      <c r="AT82" s="100">
        <v>8</v>
      </c>
      <c r="AU82" s="100">
        <v>4070.3999999999992</v>
      </c>
      <c r="AV82" s="100">
        <v>9</v>
      </c>
      <c r="AW82" s="100">
        <v>4579.1999999999989</v>
      </c>
      <c r="AX82" s="100">
        <v>6</v>
      </c>
      <c r="AY82" s="100">
        <v>3052.7999999999993</v>
      </c>
      <c r="AZ82" s="100">
        <v>8</v>
      </c>
      <c r="BA82" s="100">
        <v>4070.3999999999992</v>
      </c>
      <c r="BB82" s="100">
        <v>7</v>
      </c>
      <c r="BC82" s="100">
        <v>3561.5999999999995</v>
      </c>
      <c r="BD82" s="100">
        <v>10</v>
      </c>
      <c r="BE82" s="100">
        <v>5087.9999999999991</v>
      </c>
      <c r="BF82" s="100">
        <v>6</v>
      </c>
      <c r="BG82" s="100">
        <v>3052.7999999999993</v>
      </c>
      <c r="BH82" s="100">
        <v>5</v>
      </c>
      <c r="BI82" s="100">
        <v>2543.9999999999995</v>
      </c>
      <c r="BJ82" s="100">
        <v>6</v>
      </c>
      <c r="BK82" s="100">
        <v>3052.7999999999993</v>
      </c>
      <c r="BL82" s="100">
        <v>5</v>
      </c>
      <c r="BM82" s="100">
        <v>2543.9999999999995</v>
      </c>
      <c r="BN82" s="100">
        <v>7</v>
      </c>
      <c r="BO82" s="100">
        <v>3561.5999999999995</v>
      </c>
      <c r="BP82" s="100">
        <v>10</v>
      </c>
      <c r="BQ82" s="100">
        <v>5087.9999999999991</v>
      </c>
      <c r="BR82" s="100">
        <v>5</v>
      </c>
      <c r="BS82" s="100">
        <v>2543.9999999999995</v>
      </c>
      <c r="BT82" s="100">
        <v>8</v>
      </c>
      <c r="BU82" s="100">
        <v>4070.3999999999992</v>
      </c>
      <c r="BV82" s="100">
        <v>6</v>
      </c>
      <c r="BW82" s="100">
        <v>3052.7999999999993</v>
      </c>
      <c r="BX82" s="100">
        <v>10</v>
      </c>
      <c r="BY82" s="100">
        <v>5087.9999999999991</v>
      </c>
      <c r="BZ82" s="100">
        <v>9</v>
      </c>
      <c r="CA82" s="100">
        <v>4579.1999999999989</v>
      </c>
      <c r="CB82" s="100">
        <v>5</v>
      </c>
      <c r="CC82" s="100">
        <v>2543.9999999999995</v>
      </c>
      <c r="CD82" s="100">
        <v>8</v>
      </c>
      <c r="CE82" s="100">
        <v>4070.3999999999992</v>
      </c>
      <c r="CF82" s="100">
        <v>7</v>
      </c>
      <c r="CG82" s="100">
        <v>3561.5999999999995</v>
      </c>
      <c r="CH82" s="100">
        <v>10</v>
      </c>
      <c r="CI82" s="100">
        <v>5087.9999999999991</v>
      </c>
      <c r="CJ82" s="100">
        <v>10</v>
      </c>
      <c r="CK82" s="100">
        <v>5087.9999999999991</v>
      </c>
      <c r="CL82" s="100">
        <v>10</v>
      </c>
      <c r="CM82" s="100">
        <v>5087.9999999999991</v>
      </c>
      <c r="CN82" s="100">
        <v>6</v>
      </c>
      <c r="CO82" s="100">
        <v>3052.7999999999993</v>
      </c>
      <c r="CP82" s="100">
        <v>6</v>
      </c>
      <c r="CQ82" s="100">
        <v>3052.7999999999993</v>
      </c>
      <c r="CR82" s="100">
        <v>7</v>
      </c>
      <c r="CS82" s="100">
        <v>3561.5999999999995</v>
      </c>
      <c r="CT82" s="100">
        <v>6</v>
      </c>
      <c r="CU82" s="100">
        <v>3052.7999999999993</v>
      </c>
    </row>
    <row r="83" spans="2:99">
      <c r="C83" s="99" t="s">
        <v>249</v>
      </c>
      <c r="D83" s="100">
        <v>6</v>
      </c>
      <c r="E83" s="100">
        <v>5162.3999999999996</v>
      </c>
      <c r="F83" s="100">
        <v>8</v>
      </c>
      <c r="G83" s="100">
        <v>6883.2</v>
      </c>
      <c r="H83" s="100">
        <v>8</v>
      </c>
      <c r="I83" s="100">
        <v>6883.2</v>
      </c>
      <c r="J83" s="100">
        <v>7</v>
      </c>
      <c r="K83" s="100">
        <v>6022.8</v>
      </c>
      <c r="L83" s="100">
        <v>6</v>
      </c>
      <c r="M83" s="100">
        <v>5162.3999999999996</v>
      </c>
      <c r="N83" s="100">
        <v>6</v>
      </c>
      <c r="O83" s="100">
        <v>5162.3999999999996</v>
      </c>
      <c r="P83" s="100">
        <v>6</v>
      </c>
      <c r="Q83" s="100">
        <v>5162.3999999999996</v>
      </c>
      <c r="R83" s="100">
        <v>8</v>
      </c>
      <c r="S83" s="100">
        <v>6883.2</v>
      </c>
      <c r="T83" s="100">
        <v>10</v>
      </c>
      <c r="U83" s="100">
        <v>8604</v>
      </c>
      <c r="V83" s="100">
        <v>10</v>
      </c>
      <c r="W83" s="100">
        <v>8604</v>
      </c>
      <c r="X83" s="100">
        <v>5</v>
      </c>
      <c r="Y83" s="100">
        <v>4302</v>
      </c>
      <c r="Z83" s="100">
        <v>8</v>
      </c>
      <c r="AA83" s="100">
        <v>6883.2</v>
      </c>
      <c r="AB83" s="100">
        <v>8</v>
      </c>
      <c r="AC83" s="100">
        <v>6883.2</v>
      </c>
      <c r="AD83" s="100">
        <v>7</v>
      </c>
      <c r="AE83" s="100">
        <v>6022.8</v>
      </c>
      <c r="AF83" s="100">
        <v>9</v>
      </c>
      <c r="AG83" s="100">
        <v>7743.5999999999995</v>
      </c>
      <c r="AH83" s="100">
        <v>5</v>
      </c>
      <c r="AI83" s="100">
        <v>4302</v>
      </c>
      <c r="AJ83" s="100">
        <v>5</v>
      </c>
      <c r="AK83" s="100">
        <v>4302</v>
      </c>
      <c r="AL83" s="100">
        <v>9</v>
      </c>
      <c r="AM83" s="100">
        <v>7743.5999999999995</v>
      </c>
      <c r="AN83" s="100">
        <v>7</v>
      </c>
      <c r="AO83" s="100">
        <v>6022.8</v>
      </c>
      <c r="AP83" s="100">
        <v>9</v>
      </c>
      <c r="AQ83" s="100">
        <v>7743.5999999999995</v>
      </c>
      <c r="AR83" s="100">
        <v>9</v>
      </c>
      <c r="AS83" s="100">
        <v>7743.5999999999995</v>
      </c>
      <c r="AT83" s="100">
        <v>7</v>
      </c>
      <c r="AU83" s="100">
        <v>6022.8</v>
      </c>
      <c r="AV83" s="100">
        <v>9</v>
      </c>
      <c r="AW83" s="100">
        <v>7743.5999999999995</v>
      </c>
      <c r="AX83" s="100">
        <v>6</v>
      </c>
      <c r="AY83" s="100">
        <v>5162.3999999999996</v>
      </c>
      <c r="AZ83" s="100">
        <v>9</v>
      </c>
      <c r="BA83" s="100">
        <v>7743.5999999999995</v>
      </c>
      <c r="BB83" s="100">
        <v>6</v>
      </c>
      <c r="BC83" s="100">
        <v>5162.3999999999996</v>
      </c>
      <c r="BD83" s="100">
        <v>9</v>
      </c>
      <c r="BE83" s="100">
        <v>7743.5999999999995</v>
      </c>
      <c r="BF83" s="100">
        <v>6</v>
      </c>
      <c r="BG83" s="100">
        <v>5162.3999999999996</v>
      </c>
      <c r="BH83" s="100">
        <v>5</v>
      </c>
      <c r="BI83" s="100">
        <v>4302</v>
      </c>
      <c r="BJ83" s="100">
        <v>7</v>
      </c>
      <c r="BK83" s="100">
        <v>6022.8</v>
      </c>
      <c r="BL83" s="100">
        <v>5</v>
      </c>
      <c r="BM83" s="100">
        <v>4302</v>
      </c>
      <c r="BN83" s="100">
        <v>8</v>
      </c>
      <c r="BO83" s="100">
        <v>6883.2</v>
      </c>
      <c r="BP83" s="100">
        <v>9</v>
      </c>
      <c r="BQ83" s="100">
        <v>7743.5999999999995</v>
      </c>
      <c r="BR83" s="100">
        <v>6</v>
      </c>
      <c r="BS83" s="100">
        <v>5162.3999999999996</v>
      </c>
      <c r="BT83" s="100">
        <v>8</v>
      </c>
      <c r="BU83" s="100">
        <v>6883.2</v>
      </c>
      <c r="BV83" s="100">
        <v>6</v>
      </c>
      <c r="BW83" s="100">
        <v>5162.3999999999996</v>
      </c>
      <c r="BX83" s="100">
        <v>10</v>
      </c>
      <c r="BY83" s="100">
        <v>8604</v>
      </c>
      <c r="BZ83" s="100">
        <v>9</v>
      </c>
      <c r="CA83" s="100">
        <v>7743.5999999999995</v>
      </c>
      <c r="CB83" s="100">
        <v>5</v>
      </c>
      <c r="CC83" s="100">
        <v>4302</v>
      </c>
      <c r="CD83" s="100">
        <v>8</v>
      </c>
      <c r="CE83" s="100">
        <v>6883.2</v>
      </c>
      <c r="CF83" s="100">
        <v>7</v>
      </c>
      <c r="CG83" s="100">
        <v>6022.8</v>
      </c>
      <c r="CH83" s="100">
        <v>11</v>
      </c>
      <c r="CI83" s="100">
        <v>9464.4</v>
      </c>
      <c r="CJ83" s="100">
        <v>8</v>
      </c>
      <c r="CK83" s="100">
        <v>6883.2</v>
      </c>
      <c r="CL83" s="100">
        <v>10</v>
      </c>
      <c r="CM83" s="100">
        <v>8604</v>
      </c>
      <c r="CN83" s="100">
        <v>5</v>
      </c>
      <c r="CO83" s="100">
        <v>4302</v>
      </c>
      <c r="CP83" s="100">
        <v>6</v>
      </c>
      <c r="CQ83" s="100">
        <v>5162.3999999999996</v>
      </c>
      <c r="CR83" s="100">
        <v>6</v>
      </c>
      <c r="CS83" s="100">
        <v>5162.3999999999996</v>
      </c>
      <c r="CT83" s="100">
        <v>6</v>
      </c>
      <c r="CU83" s="100">
        <v>5162.3999999999996</v>
      </c>
    </row>
    <row r="84" spans="2:99">
      <c r="C84" s="99" t="s">
        <v>250</v>
      </c>
      <c r="D84" s="100">
        <v>5</v>
      </c>
      <c r="E84" s="100">
        <v>3905.9999999999995</v>
      </c>
      <c r="F84" s="100">
        <v>8</v>
      </c>
      <c r="G84" s="100">
        <v>6249.5999999999995</v>
      </c>
      <c r="H84" s="100">
        <v>8</v>
      </c>
      <c r="I84" s="100">
        <v>6249.5999999999995</v>
      </c>
      <c r="J84" s="100">
        <v>6</v>
      </c>
      <c r="K84" s="100">
        <v>4687.2</v>
      </c>
      <c r="L84" s="100">
        <v>6</v>
      </c>
      <c r="M84" s="100">
        <v>4687.2</v>
      </c>
      <c r="N84" s="100">
        <v>5</v>
      </c>
      <c r="O84" s="100">
        <v>3905.9999999999995</v>
      </c>
      <c r="P84" s="100">
        <v>6</v>
      </c>
      <c r="Q84" s="100">
        <v>4687.2</v>
      </c>
      <c r="R84" s="100">
        <v>9</v>
      </c>
      <c r="S84" s="100">
        <v>7030.7999999999993</v>
      </c>
      <c r="T84" s="100">
        <v>10</v>
      </c>
      <c r="U84" s="100">
        <v>7811.9999999999991</v>
      </c>
      <c r="V84" s="100">
        <v>10</v>
      </c>
      <c r="W84" s="100">
        <v>7811.9999999999991</v>
      </c>
      <c r="X84" s="100">
        <v>5</v>
      </c>
      <c r="Y84" s="100">
        <v>3905.9999999999995</v>
      </c>
      <c r="Z84" s="100">
        <v>8</v>
      </c>
      <c r="AA84" s="100">
        <v>6249.5999999999995</v>
      </c>
      <c r="AB84" s="100">
        <v>7</v>
      </c>
      <c r="AC84" s="100">
        <v>5468.4</v>
      </c>
      <c r="AD84" s="100">
        <v>7</v>
      </c>
      <c r="AE84" s="100">
        <v>5468.4</v>
      </c>
      <c r="AF84" s="100">
        <v>9</v>
      </c>
      <c r="AG84" s="100">
        <v>7030.7999999999993</v>
      </c>
      <c r="AH84" s="100">
        <v>6</v>
      </c>
      <c r="AI84" s="100">
        <v>4687.2</v>
      </c>
      <c r="AJ84" s="100">
        <v>5</v>
      </c>
      <c r="AK84" s="100">
        <v>3905.9999999999995</v>
      </c>
      <c r="AL84" s="100">
        <v>8</v>
      </c>
      <c r="AM84" s="100">
        <v>6249.5999999999995</v>
      </c>
      <c r="AN84" s="100">
        <v>7</v>
      </c>
      <c r="AO84" s="100">
        <v>5468.4</v>
      </c>
      <c r="AP84" s="100">
        <v>8</v>
      </c>
      <c r="AQ84" s="100">
        <v>6249.5999999999995</v>
      </c>
      <c r="AR84" s="100">
        <v>8</v>
      </c>
      <c r="AS84" s="100">
        <v>6249.5999999999995</v>
      </c>
      <c r="AT84" s="100">
        <v>7</v>
      </c>
      <c r="AU84" s="100">
        <v>5468.4</v>
      </c>
      <c r="AV84" s="100">
        <v>9</v>
      </c>
      <c r="AW84" s="100">
        <v>7030.7999999999993</v>
      </c>
      <c r="AX84" s="100">
        <v>5</v>
      </c>
      <c r="AY84" s="100">
        <v>3905.9999999999995</v>
      </c>
      <c r="AZ84" s="100">
        <v>8</v>
      </c>
      <c r="BA84" s="100">
        <v>6249.5999999999995</v>
      </c>
      <c r="BB84" s="100">
        <v>6</v>
      </c>
      <c r="BC84" s="100">
        <v>4687.2</v>
      </c>
      <c r="BD84" s="100">
        <v>10</v>
      </c>
      <c r="BE84" s="100">
        <v>7811.9999999999991</v>
      </c>
      <c r="BF84" s="100">
        <v>6</v>
      </c>
      <c r="BG84" s="100">
        <v>4687.2</v>
      </c>
      <c r="BH84" s="100">
        <v>5</v>
      </c>
      <c r="BI84" s="100">
        <v>3905.9999999999995</v>
      </c>
      <c r="BJ84" s="100">
        <v>7</v>
      </c>
      <c r="BK84" s="100">
        <v>5468.4</v>
      </c>
      <c r="BL84" s="100">
        <v>5</v>
      </c>
      <c r="BM84" s="100">
        <v>3905.9999999999995</v>
      </c>
      <c r="BN84" s="100">
        <v>8</v>
      </c>
      <c r="BO84" s="100">
        <v>6249.5999999999995</v>
      </c>
      <c r="BP84" s="100">
        <v>9</v>
      </c>
      <c r="BQ84" s="100">
        <v>7030.7999999999993</v>
      </c>
      <c r="BR84" s="100">
        <v>5</v>
      </c>
      <c r="BS84" s="100">
        <v>3905.9999999999995</v>
      </c>
      <c r="BT84" s="100">
        <v>9</v>
      </c>
      <c r="BU84" s="100">
        <v>7030.7999999999993</v>
      </c>
      <c r="BV84" s="100">
        <v>6</v>
      </c>
      <c r="BW84" s="100">
        <v>4687.2</v>
      </c>
      <c r="BX84" s="100">
        <v>10</v>
      </c>
      <c r="BY84" s="100">
        <v>7811.9999999999991</v>
      </c>
      <c r="BZ84" s="100">
        <v>9</v>
      </c>
      <c r="CA84" s="100">
        <v>7030.7999999999993</v>
      </c>
      <c r="CB84" s="100">
        <v>6</v>
      </c>
      <c r="CC84" s="100">
        <v>4687.2</v>
      </c>
      <c r="CD84" s="100">
        <v>8</v>
      </c>
      <c r="CE84" s="100">
        <v>6249.5999999999995</v>
      </c>
      <c r="CF84" s="100">
        <v>6</v>
      </c>
      <c r="CG84" s="100">
        <v>4687.2</v>
      </c>
      <c r="CH84" s="100">
        <v>11</v>
      </c>
      <c r="CI84" s="100">
        <v>8593.1999999999989</v>
      </c>
      <c r="CJ84" s="100">
        <v>8</v>
      </c>
      <c r="CK84" s="100">
        <v>6249.5999999999995</v>
      </c>
      <c r="CL84" s="100">
        <v>10</v>
      </c>
      <c r="CM84" s="100">
        <v>7811.9999999999991</v>
      </c>
      <c r="CN84" s="100">
        <v>5</v>
      </c>
      <c r="CO84" s="100">
        <v>3905.9999999999995</v>
      </c>
      <c r="CP84" s="100">
        <v>7</v>
      </c>
      <c r="CQ84" s="100">
        <v>5468.4</v>
      </c>
      <c r="CR84" s="100">
        <v>7</v>
      </c>
      <c r="CS84" s="100">
        <v>5468.4</v>
      </c>
      <c r="CT84" s="100">
        <v>6</v>
      </c>
      <c r="CU84" s="100">
        <v>4687.2</v>
      </c>
    </row>
    <row r="85" spans="2:99">
      <c r="C85" s="99" t="s">
        <v>251</v>
      </c>
      <c r="D85" s="100">
        <v>6</v>
      </c>
      <c r="E85" s="100">
        <v>900</v>
      </c>
      <c r="F85" s="100">
        <v>7</v>
      </c>
      <c r="G85" s="100">
        <v>1050</v>
      </c>
      <c r="H85" s="100">
        <v>8</v>
      </c>
      <c r="I85" s="100">
        <v>1200</v>
      </c>
      <c r="J85" s="100">
        <v>6</v>
      </c>
      <c r="K85" s="100">
        <v>900</v>
      </c>
      <c r="L85" s="100">
        <v>7</v>
      </c>
      <c r="M85" s="100">
        <v>1050</v>
      </c>
      <c r="N85" s="100">
        <v>6</v>
      </c>
      <c r="O85" s="100">
        <v>900</v>
      </c>
      <c r="P85" s="100">
        <v>7</v>
      </c>
      <c r="Q85" s="100">
        <v>1050</v>
      </c>
      <c r="R85" s="100">
        <v>10</v>
      </c>
      <c r="S85" s="100">
        <v>1500</v>
      </c>
      <c r="T85" s="100">
        <v>9</v>
      </c>
      <c r="U85" s="100">
        <v>1350</v>
      </c>
      <c r="V85" s="100">
        <v>11</v>
      </c>
      <c r="W85" s="100">
        <v>1650</v>
      </c>
      <c r="X85" s="100">
        <v>5</v>
      </c>
      <c r="Y85" s="100">
        <v>750</v>
      </c>
      <c r="Z85" s="100">
        <v>9</v>
      </c>
      <c r="AA85" s="100">
        <v>1350</v>
      </c>
      <c r="AB85" s="100">
        <v>8</v>
      </c>
      <c r="AC85" s="100">
        <v>1200</v>
      </c>
      <c r="AD85" s="100">
        <v>7</v>
      </c>
      <c r="AE85" s="100">
        <v>1050</v>
      </c>
      <c r="AF85" s="100">
        <v>9</v>
      </c>
      <c r="AG85" s="100">
        <v>1350</v>
      </c>
      <c r="AH85" s="100">
        <v>6</v>
      </c>
      <c r="AI85" s="100">
        <v>900</v>
      </c>
      <c r="AJ85" s="100">
        <v>5</v>
      </c>
      <c r="AK85" s="100">
        <v>750</v>
      </c>
      <c r="AL85" s="100">
        <v>8</v>
      </c>
      <c r="AM85" s="100">
        <v>1200</v>
      </c>
      <c r="AN85" s="100">
        <v>7</v>
      </c>
      <c r="AO85" s="100">
        <v>1050</v>
      </c>
      <c r="AP85" s="100">
        <v>9</v>
      </c>
      <c r="AQ85" s="100">
        <v>1350</v>
      </c>
      <c r="AR85" s="100">
        <v>9</v>
      </c>
      <c r="AS85" s="100">
        <v>1350</v>
      </c>
      <c r="AT85" s="100">
        <v>7</v>
      </c>
      <c r="AU85" s="100">
        <v>1050</v>
      </c>
      <c r="AV85" s="100">
        <v>10</v>
      </c>
      <c r="AW85" s="100">
        <v>1500</v>
      </c>
      <c r="AX85" s="100">
        <v>6</v>
      </c>
      <c r="AY85" s="100">
        <v>900</v>
      </c>
      <c r="AZ85" s="100">
        <v>9</v>
      </c>
      <c r="BA85" s="100">
        <v>1350</v>
      </c>
      <c r="BB85" s="100">
        <v>7</v>
      </c>
      <c r="BC85" s="100">
        <v>1050</v>
      </c>
      <c r="BD85" s="100">
        <v>9</v>
      </c>
      <c r="BE85" s="100">
        <v>1350</v>
      </c>
      <c r="BF85" s="100">
        <v>7</v>
      </c>
      <c r="BG85" s="100">
        <v>1050</v>
      </c>
      <c r="BH85" s="100">
        <v>5</v>
      </c>
      <c r="BI85" s="100">
        <v>750</v>
      </c>
      <c r="BJ85" s="100">
        <v>6</v>
      </c>
      <c r="BK85" s="100">
        <v>900</v>
      </c>
      <c r="BL85" s="100">
        <v>5</v>
      </c>
      <c r="BM85" s="100">
        <v>750</v>
      </c>
      <c r="BN85" s="100">
        <v>8</v>
      </c>
      <c r="BO85" s="100">
        <v>1200</v>
      </c>
      <c r="BP85" s="100">
        <v>10</v>
      </c>
      <c r="BQ85" s="100">
        <v>1500</v>
      </c>
      <c r="BR85" s="100">
        <v>6</v>
      </c>
      <c r="BS85" s="100">
        <v>900</v>
      </c>
      <c r="BT85" s="100">
        <v>10</v>
      </c>
      <c r="BU85" s="100">
        <v>1500</v>
      </c>
      <c r="BV85" s="100">
        <v>7</v>
      </c>
      <c r="BW85" s="100">
        <v>1050</v>
      </c>
      <c r="BX85" s="100">
        <v>10</v>
      </c>
      <c r="BY85" s="100">
        <v>1500</v>
      </c>
      <c r="BZ85" s="100">
        <v>10</v>
      </c>
      <c r="CA85" s="100">
        <v>1500</v>
      </c>
      <c r="CB85" s="100">
        <v>6</v>
      </c>
      <c r="CC85" s="100">
        <v>900</v>
      </c>
      <c r="CD85" s="100">
        <v>8</v>
      </c>
      <c r="CE85" s="100">
        <v>1200</v>
      </c>
      <c r="CF85" s="100">
        <v>8</v>
      </c>
      <c r="CG85" s="100">
        <v>1200</v>
      </c>
      <c r="CH85" s="100">
        <v>10</v>
      </c>
      <c r="CI85" s="100">
        <v>1500</v>
      </c>
      <c r="CJ85" s="100">
        <v>10</v>
      </c>
      <c r="CK85" s="100">
        <v>1500</v>
      </c>
      <c r="CL85" s="100">
        <v>10</v>
      </c>
      <c r="CM85" s="100">
        <v>1500</v>
      </c>
      <c r="CN85" s="100">
        <v>6</v>
      </c>
      <c r="CO85" s="100">
        <v>900</v>
      </c>
      <c r="CP85" s="100">
        <v>7</v>
      </c>
      <c r="CQ85" s="100">
        <v>1050</v>
      </c>
      <c r="CR85" s="100">
        <v>7</v>
      </c>
      <c r="CS85" s="100">
        <v>1050</v>
      </c>
      <c r="CT85" s="100">
        <v>6</v>
      </c>
      <c r="CU85" s="100">
        <v>900</v>
      </c>
    </row>
    <row r="86" spans="2:99">
      <c r="C86" s="99" t="s">
        <v>252</v>
      </c>
      <c r="D86" s="100">
        <v>5</v>
      </c>
      <c r="E86" s="100">
        <v>2700</v>
      </c>
      <c r="F86" s="100">
        <v>8</v>
      </c>
      <c r="G86" s="100">
        <v>4320</v>
      </c>
      <c r="H86" s="100">
        <v>8</v>
      </c>
      <c r="I86" s="100">
        <v>4320</v>
      </c>
      <c r="J86" s="100">
        <v>6</v>
      </c>
      <c r="K86" s="100">
        <v>3240</v>
      </c>
      <c r="L86" s="100">
        <v>6</v>
      </c>
      <c r="M86" s="100">
        <v>3240</v>
      </c>
      <c r="N86" s="100">
        <v>5</v>
      </c>
      <c r="O86" s="100">
        <v>2700</v>
      </c>
      <c r="P86" s="100">
        <v>7</v>
      </c>
      <c r="Q86" s="100">
        <v>3780</v>
      </c>
      <c r="R86" s="100">
        <v>9</v>
      </c>
      <c r="S86" s="100">
        <v>4860</v>
      </c>
      <c r="T86" s="100">
        <v>10</v>
      </c>
      <c r="U86" s="100">
        <v>5400</v>
      </c>
      <c r="V86" s="100">
        <v>9</v>
      </c>
      <c r="W86" s="100">
        <v>4860</v>
      </c>
      <c r="X86" s="100">
        <v>5</v>
      </c>
      <c r="Y86" s="100">
        <v>2700</v>
      </c>
      <c r="Z86" s="100">
        <v>8</v>
      </c>
      <c r="AA86" s="100">
        <v>4320</v>
      </c>
      <c r="AB86" s="100">
        <v>7</v>
      </c>
      <c r="AC86" s="100">
        <v>3780</v>
      </c>
      <c r="AD86" s="100">
        <v>6</v>
      </c>
      <c r="AE86" s="100">
        <v>3240</v>
      </c>
      <c r="AF86" s="100">
        <v>10</v>
      </c>
      <c r="AG86" s="100">
        <v>5400</v>
      </c>
      <c r="AH86" s="100">
        <v>5</v>
      </c>
      <c r="AI86" s="100">
        <v>2700</v>
      </c>
      <c r="AJ86" s="100">
        <v>5</v>
      </c>
      <c r="AK86" s="100">
        <v>2700</v>
      </c>
      <c r="AL86" s="100">
        <v>10</v>
      </c>
      <c r="AM86" s="100">
        <v>5400</v>
      </c>
      <c r="AN86" s="100">
        <v>8</v>
      </c>
      <c r="AO86" s="100">
        <v>4320</v>
      </c>
      <c r="AP86" s="100">
        <v>9</v>
      </c>
      <c r="AQ86" s="100">
        <v>4860</v>
      </c>
      <c r="AR86" s="100">
        <v>8</v>
      </c>
      <c r="AS86" s="100">
        <v>4320</v>
      </c>
      <c r="AT86" s="100">
        <v>7</v>
      </c>
      <c r="AU86" s="100">
        <v>3780</v>
      </c>
      <c r="AV86" s="100">
        <v>9</v>
      </c>
      <c r="AW86" s="100">
        <v>4860</v>
      </c>
      <c r="AX86" s="100">
        <v>6</v>
      </c>
      <c r="AY86" s="100">
        <v>3240</v>
      </c>
      <c r="AZ86" s="100">
        <v>9</v>
      </c>
      <c r="BA86" s="100">
        <v>4860</v>
      </c>
      <c r="BB86" s="100">
        <v>6</v>
      </c>
      <c r="BC86" s="100">
        <v>3240</v>
      </c>
      <c r="BD86" s="100">
        <v>9</v>
      </c>
      <c r="BE86" s="100">
        <v>4860</v>
      </c>
      <c r="BF86" s="100">
        <v>6</v>
      </c>
      <c r="BG86" s="100">
        <v>3240</v>
      </c>
      <c r="BH86" s="100">
        <v>5</v>
      </c>
      <c r="BI86" s="100">
        <v>2700</v>
      </c>
      <c r="BJ86" s="100">
        <v>6</v>
      </c>
      <c r="BK86" s="100">
        <v>3240</v>
      </c>
      <c r="BL86" s="100">
        <v>5</v>
      </c>
      <c r="BM86" s="100">
        <v>2700</v>
      </c>
      <c r="BN86" s="100">
        <v>7</v>
      </c>
      <c r="BO86" s="100">
        <v>3780</v>
      </c>
      <c r="BP86" s="100">
        <v>9</v>
      </c>
      <c r="BQ86" s="100">
        <v>4860</v>
      </c>
      <c r="BR86" s="100">
        <v>6</v>
      </c>
      <c r="BS86" s="100">
        <v>3240</v>
      </c>
      <c r="BT86" s="100">
        <v>9</v>
      </c>
      <c r="BU86" s="100">
        <v>4860</v>
      </c>
      <c r="BV86" s="100">
        <v>7</v>
      </c>
      <c r="BW86" s="100">
        <v>3780</v>
      </c>
      <c r="BX86" s="100">
        <v>11</v>
      </c>
      <c r="BY86" s="100">
        <v>5940</v>
      </c>
      <c r="BZ86" s="100">
        <v>9</v>
      </c>
      <c r="CA86" s="100">
        <v>4860</v>
      </c>
      <c r="CB86" s="100">
        <v>6</v>
      </c>
      <c r="CC86" s="100">
        <v>3240</v>
      </c>
      <c r="CD86" s="100">
        <v>9</v>
      </c>
      <c r="CE86" s="100">
        <v>4860</v>
      </c>
      <c r="CF86" s="100">
        <v>7</v>
      </c>
      <c r="CG86" s="100">
        <v>3780</v>
      </c>
      <c r="CH86" s="100">
        <v>11</v>
      </c>
      <c r="CI86" s="100">
        <v>5940</v>
      </c>
      <c r="CJ86" s="100">
        <v>9</v>
      </c>
      <c r="CK86" s="100">
        <v>4860</v>
      </c>
      <c r="CL86" s="100">
        <v>10</v>
      </c>
      <c r="CM86" s="100">
        <v>5400</v>
      </c>
      <c r="CN86" s="100">
        <v>5</v>
      </c>
      <c r="CO86" s="100">
        <v>2700</v>
      </c>
      <c r="CP86" s="100">
        <v>6</v>
      </c>
      <c r="CQ86" s="100">
        <v>3240</v>
      </c>
      <c r="CR86" s="100">
        <v>7</v>
      </c>
      <c r="CS86" s="100">
        <v>3780</v>
      </c>
      <c r="CT86" s="100">
        <v>6</v>
      </c>
      <c r="CU86" s="100">
        <v>3240</v>
      </c>
    </row>
    <row r="87" spans="2:99">
      <c r="B87" s="99" t="s">
        <v>131</v>
      </c>
      <c r="C87" s="99" t="s">
        <v>253</v>
      </c>
      <c r="D87" s="100">
        <v>7</v>
      </c>
      <c r="E87" s="100">
        <v>7518</v>
      </c>
      <c r="F87" s="100">
        <v>9</v>
      </c>
      <c r="G87" s="100">
        <v>9666</v>
      </c>
      <c r="H87" s="100">
        <v>8</v>
      </c>
      <c r="I87" s="100">
        <v>8592</v>
      </c>
      <c r="J87" s="100">
        <v>11</v>
      </c>
      <c r="K87" s="100">
        <v>11814</v>
      </c>
      <c r="L87" s="100">
        <v>6</v>
      </c>
      <c r="M87" s="100">
        <v>6444</v>
      </c>
      <c r="N87" s="100">
        <v>9</v>
      </c>
      <c r="O87" s="100">
        <v>9666</v>
      </c>
      <c r="P87" s="100">
        <v>8</v>
      </c>
      <c r="Q87" s="100">
        <v>8592</v>
      </c>
      <c r="R87" s="100">
        <v>10</v>
      </c>
      <c r="S87" s="100">
        <v>10740</v>
      </c>
      <c r="T87" s="100">
        <v>11</v>
      </c>
      <c r="U87" s="100">
        <v>11814</v>
      </c>
      <c r="V87" s="100">
        <v>8</v>
      </c>
      <c r="W87" s="100">
        <v>8592</v>
      </c>
      <c r="X87" s="100">
        <v>11</v>
      </c>
      <c r="Y87" s="100">
        <v>11814</v>
      </c>
      <c r="Z87" s="100">
        <v>10</v>
      </c>
      <c r="AA87" s="100">
        <v>10740</v>
      </c>
      <c r="AB87" s="100">
        <v>6</v>
      </c>
      <c r="AC87" s="100">
        <v>6444</v>
      </c>
      <c r="AD87" s="100">
        <v>7</v>
      </c>
      <c r="AE87" s="100">
        <v>7518</v>
      </c>
      <c r="AF87" s="100">
        <v>9</v>
      </c>
      <c r="AG87" s="100">
        <v>9666</v>
      </c>
      <c r="AH87" s="100">
        <v>10</v>
      </c>
      <c r="AI87" s="100">
        <v>10740</v>
      </c>
      <c r="AJ87" s="100">
        <v>8</v>
      </c>
      <c r="AK87" s="100">
        <v>8592</v>
      </c>
      <c r="AL87" s="100">
        <v>11</v>
      </c>
      <c r="AM87" s="100">
        <v>11814</v>
      </c>
      <c r="AN87" s="100">
        <v>9</v>
      </c>
      <c r="AO87" s="100">
        <v>9666</v>
      </c>
      <c r="AP87" s="100">
        <v>11</v>
      </c>
      <c r="AQ87" s="100">
        <v>11814</v>
      </c>
      <c r="AR87" s="100">
        <v>9</v>
      </c>
      <c r="AS87" s="100">
        <v>9666</v>
      </c>
      <c r="AT87" s="100">
        <v>10</v>
      </c>
      <c r="AU87" s="100">
        <v>10740</v>
      </c>
      <c r="AV87" s="100">
        <v>12</v>
      </c>
      <c r="AW87" s="100">
        <v>12888</v>
      </c>
      <c r="AX87" s="100">
        <v>11</v>
      </c>
      <c r="AY87" s="100">
        <v>11814</v>
      </c>
      <c r="AZ87" s="100">
        <v>11</v>
      </c>
      <c r="BA87" s="100">
        <v>11814</v>
      </c>
      <c r="BB87" s="100">
        <v>9</v>
      </c>
      <c r="BC87" s="100">
        <v>9666</v>
      </c>
      <c r="BD87" s="100">
        <v>10</v>
      </c>
      <c r="BE87" s="100">
        <v>10740</v>
      </c>
      <c r="BF87" s="100">
        <v>10</v>
      </c>
      <c r="BG87" s="100">
        <v>10740</v>
      </c>
      <c r="BH87" s="100">
        <v>7</v>
      </c>
      <c r="BI87" s="100">
        <v>7518</v>
      </c>
      <c r="BJ87" s="100">
        <v>7</v>
      </c>
      <c r="BK87" s="100">
        <v>7518</v>
      </c>
      <c r="BL87" s="100">
        <v>11</v>
      </c>
      <c r="BM87" s="100">
        <v>11814</v>
      </c>
      <c r="BN87" s="100">
        <v>10</v>
      </c>
      <c r="BO87" s="100">
        <v>10740</v>
      </c>
      <c r="BP87" s="100">
        <v>7</v>
      </c>
      <c r="BQ87" s="100">
        <v>7518</v>
      </c>
      <c r="BR87" s="100">
        <v>9</v>
      </c>
      <c r="BS87" s="100">
        <v>9666</v>
      </c>
      <c r="BT87" s="100">
        <v>9</v>
      </c>
      <c r="BU87" s="100">
        <v>9666</v>
      </c>
      <c r="BV87" s="100">
        <v>10</v>
      </c>
      <c r="BW87" s="100">
        <v>10740</v>
      </c>
      <c r="BX87" s="100">
        <v>11</v>
      </c>
      <c r="BY87" s="100">
        <v>11814</v>
      </c>
      <c r="BZ87" s="100">
        <v>11</v>
      </c>
      <c r="CA87" s="100">
        <v>11814</v>
      </c>
      <c r="CB87" s="100">
        <v>9</v>
      </c>
      <c r="CC87" s="100">
        <v>9666</v>
      </c>
      <c r="CD87" s="100">
        <v>9</v>
      </c>
      <c r="CE87" s="100">
        <v>9666</v>
      </c>
      <c r="CF87" s="100">
        <v>10</v>
      </c>
      <c r="CG87" s="100">
        <v>10740</v>
      </c>
      <c r="CH87" s="100">
        <v>10</v>
      </c>
      <c r="CI87" s="100">
        <v>10740</v>
      </c>
      <c r="CJ87" s="100">
        <v>9</v>
      </c>
      <c r="CK87" s="100">
        <v>9666</v>
      </c>
      <c r="CL87" s="100">
        <v>7</v>
      </c>
      <c r="CM87" s="100">
        <v>7518</v>
      </c>
      <c r="CN87" s="100">
        <v>8</v>
      </c>
      <c r="CO87" s="100">
        <v>8592</v>
      </c>
      <c r="CP87" s="100">
        <v>8</v>
      </c>
      <c r="CQ87" s="100">
        <v>8592</v>
      </c>
      <c r="CR87" s="100">
        <v>11</v>
      </c>
      <c r="CS87" s="100">
        <v>11814</v>
      </c>
      <c r="CT87" s="100">
        <v>10</v>
      </c>
      <c r="CU87" s="100">
        <v>10740</v>
      </c>
    </row>
    <row r="88" spans="2:99">
      <c r="C88" s="99" t="s">
        <v>254</v>
      </c>
      <c r="D88" s="100">
        <v>7</v>
      </c>
      <c r="E88" s="100">
        <v>6946.8</v>
      </c>
      <c r="F88" s="100">
        <v>9</v>
      </c>
      <c r="G88" s="100">
        <v>8931.6</v>
      </c>
      <c r="H88" s="100">
        <v>8</v>
      </c>
      <c r="I88" s="100">
        <v>7939.2</v>
      </c>
      <c r="J88" s="100">
        <v>10</v>
      </c>
      <c r="K88" s="100">
        <v>9924</v>
      </c>
      <c r="L88" s="100">
        <v>7</v>
      </c>
      <c r="M88" s="100">
        <v>6946.8</v>
      </c>
      <c r="N88" s="100">
        <v>9</v>
      </c>
      <c r="O88" s="100">
        <v>8931.6</v>
      </c>
      <c r="P88" s="100">
        <v>8</v>
      </c>
      <c r="Q88" s="100">
        <v>7939.2</v>
      </c>
      <c r="R88" s="100">
        <v>10</v>
      </c>
      <c r="S88" s="100">
        <v>9924</v>
      </c>
      <c r="T88" s="100">
        <v>11</v>
      </c>
      <c r="U88" s="100">
        <v>10916.4</v>
      </c>
      <c r="V88" s="100">
        <v>9</v>
      </c>
      <c r="W88" s="100">
        <v>8931.6</v>
      </c>
      <c r="X88" s="100">
        <v>11</v>
      </c>
      <c r="Y88" s="100">
        <v>10916.4</v>
      </c>
      <c r="Z88" s="100">
        <v>11</v>
      </c>
      <c r="AA88" s="100">
        <v>10916.4</v>
      </c>
      <c r="AB88" s="100">
        <v>7</v>
      </c>
      <c r="AC88" s="100">
        <v>6946.8</v>
      </c>
      <c r="AD88" s="100">
        <v>7</v>
      </c>
      <c r="AE88" s="100">
        <v>6946.8</v>
      </c>
      <c r="AF88" s="100">
        <v>9</v>
      </c>
      <c r="AG88" s="100">
        <v>8931.6</v>
      </c>
      <c r="AH88" s="100">
        <v>10</v>
      </c>
      <c r="AI88" s="100">
        <v>9924</v>
      </c>
      <c r="AJ88" s="100">
        <v>8</v>
      </c>
      <c r="AK88" s="100">
        <v>7939.2</v>
      </c>
      <c r="AL88" s="100">
        <v>11</v>
      </c>
      <c r="AM88" s="100">
        <v>10916.4</v>
      </c>
      <c r="AN88" s="100">
        <v>9</v>
      </c>
      <c r="AO88" s="100">
        <v>8931.6</v>
      </c>
      <c r="AP88" s="100">
        <v>9</v>
      </c>
      <c r="AQ88" s="100">
        <v>8931.6</v>
      </c>
      <c r="AR88" s="100">
        <v>10</v>
      </c>
      <c r="AS88" s="100">
        <v>9924</v>
      </c>
      <c r="AT88" s="100">
        <v>11</v>
      </c>
      <c r="AU88" s="100">
        <v>10916.4</v>
      </c>
      <c r="AV88" s="100">
        <v>13</v>
      </c>
      <c r="AW88" s="100">
        <v>12901.199999999999</v>
      </c>
      <c r="AX88" s="100">
        <v>11</v>
      </c>
      <c r="AY88" s="100">
        <v>10916.4</v>
      </c>
      <c r="AZ88" s="100">
        <v>9</v>
      </c>
      <c r="BA88" s="100">
        <v>8931.6</v>
      </c>
      <c r="BB88" s="100">
        <v>9</v>
      </c>
      <c r="BC88" s="100">
        <v>8931.6</v>
      </c>
      <c r="BD88" s="100">
        <v>9</v>
      </c>
      <c r="BE88" s="100">
        <v>8931.6</v>
      </c>
      <c r="BF88" s="100">
        <v>11</v>
      </c>
      <c r="BG88" s="100">
        <v>10916.4</v>
      </c>
      <c r="BH88" s="100">
        <v>7</v>
      </c>
      <c r="BI88" s="100">
        <v>6946.8</v>
      </c>
      <c r="BJ88" s="100">
        <v>7</v>
      </c>
      <c r="BK88" s="100">
        <v>6946.8</v>
      </c>
      <c r="BL88" s="100">
        <v>10</v>
      </c>
      <c r="BM88" s="100">
        <v>9924</v>
      </c>
      <c r="BN88" s="100">
        <v>11</v>
      </c>
      <c r="BO88" s="100">
        <v>10916.4</v>
      </c>
      <c r="BP88" s="100">
        <v>7</v>
      </c>
      <c r="BQ88" s="100">
        <v>6946.8</v>
      </c>
      <c r="BR88" s="100">
        <v>8</v>
      </c>
      <c r="BS88" s="100">
        <v>7939.2</v>
      </c>
      <c r="BT88" s="100">
        <v>8</v>
      </c>
      <c r="BU88" s="100">
        <v>7939.2</v>
      </c>
      <c r="BV88" s="100">
        <v>10</v>
      </c>
      <c r="BW88" s="100">
        <v>9924</v>
      </c>
      <c r="BX88" s="100">
        <v>12</v>
      </c>
      <c r="BY88" s="100">
        <v>11908.8</v>
      </c>
      <c r="BZ88" s="100">
        <v>12</v>
      </c>
      <c r="CA88" s="100">
        <v>11908.8</v>
      </c>
      <c r="CB88" s="100">
        <v>9</v>
      </c>
      <c r="CC88" s="100">
        <v>8931.6</v>
      </c>
      <c r="CD88" s="100">
        <v>9</v>
      </c>
      <c r="CE88" s="100">
        <v>8931.6</v>
      </c>
      <c r="CF88" s="100">
        <v>10</v>
      </c>
      <c r="CG88" s="100">
        <v>9924</v>
      </c>
      <c r="CH88" s="100">
        <v>10</v>
      </c>
      <c r="CI88" s="100">
        <v>9924</v>
      </c>
      <c r="CJ88" s="100">
        <v>9</v>
      </c>
      <c r="CK88" s="100">
        <v>8931.6</v>
      </c>
      <c r="CL88" s="100">
        <v>7</v>
      </c>
      <c r="CM88" s="100">
        <v>6946.8</v>
      </c>
      <c r="CN88" s="100">
        <v>9</v>
      </c>
      <c r="CO88" s="100">
        <v>8931.6</v>
      </c>
      <c r="CP88" s="100">
        <v>10</v>
      </c>
      <c r="CQ88" s="100">
        <v>9924</v>
      </c>
      <c r="CR88" s="100">
        <v>12</v>
      </c>
      <c r="CS88" s="100">
        <v>11908.8</v>
      </c>
      <c r="CT88" s="100">
        <v>10</v>
      </c>
      <c r="CU88" s="100">
        <v>9924</v>
      </c>
    </row>
    <row r="89" spans="2:99">
      <c r="C89" s="99" t="s">
        <v>255</v>
      </c>
      <c r="D89" s="100">
        <v>8</v>
      </c>
      <c r="E89" s="100">
        <v>8496</v>
      </c>
      <c r="F89" s="100">
        <v>10</v>
      </c>
      <c r="G89" s="100">
        <v>10620</v>
      </c>
      <c r="H89" s="100">
        <v>8</v>
      </c>
      <c r="I89" s="100">
        <v>8496</v>
      </c>
      <c r="J89" s="100">
        <v>11</v>
      </c>
      <c r="K89" s="100">
        <v>11682</v>
      </c>
      <c r="L89" s="100">
        <v>6</v>
      </c>
      <c r="M89" s="100">
        <v>6372</v>
      </c>
      <c r="N89" s="100">
        <v>8</v>
      </c>
      <c r="O89" s="100">
        <v>8496</v>
      </c>
      <c r="P89" s="100">
        <v>8</v>
      </c>
      <c r="Q89" s="100">
        <v>8496</v>
      </c>
      <c r="R89" s="100">
        <v>11</v>
      </c>
      <c r="S89" s="100">
        <v>11682</v>
      </c>
      <c r="T89" s="100">
        <v>11</v>
      </c>
      <c r="U89" s="100">
        <v>11682</v>
      </c>
      <c r="V89" s="100">
        <v>9</v>
      </c>
      <c r="W89" s="100">
        <v>9558</v>
      </c>
      <c r="X89" s="100">
        <v>11</v>
      </c>
      <c r="Y89" s="100">
        <v>11682</v>
      </c>
      <c r="Z89" s="100">
        <v>11</v>
      </c>
      <c r="AA89" s="100">
        <v>11682</v>
      </c>
      <c r="AB89" s="100">
        <v>6</v>
      </c>
      <c r="AC89" s="100">
        <v>6372</v>
      </c>
      <c r="AD89" s="100">
        <v>7</v>
      </c>
      <c r="AE89" s="100">
        <v>7434</v>
      </c>
      <c r="AF89" s="100">
        <v>9</v>
      </c>
      <c r="AG89" s="100">
        <v>9558</v>
      </c>
      <c r="AH89" s="100">
        <v>11</v>
      </c>
      <c r="AI89" s="100">
        <v>11682</v>
      </c>
      <c r="AJ89" s="100">
        <v>7</v>
      </c>
      <c r="AK89" s="100">
        <v>7434</v>
      </c>
      <c r="AL89" s="100">
        <v>12</v>
      </c>
      <c r="AM89" s="100">
        <v>12744</v>
      </c>
      <c r="AN89" s="100">
        <v>10</v>
      </c>
      <c r="AO89" s="100">
        <v>10620</v>
      </c>
      <c r="AP89" s="100">
        <v>10</v>
      </c>
      <c r="AQ89" s="100">
        <v>10620</v>
      </c>
      <c r="AR89" s="100">
        <v>8</v>
      </c>
      <c r="AS89" s="100">
        <v>8496</v>
      </c>
      <c r="AT89" s="100">
        <v>11</v>
      </c>
      <c r="AU89" s="100">
        <v>11682</v>
      </c>
      <c r="AV89" s="100">
        <v>11</v>
      </c>
      <c r="AW89" s="100">
        <v>11682</v>
      </c>
      <c r="AX89" s="100">
        <v>12</v>
      </c>
      <c r="AY89" s="100">
        <v>12744</v>
      </c>
      <c r="AZ89" s="100">
        <v>11</v>
      </c>
      <c r="BA89" s="100">
        <v>11682</v>
      </c>
      <c r="BB89" s="100">
        <v>10</v>
      </c>
      <c r="BC89" s="100">
        <v>10620</v>
      </c>
      <c r="BD89" s="100">
        <v>9</v>
      </c>
      <c r="BE89" s="100">
        <v>9558</v>
      </c>
      <c r="BF89" s="100">
        <v>12</v>
      </c>
      <c r="BG89" s="100">
        <v>12744</v>
      </c>
      <c r="BH89" s="100">
        <v>7</v>
      </c>
      <c r="BI89" s="100">
        <v>7434</v>
      </c>
      <c r="BJ89" s="100">
        <v>7</v>
      </c>
      <c r="BK89" s="100">
        <v>7434</v>
      </c>
      <c r="BL89" s="100">
        <v>11</v>
      </c>
      <c r="BM89" s="100">
        <v>11682</v>
      </c>
      <c r="BN89" s="100">
        <v>11</v>
      </c>
      <c r="BO89" s="100">
        <v>11682</v>
      </c>
      <c r="BP89" s="100">
        <v>7</v>
      </c>
      <c r="BQ89" s="100">
        <v>7434</v>
      </c>
      <c r="BR89" s="100">
        <v>9</v>
      </c>
      <c r="BS89" s="100">
        <v>9558</v>
      </c>
      <c r="BT89" s="100">
        <v>8</v>
      </c>
      <c r="BU89" s="100">
        <v>8496</v>
      </c>
      <c r="BV89" s="100">
        <v>10</v>
      </c>
      <c r="BW89" s="100">
        <v>10620</v>
      </c>
      <c r="BX89" s="100">
        <v>12</v>
      </c>
      <c r="BY89" s="100">
        <v>12744</v>
      </c>
      <c r="BZ89" s="100">
        <v>11</v>
      </c>
      <c r="CA89" s="100">
        <v>11682</v>
      </c>
      <c r="CB89" s="100">
        <v>10</v>
      </c>
      <c r="CC89" s="100">
        <v>10620</v>
      </c>
      <c r="CD89" s="100">
        <v>8</v>
      </c>
      <c r="CE89" s="100">
        <v>8496</v>
      </c>
      <c r="CF89" s="100">
        <v>9</v>
      </c>
      <c r="CG89" s="100">
        <v>9558</v>
      </c>
      <c r="CH89" s="100">
        <v>11</v>
      </c>
      <c r="CI89" s="100">
        <v>11682</v>
      </c>
      <c r="CJ89" s="100">
        <v>9</v>
      </c>
      <c r="CK89" s="100">
        <v>9558</v>
      </c>
      <c r="CL89" s="100">
        <v>7</v>
      </c>
      <c r="CM89" s="100">
        <v>7434</v>
      </c>
      <c r="CN89" s="100">
        <v>9</v>
      </c>
      <c r="CO89" s="100">
        <v>9558</v>
      </c>
      <c r="CP89" s="100">
        <v>9</v>
      </c>
      <c r="CQ89" s="100">
        <v>9558</v>
      </c>
      <c r="CR89" s="100">
        <v>11</v>
      </c>
      <c r="CS89" s="100">
        <v>11682</v>
      </c>
      <c r="CT89" s="100">
        <v>11</v>
      </c>
      <c r="CU89" s="100">
        <v>11682</v>
      </c>
    </row>
    <row r="90" spans="2:99">
      <c r="C90" s="99" t="s">
        <v>256</v>
      </c>
      <c r="D90" s="100">
        <v>8</v>
      </c>
      <c r="E90" s="100">
        <v>8870.4</v>
      </c>
      <c r="F90" s="100">
        <v>9</v>
      </c>
      <c r="G90" s="100">
        <v>9979.1999999999989</v>
      </c>
      <c r="H90" s="100">
        <v>8</v>
      </c>
      <c r="I90" s="100">
        <v>8870.4</v>
      </c>
      <c r="J90" s="100">
        <v>10</v>
      </c>
      <c r="K90" s="100">
        <v>11088</v>
      </c>
      <c r="L90" s="100">
        <v>7</v>
      </c>
      <c r="M90" s="100">
        <v>7761.5999999999995</v>
      </c>
      <c r="N90" s="100">
        <v>9</v>
      </c>
      <c r="O90" s="100">
        <v>9979.1999999999989</v>
      </c>
      <c r="P90" s="100">
        <v>8</v>
      </c>
      <c r="Q90" s="100">
        <v>8870.4</v>
      </c>
      <c r="R90" s="100">
        <v>10</v>
      </c>
      <c r="S90" s="100">
        <v>11088</v>
      </c>
      <c r="T90" s="100">
        <v>12</v>
      </c>
      <c r="U90" s="100">
        <v>13305.599999999999</v>
      </c>
      <c r="V90" s="100">
        <v>8</v>
      </c>
      <c r="W90" s="100">
        <v>8870.4</v>
      </c>
      <c r="X90" s="100">
        <v>12</v>
      </c>
      <c r="Y90" s="100">
        <v>13305.599999999999</v>
      </c>
      <c r="Z90" s="100">
        <v>12</v>
      </c>
      <c r="AA90" s="100">
        <v>13305.599999999999</v>
      </c>
      <c r="AB90" s="100">
        <v>6</v>
      </c>
      <c r="AC90" s="100">
        <v>6652.7999999999993</v>
      </c>
      <c r="AD90" s="100">
        <v>8</v>
      </c>
      <c r="AE90" s="100">
        <v>8870.4</v>
      </c>
      <c r="AF90" s="100">
        <v>9</v>
      </c>
      <c r="AG90" s="100">
        <v>9979.1999999999989</v>
      </c>
      <c r="AH90" s="100">
        <v>11</v>
      </c>
      <c r="AI90" s="100">
        <v>12196.8</v>
      </c>
      <c r="AJ90" s="100">
        <v>8</v>
      </c>
      <c r="AK90" s="100">
        <v>8870.4</v>
      </c>
      <c r="AL90" s="100">
        <v>12</v>
      </c>
      <c r="AM90" s="100">
        <v>13305.599999999999</v>
      </c>
      <c r="AN90" s="100">
        <v>9</v>
      </c>
      <c r="AO90" s="100">
        <v>9979.1999999999989</v>
      </c>
      <c r="AP90" s="100">
        <v>11</v>
      </c>
      <c r="AQ90" s="100">
        <v>12196.8</v>
      </c>
      <c r="AR90" s="100">
        <v>9</v>
      </c>
      <c r="AS90" s="100">
        <v>9979.1999999999989</v>
      </c>
      <c r="AT90" s="100">
        <v>9</v>
      </c>
      <c r="AU90" s="100">
        <v>9979.1999999999989</v>
      </c>
      <c r="AV90" s="100">
        <v>11</v>
      </c>
      <c r="AW90" s="100">
        <v>12196.8</v>
      </c>
      <c r="AX90" s="100">
        <v>12</v>
      </c>
      <c r="AY90" s="100">
        <v>13305.599999999999</v>
      </c>
      <c r="AZ90" s="100">
        <v>11</v>
      </c>
      <c r="BA90" s="100">
        <v>12196.8</v>
      </c>
      <c r="BB90" s="100">
        <v>10</v>
      </c>
      <c r="BC90" s="100">
        <v>11088</v>
      </c>
      <c r="BD90" s="100">
        <v>10</v>
      </c>
      <c r="BE90" s="100">
        <v>11088</v>
      </c>
      <c r="BF90" s="100">
        <v>10</v>
      </c>
      <c r="BG90" s="100">
        <v>11088</v>
      </c>
      <c r="BH90" s="100">
        <v>7</v>
      </c>
      <c r="BI90" s="100">
        <v>7761.5999999999995</v>
      </c>
      <c r="BJ90" s="100">
        <v>7</v>
      </c>
      <c r="BK90" s="100">
        <v>7761.5999999999995</v>
      </c>
      <c r="BL90" s="100">
        <v>12</v>
      </c>
      <c r="BM90" s="100">
        <v>13305.599999999999</v>
      </c>
      <c r="BN90" s="100">
        <v>11</v>
      </c>
      <c r="BO90" s="100">
        <v>12196.8</v>
      </c>
      <c r="BP90" s="100">
        <v>7</v>
      </c>
      <c r="BQ90" s="100">
        <v>7761.5999999999995</v>
      </c>
      <c r="BR90" s="100">
        <v>9</v>
      </c>
      <c r="BS90" s="100">
        <v>9979.1999999999989</v>
      </c>
      <c r="BT90" s="100">
        <v>8</v>
      </c>
      <c r="BU90" s="100">
        <v>8870.4</v>
      </c>
      <c r="BV90" s="100">
        <v>10</v>
      </c>
      <c r="BW90" s="100">
        <v>11088</v>
      </c>
      <c r="BX90" s="100">
        <v>11</v>
      </c>
      <c r="BY90" s="100">
        <v>12196.8</v>
      </c>
      <c r="BZ90" s="100">
        <v>12</v>
      </c>
      <c r="CA90" s="100">
        <v>13305.599999999999</v>
      </c>
      <c r="CB90" s="100">
        <v>10</v>
      </c>
      <c r="CC90" s="100">
        <v>11088</v>
      </c>
      <c r="CD90" s="100">
        <v>8</v>
      </c>
      <c r="CE90" s="100">
        <v>8870.4</v>
      </c>
      <c r="CF90" s="100">
        <v>9</v>
      </c>
      <c r="CG90" s="100">
        <v>9979.1999999999989</v>
      </c>
      <c r="CH90" s="100">
        <v>11</v>
      </c>
      <c r="CI90" s="100">
        <v>12196.8</v>
      </c>
      <c r="CJ90" s="100">
        <v>10</v>
      </c>
      <c r="CK90" s="100">
        <v>11088</v>
      </c>
      <c r="CL90" s="100">
        <v>8</v>
      </c>
      <c r="CM90" s="100">
        <v>8870.4</v>
      </c>
      <c r="CN90" s="100">
        <v>9</v>
      </c>
      <c r="CO90" s="100">
        <v>9979.1999999999989</v>
      </c>
      <c r="CP90" s="100">
        <v>9</v>
      </c>
      <c r="CQ90" s="100">
        <v>9979.1999999999989</v>
      </c>
      <c r="CR90" s="100">
        <v>13</v>
      </c>
      <c r="CS90" s="100">
        <v>14414.4</v>
      </c>
      <c r="CT90" s="100">
        <v>11</v>
      </c>
      <c r="CU90" s="100">
        <v>12196.8</v>
      </c>
    </row>
    <row r="91" spans="2:99">
      <c r="C91" s="99" t="s">
        <v>257</v>
      </c>
      <c r="D91" s="100">
        <v>8</v>
      </c>
      <c r="E91" s="100">
        <v>9091.1999999999989</v>
      </c>
      <c r="F91" s="100">
        <v>10</v>
      </c>
      <c r="G91" s="100">
        <v>11363.999999999998</v>
      </c>
      <c r="H91" s="100">
        <v>8</v>
      </c>
      <c r="I91" s="100">
        <v>9091.1999999999989</v>
      </c>
      <c r="J91" s="100">
        <v>10</v>
      </c>
      <c r="K91" s="100">
        <v>11363.999999999998</v>
      </c>
      <c r="L91" s="100">
        <v>6</v>
      </c>
      <c r="M91" s="100">
        <v>6818.4</v>
      </c>
      <c r="N91" s="100">
        <v>8</v>
      </c>
      <c r="O91" s="100">
        <v>9091.1999999999989</v>
      </c>
      <c r="P91" s="100">
        <v>9</v>
      </c>
      <c r="Q91" s="100">
        <v>10227.599999999999</v>
      </c>
      <c r="R91" s="100">
        <v>10</v>
      </c>
      <c r="S91" s="100">
        <v>11363.999999999998</v>
      </c>
      <c r="T91" s="100">
        <v>11</v>
      </c>
      <c r="U91" s="100">
        <v>12500.399999999998</v>
      </c>
      <c r="V91" s="100">
        <v>9</v>
      </c>
      <c r="W91" s="100">
        <v>10227.599999999999</v>
      </c>
      <c r="X91" s="100">
        <v>11</v>
      </c>
      <c r="Y91" s="100">
        <v>12500.399999999998</v>
      </c>
      <c r="Z91" s="100">
        <v>12</v>
      </c>
      <c r="AA91" s="100">
        <v>13636.8</v>
      </c>
      <c r="AB91" s="100">
        <v>6</v>
      </c>
      <c r="AC91" s="100">
        <v>6818.4</v>
      </c>
      <c r="AD91" s="100">
        <v>7</v>
      </c>
      <c r="AE91" s="100">
        <v>7954.7999999999993</v>
      </c>
      <c r="AF91" s="100">
        <v>9</v>
      </c>
      <c r="AG91" s="100">
        <v>10227.599999999999</v>
      </c>
      <c r="AH91" s="100">
        <v>10</v>
      </c>
      <c r="AI91" s="100">
        <v>11363.999999999998</v>
      </c>
      <c r="AJ91" s="100">
        <v>7</v>
      </c>
      <c r="AK91" s="100">
        <v>7954.7999999999993</v>
      </c>
      <c r="AL91" s="100">
        <v>11</v>
      </c>
      <c r="AM91" s="100">
        <v>12500.399999999998</v>
      </c>
      <c r="AN91" s="100">
        <v>10</v>
      </c>
      <c r="AO91" s="100">
        <v>11363.999999999998</v>
      </c>
      <c r="AP91" s="100">
        <v>9</v>
      </c>
      <c r="AQ91" s="100">
        <v>10227.599999999999</v>
      </c>
      <c r="AR91" s="100">
        <v>10</v>
      </c>
      <c r="AS91" s="100">
        <v>11363.999999999998</v>
      </c>
      <c r="AT91" s="100">
        <v>10</v>
      </c>
      <c r="AU91" s="100">
        <v>11363.999999999998</v>
      </c>
      <c r="AV91" s="100">
        <v>12</v>
      </c>
      <c r="AW91" s="100">
        <v>13636.8</v>
      </c>
      <c r="AX91" s="100">
        <v>11</v>
      </c>
      <c r="AY91" s="100">
        <v>12500.399999999998</v>
      </c>
      <c r="AZ91" s="100">
        <v>9</v>
      </c>
      <c r="BA91" s="100">
        <v>10227.599999999999</v>
      </c>
      <c r="BB91" s="100">
        <v>9</v>
      </c>
      <c r="BC91" s="100">
        <v>10227.599999999999</v>
      </c>
      <c r="BD91" s="100">
        <v>10</v>
      </c>
      <c r="BE91" s="100">
        <v>11363.999999999998</v>
      </c>
      <c r="BF91" s="100">
        <v>11</v>
      </c>
      <c r="BG91" s="100">
        <v>12500.399999999998</v>
      </c>
      <c r="BH91" s="100">
        <v>7</v>
      </c>
      <c r="BI91" s="100">
        <v>7954.7999999999993</v>
      </c>
      <c r="BJ91" s="100">
        <v>6</v>
      </c>
      <c r="BK91" s="100">
        <v>6818.4</v>
      </c>
      <c r="BL91" s="100">
        <v>11</v>
      </c>
      <c r="BM91" s="100">
        <v>12500.399999999998</v>
      </c>
      <c r="BN91" s="100">
        <v>12</v>
      </c>
      <c r="BO91" s="100">
        <v>13636.8</v>
      </c>
      <c r="BP91" s="100">
        <v>7</v>
      </c>
      <c r="BQ91" s="100">
        <v>7954.7999999999993</v>
      </c>
      <c r="BR91" s="100">
        <v>8</v>
      </c>
      <c r="BS91" s="100">
        <v>9091.1999999999989</v>
      </c>
      <c r="BT91" s="100">
        <v>8</v>
      </c>
      <c r="BU91" s="100">
        <v>9091.1999999999989</v>
      </c>
      <c r="BV91" s="100">
        <v>10</v>
      </c>
      <c r="BW91" s="100">
        <v>11363.999999999998</v>
      </c>
      <c r="BX91" s="100">
        <v>12</v>
      </c>
      <c r="BY91" s="100">
        <v>13636.8</v>
      </c>
      <c r="BZ91" s="100">
        <v>12</v>
      </c>
      <c r="CA91" s="100">
        <v>13636.8</v>
      </c>
      <c r="CB91" s="100">
        <v>10</v>
      </c>
      <c r="CC91" s="100">
        <v>11363.999999999998</v>
      </c>
      <c r="CD91" s="100">
        <v>8</v>
      </c>
      <c r="CE91" s="100">
        <v>9091.1999999999989</v>
      </c>
      <c r="CF91" s="100">
        <v>10</v>
      </c>
      <c r="CG91" s="100">
        <v>11363.999999999998</v>
      </c>
      <c r="CH91" s="100">
        <v>11</v>
      </c>
      <c r="CI91" s="100">
        <v>12500.399999999998</v>
      </c>
      <c r="CJ91" s="100">
        <v>10</v>
      </c>
      <c r="CK91" s="100">
        <v>11363.999999999998</v>
      </c>
      <c r="CL91" s="100">
        <v>7</v>
      </c>
      <c r="CM91" s="100">
        <v>7954.7999999999993</v>
      </c>
      <c r="CN91" s="100">
        <v>8</v>
      </c>
      <c r="CO91" s="100">
        <v>9091.1999999999989</v>
      </c>
      <c r="CP91" s="100">
        <v>8</v>
      </c>
      <c r="CQ91" s="100">
        <v>9091.1999999999989</v>
      </c>
      <c r="CR91" s="100">
        <v>13</v>
      </c>
      <c r="CS91" s="100">
        <v>14773.199999999999</v>
      </c>
      <c r="CT91" s="100">
        <v>9</v>
      </c>
      <c r="CU91" s="100">
        <v>10227.599999999999</v>
      </c>
    </row>
    <row r="92" spans="2:99">
      <c r="C92" s="99" t="s">
        <v>258</v>
      </c>
      <c r="D92" s="100">
        <v>8</v>
      </c>
      <c r="E92" s="100">
        <v>6278.4</v>
      </c>
      <c r="F92" s="100">
        <v>10</v>
      </c>
      <c r="G92" s="100">
        <v>7848</v>
      </c>
      <c r="H92" s="100">
        <v>9</v>
      </c>
      <c r="I92" s="100">
        <v>7063.2</v>
      </c>
      <c r="J92" s="100">
        <v>12</v>
      </c>
      <c r="K92" s="100">
        <v>9417.5999999999985</v>
      </c>
      <c r="L92" s="100">
        <v>7</v>
      </c>
      <c r="M92" s="100">
        <v>5493.5999999999995</v>
      </c>
      <c r="N92" s="100">
        <v>9</v>
      </c>
      <c r="O92" s="100">
        <v>7063.2</v>
      </c>
      <c r="P92" s="100">
        <v>9</v>
      </c>
      <c r="Q92" s="100">
        <v>7063.2</v>
      </c>
      <c r="R92" s="100">
        <v>10</v>
      </c>
      <c r="S92" s="100">
        <v>7848</v>
      </c>
      <c r="T92" s="100">
        <v>12</v>
      </c>
      <c r="U92" s="100">
        <v>9417.5999999999985</v>
      </c>
      <c r="V92" s="100">
        <v>9</v>
      </c>
      <c r="W92" s="100">
        <v>7063.2</v>
      </c>
      <c r="X92" s="100">
        <v>11</v>
      </c>
      <c r="Y92" s="100">
        <v>8632.7999999999993</v>
      </c>
      <c r="Z92" s="100">
        <v>11</v>
      </c>
      <c r="AA92" s="100">
        <v>8632.7999999999993</v>
      </c>
      <c r="AB92" s="100">
        <v>6</v>
      </c>
      <c r="AC92" s="100">
        <v>4708.7999999999993</v>
      </c>
      <c r="AD92" s="100">
        <v>8</v>
      </c>
      <c r="AE92" s="100">
        <v>6278.4</v>
      </c>
      <c r="AF92" s="100">
        <v>9</v>
      </c>
      <c r="AG92" s="100">
        <v>7063.2</v>
      </c>
      <c r="AH92" s="100">
        <v>11</v>
      </c>
      <c r="AI92" s="100">
        <v>8632.7999999999993</v>
      </c>
      <c r="AJ92" s="100">
        <v>7</v>
      </c>
      <c r="AK92" s="100">
        <v>5493.5999999999995</v>
      </c>
      <c r="AL92" s="100">
        <v>11</v>
      </c>
      <c r="AM92" s="100">
        <v>8632.7999999999993</v>
      </c>
      <c r="AN92" s="100">
        <v>10</v>
      </c>
      <c r="AO92" s="100">
        <v>7848</v>
      </c>
      <c r="AP92" s="100">
        <v>11</v>
      </c>
      <c r="AQ92" s="100">
        <v>8632.7999999999993</v>
      </c>
      <c r="AR92" s="100">
        <v>9</v>
      </c>
      <c r="AS92" s="100">
        <v>7063.2</v>
      </c>
      <c r="AT92" s="100">
        <v>10</v>
      </c>
      <c r="AU92" s="100">
        <v>7848</v>
      </c>
      <c r="AV92" s="100">
        <v>12</v>
      </c>
      <c r="AW92" s="100">
        <v>9417.5999999999985</v>
      </c>
      <c r="AX92" s="100">
        <v>12</v>
      </c>
      <c r="AY92" s="100">
        <v>9417.5999999999985</v>
      </c>
      <c r="AZ92" s="100">
        <v>11</v>
      </c>
      <c r="BA92" s="100">
        <v>8632.7999999999993</v>
      </c>
      <c r="BB92" s="100">
        <v>8</v>
      </c>
      <c r="BC92" s="100">
        <v>6278.4</v>
      </c>
      <c r="BD92" s="100">
        <v>10</v>
      </c>
      <c r="BE92" s="100">
        <v>7848</v>
      </c>
      <c r="BF92" s="100">
        <v>10</v>
      </c>
      <c r="BG92" s="100">
        <v>7848</v>
      </c>
      <c r="BH92" s="100">
        <v>7</v>
      </c>
      <c r="BI92" s="100">
        <v>5493.5999999999995</v>
      </c>
      <c r="BJ92" s="100">
        <v>7</v>
      </c>
      <c r="BK92" s="100">
        <v>5493.5999999999995</v>
      </c>
      <c r="BL92" s="100">
        <v>12</v>
      </c>
      <c r="BM92" s="100">
        <v>9417.5999999999985</v>
      </c>
      <c r="BN92" s="100">
        <v>11</v>
      </c>
      <c r="BO92" s="100">
        <v>8632.7999999999993</v>
      </c>
      <c r="BP92" s="100">
        <v>7</v>
      </c>
      <c r="BQ92" s="100">
        <v>5493.5999999999995</v>
      </c>
      <c r="BR92" s="100">
        <v>9</v>
      </c>
      <c r="BS92" s="100">
        <v>7063.2</v>
      </c>
      <c r="BT92" s="100">
        <v>10</v>
      </c>
      <c r="BU92" s="100">
        <v>7848</v>
      </c>
      <c r="BV92" s="100">
        <v>10</v>
      </c>
      <c r="BW92" s="100">
        <v>7848</v>
      </c>
      <c r="BX92" s="100">
        <v>12</v>
      </c>
      <c r="BY92" s="100">
        <v>9417.5999999999985</v>
      </c>
      <c r="BZ92" s="100">
        <v>12</v>
      </c>
      <c r="CA92" s="100">
        <v>9417.5999999999985</v>
      </c>
      <c r="CB92" s="100">
        <v>11</v>
      </c>
      <c r="CC92" s="100">
        <v>8632.7999999999993</v>
      </c>
      <c r="CD92" s="100">
        <v>9</v>
      </c>
      <c r="CE92" s="100">
        <v>7063.2</v>
      </c>
      <c r="CF92" s="100">
        <v>9</v>
      </c>
      <c r="CG92" s="100">
        <v>7063.2</v>
      </c>
      <c r="CH92" s="100">
        <v>12</v>
      </c>
      <c r="CI92" s="100">
        <v>9417.5999999999985</v>
      </c>
      <c r="CJ92" s="100">
        <v>9</v>
      </c>
      <c r="CK92" s="100">
        <v>7063.2</v>
      </c>
      <c r="CL92" s="100">
        <v>8</v>
      </c>
      <c r="CM92" s="100">
        <v>6278.4</v>
      </c>
      <c r="CN92" s="100">
        <v>9</v>
      </c>
      <c r="CO92" s="100">
        <v>7063.2</v>
      </c>
      <c r="CP92" s="100">
        <v>10</v>
      </c>
      <c r="CQ92" s="100">
        <v>7848</v>
      </c>
      <c r="CR92" s="100">
        <v>13</v>
      </c>
      <c r="CS92" s="100">
        <v>10202.4</v>
      </c>
      <c r="CT92" s="100">
        <v>10</v>
      </c>
      <c r="CU92" s="100">
        <v>7848</v>
      </c>
    </row>
    <row r="93" spans="2:99">
      <c r="C93" s="99" t="s">
        <v>259</v>
      </c>
      <c r="D93" s="100">
        <v>7</v>
      </c>
      <c r="E93" s="100">
        <v>4855.2</v>
      </c>
      <c r="F93" s="100">
        <v>9</v>
      </c>
      <c r="G93" s="100">
        <v>6242.4000000000005</v>
      </c>
      <c r="H93" s="100">
        <v>9</v>
      </c>
      <c r="I93" s="100">
        <v>6242.4000000000005</v>
      </c>
      <c r="J93" s="100">
        <v>11</v>
      </c>
      <c r="K93" s="100">
        <v>7629.6</v>
      </c>
      <c r="L93" s="100">
        <v>7</v>
      </c>
      <c r="M93" s="100">
        <v>4855.2</v>
      </c>
      <c r="N93" s="100">
        <v>9</v>
      </c>
      <c r="O93" s="100">
        <v>6242.4000000000005</v>
      </c>
      <c r="P93" s="100">
        <v>9</v>
      </c>
      <c r="Q93" s="100">
        <v>6242.4000000000005</v>
      </c>
      <c r="R93" s="100">
        <v>11</v>
      </c>
      <c r="S93" s="100">
        <v>7629.6</v>
      </c>
      <c r="T93" s="100">
        <v>11</v>
      </c>
      <c r="U93" s="100">
        <v>7629.6</v>
      </c>
      <c r="V93" s="100">
        <v>9</v>
      </c>
      <c r="W93" s="100">
        <v>6242.4000000000005</v>
      </c>
      <c r="X93" s="100">
        <v>10</v>
      </c>
      <c r="Y93" s="100">
        <v>6936</v>
      </c>
      <c r="Z93" s="100">
        <v>12</v>
      </c>
      <c r="AA93" s="100">
        <v>8323.2000000000007</v>
      </c>
      <c r="AB93" s="100">
        <v>6</v>
      </c>
      <c r="AC93" s="100">
        <v>4161.6000000000004</v>
      </c>
      <c r="AD93" s="100">
        <v>7</v>
      </c>
      <c r="AE93" s="100">
        <v>4855.2</v>
      </c>
      <c r="AF93" s="100">
        <v>8</v>
      </c>
      <c r="AG93" s="100">
        <v>5548.8</v>
      </c>
      <c r="AH93" s="100">
        <v>13</v>
      </c>
      <c r="AI93" s="100">
        <v>9016.8000000000011</v>
      </c>
      <c r="AJ93" s="100">
        <v>7</v>
      </c>
      <c r="AK93" s="100">
        <v>4855.2</v>
      </c>
      <c r="AL93" s="100">
        <v>12</v>
      </c>
      <c r="AM93" s="100">
        <v>8323.2000000000007</v>
      </c>
      <c r="AN93" s="100">
        <v>10</v>
      </c>
      <c r="AO93" s="100">
        <v>6936</v>
      </c>
      <c r="AP93" s="100">
        <v>10</v>
      </c>
      <c r="AQ93" s="100">
        <v>6936</v>
      </c>
      <c r="AR93" s="100">
        <v>10</v>
      </c>
      <c r="AS93" s="100">
        <v>6936</v>
      </c>
      <c r="AT93" s="100">
        <v>10</v>
      </c>
      <c r="AU93" s="100">
        <v>6936</v>
      </c>
      <c r="AV93" s="100">
        <v>11</v>
      </c>
      <c r="AW93" s="100">
        <v>7629.6</v>
      </c>
      <c r="AX93" s="100">
        <v>12</v>
      </c>
      <c r="AY93" s="100">
        <v>8323.2000000000007</v>
      </c>
      <c r="AZ93" s="100">
        <v>10</v>
      </c>
      <c r="BA93" s="100">
        <v>6936</v>
      </c>
      <c r="BB93" s="100">
        <v>8</v>
      </c>
      <c r="BC93" s="100">
        <v>5548.8</v>
      </c>
      <c r="BD93" s="100">
        <v>10</v>
      </c>
      <c r="BE93" s="100">
        <v>6936</v>
      </c>
      <c r="BF93" s="100">
        <v>11</v>
      </c>
      <c r="BG93" s="100">
        <v>7629.6</v>
      </c>
      <c r="BH93" s="100">
        <v>7</v>
      </c>
      <c r="BI93" s="100">
        <v>4855.2</v>
      </c>
      <c r="BJ93" s="100">
        <v>6</v>
      </c>
      <c r="BK93" s="100">
        <v>4161.6000000000004</v>
      </c>
      <c r="BL93" s="100">
        <v>11</v>
      </c>
      <c r="BM93" s="100">
        <v>7629.6</v>
      </c>
      <c r="BN93" s="100">
        <v>10</v>
      </c>
      <c r="BO93" s="100">
        <v>6936</v>
      </c>
      <c r="BP93" s="100">
        <v>8</v>
      </c>
      <c r="BQ93" s="100">
        <v>5548.8</v>
      </c>
      <c r="BR93" s="100">
        <v>8</v>
      </c>
      <c r="BS93" s="100">
        <v>5548.8</v>
      </c>
      <c r="BT93" s="100">
        <v>9</v>
      </c>
      <c r="BU93" s="100">
        <v>6242.4000000000005</v>
      </c>
      <c r="BV93" s="100">
        <v>10</v>
      </c>
      <c r="BW93" s="100">
        <v>6936</v>
      </c>
      <c r="BX93" s="100">
        <v>12</v>
      </c>
      <c r="BY93" s="100">
        <v>8323.2000000000007</v>
      </c>
      <c r="BZ93" s="100">
        <v>11</v>
      </c>
      <c r="CA93" s="100">
        <v>7629.6</v>
      </c>
      <c r="CB93" s="100">
        <v>11</v>
      </c>
      <c r="CC93" s="100">
        <v>7629.6</v>
      </c>
      <c r="CD93" s="100">
        <v>9</v>
      </c>
      <c r="CE93" s="100">
        <v>6242.4000000000005</v>
      </c>
      <c r="CF93" s="100">
        <v>10</v>
      </c>
      <c r="CG93" s="100">
        <v>6936</v>
      </c>
      <c r="CH93" s="100">
        <v>11</v>
      </c>
      <c r="CI93" s="100">
        <v>7629.6</v>
      </c>
      <c r="CJ93" s="100">
        <v>10</v>
      </c>
      <c r="CK93" s="100">
        <v>6936</v>
      </c>
      <c r="CL93" s="100">
        <v>8</v>
      </c>
      <c r="CM93" s="100">
        <v>5548.8</v>
      </c>
      <c r="CN93" s="100">
        <v>8</v>
      </c>
      <c r="CO93" s="100">
        <v>5548.8</v>
      </c>
      <c r="CP93" s="100">
        <v>10</v>
      </c>
      <c r="CQ93" s="100">
        <v>6936</v>
      </c>
      <c r="CR93" s="100">
        <v>12</v>
      </c>
      <c r="CS93" s="100">
        <v>8323.2000000000007</v>
      </c>
      <c r="CT93" s="100">
        <v>11</v>
      </c>
      <c r="CU93" s="100">
        <v>7629.6</v>
      </c>
    </row>
    <row r="94" spans="2:99">
      <c r="C94" s="99" t="s">
        <v>260</v>
      </c>
      <c r="D94" s="100">
        <v>8</v>
      </c>
      <c r="E94" s="100">
        <v>9542.4</v>
      </c>
      <c r="F94" s="100">
        <v>10</v>
      </c>
      <c r="G94" s="100">
        <v>11928</v>
      </c>
      <c r="H94" s="100">
        <v>8</v>
      </c>
      <c r="I94" s="100">
        <v>9542.4</v>
      </c>
      <c r="J94" s="100">
        <v>11</v>
      </c>
      <c r="K94" s="100">
        <v>13120.8</v>
      </c>
      <c r="L94" s="100">
        <v>6</v>
      </c>
      <c r="M94" s="100">
        <v>7156.7999999999993</v>
      </c>
      <c r="N94" s="100">
        <v>9</v>
      </c>
      <c r="O94" s="100">
        <v>10735.199999999999</v>
      </c>
      <c r="P94" s="100">
        <v>8</v>
      </c>
      <c r="Q94" s="100">
        <v>9542.4</v>
      </c>
      <c r="R94" s="100">
        <v>9</v>
      </c>
      <c r="S94" s="100">
        <v>10735.199999999999</v>
      </c>
      <c r="T94" s="100">
        <v>10</v>
      </c>
      <c r="U94" s="100">
        <v>11928</v>
      </c>
      <c r="V94" s="100">
        <v>8</v>
      </c>
      <c r="W94" s="100">
        <v>9542.4</v>
      </c>
      <c r="X94" s="100">
        <v>10</v>
      </c>
      <c r="Y94" s="100">
        <v>11928</v>
      </c>
      <c r="Z94" s="100">
        <v>12</v>
      </c>
      <c r="AA94" s="100">
        <v>14313.599999999999</v>
      </c>
      <c r="AB94" s="100">
        <v>6</v>
      </c>
      <c r="AC94" s="100">
        <v>7156.7999999999993</v>
      </c>
      <c r="AD94" s="100">
        <v>8</v>
      </c>
      <c r="AE94" s="100">
        <v>9542.4</v>
      </c>
      <c r="AF94" s="100">
        <v>9</v>
      </c>
      <c r="AG94" s="100">
        <v>10735.199999999999</v>
      </c>
      <c r="AH94" s="100">
        <v>10</v>
      </c>
      <c r="AI94" s="100">
        <v>11928</v>
      </c>
      <c r="AJ94" s="100">
        <v>7</v>
      </c>
      <c r="AK94" s="100">
        <v>8349.6</v>
      </c>
      <c r="AL94" s="100">
        <v>11</v>
      </c>
      <c r="AM94" s="100">
        <v>13120.8</v>
      </c>
      <c r="AN94" s="100">
        <v>10</v>
      </c>
      <c r="AO94" s="100">
        <v>11928</v>
      </c>
      <c r="AP94" s="100">
        <v>9</v>
      </c>
      <c r="AQ94" s="100">
        <v>10735.199999999999</v>
      </c>
      <c r="AR94" s="100">
        <v>9</v>
      </c>
      <c r="AS94" s="100">
        <v>10735.199999999999</v>
      </c>
      <c r="AT94" s="100">
        <v>11</v>
      </c>
      <c r="AU94" s="100">
        <v>13120.8</v>
      </c>
      <c r="AV94" s="100">
        <v>11</v>
      </c>
      <c r="AW94" s="100">
        <v>13120.8</v>
      </c>
      <c r="AX94" s="100">
        <v>12</v>
      </c>
      <c r="AY94" s="100">
        <v>14313.599999999999</v>
      </c>
      <c r="AZ94" s="100">
        <v>11</v>
      </c>
      <c r="BA94" s="100">
        <v>13120.8</v>
      </c>
      <c r="BB94" s="100">
        <v>9</v>
      </c>
      <c r="BC94" s="100">
        <v>10735.199999999999</v>
      </c>
      <c r="BD94" s="100">
        <v>10</v>
      </c>
      <c r="BE94" s="100">
        <v>11928</v>
      </c>
      <c r="BF94" s="100">
        <v>11</v>
      </c>
      <c r="BG94" s="100">
        <v>13120.8</v>
      </c>
      <c r="BH94" s="100">
        <v>7</v>
      </c>
      <c r="BI94" s="100">
        <v>8349.6</v>
      </c>
      <c r="BJ94" s="100">
        <v>6</v>
      </c>
      <c r="BK94" s="100">
        <v>7156.7999999999993</v>
      </c>
      <c r="BL94" s="100">
        <v>11</v>
      </c>
      <c r="BM94" s="100">
        <v>13120.8</v>
      </c>
      <c r="BN94" s="100">
        <v>12</v>
      </c>
      <c r="BO94" s="100">
        <v>14313.599999999999</v>
      </c>
      <c r="BP94" s="100">
        <v>7</v>
      </c>
      <c r="BQ94" s="100">
        <v>8349.6</v>
      </c>
      <c r="BR94" s="100">
        <v>9</v>
      </c>
      <c r="BS94" s="100">
        <v>10735.199999999999</v>
      </c>
      <c r="BT94" s="100">
        <v>8</v>
      </c>
      <c r="BU94" s="100">
        <v>9542.4</v>
      </c>
      <c r="BV94" s="100">
        <v>10</v>
      </c>
      <c r="BW94" s="100">
        <v>11928</v>
      </c>
      <c r="BX94" s="100">
        <v>12</v>
      </c>
      <c r="BY94" s="100">
        <v>14313.599999999999</v>
      </c>
      <c r="BZ94" s="100">
        <v>10</v>
      </c>
      <c r="CA94" s="100">
        <v>11928</v>
      </c>
      <c r="CB94" s="100">
        <v>10</v>
      </c>
      <c r="CC94" s="100">
        <v>11928</v>
      </c>
      <c r="CD94" s="100">
        <v>9</v>
      </c>
      <c r="CE94" s="100">
        <v>10735.199999999999</v>
      </c>
      <c r="CF94" s="100">
        <v>9</v>
      </c>
      <c r="CG94" s="100">
        <v>10735.199999999999</v>
      </c>
      <c r="CH94" s="100">
        <v>10</v>
      </c>
      <c r="CI94" s="100">
        <v>11928</v>
      </c>
      <c r="CJ94" s="100">
        <v>9</v>
      </c>
      <c r="CK94" s="100">
        <v>10735.199999999999</v>
      </c>
      <c r="CL94" s="100">
        <v>7</v>
      </c>
      <c r="CM94" s="100">
        <v>8349.6</v>
      </c>
      <c r="CN94" s="100">
        <v>9</v>
      </c>
      <c r="CO94" s="100">
        <v>10735.199999999999</v>
      </c>
      <c r="CP94" s="100">
        <v>9</v>
      </c>
      <c r="CQ94" s="100">
        <v>10735.199999999999</v>
      </c>
      <c r="CR94" s="100">
        <v>12</v>
      </c>
      <c r="CS94" s="100">
        <v>14313.599999999999</v>
      </c>
      <c r="CT94" s="100">
        <v>10</v>
      </c>
      <c r="CU94" s="100">
        <v>11928</v>
      </c>
    </row>
    <row r="95" spans="2:99">
      <c r="B95" s="99" t="s">
        <v>132</v>
      </c>
      <c r="C95" s="99" t="s">
        <v>261</v>
      </c>
      <c r="D95" s="100">
        <v>7</v>
      </c>
      <c r="E95" s="100">
        <v>2301.6</v>
      </c>
      <c r="F95" s="100">
        <v>7</v>
      </c>
      <c r="G95" s="100">
        <v>2301.6</v>
      </c>
      <c r="H95" s="100">
        <v>7</v>
      </c>
      <c r="I95" s="100">
        <v>2301.6</v>
      </c>
      <c r="J95" s="100">
        <v>9</v>
      </c>
      <c r="K95" s="100">
        <v>2959.2000000000003</v>
      </c>
      <c r="L95" s="100">
        <v>12</v>
      </c>
      <c r="M95" s="100">
        <v>3945.6000000000004</v>
      </c>
      <c r="N95" s="100">
        <v>10</v>
      </c>
      <c r="O95" s="100">
        <v>3288</v>
      </c>
      <c r="P95" s="100">
        <v>7</v>
      </c>
      <c r="Q95" s="100">
        <v>2301.6</v>
      </c>
      <c r="R95" s="100">
        <v>10</v>
      </c>
      <c r="S95" s="100">
        <v>3288</v>
      </c>
      <c r="T95" s="100">
        <v>8</v>
      </c>
      <c r="U95" s="100">
        <v>2630.4</v>
      </c>
      <c r="V95" s="100">
        <v>9</v>
      </c>
      <c r="W95" s="100">
        <v>2959.2000000000003</v>
      </c>
      <c r="X95" s="100">
        <v>10</v>
      </c>
      <c r="Y95" s="100">
        <v>3288</v>
      </c>
      <c r="Z95" s="100">
        <v>9</v>
      </c>
      <c r="AA95" s="100">
        <v>2959.2000000000003</v>
      </c>
      <c r="AB95" s="100">
        <v>11</v>
      </c>
      <c r="AC95" s="100">
        <v>3616.8</v>
      </c>
      <c r="AD95" s="100">
        <v>7</v>
      </c>
      <c r="AE95" s="100">
        <v>2301.6</v>
      </c>
      <c r="AF95" s="100">
        <v>9</v>
      </c>
      <c r="AG95" s="100">
        <v>2959.2000000000003</v>
      </c>
      <c r="AH95" s="100">
        <v>8</v>
      </c>
      <c r="AI95" s="100">
        <v>2630.4</v>
      </c>
      <c r="AJ95" s="100">
        <v>10</v>
      </c>
      <c r="AK95" s="100">
        <v>3288</v>
      </c>
      <c r="AL95" s="100">
        <v>8</v>
      </c>
      <c r="AM95" s="100">
        <v>2630.4</v>
      </c>
      <c r="AN95" s="100">
        <v>10</v>
      </c>
      <c r="AO95" s="100">
        <v>3288</v>
      </c>
      <c r="AP95" s="100">
        <v>11</v>
      </c>
      <c r="AQ95" s="100">
        <v>3616.8</v>
      </c>
      <c r="AR95" s="100">
        <v>10</v>
      </c>
      <c r="AS95" s="100">
        <v>3288</v>
      </c>
      <c r="AT95" s="100">
        <v>9</v>
      </c>
      <c r="AU95" s="100">
        <v>2959.2000000000003</v>
      </c>
      <c r="AV95" s="100">
        <v>7</v>
      </c>
      <c r="AW95" s="100">
        <v>2301.6</v>
      </c>
      <c r="AX95" s="100">
        <v>7</v>
      </c>
      <c r="AY95" s="100">
        <v>2301.6</v>
      </c>
      <c r="AZ95" s="100">
        <v>7</v>
      </c>
      <c r="BA95" s="100">
        <v>2301.6</v>
      </c>
      <c r="BB95" s="100">
        <v>9</v>
      </c>
      <c r="BC95" s="100">
        <v>2959.2000000000003</v>
      </c>
      <c r="BD95" s="100">
        <v>10</v>
      </c>
      <c r="BE95" s="100">
        <v>3288</v>
      </c>
      <c r="BF95" s="100">
        <v>11</v>
      </c>
      <c r="BG95" s="100">
        <v>3616.8</v>
      </c>
      <c r="BH95" s="100">
        <v>9</v>
      </c>
      <c r="BI95" s="100">
        <v>2959.2000000000003</v>
      </c>
      <c r="BJ95" s="100">
        <v>10</v>
      </c>
      <c r="BK95" s="100">
        <v>3288</v>
      </c>
      <c r="BL95" s="100">
        <v>10</v>
      </c>
      <c r="BM95" s="100">
        <v>3288</v>
      </c>
      <c r="BN95" s="100">
        <v>9</v>
      </c>
      <c r="BO95" s="100">
        <v>2959.2000000000003</v>
      </c>
      <c r="BP95" s="100">
        <v>7</v>
      </c>
      <c r="BQ95" s="100">
        <v>2301.6</v>
      </c>
      <c r="BR95" s="100">
        <v>9</v>
      </c>
      <c r="BS95" s="100">
        <v>2959.2000000000003</v>
      </c>
      <c r="BT95" s="100">
        <v>9</v>
      </c>
      <c r="BU95" s="100">
        <v>2959.2000000000003</v>
      </c>
      <c r="BV95" s="100">
        <v>8</v>
      </c>
      <c r="BW95" s="100">
        <v>2630.4</v>
      </c>
      <c r="BX95" s="100">
        <v>9</v>
      </c>
      <c r="BY95" s="100">
        <v>2959.2000000000003</v>
      </c>
      <c r="BZ95" s="100">
        <v>11</v>
      </c>
      <c r="CA95" s="100">
        <v>3616.8</v>
      </c>
      <c r="CB95" s="100">
        <v>9</v>
      </c>
      <c r="CC95" s="100">
        <v>2959.2000000000003</v>
      </c>
      <c r="CD95" s="100">
        <v>12</v>
      </c>
      <c r="CE95" s="100">
        <v>3945.6000000000004</v>
      </c>
      <c r="CF95" s="100">
        <v>12</v>
      </c>
      <c r="CG95" s="100">
        <v>3945.6000000000004</v>
      </c>
      <c r="CH95" s="100">
        <v>7</v>
      </c>
      <c r="CI95" s="100">
        <v>2301.6</v>
      </c>
      <c r="CJ95" s="100">
        <v>11</v>
      </c>
      <c r="CK95" s="100">
        <v>3616.8</v>
      </c>
      <c r="CL95" s="100">
        <v>13</v>
      </c>
      <c r="CM95" s="100">
        <v>4274.4000000000005</v>
      </c>
      <c r="CN95" s="100">
        <v>11</v>
      </c>
      <c r="CO95" s="100">
        <v>3616.8</v>
      </c>
      <c r="CP95" s="100">
        <v>10</v>
      </c>
      <c r="CQ95" s="100">
        <v>3288</v>
      </c>
      <c r="CR95" s="100">
        <v>8</v>
      </c>
      <c r="CS95" s="100">
        <v>2630.4</v>
      </c>
      <c r="CT95" s="100">
        <v>11</v>
      </c>
      <c r="CU95" s="100">
        <v>3616.8</v>
      </c>
    </row>
    <row r="96" spans="2:99">
      <c r="C96" s="99" t="s">
        <v>262</v>
      </c>
      <c r="D96" s="100">
        <v>7</v>
      </c>
      <c r="E96" s="100">
        <v>4863.5999999999995</v>
      </c>
      <c r="F96" s="100">
        <v>8</v>
      </c>
      <c r="G96" s="100">
        <v>5558.4</v>
      </c>
      <c r="H96" s="100">
        <v>8</v>
      </c>
      <c r="I96" s="100">
        <v>5558.4</v>
      </c>
      <c r="J96" s="100">
        <v>9</v>
      </c>
      <c r="K96" s="100">
        <v>6253.2</v>
      </c>
      <c r="L96" s="100">
        <v>11</v>
      </c>
      <c r="M96" s="100">
        <v>7642.7999999999993</v>
      </c>
      <c r="N96" s="100">
        <v>9</v>
      </c>
      <c r="O96" s="100">
        <v>6253.2</v>
      </c>
      <c r="P96" s="100">
        <v>7</v>
      </c>
      <c r="Q96" s="100">
        <v>4863.5999999999995</v>
      </c>
      <c r="R96" s="100">
        <v>8</v>
      </c>
      <c r="S96" s="100">
        <v>5558.4</v>
      </c>
      <c r="T96" s="100">
        <v>7</v>
      </c>
      <c r="U96" s="100">
        <v>4863.5999999999995</v>
      </c>
      <c r="V96" s="100">
        <v>9</v>
      </c>
      <c r="W96" s="100">
        <v>6253.2</v>
      </c>
      <c r="X96" s="100">
        <v>10</v>
      </c>
      <c r="Y96" s="100">
        <v>6948</v>
      </c>
      <c r="Z96" s="100">
        <v>9</v>
      </c>
      <c r="AA96" s="100">
        <v>6253.2</v>
      </c>
      <c r="AB96" s="100">
        <v>9</v>
      </c>
      <c r="AC96" s="100">
        <v>6253.2</v>
      </c>
      <c r="AD96" s="100">
        <v>7</v>
      </c>
      <c r="AE96" s="100">
        <v>4863.5999999999995</v>
      </c>
      <c r="AF96" s="100">
        <v>8</v>
      </c>
      <c r="AG96" s="100">
        <v>5558.4</v>
      </c>
      <c r="AH96" s="100">
        <v>8</v>
      </c>
      <c r="AI96" s="100">
        <v>5558.4</v>
      </c>
      <c r="AJ96" s="100">
        <v>9</v>
      </c>
      <c r="AK96" s="100">
        <v>6253.2</v>
      </c>
      <c r="AL96" s="100">
        <v>7</v>
      </c>
      <c r="AM96" s="100">
        <v>4863.5999999999995</v>
      </c>
      <c r="AN96" s="100">
        <v>11</v>
      </c>
      <c r="AO96" s="100">
        <v>7642.7999999999993</v>
      </c>
      <c r="AP96" s="100">
        <v>12</v>
      </c>
      <c r="AQ96" s="100">
        <v>8337.5999999999985</v>
      </c>
      <c r="AR96" s="100">
        <v>9</v>
      </c>
      <c r="AS96" s="100">
        <v>6253.2</v>
      </c>
      <c r="AT96" s="100">
        <v>9</v>
      </c>
      <c r="AU96" s="100">
        <v>6253.2</v>
      </c>
      <c r="AV96" s="100">
        <v>7</v>
      </c>
      <c r="AW96" s="100">
        <v>4863.5999999999995</v>
      </c>
      <c r="AX96" s="100">
        <v>9</v>
      </c>
      <c r="AY96" s="100">
        <v>6253.2</v>
      </c>
      <c r="AZ96" s="100">
        <v>7</v>
      </c>
      <c r="BA96" s="100">
        <v>4863.5999999999995</v>
      </c>
      <c r="BB96" s="100">
        <v>8</v>
      </c>
      <c r="BC96" s="100">
        <v>5558.4</v>
      </c>
      <c r="BD96" s="100">
        <v>9</v>
      </c>
      <c r="BE96" s="100">
        <v>6253.2</v>
      </c>
      <c r="BF96" s="100">
        <v>12</v>
      </c>
      <c r="BG96" s="100">
        <v>8337.5999999999985</v>
      </c>
      <c r="BH96" s="100">
        <v>8</v>
      </c>
      <c r="BI96" s="100">
        <v>5558.4</v>
      </c>
      <c r="BJ96" s="100">
        <v>9</v>
      </c>
      <c r="BK96" s="100">
        <v>6253.2</v>
      </c>
      <c r="BL96" s="100">
        <v>10</v>
      </c>
      <c r="BM96" s="100">
        <v>6948</v>
      </c>
      <c r="BN96" s="100">
        <v>8</v>
      </c>
      <c r="BO96" s="100">
        <v>5558.4</v>
      </c>
      <c r="BP96" s="100">
        <v>7</v>
      </c>
      <c r="BQ96" s="100">
        <v>4863.5999999999995</v>
      </c>
      <c r="BR96" s="100">
        <v>9</v>
      </c>
      <c r="BS96" s="100">
        <v>6253.2</v>
      </c>
      <c r="BT96" s="100">
        <v>10</v>
      </c>
      <c r="BU96" s="100">
        <v>6948</v>
      </c>
      <c r="BV96" s="100">
        <v>7</v>
      </c>
      <c r="BW96" s="100">
        <v>4863.5999999999995</v>
      </c>
      <c r="BX96" s="100">
        <v>8</v>
      </c>
      <c r="BY96" s="100">
        <v>5558.4</v>
      </c>
      <c r="BZ96" s="100">
        <v>11</v>
      </c>
      <c r="CA96" s="100">
        <v>7642.7999999999993</v>
      </c>
      <c r="CB96" s="100">
        <v>8</v>
      </c>
      <c r="CC96" s="100">
        <v>5558.4</v>
      </c>
      <c r="CD96" s="100">
        <v>12</v>
      </c>
      <c r="CE96" s="100">
        <v>8337.5999999999985</v>
      </c>
      <c r="CF96" s="100">
        <v>11</v>
      </c>
      <c r="CG96" s="100">
        <v>7642.7999999999993</v>
      </c>
      <c r="CH96" s="100">
        <v>7</v>
      </c>
      <c r="CI96" s="100">
        <v>4863.5999999999995</v>
      </c>
      <c r="CJ96" s="100">
        <v>10</v>
      </c>
      <c r="CK96" s="100">
        <v>6948</v>
      </c>
      <c r="CL96" s="100">
        <v>11</v>
      </c>
      <c r="CM96" s="100">
        <v>7642.7999999999993</v>
      </c>
      <c r="CN96" s="100">
        <v>11</v>
      </c>
      <c r="CO96" s="100">
        <v>7642.7999999999993</v>
      </c>
      <c r="CP96" s="100">
        <v>9</v>
      </c>
      <c r="CQ96" s="100">
        <v>6253.2</v>
      </c>
      <c r="CR96" s="100">
        <v>8</v>
      </c>
      <c r="CS96" s="100">
        <v>5558.4</v>
      </c>
      <c r="CT96" s="100">
        <v>11</v>
      </c>
      <c r="CU96" s="100">
        <v>7642.7999999999993</v>
      </c>
    </row>
    <row r="97" spans="2:99">
      <c r="C97" s="99" t="s">
        <v>263</v>
      </c>
      <c r="D97" s="100">
        <v>8</v>
      </c>
      <c r="E97" s="100">
        <v>3139.2</v>
      </c>
      <c r="F97" s="100">
        <v>8</v>
      </c>
      <c r="G97" s="100">
        <v>3139.2</v>
      </c>
      <c r="H97" s="100">
        <v>6</v>
      </c>
      <c r="I97" s="100">
        <v>2354.3999999999996</v>
      </c>
      <c r="J97" s="100">
        <v>9</v>
      </c>
      <c r="K97" s="100">
        <v>3531.6</v>
      </c>
      <c r="L97" s="100">
        <v>11</v>
      </c>
      <c r="M97" s="100">
        <v>4316.3999999999996</v>
      </c>
      <c r="N97" s="100">
        <v>10</v>
      </c>
      <c r="O97" s="100">
        <v>3924</v>
      </c>
      <c r="P97" s="100">
        <v>7</v>
      </c>
      <c r="Q97" s="100">
        <v>2746.7999999999997</v>
      </c>
      <c r="R97" s="100">
        <v>9</v>
      </c>
      <c r="S97" s="100">
        <v>3531.6</v>
      </c>
      <c r="T97" s="100">
        <v>6</v>
      </c>
      <c r="U97" s="100">
        <v>2354.3999999999996</v>
      </c>
      <c r="V97" s="100">
        <v>9</v>
      </c>
      <c r="W97" s="100">
        <v>3531.6</v>
      </c>
      <c r="X97" s="100">
        <v>10</v>
      </c>
      <c r="Y97" s="100">
        <v>3924</v>
      </c>
      <c r="Z97" s="100">
        <v>9</v>
      </c>
      <c r="AA97" s="100">
        <v>3531.6</v>
      </c>
      <c r="AB97" s="100">
        <v>9</v>
      </c>
      <c r="AC97" s="100">
        <v>3531.6</v>
      </c>
      <c r="AD97" s="100">
        <v>8</v>
      </c>
      <c r="AE97" s="100">
        <v>3139.2</v>
      </c>
      <c r="AF97" s="100">
        <v>8</v>
      </c>
      <c r="AG97" s="100">
        <v>3139.2</v>
      </c>
      <c r="AH97" s="100">
        <v>7</v>
      </c>
      <c r="AI97" s="100">
        <v>2746.7999999999997</v>
      </c>
      <c r="AJ97" s="100">
        <v>10</v>
      </c>
      <c r="AK97" s="100">
        <v>3924</v>
      </c>
      <c r="AL97" s="100">
        <v>8</v>
      </c>
      <c r="AM97" s="100">
        <v>3139.2</v>
      </c>
      <c r="AN97" s="100">
        <v>10</v>
      </c>
      <c r="AO97" s="100">
        <v>3924</v>
      </c>
      <c r="AP97" s="100">
        <v>12</v>
      </c>
      <c r="AQ97" s="100">
        <v>4708.7999999999993</v>
      </c>
      <c r="AR97" s="100">
        <v>11</v>
      </c>
      <c r="AS97" s="100">
        <v>4316.3999999999996</v>
      </c>
      <c r="AT97" s="100">
        <v>10</v>
      </c>
      <c r="AU97" s="100">
        <v>3924</v>
      </c>
      <c r="AV97" s="100">
        <v>6</v>
      </c>
      <c r="AW97" s="100">
        <v>2354.3999999999996</v>
      </c>
      <c r="AX97" s="100">
        <v>8</v>
      </c>
      <c r="AY97" s="100">
        <v>3139.2</v>
      </c>
      <c r="AZ97" s="100">
        <v>7</v>
      </c>
      <c r="BA97" s="100">
        <v>2746.7999999999997</v>
      </c>
      <c r="BB97" s="100">
        <v>8</v>
      </c>
      <c r="BC97" s="100">
        <v>3139.2</v>
      </c>
      <c r="BD97" s="100">
        <v>10</v>
      </c>
      <c r="BE97" s="100">
        <v>3924</v>
      </c>
      <c r="BF97" s="100">
        <v>10</v>
      </c>
      <c r="BG97" s="100">
        <v>3924</v>
      </c>
      <c r="BH97" s="100">
        <v>10</v>
      </c>
      <c r="BI97" s="100">
        <v>3924</v>
      </c>
      <c r="BJ97" s="100">
        <v>8</v>
      </c>
      <c r="BK97" s="100">
        <v>3139.2</v>
      </c>
      <c r="BL97" s="100">
        <v>11</v>
      </c>
      <c r="BM97" s="100">
        <v>4316.3999999999996</v>
      </c>
      <c r="BN97" s="100">
        <v>8</v>
      </c>
      <c r="BO97" s="100">
        <v>3139.2</v>
      </c>
      <c r="BP97" s="100">
        <v>6</v>
      </c>
      <c r="BQ97" s="100">
        <v>2354.3999999999996</v>
      </c>
      <c r="BR97" s="100">
        <v>10</v>
      </c>
      <c r="BS97" s="100">
        <v>3924</v>
      </c>
      <c r="BT97" s="100">
        <v>9</v>
      </c>
      <c r="BU97" s="100">
        <v>3531.6</v>
      </c>
      <c r="BV97" s="100">
        <v>8</v>
      </c>
      <c r="BW97" s="100">
        <v>3139.2</v>
      </c>
      <c r="BX97" s="100">
        <v>9</v>
      </c>
      <c r="BY97" s="100">
        <v>3531.6</v>
      </c>
      <c r="BZ97" s="100">
        <v>11</v>
      </c>
      <c r="CA97" s="100">
        <v>4316.3999999999996</v>
      </c>
      <c r="CB97" s="100">
        <v>9</v>
      </c>
      <c r="CC97" s="100">
        <v>3531.6</v>
      </c>
      <c r="CD97" s="100">
        <v>11</v>
      </c>
      <c r="CE97" s="100">
        <v>4316.3999999999996</v>
      </c>
      <c r="CF97" s="100">
        <v>10</v>
      </c>
      <c r="CG97" s="100">
        <v>3924</v>
      </c>
      <c r="CH97" s="100">
        <v>8</v>
      </c>
      <c r="CI97" s="100">
        <v>3139.2</v>
      </c>
      <c r="CJ97" s="100">
        <v>12</v>
      </c>
      <c r="CK97" s="100">
        <v>4708.7999999999993</v>
      </c>
      <c r="CL97" s="100">
        <v>13</v>
      </c>
      <c r="CM97" s="100">
        <v>5101.2</v>
      </c>
      <c r="CN97" s="100">
        <v>11</v>
      </c>
      <c r="CO97" s="100">
        <v>4316.3999999999996</v>
      </c>
      <c r="CP97" s="100">
        <v>9</v>
      </c>
      <c r="CQ97" s="100">
        <v>3531.6</v>
      </c>
      <c r="CR97" s="100">
        <v>9</v>
      </c>
      <c r="CS97" s="100">
        <v>3531.6</v>
      </c>
      <c r="CT97" s="100">
        <v>10</v>
      </c>
      <c r="CU97" s="100">
        <v>3924</v>
      </c>
    </row>
    <row r="98" spans="2:99">
      <c r="C98" s="99" t="s">
        <v>264</v>
      </c>
      <c r="D98" s="100">
        <v>7</v>
      </c>
      <c r="E98" s="100">
        <v>3679.2000000000003</v>
      </c>
      <c r="F98" s="100">
        <v>8</v>
      </c>
      <c r="G98" s="100">
        <v>4204.8</v>
      </c>
      <c r="H98" s="100">
        <v>8</v>
      </c>
      <c r="I98" s="100">
        <v>4204.8</v>
      </c>
      <c r="J98" s="100">
        <v>9</v>
      </c>
      <c r="K98" s="100">
        <v>4730.4000000000005</v>
      </c>
      <c r="L98" s="100">
        <v>11</v>
      </c>
      <c r="M98" s="100">
        <v>5781.6</v>
      </c>
      <c r="N98" s="100">
        <v>9</v>
      </c>
      <c r="O98" s="100">
        <v>4730.4000000000005</v>
      </c>
      <c r="P98" s="100">
        <v>6</v>
      </c>
      <c r="Q98" s="100">
        <v>3153.6000000000004</v>
      </c>
      <c r="R98" s="100">
        <v>10</v>
      </c>
      <c r="S98" s="100">
        <v>5256</v>
      </c>
      <c r="T98" s="100">
        <v>7</v>
      </c>
      <c r="U98" s="100">
        <v>3679.2000000000003</v>
      </c>
      <c r="V98" s="100">
        <v>9</v>
      </c>
      <c r="W98" s="100">
        <v>4730.4000000000005</v>
      </c>
      <c r="X98" s="100">
        <v>10</v>
      </c>
      <c r="Y98" s="100">
        <v>5256</v>
      </c>
      <c r="Z98" s="100">
        <v>9</v>
      </c>
      <c r="AA98" s="100">
        <v>4730.4000000000005</v>
      </c>
      <c r="AB98" s="100">
        <v>11</v>
      </c>
      <c r="AC98" s="100">
        <v>5781.6</v>
      </c>
      <c r="AD98" s="100">
        <v>8</v>
      </c>
      <c r="AE98" s="100">
        <v>4204.8</v>
      </c>
      <c r="AF98" s="100">
        <v>8</v>
      </c>
      <c r="AG98" s="100">
        <v>4204.8</v>
      </c>
      <c r="AH98" s="100">
        <v>8</v>
      </c>
      <c r="AI98" s="100">
        <v>4204.8</v>
      </c>
      <c r="AJ98" s="100">
        <v>9</v>
      </c>
      <c r="AK98" s="100">
        <v>4730.4000000000005</v>
      </c>
      <c r="AL98" s="100">
        <v>8</v>
      </c>
      <c r="AM98" s="100">
        <v>4204.8</v>
      </c>
      <c r="AN98" s="100">
        <v>10</v>
      </c>
      <c r="AO98" s="100">
        <v>5256</v>
      </c>
      <c r="AP98" s="100">
        <v>11</v>
      </c>
      <c r="AQ98" s="100">
        <v>5781.6</v>
      </c>
      <c r="AR98" s="100">
        <v>10</v>
      </c>
      <c r="AS98" s="100">
        <v>5256</v>
      </c>
      <c r="AT98" s="100">
        <v>10</v>
      </c>
      <c r="AU98" s="100">
        <v>5256</v>
      </c>
      <c r="AV98" s="100">
        <v>7</v>
      </c>
      <c r="AW98" s="100">
        <v>3679.2000000000003</v>
      </c>
      <c r="AX98" s="100">
        <v>7</v>
      </c>
      <c r="AY98" s="100">
        <v>3679.2000000000003</v>
      </c>
      <c r="AZ98" s="100">
        <v>8</v>
      </c>
      <c r="BA98" s="100">
        <v>4204.8</v>
      </c>
      <c r="BB98" s="100">
        <v>8</v>
      </c>
      <c r="BC98" s="100">
        <v>4204.8</v>
      </c>
      <c r="BD98" s="100">
        <v>10</v>
      </c>
      <c r="BE98" s="100">
        <v>5256</v>
      </c>
      <c r="BF98" s="100">
        <v>12</v>
      </c>
      <c r="BG98" s="100">
        <v>6307.2000000000007</v>
      </c>
      <c r="BH98" s="100">
        <v>10</v>
      </c>
      <c r="BI98" s="100">
        <v>5256</v>
      </c>
      <c r="BJ98" s="100">
        <v>8</v>
      </c>
      <c r="BK98" s="100">
        <v>4204.8</v>
      </c>
      <c r="BL98" s="100">
        <v>10</v>
      </c>
      <c r="BM98" s="100">
        <v>5256</v>
      </c>
      <c r="BN98" s="100">
        <v>9</v>
      </c>
      <c r="BO98" s="100">
        <v>4730.4000000000005</v>
      </c>
      <c r="BP98" s="100">
        <v>7</v>
      </c>
      <c r="BQ98" s="100">
        <v>3679.2000000000003</v>
      </c>
      <c r="BR98" s="100">
        <v>10</v>
      </c>
      <c r="BS98" s="100">
        <v>5256</v>
      </c>
      <c r="BT98" s="100">
        <v>10</v>
      </c>
      <c r="BU98" s="100">
        <v>5256</v>
      </c>
      <c r="BV98" s="100">
        <v>8</v>
      </c>
      <c r="BW98" s="100">
        <v>4204.8</v>
      </c>
      <c r="BX98" s="100">
        <v>9</v>
      </c>
      <c r="BY98" s="100">
        <v>4730.4000000000005</v>
      </c>
      <c r="BZ98" s="100">
        <v>11</v>
      </c>
      <c r="CA98" s="100">
        <v>5781.6</v>
      </c>
      <c r="CB98" s="100">
        <v>9</v>
      </c>
      <c r="CC98" s="100">
        <v>4730.4000000000005</v>
      </c>
      <c r="CD98" s="100">
        <v>12</v>
      </c>
      <c r="CE98" s="100">
        <v>6307.2000000000007</v>
      </c>
      <c r="CF98" s="100">
        <v>11</v>
      </c>
      <c r="CG98" s="100">
        <v>5781.6</v>
      </c>
      <c r="CH98" s="100">
        <v>7</v>
      </c>
      <c r="CI98" s="100">
        <v>3679.2000000000003</v>
      </c>
      <c r="CJ98" s="100">
        <v>10</v>
      </c>
      <c r="CK98" s="100">
        <v>5256</v>
      </c>
      <c r="CL98" s="100">
        <v>13</v>
      </c>
      <c r="CM98" s="100">
        <v>6832.8</v>
      </c>
      <c r="CN98" s="100">
        <v>10</v>
      </c>
      <c r="CO98" s="100">
        <v>5256</v>
      </c>
      <c r="CP98" s="100">
        <v>8</v>
      </c>
      <c r="CQ98" s="100">
        <v>4204.8</v>
      </c>
      <c r="CR98" s="100">
        <v>9</v>
      </c>
      <c r="CS98" s="100">
        <v>4730.4000000000005</v>
      </c>
      <c r="CT98" s="100">
        <v>10</v>
      </c>
      <c r="CU98" s="100">
        <v>5256</v>
      </c>
    </row>
    <row r="99" spans="2:99">
      <c r="C99" s="99" t="s">
        <v>265</v>
      </c>
      <c r="D99" s="100">
        <v>6</v>
      </c>
      <c r="E99" s="100">
        <v>25250.399999999998</v>
      </c>
      <c r="F99" s="100">
        <v>5</v>
      </c>
      <c r="G99" s="100">
        <v>21042</v>
      </c>
      <c r="H99" s="100">
        <v>5</v>
      </c>
      <c r="I99" s="100">
        <v>21042</v>
      </c>
      <c r="J99" s="100">
        <v>6</v>
      </c>
      <c r="K99" s="100">
        <v>25250.399999999998</v>
      </c>
      <c r="L99" s="100">
        <v>8</v>
      </c>
      <c r="M99" s="100">
        <v>33667.199999999997</v>
      </c>
      <c r="N99" s="100">
        <v>7</v>
      </c>
      <c r="O99" s="100">
        <v>29458.799999999996</v>
      </c>
      <c r="P99" s="100">
        <v>5</v>
      </c>
      <c r="Q99" s="100">
        <v>21042</v>
      </c>
      <c r="R99" s="100">
        <v>8</v>
      </c>
      <c r="S99" s="100">
        <v>33667.199999999997</v>
      </c>
      <c r="T99" s="100">
        <v>5</v>
      </c>
      <c r="U99" s="100">
        <v>21042</v>
      </c>
      <c r="V99" s="100">
        <v>8</v>
      </c>
      <c r="W99" s="100">
        <v>33667.199999999997</v>
      </c>
      <c r="X99" s="100">
        <v>8</v>
      </c>
      <c r="Y99" s="100">
        <v>33667.199999999997</v>
      </c>
      <c r="Z99" s="100">
        <v>7</v>
      </c>
      <c r="AA99" s="100">
        <v>29458.799999999996</v>
      </c>
      <c r="AB99" s="100">
        <v>7</v>
      </c>
      <c r="AC99" s="100">
        <v>29458.799999999996</v>
      </c>
      <c r="AD99" s="100">
        <v>5</v>
      </c>
      <c r="AE99" s="100">
        <v>21042</v>
      </c>
      <c r="AF99" s="100">
        <v>6</v>
      </c>
      <c r="AG99" s="100">
        <v>25250.399999999998</v>
      </c>
      <c r="AH99" s="100">
        <v>6</v>
      </c>
      <c r="AI99" s="100">
        <v>25250.399999999998</v>
      </c>
      <c r="AJ99" s="100">
        <v>8</v>
      </c>
      <c r="AK99" s="100">
        <v>33667.199999999997</v>
      </c>
      <c r="AL99" s="100">
        <v>6</v>
      </c>
      <c r="AM99" s="100">
        <v>25250.399999999998</v>
      </c>
      <c r="AN99" s="100">
        <v>7</v>
      </c>
      <c r="AO99" s="100">
        <v>29458.799999999996</v>
      </c>
      <c r="AP99" s="100">
        <v>9</v>
      </c>
      <c r="AQ99" s="100">
        <v>37875.599999999999</v>
      </c>
      <c r="AR99" s="100">
        <v>8</v>
      </c>
      <c r="AS99" s="100">
        <v>33667.199999999997</v>
      </c>
      <c r="AT99" s="100">
        <v>8</v>
      </c>
      <c r="AU99" s="100">
        <v>33667.199999999997</v>
      </c>
      <c r="AV99" s="100">
        <v>5</v>
      </c>
      <c r="AW99" s="100">
        <v>21042</v>
      </c>
      <c r="AX99" s="100">
        <v>6</v>
      </c>
      <c r="AY99" s="100">
        <v>25250.399999999998</v>
      </c>
      <c r="AZ99" s="100">
        <v>6</v>
      </c>
      <c r="BA99" s="100">
        <v>25250.399999999998</v>
      </c>
      <c r="BB99" s="100">
        <v>6</v>
      </c>
      <c r="BC99" s="100">
        <v>25250.399999999998</v>
      </c>
      <c r="BD99" s="100">
        <v>7</v>
      </c>
      <c r="BE99" s="100">
        <v>29458.799999999996</v>
      </c>
      <c r="BF99" s="100">
        <v>9</v>
      </c>
      <c r="BG99" s="100">
        <v>37875.599999999999</v>
      </c>
      <c r="BH99" s="100">
        <v>7</v>
      </c>
      <c r="BI99" s="100">
        <v>29458.799999999996</v>
      </c>
      <c r="BJ99" s="100">
        <v>7</v>
      </c>
      <c r="BK99" s="100">
        <v>29458.799999999996</v>
      </c>
      <c r="BL99" s="100">
        <v>7</v>
      </c>
      <c r="BM99" s="100">
        <v>29458.799999999996</v>
      </c>
      <c r="BN99" s="100">
        <v>7</v>
      </c>
      <c r="BO99" s="100">
        <v>29458.799999999996</v>
      </c>
      <c r="BP99" s="100">
        <v>5</v>
      </c>
      <c r="BQ99" s="100">
        <v>21042</v>
      </c>
      <c r="BR99" s="100">
        <v>8</v>
      </c>
      <c r="BS99" s="100">
        <v>33667.199999999997</v>
      </c>
      <c r="BT99" s="100">
        <v>7</v>
      </c>
      <c r="BU99" s="100">
        <v>29458.799999999996</v>
      </c>
      <c r="BV99" s="100">
        <v>5</v>
      </c>
      <c r="BW99" s="100">
        <v>21042</v>
      </c>
      <c r="BX99" s="100">
        <v>6</v>
      </c>
      <c r="BY99" s="100">
        <v>25250.399999999998</v>
      </c>
      <c r="BZ99" s="100">
        <v>8</v>
      </c>
      <c r="CA99" s="100">
        <v>33667.199999999997</v>
      </c>
      <c r="CB99" s="100">
        <v>7</v>
      </c>
      <c r="CC99" s="100">
        <v>29458.799999999996</v>
      </c>
      <c r="CD99" s="100">
        <v>8</v>
      </c>
      <c r="CE99" s="100">
        <v>33667.199999999997</v>
      </c>
      <c r="CF99" s="100">
        <v>9</v>
      </c>
      <c r="CG99" s="100">
        <v>37875.599999999999</v>
      </c>
      <c r="CH99" s="100">
        <v>6</v>
      </c>
      <c r="CI99" s="100">
        <v>25250.399999999998</v>
      </c>
      <c r="CJ99" s="100">
        <v>7</v>
      </c>
      <c r="CK99" s="100">
        <v>29458.799999999996</v>
      </c>
      <c r="CL99" s="100">
        <v>9</v>
      </c>
      <c r="CM99" s="100">
        <v>37875.599999999999</v>
      </c>
      <c r="CN99" s="100">
        <v>9</v>
      </c>
      <c r="CO99" s="100">
        <v>37875.599999999999</v>
      </c>
      <c r="CP99" s="100">
        <v>7</v>
      </c>
      <c r="CQ99" s="100">
        <v>29458.799999999996</v>
      </c>
      <c r="CR99" s="100">
        <v>6</v>
      </c>
      <c r="CS99" s="100">
        <v>25250.399999999998</v>
      </c>
      <c r="CT99" s="100">
        <v>8</v>
      </c>
      <c r="CU99" s="100">
        <v>33667.199999999997</v>
      </c>
    </row>
    <row r="100" spans="2:99">
      <c r="C100" s="99" t="s">
        <v>266</v>
      </c>
      <c r="D100" s="100">
        <v>8</v>
      </c>
      <c r="E100" s="100">
        <v>2592</v>
      </c>
      <c r="F100" s="100">
        <v>8</v>
      </c>
      <c r="G100" s="100">
        <v>2592</v>
      </c>
      <c r="H100" s="100">
        <v>8</v>
      </c>
      <c r="I100" s="100">
        <v>2592</v>
      </c>
      <c r="J100" s="100">
        <v>9</v>
      </c>
      <c r="K100" s="100">
        <v>2916</v>
      </c>
      <c r="L100" s="100">
        <v>11</v>
      </c>
      <c r="M100" s="100">
        <v>3564</v>
      </c>
      <c r="N100" s="100">
        <v>9</v>
      </c>
      <c r="O100" s="100">
        <v>2916</v>
      </c>
      <c r="P100" s="100">
        <v>6</v>
      </c>
      <c r="Q100" s="100">
        <v>1944</v>
      </c>
      <c r="R100" s="100">
        <v>9</v>
      </c>
      <c r="S100" s="100">
        <v>2916</v>
      </c>
      <c r="T100" s="100">
        <v>7</v>
      </c>
      <c r="U100" s="100">
        <v>2268</v>
      </c>
      <c r="V100" s="100">
        <v>9</v>
      </c>
      <c r="W100" s="100">
        <v>2916</v>
      </c>
      <c r="X100" s="100">
        <v>10</v>
      </c>
      <c r="Y100" s="100">
        <v>3240</v>
      </c>
      <c r="Z100" s="100">
        <v>10</v>
      </c>
      <c r="AA100" s="100">
        <v>3240</v>
      </c>
      <c r="AB100" s="100">
        <v>11</v>
      </c>
      <c r="AC100" s="100">
        <v>3564</v>
      </c>
      <c r="AD100" s="100">
        <v>7</v>
      </c>
      <c r="AE100" s="100">
        <v>2268</v>
      </c>
      <c r="AF100" s="100">
        <v>8</v>
      </c>
      <c r="AG100" s="100">
        <v>2592</v>
      </c>
      <c r="AH100" s="100">
        <v>7</v>
      </c>
      <c r="AI100" s="100">
        <v>2268</v>
      </c>
      <c r="AJ100" s="100">
        <v>10</v>
      </c>
      <c r="AK100" s="100">
        <v>3240</v>
      </c>
      <c r="AL100" s="100">
        <v>7</v>
      </c>
      <c r="AM100" s="100">
        <v>2268</v>
      </c>
      <c r="AN100" s="100">
        <v>12</v>
      </c>
      <c r="AO100" s="100">
        <v>3888</v>
      </c>
      <c r="AP100" s="100">
        <v>10</v>
      </c>
      <c r="AQ100" s="100">
        <v>3240</v>
      </c>
      <c r="AR100" s="100">
        <v>10</v>
      </c>
      <c r="AS100" s="100">
        <v>3240</v>
      </c>
      <c r="AT100" s="100">
        <v>11</v>
      </c>
      <c r="AU100" s="100">
        <v>3564</v>
      </c>
      <c r="AV100" s="100">
        <v>6</v>
      </c>
      <c r="AW100" s="100">
        <v>1944</v>
      </c>
      <c r="AX100" s="100">
        <v>9</v>
      </c>
      <c r="AY100" s="100">
        <v>2916</v>
      </c>
      <c r="AZ100" s="100">
        <v>7</v>
      </c>
      <c r="BA100" s="100">
        <v>2268</v>
      </c>
      <c r="BB100" s="100">
        <v>8</v>
      </c>
      <c r="BC100" s="100">
        <v>2592</v>
      </c>
      <c r="BD100" s="100">
        <v>9</v>
      </c>
      <c r="BE100" s="100">
        <v>2916</v>
      </c>
      <c r="BF100" s="100">
        <v>11</v>
      </c>
      <c r="BG100" s="100">
        <v>3564</v>
      </c>
      <c r="BH100" s="100">
        <v>9</v>
      </c>
      <c r="BI100" s="100">
        <v>2916</v>
      </c>
      <c r="BJ100" s="100">
        <v>10</v>
      </c>
      <c r="BK100" s="100">
        <v>3240</v>
      </c>
      <c r="BL100" s="100">
        <v>10</v>
      </c>
      <c r="BM100" s="100">
        <v>3240</v>
      </c>
      <c r="BN100" s="100">
        <v>9</v>
      </c>
      <c r="BO100" s="100">
        <v>2916</v>
      </c>
      <c r="BP100" s="100">
        <v>7</v>
      </c>
      <c r="BQ100" s="100">
        <v>2268</v>
      </c>
      <c r="BR100" s="100">
        <v>10</v>
      </c>
      <c r="BS100" s="100">
        <v>3240</v>
      </c>
      <c r="BT100" s="100">
        <v>9</v>
      </c>
      <c r="BU100" s="100">
        <v>2916</v>
      </c>
      <c r="BV100" s="100">
        <v>8</v>
      </c>
      <c r="BW100" s="100">
        <v>2592</v>
      </c>
      <c r="BX100" s="100">
        <v>9</v>
      </c>
      <c r="BY100" s="100">
        <v>2916</v>
      </c>
      <c r="BZ100" s="100">
        <v>11</v>
      </c>
      <c r="CA100" s="100">
        <v>3564</v>
      </c>
      <c r="CB100" s="100">
        <v>10</v>
      </c>
      <c r="CC100" s="100">
        <v>3240</v>
      </c>
      <c r="CD100" s="100">
        <v>13</v>
      </c>
      <c r="CE100" s="100">
        <v>4212</v>
      </c>
      <c r="CF100" s="100">
        <v>12</v>
      </c>
      <c r="CG100" s="100">
        <v>3888</v>
      </c>
      <c r="CH100" s="100">
        <v>8</v>
      </c>
      <c r="CI100" s="100">
        <v>2592</v>
      </c>
      <c r="CJ100" s="100">
        <v>11</v>
      </c>
      <c r="CK100" s="100">
        <v>3564</v>
      </c>
      <c r="CL100" s="100">
        <v>12</v>
      </c>
      <c r="CM100" s="100">
        <v>3888</v>
      </c>
      <c r="CN100" s="100">
        <v>11</v>
      </c>
      <c r="CO100" s="100">
        <v>3564</v>
      </c>
      <c r="CP100" s="100">
        <v>9</v>
      </c>
      <c r="CQ100" s="100">
        <v>2916</v>
      </c>
      <c r="CR100" s="100">
        <v>8</v>
      </c>
      <c r="CS100" s="100">
        <v>2592</v>
      </c>
      <c r="CT100" s="100">
        <v>11</v>
      </c>
      <c r="CU100" s="100">
        <v>3564</v>
      </c>
    </row>
    <row r="101" spans="2:99">
      <c r="C101" s="99" t="s">
        <v>267</v>
      </c>
      <c r="D101" s="100">
        <v>7</v>
      </c>
      <c r="E101" s="100">
        <v>5065.2</v>
      </c>
      <c r="F101" s="100">
        <v>8</v>
      </c>
      <c r="G101" s="100">
        <v>5788.8</v>
      </c>
      <c r="H101" s="100">
        <v>6</v>
      </c>
      <c r="I101" s="100">
        <v>4341.6000000000004</v>
      </c>
      <c r="J101" s="100">
        <v>9</v>
      </c>
      <c r="K101" s="100">
        <v>6512.4000000000005</v>
      </c>
      <c r="L101" s="100">
        <v>11</v>
      </c>
      <c r="M101" s="100">
        <v>7959.6</v>
      </c>
      <c r="N101" s="100">
        <v>9</v>
      </c>
      <c r="O101" s="100">
        <v>6512.4000000000005</v>
      </c>
      <c r="P101" s="100">
        <v>6</v>
      </c>
      <c r="Q101" s="100">
        <v>4341.6000000000004</v>
      </c>
      <c r="R101" s="100">
        <v>9</v>
      </c>
      <c r="S101" s="100">
        <v>6512.4000000000005</v>
      </c>
      <c r="T101" s="100">
        <v>7</v>
      </c>
      <c r="U101" s="100">
        <v>5065.2</v>
      </c>
      <c r="V101" s="100">
        <v>10</v>
      </c>
      <c r="W101" s="100">
        <v>7236</v>
      </c>
      <c r="X101" s="100">
        <v>10</v>
      </c>
      <c r="Y101" s="100">
        <v>7236</v>
      </c>
      <c r="Z101" s="100">
        <v>10</v>
      </c>
      <c r="AA101" s="100">
        <v>7236</v>
      </c>
      <c r="AB101" s="100">
        <v>9</v>
      </c>
      <c r="AC101" s="100">
        <v>6512.4000000000005</v>
      </c>
      <c r="AD101" s="100">
        <v>7</v>
      </c>
      <c r="AE101" s="100">
        <v>5065.2</v>
      </c>
      <c r="AF101" s="100">
        <v>7</v>
      </c>
      <c r="AG101" s="100">
        <v>5065.2</v>
      </c>
      <c r="AH101" s="100">
        <v>8</v>
      </c>
      <c r="AI101" s="100">
        <v>5788.8</v>
      </c>
      <c r="AJ101" s="100">
        <v>10</v>
      </c>
      <c r="AK101" s="100">
        <v>7236</v>
      </c>
      <c r="AL101" s="100">
        <v>7</v>
      </c>
      <c r="AM101" s="100">
        <v>5065.2</v>
      </c>
      <c r="AN101" s="100">
        <v>10</v>
      </c>
      <c r="AO101" s="100">
        <v>7236</v>
      </c>
      <c r="AP101" s="100">
        <v>12</v>
      </c>
      <c r="AQ101" s="100">
        <v>8683.2000000000007</v>
      </c>
      <c r="AR101" s="100">
        <v>10</v>
      </c>
      <c r="AS101" s="100">
        <v>7236</v>
      </c>
      <c r="AT101" s="100">
        <v>10</v>
      </c>
      <c r="AU101" s="100">
        <v>7236</v>
      </c>
      <c r="AV101" s="100">
        <v>7</v>
      </c>
      <c r="AW101" s="100">
        <v>5065.2</v>
      </c>
      <c r="AX101" s="100">
        <v>7</v>
      </c>
      <c r="AY101" s="100">
        <v>5065.2</v>
      </c>
      <c r="AZ101" s="100">
        <v>8</v>
      </c>
      <c r="BA101" s="100">
        <v>5788.8</v>
      </c>
      <c r="BB101" s="100">
        <v>8</v>
      </c>
      <c r="BC101" s="100">
        <v>5788.8</v>
      </c>
      <c r="BD101" s="100">
        <v>9</v>
      </c>
      <c r="BE101" s="100">
        <v>6512.4000000000005</v>
      </c>
      <c r="BF101" s="100">
        <v>10</v>
      </c>
      <c r="BG101" s="100">
        <v>7236</v>
      </c>
      <c r="BH101" s="100">
        <v>10</v>
      </c>
      <c r="BI101" s="100">
        <v>7236</v>
      </c>
      <c r="BJ101" s="100">
        <v>8</v>
      </c>
      <c r="BK101" s="100">
        <v>5788.8</v>
      </c>
      <c r="BL101" s="100">
        <v>10</v>
      </c>
      <c r="BM101" s="100">
        <v>7236</v>
      </c>
      <c r="BN101" s="100">
        <v>8</v>
      </c>
      <c r="BO101" s="100">
        <v>5788.8</v>
      </c>
      <c r="BP101" s="100">
        <v>7</v>
      </c>
      <c r="BQ101" s="100">
        <v>5065.2</v>
      </c>
      <c r="BR101" s="100">
        <v>10</v>
      </c>
      <c r="BS101" s="100">
        <v>7236</v>
      </c>
      <c r="BT101" s="100">
        <v>8</v>
      </c>
      <c r="BU101" s="100">
        <v>5788.8</v>
      </c>
      <c r="BV101" s="100">
        <v>7</v>
      </c>
      <c r="BW101" s="100">
        <v>5065.2</v>
      </c>
      <c r="BX101" s="100">
        <v>8</v>
      </c>
      <c r="BY101" s="100">
        <v>5788.8</v>
      </c>
      <c r="BZ101" s="100">
        <v>10</v>
      </c>
      <c r="CA101" s="100">
        <v>7236</v>
      </c>
      <c r="CB101" s="100">
        <v>8</v>
      </c>
      <c r="CC101" s="100">
        <v>5788.8</v>
      </c>
      <c r="CD101" s="100">
        <v>12</v>
      </c>
      <c r="CE101" s="100">
        <v>8683.2000000000007</v>
      </c>
      <c r="CF101" s="100">
        <v>11</v>
      </c>
      <c r="CG101" s="100">
        <v>7959.6</v>
      </c>
      <c r="CH101" s="100">
        <v>8</v>
      </c>
      <c r="CI101" s="100">
        <v>5788.8</v>
      </c>
      <c r="CJ101" s="100">
        <v>11</v>
      </c>
      <c r="CK101" s="100">
        <v>7959.6</v>
      </c>
      <c r="CL101" s="100">
        <v>11</v>
      </c>
      <c r="CM101" s="100">
        <v>7959.6</v>
      </c>
      <c r="CN101" s="100">
        <v>11</v>
      </c>
      <c r="CO101" s="100">
        <v>7959.6</v>
      </c>
      <c r="CP101" s="100">
        <v>9</v>
      </c>
      <c r="CQ101" s="100">
        <v>6512.4000000000005</v>
      </c>
      <c r="CR101" s="100">
        <v>7</v>
      </c>
      <c r="CS101" s="100">
        <v>5065.2</v>
      </c>
      <c r="CT101" s="100">
        <v>11</v>
      </c>
      <c r="CU101" s="100">
        <v>7959.6</v>
      </c>
    </row>
    <row r="102" spans="2:99">
      <c r="C102" s="99" t="s">
        <v>268</v>
      </c>
      <c r="D102" s="100">
        <v>7</v>
      </c>
      <c r="E102" s="100">
        <v>3721.2000000000003</v>
      </c>
      <c r="F102" s="100">
        <v>7</v>
      </c>
      <c r="G102" s="100">
        <v>3721.2000000000003</v>
      </c>
      <c r="H102" s="100">
        <v>7</v>
      </c>
      <c r="I102" s="100">
        <v>3721.2000000000003</v>
      </c>
      <c r="J102" s="100">
        <v>8</v>
      </c>
      <c r="K102" s="100">
        <v>4252.8</v>
      </c>
      <c r="L102" s="100">
        <v>11</v>
      </c>
      <c r="M102" s="100">
        <v>5847.6</v>
      </c>
      <c r="N102" s="100">
        <v>9</v>
      </c>
      <c r="O102" s="100">
        <v>4784.4000000000005</v>
      </c>
      <c r="P102" s="100">
        <v>7</v>
      </c>
      <c r="Q102" s="100">
        <v>3721.2000000000003</v>
      </c>
      <c r="R102" s="100">
        <v>10</v>
      </c>
      <c r="S102" s="100">
        <v>5316</v>
      </c>
      <c r="T102" s="100">
        <v>7</v>
      </c>
      <c r="U102" s="100">
        <v>3721.2000000000003</v>
      </c>
      <c r="V102" s="100">
        <v>10</v>
      </c>
      <c r="W102" s="100">
        <v>5316</v>
      </c>
      <c r="X102" s="100">
        <v>9</v>
      </c>
      <c r="Y102" s="100">
        <v>4784.4000000000005</v>
      </c>
      <c r="Z102" s="100">
        <v>9</v>
      </c>
      <c r="AA102" s="100">
        <v>4784.4000000000005</v>
      </c>
      <c r="AB102" s="100">
        <v>10</v>
      </c>
      <c r="AC102" s="100">
        <v>5316</v>
      </c>
      <c r="AD102" s="100">
        <v>7</v>
      </c>
      <c r="AE102" s="100">
        <v>3721.2000000000003</v>
      </c>
      <c r="AF102" s="100">
        <v>9</v>
      </c>
      <c r="AG102" s="100">
        <v>4784.4000000000005</v>
      </c>
      <c r="AH102" s="100">
        <v>7</v>
      </c>
      <c r="AI102" s="100">
        <v>3721.2000000000003</v>
      </c>
      <c r="AJ102" s="100">
        <v>11</v>
      </c>
      <c r="AK102" s="100">
        <v>5847.6</v>
      </c>
      <c r="AL102" s="100">
        <v>8</v>
      </c>
      <c r="AM102" s="100">
        <v>4252.8</v>
      </c>
      <c r="AN102" s="100">
        <v>11</v>
      </c>
      <c r="AO102" s="100">
        <v>5847.6</v>
      </c>
      <c r="AP102" s="100">
        <v>12</v>
      </c>
      <c r="AQ102" s="100">
        <v>6379.2000000000007</v>
      </c>
      <c r="AR102" s="100">
        <v>10</v>
      </c>
      <c r="AS102" s="100">
        <v>5316</v>
      </c>
      <c r="AT102" s="100">
        <v>9</v>
      </c>
      <c r="AU102" s="100">
        <v>4784.4000000000005</v>
      </c>
      <c r="AV102" s="100">
        <v>7</v>
      </c>
      <c r="AW102" s="100">
        <v>3721.2000000000003</v>
      </c>
      <c r="AX102" s="100">
        <v>7</v>
      </c>
      <c r="AY102" s="100">
        <v>3721.2000000000003</v>
      </c>
      <c r="AZ102" s="100">
        <v>7</v>
      </c>
      <c r="BA102" s="100">
        <v>3721.2000000000003</v>
      </c>
      <c r="BB102" s="100">
        <v>9</v>
      </c>
      <c r="BC102" s="100">
        <v>4784.4000000000005</v>
      </c>
      <c r="BD102" s="100">
        <v>10</v>
      </c>
      <c r="BE102" s="100">
        <v>5316</v>
      </c>
      <c r="BF102" s="100">
        <v>12</v>
      </c>
      <c r="BG102" s="100">
        <v>6379.2000000000007</v>
      </c>
      <c r="BH102" s="100">
        <v>9</v>
      </c>
      <c r="BI102" s="100">
        <v>4784.4000000000005</v>
      </c>
      <c r="BJ102" s="100">
        <v>9</v>
      </c>
      <c r="BK102" s="100">
        <v>4784.4000000000005</v>
      </c>
      <c r="BL102" s="100">
        <v>11</v>
      </c>
      <c r="BM102" s="100">
        <v>5847.6</v>
      </c>
      <c r="BN102" s="100">
        <v>8</v>
      </c>
      <c r="BO102" s="100">
        <v>4252.8</v>
      </c>
      <c r="BP102" s="100">
        <v>7</v>
      </c>
      <c r="BQ102" s="100">
        <v>3721.2000000000003</v>
      </c>
      <c r="BR102" s="100">
        <v>9</v>
      </c>
      <c r="BS102" s="100">
        <v>4784.4000000000005</v>
      </c>
      <c r="BT102" s="100">
        <v>10</v>
      </c>
      <c r="BU102" s="100">
        <v>5316</v>
      </c>
      <c r="BV102" s="100">
        <v>7</v>
      </c>
      <c r="BW102" s="100">
        <v>3721.2000000000003</v>
      </c>
      <c r="BX102" s="100">
        <v>8</v>
      </c>
      <c r="BY102" s="100">
        <v>4252.8</v>
      </c>
      <c r="BZ102" s="100">
        <v>11</v>
      </c>
      <c r="CA102" s="100">
        <v>5847.6</v>
      </c>
      <c r="CB102" s="100">
        <v>8</v>
      </c>
      <c r="CC102" s="100">
        <v>4252.8</v>
      </c>
      <c r="CD102" s="100">
        <v>10</v>
      </c>
      <c r="CE102" s="100">
        <v>5316</v>
      </c>
      <c r="CF102" s="100">
        <v>12</v>
      </c>
      <c r="CG102" s="100">
        <v>6379.2000000000007</v>
      </c>
      <c r="CH102" s="100">
        <v>8</v>
      </c>
      <c r="CI102" s="100">
        <v>4252.8</v>
      </c>
      <c r="CJ102" s="100">
        <v>10</v>
      </c>
      <c r="CK102" s="100">
        <v>5316</v>
      </c>
      <c r="CL102" s="100">
        <v>11</v>
      </c>
      <c r="CM102" s="100">
        <v>5847.6</v>
      </c>
      <c r="CN102" s="100">
        <v>12</v>
      </c>
      <c r="CO102" s="100">
        <v>6379.2000000000007</v>
      </c>
      <c r="CP102" s="100">
        <v>9</v>
      </c>
      <c r="CQ102" s="100">
        <v>4784.4000000000005</v>
      </c>
      <c r="CR102" s="100">
        <v>7</v>
      </c>
      <c r="CS102" s="100">
        <v>3721.2000000000003</v>
      </c>
      <c r="CT102" s="100">
        <v>11</v>
      </c>
      <c r="CU102" s="100">
        <v>5847.6</v>
      </c>
    </row>
    <row r="103" spans="2:99">
      <c r="C103" s="99" t="s">
        <v>269</v>
      </c>
      <c r="D103" s="100">
        <v>7</v>
      </c>
      <c r="E103" s="100">
        <v>4124.3999999999996</v>
      </c>
      <c r="F103" s="100">
        <v>7</v>
      </c>
      <c r="G103" s="100">
        <v>4124.3999999999996</v>
      </c>
      <c r="H103" s="100">
        <v>6</v>
      </c>
      <c r="I103" s="100">
        <v>3535.2</v>
      </c>
      <c r="J103" s="100">
        <v>9</v>
      </c>
      <c r="K103" s="100">
        <v>5302.7999999999993</v>
      </c>
      <c r="L103" s="100">
        <v>11</v>
      </c>
      <c r="M103" s="100">
        <v>6481.1999999999989</v>
      </c>
      <c r="N103" s="100">
        <v>9</v>
      </c>
      <c r="O103" s="100">
        <v>5302.7999999999993</v>
      </c>
      <c r="P103" s="100">
        <v>7</v>
      </c>
      <c r="Q103" s="100">
        <v>4124.3999999999996</v>
      </c>
      <c r="R103" s="100">
        <v>9</v>
      </c>
      <c r="S103" s="100">
        <v>5302.7999999999993</v>
      </c>
      <c r="T103" s="100">
        <v>7</v>
      </c>
      <c r="U103" s="100">
        <v>4124.3999999999996</v>
      </c>
      <c r="V103" s="100">
        <v>10</v>
      </c>
      <c r="W103" s="100">
        <v>5891.9999999999991</v>
      </c>
      <c r="X103" s="100">
        <v>10</v>
      </c>
      <c r="Y103" s="100">
        <v>5891.9999999999991</v>
      </c>
      <c r="Z103" s="100">
        <v>9</v>
      </c>
      <c r="AA103" s="100">
        <v>5302.7999999999993</v>
      </c>
      <c r="AB103" s="100">
        <v>11</v>
      </c>
      <c r="AC103" s="100">
        <v>6481.1999999999989</v>
      </c>
      <c r="AD103" s="100">
        <v>7</v>
      </c>
      <c r="AE103" s="100">
        <v>4124.3999999999996</v>
      </c>
      <c r="AF103" s="100">
        <v>8</v>
      </c>
      <c r="AG103" s="100">
        <v>4713.5999999999995</v>
      </c>
      <c r="AH103" s="100">
        <v>8</v>
      </c>
      <c r="AI103" s="100">
        <v>4713.5999999999995</v>
      </c>
      <c r="AJ103" s="100">
        <v>9</v>
      </c>
      <c r="AK103" s="100">
        <v>5302.7999999999993</v>
      </c>
      <c r="AL103" s="100">
        <v>8</v>
      </c>
      <c r="AM103" s="100">
        <v>4713.5999999999995</v>
      </c>
      <c r="AN103" s="100">
        <v>10</v>
      </c>
      <c r="AO103" s="100">
        <v>5891.9999999999991</v>
      </c>
      <c r="AP103" s="100">
        <v>11</v>
      </c>
      <c r="AQ103" s="100">
        <v>6481.1999999999989</v>
      </c>
      <c r="AR103" s="100">
        <v>9</v>
      </c>
      <c r="AS103" s="100">
        <v>5302.7999999999993</v>
      </c>
      <c r="AT103" s="100">
        <v>9</v>
      </c>
      <c r="AU103" s="100">
        <v>5302.7999999999993</v>
      </c>
      <c r="AV103" s="100">
        <v>7</v>
      </c>
      <c r="AW103" s="100">
        <v>4124.3999999999996</v>
      </c>
      <c r="AX103" s="100">
        <v>7</v>
      </c>
      <c r="AY103" s="100">
        <v>4124.3999999999996</v>
      </c>
      <c r="AZ103" s="100">
        <v>7</v>
      </c>
      <c r="BA103" s="100">
        <v>4124.3999999999996</v>
      </c>
      <c r="BB103" s="100">
        <v>7</v>
      </c>
      <c r="BC103" s="100">
        <v>4124.3999999999996</v>
      </c>
      <c r="BD103" s="100">
        <v>9</v>
      </c>
      <c r="BE103" s="100">
        <v>5302.7999999999993</v>
      </c>
      <c r="BF103" s="100">
        <v>10</v>
      </c>
      <c r="BG103" s="100">
        <v>5891.9999999999991</v>
      </c>
      <c r="BH103" s="100">
        <v>8</v>
      </c>
      <c r="BI103" s="100">
        <v>4713.5999999999995</v>
      </c>
      <c r="BJ103" s="100">
        <v>9</v>
      </c>
      <c r="BK103" s="100">
        <v>5302.7999999999993</v>
      </c>
      <c r="BL103" s="100">
        <v>11</v>
      </c>
      <c r="BM103" s="100">
        <v>6481.1999999999989</v>
      </c>
      <c r="BN103" s="100">
        <v>8</v>
      </c>
      <c r="BO103" s="100">
        <v>4713.5999999999995</v>
      </c>
      <c r="BP103" s="100">
        <v>6</v>
      </c>
      <c r="BQ103" s="100">
        <v>3535.2</v>
      </c>
      <c r="BR103" s="100">
        <v>9</v>
      </c>
      <c r="BS103" s="100">
        <v>5302.7999999999993</v>
      </c>
      <c r="BT103" s="100">
        <v>10</v>
      </c>
      <c r="BU103" s="100">
        <v>5891.9999999999991</v>
      </c>
      <c r="BV103" s="100">
        <v>7</v>
      </c>
      <c r="BW103" s="100">
        <v>4124.3999999999996</v>
      </c>
      <c r="BX103" s="100">
        <v>8</v>
      </c>
      <c r="BY103" s="100">
        <v>4713.5999999999995</v>
      </c>
      <c r="BZ103" s="100">
        <v>10</v>
      </c>
      <c r="CA103" s="100">
        <v>5891.9999999999991</v>
      </c>
      <c r="CB103" s="100">
        <v>9</v>
      </c>
      <c r="CC103" s="100">
        <v>5302.7999999999993</v>
      </c>
      <c r="CD103" s="100">
        <v>11</v>
      </c>
      <c r="CE103" s="100">
        <v>6481.1999999999989</v>
      </c>
      <c r="CF103" s="100">
        <v>10</v>
      </c>
      <c r="CG103" s="100">
        <v>5891.9999999999991</v>
      </c>
      <c r="CH103" s="100">
        <v>7</v>
      </c>
      <c r="CI103" s="100">
        <v>4124.3999999999996</v>
      </c>
      <c r="CJ103" s="100">
        <v>11</v>
      </c>
      <c r="CK103" s="100">
        <v>6481.1999999999989</v>
      </c>
      <c r="CL103" s="100">
        <v>11</v>
      </c>
      <c r="CM103" s="100">
        <v>6481.1999999999989</v>
      </c>
      <c r="CN103" s="100">
        <v>11</v>
      </c>
      <c r="CO103" s="100">
        <v>6481.1999999999989</v>
      </c>
      <c r="CP103" s="100">
        <v>9</v>
      </c>
      <c r="CQ103" s="100">
        <v>5302.7999999999993</v>
      </c>
      <c r="CR103" s="100">
        <v>9</v>
      </c>
      <c r="CS103" s="100">
        <v>5302.7999999999993</v>
      </c>
      <c r="CT103" s="100">
        <v>11</v>
      </c>
      <c r="CU103" s="100">
        <v>6481.1999999999989</v>
      </c>
    </row>
    <row r="104" spans="2:99">
      <c r="C104" s="99" t="s">
        <v>270</v>
      </c>
      <c r="D104" s="100">
        <v>8</v>
      </c>
      <c r="E104" s="100">
        <v>5059.2</v>
      </c>
      <c r="F104" s="100">
        <v>7</v>
      </c>
      <c r="G104" s="100">
        <v>4426.8</v>
      </c>
      <c r="H104" s="100">
        <v>7</v>
      </c>
      <c r="I104" s="100">
        <v>4426.8</v>
      </c>
      <c r="J104" s="100">
        <v>8</v>
      </c>
      <c r="K104" s="100">
        <v>5059.2</v>
      </c>
      <c r="L104" s="100">
        <v>10</v>
      </c>
      <c r="M104" s="100">
        <v>6324</v>
      </c>
      <c r="N104" s="100">
        <v>9</v>
      </c>
      <c r="O104" s="100">
        <v>5691.5999999999995</v>
      </c>
      <c r="P104" s="100">
        <v>7</v>
      </c>
      <c r="Q104" s="100">
        <v>4426.8</v>
      </c>
      <c r="R104" s="100">
        <v>10</v>
      </c>
      <c r="S104" s="100">
        <v>6324</v>
      </c>
      <c r="T104" s="100">
        <v>6</v>
      </c>
      <c r="U104" s="100">
        <v>3794.3999999999996</v>
      </c>
      <c r="V104" s="100">
        <v>9</v>
      </c>
      <c r="W104" s="100">
        <v>5691.5999999999995</v>
      </c>
      <c r="X104" s="100">
        <v>10</v>
      </c>
      <c r="Y104" s="100">
        <v>6324</v>
      </c>
      <c r="Z104" s="100">
        <v>10</v>
      </c>
      <c r="AA104" s="100">
        <v>6324</v>
      </c>
      <c r="AB104" s="100">
        <v>10</v>
      </c>
      <c r="AC104" s="100">
        <v>6324</v>
      </c>
      <c r="AD104" s="100">
        <v>7</v>
      </c>
      <c r="AE104" s="100">
        <v>4426.8</v>
      </c>
      <c r="AF104" s="100">
        <v>8</v>
      </c>
      <c r="AG104" s="100">
        <v>5059.2</v>
      </c>
      <c r="AH104" s="100">
        <v>7</v>
      </c>
      <c r="AI104" s="100">
        <v>4426.8</v>
      </c>
      <c r="AJ104" s="100">
        <v>10</v>
      </c>
      <c r="AK104" s="100">
        <v>6324</v>
      </c>
      <c r="AL104" s="100">
        <v>8</v>
      </c>
      <c r="AM104" s="100">
        <v>5059.2</v>
      </c>
      <c r="AN104" s="100">
        <v>11</v>
      </c>
      <c r="AO104" s="100">
        <v>6956.4</v>
      </c>
      <c r="AP104" s="100">
        <v>12</v>
      </c>
      <c r="AQ104" s="100">
        <v>7588.7999999999993</v>
      </c>
      <c r="AR104" s="100">
        <v>10</v>
      </c>
      <c r="AS104" s="100">
        <v>6324</v>
      </c>
      <c r="AT104" s="100">
        <v>10</v>
      </c>
      <c r="AU104" s="100">
        <v>6324</v>
      </c>
      <c r="AV104" s="100">
        <v>7</v>
      </c>
      <c r="AW104" s="100">
        <v>4426.8</v>
      </c>
      <c r="AX104" s="100">
        <v>7</v>
      </c>
      <c r="AY104" s="100">
        <v>4426.8</v>
      </c>
      <c r="AZ104" s="100">
        <v>8</v>
      </c>
      <c r="BA104" s="100">
        <v>5059.2</v>
      </c>
      <c r="BB104" s="100">
        <v>8</v>
      </c>
      <c r="BC104" s="100">
        <v>5059.2</v>
      </c>
      <c r="BD104" s="100">
        <v>10</v>
      </c>
      <c r="BE104" s="100">
        <v>6324</v>
      </c>
      <c r="BF104" s="100">
        <v>12</v>
      </c>
      <c r="BG104" s="100">
        <v>7588.7999999999993</v>
      </c>
      <c r="BH104" s="100">
        <v>10</v>
      </c>
      <c r="BI104" s="100">
        <v>6324</v>
      </c>
      <c r="BJ104" s="100">
        <v>8</v>
      </c>
      <c r="BK104" s="100">
        <v>5059.2</v>
      </c>
      <c r="BL104" s="100">
        <v>9</v>
      </c>
      <c r="BM104" s="100">
        <v>5691.5999999999995</v>
      </c>
      <c r="BN104" s="100">
        <v>8</v>
      </c>
      <c r="BO104" s="100">
        <v>5059.2</v>
      </c>
      <c r="BP104" s="100">
        <v>7</v>
      </c>
      <c r="BQ104" s="100">
        <v>4426.8</v>
      </c>
      <c r="BR104" s="100">
        <v>10</v>
      </c>
      <c r="BS104" s="100">
        <v>6324</v>
      </c>
      <c r="BT104" s="100">
        <v>10</v>
      </c>
      <c r="BU104" s="100">
        <v>6324</v>
      </c>
      <c r="BV104" s="100">
        <v>6</v>
      </c>
      <c r="BW104" s="100">
        <v>3794.3999999999996</v>
      </c>
      <c r="BX104" s="100">
        <v>8</v>
      </c>
      <c r="BY104" s="100">
        <v>5059.2</v>
      </c>
      <c r="BZ104" s="100">
        <v>11</v>
      </c>
      <c r="CA104" s="100">
        <v>6956.4</v>
      </c>
      <c r="CB104" s="100">
        <v>9</v>
      </c>
      <c r="CC104" s="100">
        <v>5691.5999999999995</v>
      </c>
      <c r="CD104" s="100">
        <v>12</v>
      </c>
      <c r="CE104" s="100">
        <v>7588.7999999999993</v>
      </c>
      <c r="CF104" s="100">
        <v>11</v>
      </c>
      <c r="CG104" s="100">
        <v>6956.4</v>
      </c>
      <c r="CH104" s="100">
        <v>8</v>
      </c>
      <c r="CI104" s="100">
        <v>5059.2</v>
      </c>
      <c r="CJ104" s="100">
        <v>10</v>
      </c>
      <c r="CK104" s="100">
        <v>6324</v>
      </c>
      <c r="CL104" s="100">
        <v>12</v>
      </c>
      <c r="CM104" s="100">
        <v>7588.7999999999993</v>
      </c>
      <c r="CN104" s="100">
        <v>11</v>
      </c>
      <c r="CO104" s="100">
        <v>6956.4</v>
      </c>
      <c r="CP104" s="100">
        <v>9</v>
      </c>
      <c r="CQ104" s="100">
        <v>5691.5999999999995</v>
      </c>
      <c r="CR104" s="100">
        <v>8</v>
      </c>
      <c r="CS104" s="100">
        <v>5059.2</v>
      </c>
      <c r="CT104" s="100">
        <v>10</v>
      </c>
      <c r="CU104" s="100">
        <v>6324</v>
      </c>
    </row>
    <row r="105" spans="2:99">
      <c r="C105" s="99" t="s">
        <v>271</v>
      </c>
      <c r="D105" s="100">
        <v>7</v>
      </c>
      <c r="E105" s="100">
        <v>3897.5999999999995</v>
      </c>
      <c r="F105" s="100">
        <v>8</v>
      </c>
      <c r="G105" s="100">
        <v>4454.3999999999996</v>
      </c>
      <c r="H105" s="100">
        <v>7</v>
      </c>
      <c r="I105" s="100">
        <v>3897.5999999999995</v>
      </c>
      <c r="J105" s="100">
        <v>9</v>
      </c>
      <c r="K105" s="100">
        <v>5011.2</v>
      </c>
      <c r="L105" s="100">
        <v>12</v>
      </c>
      <c r="M105" s="100">
        <v>6681.5999999999995</v>
      </c>
      <c r="N105" s="100">
        <v>8</v>
      </c>
      <c r="O105" s="100">
        <v>4454.3999999999996</v>
      </c>
      <c r="P105" s="100">
        <v>6</v>
      </c>
      <c r="Q105" s="100">
        <v>3340.7999999999997</v>
      </c>
      <c r="R105" s="100">
        <v>10</v>
      </c>
      <c r="S105" s="100">
        <v>5568</v>
      </c>
      <c r="T105" s="100">
        <v>7</v>
      </c>
      <c r="U105" s="100">
        <v>3897.5999999999995</v>
      </c>
      <c r="V105" s="100">
        <v>10</v>
      </c>
      <c r="W105" s="100">
        <v>5568</v>
      </c>
      <c r="X105" s="100">
        <v>11</v>
      </c>
      <c r="Y105" s="100">
        <v>6124.7999999999993</v>
      </c>
      <c r="Z105" s="100">
        <v>9</v>
      </c>
      <c r="AA105" s="100">
        <v>5011.2</v>
      </c>
      <c r="AB105" s="100">
        <v>9</v>
      </c>
      <c r="AC105" s="100">
        <v>5011.2</v>
      </c>
      <c r="AD105" s="100">
        <v>7</v>
      </c>
      <c r="AE105" s="100">
        <v>3897.5999999999995</v>
      </c>
      <c r="AF105" s="100">
        <v>8</v>
      </c>
      <c r="AG105" s="100">
        <v>4454.3999999999996</v>
      </c>
      <c r="AH105" s="100">
        <v>8</v>
      </c>
      <c r="AI105" s="100">
        <v>4454.3999999999996</v>
      </c>
      <c r="AJ105" s="100">
        <v>9</v>
      </c>
      <c r="AK105" s="100">
        <v>5011.2</v>
      </c>
      <c r="AL105" s="100">
        <v>8</v>
      </c>
      <c r="AM105" s="100">
        <v>4454.3999999999996</v>
      </c>
      <c r="AN105" s="100">
        <v>10</v>
      </c>
      <c r="AO105" s="100">
        <v>5568</v>
      </c>
      <c r="AP105" s="100">
        <v>12</v>
      </c>
      <c r="AQ105" s="100">
        <v>6681.5999999999995</v>
      </c>
      <c r="AR105" s="100">
        <v>10</v>
      </c>
      <c r="AS105" s="100">
        <v>5568</v>
      </c>
      <c r="AT105" s="100">
        <v>10</v>
      </c>
      <c r="AU105" s="100">
        <v>5568</v>
      </c>
      <c r="AV105" s="100">
        <v>6</v>
      </c>
      <c r="AW105" s="100">
        <v>3340.7999999999997</v>
      </c>
      <c r="AX105" s="100">
        <v>8</v>
      </c>
      <c r="AY105" s="100">
        <v>4454.3999999999996</v>
      </c>
      <c r="AZ105" s="100">
        <v>7</v>
      </c>
      <c r="BA105" s="100">
        <v>3897.5999999999995</v>
      </c>
      <c r="BB105" s="100">
        <v>8</v>
      </c>
      <c r="BC105" s="100">
        <v>4454.3999999999996</v>
      </c>
      <c r="BD105" s="100">
        <v>11</v>
      </c>
      <c r="BE105" s="100">
        <v>6124.7999999999993</v>
      </c>
      <c r="BF105" s="100">
        <v>11</v>
      </c>
      <c r="BG105" s="100">
        <v>6124.7999999999993</v>
      </c>
      <c r="BH105" s="100">
        <v>8</v>
      </c>
      <c r="BI105" s="100">
        <v>4454.3999999999996</v>
      </c>
      <c r="BJ105" s="100">
        <v>9</v>
      </c>
      <c r="BK105" s="100">
        <v>5011.2</v>
      </c>
      <c r="BL105" s="100">
        <v>11</v>
      </c>
      <c r="BM105" s="100">
        <v>6124.7999999999993</v>
      </c>
      <c r="BN105" s="100">
        <v>9</v>
      </c>
      <c r="BO105" s="100">
        <v>5011.2</v>
      </c>
      <c r="BP105" s="100">
        <v>7</v>
      </c>
      <c r="BQ105" s="100">
        <v>3897.5999999999995</v>
      </c>
      <c r="BR105" s="100">
        <v>11</v>
      </c>
      <c r="BS105" s="100">
        <v>6124.7999999999993</v>
      </c>
      <c r="BT105" s="100">
        <v>9</v>
      </c>
      <c r="BU105" s="100">
        <v>5011.2</v>
      </c>
      <c r="BV105" s="100">
        <v>7</v>
      </c>
      <c r="BW105" s="100">
        <v>3897.5999999999995</v>
      </c>
      <c r="BX105" s="100">
        <v>8</v>
      </c>
      <c r="BY105" s="100">
        <v>4454.3999999999996</v>
      </c>
      <c r="BZ105" s="100">
        <v>11</v>
      </c>
      <c r="CA105" s="100">
        <v>6124.7999999999993</v>
      </c>
      <c r="CB105" s="100">
        <v>9</v>
      </c>
      <c r="CC105" s="100">
        <v>5011.2</v>
      </c>
      <c r="CD105" s="100">
        <v>12</v>
      </c>
      <c r="CE105" s="100">
        <v>6681.5999999999995</v>
      </c>
      <c r="CF105" s="100">
        <v>11</v>
      </c>
      <c r="CG105" s="100">
        <v>6124.7999999999993</v>
      </c>
      <c r="CH105" s="100">
        <v>8</v>
      </c>
      <c r="CI105" s="100">
        <v>4454.3999999999996</v>
      </c>
      <c r="CJ105" s="100">
        <v>11</v>
      </c>
      <c r="CK105" s="100">
        <v>6124.7999999999993</v>
      </c>
      <c r="CL105" s="100">
        <v>12</v>
      </c>
      <c r="CM105" s="100">
        <v>6681.5999999999995</v>
      </c>
      <c r="CN105" s="100">
        <v>12</v>
      </c>
      <c r="CO105" s="100">
        <v>6681.5999999999995</v>
      </c>
      <c r="CP105" s="100">
        <v>9</v>
      </c>
      <c r="CQ105" s="100">
        <v>5011.2</v>
      </c>
      <c r="CR105" s="100">
        <v>7</v>
      </c>
      <c r="CS105" s="100">
        <v>3897.5999999999995</v>
      </c>
      <c r="CT105" s="100">
        <v>11</v>
      </c>
      <c r="CU105" s="100">
        <v>6124.7999999999993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1052</v>
      </c>
      <c r="E109" s="100">
        <f>SUM(L$6:L$19)+SUM(N$6:N$19)+SUM(P$6:P$19)+SUM(R$6:R$19)</f>
        <v>943.68691967821394</v>
      </c>
      <c r="F109" s="100">
        <f>SUM(T$6:T$19)+SUM(V$6:V$19)+SUM(X$6:X$19)+SUM(Z$6:Z$19)</f>
        <v>1150</v>
      </c>
      <c r="G109" s="100">
        <f>SUM(AB$6:AB$19)+SUM(AD$6:AD$19)+SUM(AF$6:AF$19)+SUM(AH$6:AH$19)</f>
        <v>1133</v>
      </c>
      <c r="H109" s="100">
        <f>SUM(AJ$6:AJ$19)+SUM(AL$6:AL$19)+SUM(AN$6:AN$19)+SUM(AP$6:AP$19)</f>
        <v>1134.3526639880363</v>
      </c>
      <c r="I109" s="100">
        <f>SUM(AR$6:AR$19)+SUM(AT$6:AT$19)+SUM(AV$6:AV$19)+SUM(AX$6:AX$19)</f>
        <v>922.43058382303241</v>
      </c>
      <c r="J109" s="100">
        <f>SUM(AZ$6:AZ$19)+SUM(BB$6:BB$19)+SUM(BD$6:BD$19)+SUM(BF$6:BF$19)</f>
        <v>280.37518273747463</v>
      </c>
      <c r="K109" s="100">
        <f>SUM(BH$6:BH$19)+SUM(BJ$6:BJ$19)+SUM(BL$6:BL$19)+SUM(BN$6:BN$19)</f>
        <v>431.88993487208097</v>
      </c>
      <c r="L109" s="100">
        <f>SUM(BP$6:BP$19)+SUM(BR$6:BR$19)+SUM(BT$6:BT$19)+SUM(BV$6:BV$19)</f>
        <v>367.27435667786926</v>
      </c>
      <c r="M109" s="100">
        <f>SUM(BX$6:BX$19)+SUM(BZ$6:BZ$19)+SUM(CB$6:CB$19)+SUM(CD$6:CD$19)</f>
        <v>678.96717586478053</v>
      </c>
      <c r="N109" s="100">
        <f>SUM(CF$6:CF$19)+SUM(CH$6:CH$19)+SUM(CJ$6:CJ$19)+SUM(CL$6:CL$19)</f>
        <v>836.2561624726435</v>
      </c>
      <c r="O109" s="100">
        <f>SUM(CN$6:CN$19)+SUM(CP$6:CP$19)+SUM(CR$6:CR$19)+SUM(CT$6:CT$19)</f>
        <v>732.42147329023373</v>
      </c>
    </row>
    <row r="110" spans="2:99">
      <c r="C110" s="99" t="s">
        <v>127</v>
      </c>
      <c r="D110" s="100">
        <f>SUM(D$20:D$36)+SUM(F$20:F$36)+SUM(H$20:H$36)+SUM(J$20:J$36)</f>
        <v>1299</v>
      </c>
      <c r="E110" s="100">
        <f>SUM(L$20:L$36)+SUM(N$20:N$36)+SUM(P$20:P$36)+SUM(R$20:R$36)</f>
        <v>1437.2279678160291</v>
      </c>
      <c r="F110" s="100">
        <f>SUM(T$20:T$36)+SUM(V$20:V$36)+SUM(X$20:X$36)+SUM(Z$20:Z$36)</f>
        <v>1563</v>
      </c>
      <c r="G110" s="100">
        <f>SUM(AB$20:AB$36)+SUM(AD$20:AD$36)+SUM(AF$20:AF$36)+SUM(AH$20:AH$36)</f>
        <v>1607</v>
      </c>
      <c r="H110" s="100">
        <f>SUM(AJ$20:AJ$36)+SUM(AL$20:AL$36)+SUM(AN$20:AN$36)+SUM(AP$20:AP$36)</f>
        <v>1480.6734020186043</v>
      </c>
      <c r="I110" s="100">
        <f>SUM(AR$20:AR$36)+SUM(AT$20:AT$36)+SUM(AV$20:AV$36)+SUM(AX$20:AX$36)</f>
        <v>1236.8867545054422</v>
      </c>
      <c r="J110" s="100">
        <f>SUM(AZ$20:AZ$36)+SUM(BB$20:BB$36)+SUM(BD$20:BD$36)+SUM(BF$20:BF$36)</f>
        <v>385.62846368662673</v>
      </c>
      <c r="K110" s="100">
        <f>SUM(BH$20:BH$36)+SUM(BJ$20:BJ$36)+SUM(BL$20:BL$36)+SUM(BN$20:BN$36)</f>
        <v>521.89199224080721</v>
      </c>
      <c r="L110" s="100">
        <f>SUM(BP$20:BP$36)+SUM(BR$20:BR$36)+SUM(BT$20:BT$36)+SUM(BV$20:BV$36)</f>
        <v>364.98909453372102</v>
      </c>
      <c r="M110" s="100">
        <f>SUM(BX$20:BX$36)+SUM(BZ$20:BZ$36)+SUM(CB$20:CB$36)+SUM(CD$20:CD$36)</f>
        <v>971.43667662381608</v>
      </c>
      <c r="N110" s="100">
        <f>SUM(CF$20:CF$36)+SUM(CH$20:CH$36)+SUM(CJ$20:CJ$36)+SUM(CL$20:CL$36)</f>
        <v>1014.1865376686919</v>
      </c>
      <c r="O110" s="100">
        <f>SUM(CN$20:CN$36)+SUM(CP$20:CP$36)+SUM(CR$20:CR$36)+SUM(CT$20:CT$36)</f>
        <v>825.07037954012822</v>
      </c>
    </row>
    <row r="111" spans="2:99">
      <c r="C111" s="99" t="s">
        <v>128</v>
      </c>
      <c r="D111" s="100">
        <f>SUM(D$37:D$48)+SUM(F$37:F$48)+SUM(H$37:H$48)+SUM(J$37:J$48)</f>
        <v>592</v>
      </c>
      <c r="E111" s="100">
        <f>SUM(L$37:L$48)+SUM(N$37:N$48)+SUM(P$37:P$48)+SUM(R$37:R$48)</f>
        <v>581.64146542430706</v>
      </c>
      <c r="F111" s="100">
        <f>SUM(T$37:T$48)+SUM(V$37:V$48)+SUM(X$37:X$48)+SUM(Z$37:Z$48)</f>
        <v>803</v>
      </c>
      <c r="G111" s="100">
        <f>SUM(AB$37:AB$48)+SUM(AD$37:AD$48)+SUM(AF$37:AF$48)+SUM(AH$37:AH$48)</f>
        <v>607</v>
      </c>
      <c r="H111" s="100">
        <f>SUM(AJ$37:AJ$48)+SUM(AL$37:AL$48)+SUM(AN$37:AN$48)+SUM(AP$37:AP$48)</f>
        <v>500.32835327300836</v>
      </c>
      <c r="I111" s="100">
        <f>SUM(AR$37:AR$48)+SUM(AT$37:AT$48)+SUM(AV$37:AV$48)+SUM(AX$37:AX$48)</f>
        <v>440.32820728931569</v>
      </c>
      <c r="J111" s="100">
        <f>SUM(AZ$37:AZ$48)+SUM(BB$37:BB$48)+SUM(BD$37:BD$48)+SUM(BF$37:BF$48)</f>
        <v>141.92432221468826</v>
      </c>
      <c r="K111" s="100">
        <f>SUM(BH$37:BH$48)+SUM(BJ$37:BJ$48)+SUM(BL$37:BL$48)+SUM(BN$37:BN$48)</f>
        <v>261.60163978469404</v>
      </c>
      <c r="L111" s="100">
        <f>SUM(BP$37:BP$48)+SUM(BR$37:BR$48)+SUM(BT$37:BT$48)+SUM(BV$37:BV$48)</f>
        <v>134.01571028675244</v>
      </c>
      <c r="M111" s="100">
        <f>SUM(BX$37:BX$48)+SUM(BZ$37:BZ$48)+SUM(CB$37:CB$48)+SUM(CD$37:CD$48)</f>
        <v>320.93440311727147</v>
      </c>
      <c r="N111" s="100">
        <f>SUM(CF$37:CF$48)+SUM(CH$37:CH$48)+SUM(CJ$37:CJ$48)+SUM(CL$37:CL$48)</f>
        <v>384.33479431437524</v>
      </c>
      <c r="O111" s="100">
        <f>SUM(CN$37:CN$48)+SUM(CP$37:CP$48)+SUM(CR$37:CR$48)+SUM(CT$37:CT$48)</f>
        <v>421.49380560521524</v>
      </c>
    </row>
    <row r="112" spans="2:99">
      <c r="C112" s="99" t="s">
        <v>129</v>
      </c>
      <c r="D112" s="100">
        <f>SUM(D$49:D$70)+SUM(F$49:F$70)+SUM(H$49:H$70)+SUM(J$49:J$70)</f>
        <v>1256</v>
      </c>
      <c r="E112" s="100">
        <f>SUM(L$49:L$70)+SUM(N$49:N$70)+SUM(P$49:P$70)+SUM(R$49:R$70)</f>
        <v>773.9649811154145</v>
      </c>
      <c r="F112" s="100">
        <f>SUM(T$49:T$70)+SUM(V$49:V$70)+SUM(X$49:X$70)+SUM(Z$49:Z$70)</f>
        <v>1338</v>
      </c>
      <c r="G112" s="100">
        <f>SUM(AB$49:AB$70)+SUM(AD$49:AD$70)+SUM(AF$49:AF$70)+SUM(AH$49:AH$70)</f>
        <v>1141</v>
      </c>
      <c r="H112" s="100">
        <f>SUM(AJ$49:AJ$70)+SUM(AL$49:AL$70)+SUM(AN$49:AN$70)+SUM(AP$49:AP$70)</f>
        <v>854.8957225052593</v>
      </c>
      <c r="I112" s="100">
        <f>SUM(AR$49:AR$70)+SUM(AT$49:AT$70)+SUM(AV$49:AV$70)+SUM(AX$49:AX$70)</f>
        <v>851.16966034543884</v>
      </c>
      <c r="J112" s="100">
        <f>SUM(AZ$49:AZ$70)+SUM(BB$49:BB$70)+SUM(BD$49:BD$70)+SUM(BF$49:BF$70)</f>
        <v>433.48133596986702</v>
      </c>
      <c r="K112" s="100">
        <f>SUM(BH$49:BH$70)+SUM(BJ$49:BJ$70)+SUM(BL$49:BL$70)+SUM(BN$49:BN$70)</f>
        <v>480.84434692838755</v>
      </c>
      <c r="L112" s="100">
        <f>SUM(BP$49:BP$70)+SUM(BR$49:BR$70)+SUM(BT$49:BT$70)+SUM(BV$49:BV$70)</f>
        <v>413.13014311031395</v>
      </c>
      <c r="M112" s="100">
        <f>SUM(BX$49:BX$70)+SUM(BZ$49:BZ$70)+SUM(CB$49:CB$70)+SUM(CD$49:CD$70)</f>
        <v>641.05317929344528</v>
      </c>
      <c r="N112" s="100">
        <f>SUM(CF$49:CF$70)+SUM(CH$49:CH$70)+SUM(CJ$49:CJ$70)+SUM(CL$49:CL$70)</f>
        <v>530.24645010210634</v>
      </c>
      <c r="O112" s="100">
        <f>SUM(CN$49:CN$70)+SUM(CP$49:CP$70)+SUM(CR$49:CR$70)+SUM(CT$49:CT$70)</f>
        <v>687.2422553903923</v>
      </c>
    </row>
    <row r="113" spans="2:15">
      <c r="C113" s="99" t="s">
        <v>130</v>
      </c>
      <c r="D113" s="100">
        <f>SUM(D$71:D$86)+SUM(F$71:F$86)+SUM(H$71:H$86)+SUM(J$71:J$86)</f>
        <v>443</v>
      </c>
      <c r="E113" s="100">
        <f>SUM(L$71:L$86)+SUM(N$71:N$86)+SUM(P$71:P$86)+SUM(R$71:R$86)</f>
        <v>438</v>
      </c>
      <c r="F113" s="100">
        <f>SUM(T$71:T$86)+SUM(V$71:V$86)+SUM(X$71:X$86)+SUM(Z$71:Z$86)</f>
        <v>512</v>
      </c>
      <c r="G113" s="100">
        <f>SUM(AB$71:AB$86)+SUM(AD$71:AD$86)+SUM(AF$71:AF$86)+SUM(AH$71:AH$86)</f>
        <v>459</v>
      </c>
      <c r="H113" s="100">
        <f>SUM(AJ$71:AJ$86)+SUM(AL$71:AL$86)+SUM(AN$71:AN$86)+SUM(AP$71:AP$86)</f>
        <v>482</v>
      </c>
      <c r="I113" s="100">
        <f>SUM(AR$71:AR$86)+SUM(AT$71:AT$86)+SUM(AV$71:AV$86)+SUM(AX$71:AX$86)</f>
        <v>488</v>
      </c>
      <c r="J113" s="100">
        <f>SUM(AZ$71:AZ$86)+SUM(BB$71:BB$86)+SUM(BD$71:BD$86)+SUM(BF$71:BF$86)</f>
        <v>492</v>
      </c>
      <c r="K113" s="100">
        <f>SUM(BH$71:BH$86)+SUM(BJ$71:BJ$86)+SUM(BL$71:BL$86)+SUM(BN$71:BN$86)</f>
        <v>386</v>
      </c>
      <c r="L113" s="100">
        <f>SUM(BP$71:BP$86)+SUM(BR$71:BR$86)+SUM(BT$71:BT$86)+SUM(BV$71:BV$86)</f>
        <v>480</v>
      </c>
      <c r="M113" s="100">
        <f>SUM(BX$71:BX$86)+SUM(BZ$71:BZ$86)+SUM(CB$71:CB$86)+SUM(CD$71:CD$86)</f>
        <v>545</v>
      </c>
      <c r="N113" s="100">
        <f>SUM(CF$71:CF$86)+SUM(CH$71:CH$86)+SUM(CJ$71:CJ$86)+SUM(CL$71:CL$86)</f>
        <v>582</v>
      </c>
      <c r="O113" s="100">
        <f>SUM(CN$71:CN$86)+SUM(CP$71:CP$86)+SUM(CR$71:CR$86)+SUM(CT$71:CT$86)</f>
        <v>411</v>
      </c>
    </row>
    <row r="114" spans="2:15">
      <c r="C114" s="99" t="s">
        <v>131</v>
      </c>
      <c r="D114" s="100">
        <f>SUM(D$87:D$94)+SUM(F$87:F$94)+SUM(H$87:H$94)+SUM(J$87:J$94)</f>
        <v>289</v>
      </c>
      <c r="E114" s="100">
        <f>SUM(L$87:L$94)+SUM(N$87:N$94)+SUM(P$87:P$94)+SUM(R$87:R$94)</f>
        <v>270</v>
      </c>
      <c r="F114" s="100">
        <f>SUM(T$87:T$94)+SUM(V$87:V$94)+SUM(X$87:X$94)+SUM(Z$87:Z$94)</f>
        <v>336</v>
      </c>
      <c r="G114" s="100">
        <f>SUM(AB$87:AB$94)+SUM(AD$87:AD$94)+SUM(AF$87:AF$94)+SUM(AH$87:AH$94)</f>
        <v>265</v>
      </c>
      <c r="H114" s="100">
        <f>SUM(AJ$87:AJ$94)+SUM(AL$87:AL$94)+SUM(AN$87:AN$94)+SUM(AP$87:AP$94)</f>
        <v>307</v>
      </c>
      <c r="I114" s="100">
        <f>SUM(AR$87:AR$94)+SUM(AT$87:AT$94)+SUM(AV$87:AV$94)+SUM(AX$87:AX$94)</f>
        <v>342</v>
      </c>
      <c r="J114" s="100">
        <f>SUM(AZ$87:AZ$94)+SUM(BB$87:BB$94)+SUM(BD$87:BD$94)+SUM(BF$87:BF$94)</f>
        <v>319</v>
      </c>
      <c r="K114" s="100">
        <f>SUM(BH$87:BH$94)+SUM(BJ$87:BJ$94)+SUM(BL$87:BL$94)+SUM(BN$87:BN$94)</f>
        <v>286</v>
      </c>
      <c r="L114" s="100">
        <f>SUM(BP$87:BP$94)+SUM(BR$87:BR$94)+SUM(BT$87:BT$94)+SUM(BV$87:BV$94)</f>
        <v>274</v>
      </c>
      <c r="M114" s="100">
        <f>SUM(BX$87:BX$94)+SUM(BZ$87:BZ$94)+SUM(CB$87:CB$94)+SUM(CD$87:CD$94)</f>
        <v>334</v>
      </c>
      <c r="N114" s="100">
        <f>SUM(CF$87:CF$94)+SUM(CH$87:CH$94)+SUM(CJ$87:CJ$94)+SUM(CL$87:CL$94)</f>
        <v>296</v>
      </c>
      <c r="O114" s="100">
        <f>SUM(CN$87:CN$94)+SUM(CP$87:CP$94)+SUM(CR$87:CR$94)+SUM(CT$87:CT$94)</f>
        <v>321</v>
      </c>
    </row>
    <row r="115" spans="2:15">
      <c r="C115" s="99" t="s">
        <v>132</v>
      </c>
      <c r="D115" s="100">
        <f>SUM(D$95:D$105)+SUM(F$95:F$105)+SUM(H$95:H$105)+SUM(J$95:J$105)</f>
        <v>329</v>
      </c>
      <c r="E115" s="100">
        <f>SUM(L$95:L$105)+SUM(N$95:N$105)+SUM(P$95:P$105)+SUM(R$95:R$105)</f>
        <v>390</v>
      </c>
      <c r="F115" s="100">
        <f>SUM(T$95:T$105)+SUM(V$95:V$105)+SUM(X$95:X$105)+SUM(Z$95:Z$105)</f>
        <v>384</v>
      </c>
      <c r="G115" s="100">
        <f>SUM(AB$95:AB$105)+SUM(AD$95:AD$105)+SUM(AF$95:AF$105)+SUM(AH$95:AH$105)</f>
        <v>353</v>
      </c>
      <c r="H115" s="100">
        <f>SUM(AJ$95:AJ$105)+SUM(AL$95:AL$105)+SUM(AN$95:AN$105)+SUM(AP$95:AP$105)</f>
        <v>424</v>
      </c>
      <c r="I115" s="100">
        <f>SUM(AR$95:AR$105)+SUM(AT$95:AT$105)+SUM(AV$95:AV$105)+SUM(AX$95:AX$105)</f>
        <v>366</v>
      </c>
      <c r="J115" s="100">
        <f>SUM(AZ$95:AZ$105)+SUM(BB$95:BB$105)+SUM(BD$95:BD$105)+SUM(BF$95:BF$105)</f>
        <v>390</v>
      </c>
      <c r="K115" s="100">
        <f>SUM(BH$95:BH$105)+SUM(BJ$95:BJ$105)+SUM(BL$95:BL$105)+SUM(BN$95:BN$105)</f>
        <v>394</v>
      </c>
      <c r="L115" s="100">
        <f>SUM(BP$95:BP$105)+SUM(BR$95:BR$105)+SUM(BT$95:BT$105)+SUM(BV$95:BV$105)</f>
        <v>357</v>
      </c>
      <c r="M115" s="100">
        <f>SUM(BX$95:BX$105)+SUM(BZ$95:BZ$105)+SUM(CB$95:CB$105)+SUM(CD$95:CD$105)</f>
        <v>426</v>
      </c>
      <c r="N115" s="100">
        <f>SUM(CF$95:CF$105)+SUM(CH$95:CH$105)+SUM(CJ$95:CJ$105)+SUM(CL$95:CL$105)</f>
        <v>444</v>
      </c>
      <c r="O115" s="100">
        <f>SUM(CN$95:CN$105)+SUM(CP$95:CP$105)+SUM(CR$95:CR$105)+SUM(CT$95:CT$105)</f>
        <v>418</v>
      </c>
    </row>
    <row r="116" spans="2:15">
      <c r="C116" s="99" t="s">
        <v>278</v>
      </c>
      <c r="D116" s="100">
        <f t="shared" ref="D116:O116" si="0">SUM(D$109:D$115)</f>
        <v>5260</v>
      </c>
      <c r="E116" s="100">
        <f t="shared" si="0"/>
        <v>4834.5213340339651</v>
      </c>
      <c r="F116" s="100">
        <f t="shared" si="0"/>
        <v>6086</v>
      </c>
      <c r="G116" s="100">
        <f t="shared" si="0"/>
        <v>5565</v>
      </c>
      <c r="H116" s="100">
        <f t="shared" si="0"/>
        <v>5183.250141784908</v>
      </c>
      <c r="I116" s="100">
        <f t="shared" si="0"/>
        <v>4646.8152059632293</v>
      </c>
      <c r="J116" s="100">
        <f t="shared" si="0"/>
        <v>2442.4093046086564</v>
      </c>
      <c r="K116" s="100">
        <f t="shared" si="0"/>
        <v>2762.2279138259696</v>
      </c>
      <c r="L116" s="100">
        <f t="shared" si="0"/>
        <v>2390.4093046086568</v>
      </c>
      <c r="M116" s="100">
        <f t="shared" si="0"/>
        <v>3917.3914348993135</v>
      </c>
      <c r="N116" s="100">
        <f t="shared" si="0"/>
        <v>4087.0239445578172</v>
      </c>
      <c r="O116" s="100">
        <f t="shared" si="0"/>
        <v>3816.2279138259692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3576799.9999999995</v>
      </c>
      <c r="E120" s="100">
        <f>E109*pricing!E6*2000</f>
        <v>3208535.5269059273</v>
      </c>
      <c r="F120" s="100">
        <f>F109*pricing!F6*2000</f>
        <v>3910000</v>
      </c>
      <c r="G120" s="100">
        <f>G109*pricing!G6*2000</f>
        <v>3852200</v>
      </c>
      <c r="H120" s="100">
        <f>H109*pricing!H6*2000</f>
        <v>3856799.057559323</v>
      </c>
      <c r="I120" s="100">
        <f>I109*pricing!I6*2000</f>
        <v>3136263.98499831</v>
      </c>
      <c r="J120" s="100">
        <f>J109*pricing!J6*2000</f>
        <v>953275.62130741379</v>
      </c>
      <c r="K120" s="100">
        <f>K109*pricing!K6*2000</f>
        <v>1468425.7785650752</v>
      </c>
      <c r="L120" s="100">
        <f>L109*pricing!L6*2000</f>
        <v>1248732.8127047555</v>
      </c>
      <c r="M120" s="100">
        <f>M109*pricing!M6*2000</f>
        <v>2308488.3979402538</v>
      </c>
      <c r="N120" s="100">
        <f>N109*pricing!N6*2000</f>
        <v>2843270.952406988</v>
      </c>
      <c r="O120" s="100">
        <f>O109*pricing!O6*2000</f>
        <v>2490233.009186795</v>
      </c>
    </row>
    <row r="121" spans="2:15">
      <c r="C121" s="99" t="s">
        <v>127</v>
      </c>
      <c r="D121" s="100">
        <f>D110*pricing!D7*2000</f>
        <v>5196000</v>
      </c>
      <c r="E121" s="100">
        <f>E110*pricing!E7*2000</f>
        <v>5748911.8712641168</v>
      </c>
      <c r="F121" s="100">
        <f>F110*pricing!F7*2000</f>
        <v>6252000</v>
      </c>
      <c r="G121" s="100">
        <f>G110*pricing!G7*2000</f>
        <v>6428000</v>
      </c>
      <c r="H121" s="100">
        <f>H110*pricing!H7*2000</f>
        <v>5922693.6080744173</v>
      </c>
      <c r="I121" s="100">
        <f>I110*pricing!I7*2000</f>
        <v>4947547.0180217689</v>
      </c>
      <c r="J121" s="100">
        <f>J110*pricing!J7*2000</f>
        <v>1542513.854746507</v>
      </c>
      <c r="K121" s="100">
        <f>K110*pricing!K7*2000</f>
        <v>2087567.9689632289</v>
      </c>
      <c r="L121" s="100">
        <f>L110*pricing!L7*2000</f>
        <v>1459956.3781348842</v>
      </c>
      <c r="M121" s="100">
        <f>M110*pricing!M7*2000</f>
        <v>3885746.7064952645</v>
      </c>
      <c r="N121" s="100">
        <f>N110*pricing!N7*2000</f>
        <v>4056746.1506747678</v>
      </c>
      <c r="O121" s="100">
        <f>O110*pricing!O7*2000</f>
        <v>3300281.5181605127</v>
      </c>
    </row>
    <row r="122" spans="2:15">
      <c r="C122" s="99" t="s">
        <v>128</v>
      </c>
      <c r="D122" s="100">
        <f>D111*pricing!D8*2000</f>
        <v>2664000</v>
      </c>
      <c r="E122" s="100">
        <f>E111*pricing!E8*2000</f>
        <v>2617386.594409382</v>
      </c>
      <c r="F122" s="100">
        <f>F111*pricing!F8*2000</f>
        <v>3613500</v>
      </c>
      <c r="G122" s="100">
        <f>G111*pricing!G8*2000</f>
        <v>2731500</v>
      </c>
      <c r="H122" s="100">
        <f>H111*pricing!H8*2000</f>
        <v>2251477.5897285375</v>
      </c>
      <c r="I122" s="100">
        <f>I111*pricing!I8*2000</f>
        <v>1981476.9328019207</v>
      </c>
      <c r="J122" s="100">
        <f>J111*pricing!J8*2000</f>
        <v>638659.44996609725</v>
      </c>
      <c r="K122" s="100">
        <f>K111*pricing!K8*2000</f>
        <v>1177207.3790311234</v>
      </c>
      <c r="L122" s="100">
        <f>L111*pricing!L8*2000</f>
        <v>603070.69629038591</v>
      </c>
      <c r="M122" s="100">
        <f>M111*pricing!M8*2000</f>
        <v>1444204.8140277215</v>
      </c>
      <c r="N122" s="100">
        <f>N111*pricing!N8*2000</f>
        <v>1729506.5744146886</v>
      </c>
      <c r="O122" s="100">
        <f>O111*pricing!O8*2000</f>
        <v>1896722.1252234685</v>
      </c>
    </row>
    <row r="123" spans="2:15">
      <c r="C123" s="99" t="s">
        <v>129</v>
      </c>
      <c r="D123" s="100">
        <f>D112*pricing!D9*2000</f>
        <v>5652000</v>
      </c>
      <c r="E123" s="100">
        <f>E112*pricing!E9*2000</f>
        <v>3482842.415019365</v>
      </c>
      <c r="F123" s="100">
        <f>F112*pricing!F9*2000</f>
        <v>6021000</v>
      </c>
      <c r="G123" s="100">
        <f>G112*pricing!G9*2000</f>
        <v>5134500</v>
      </c>
      <c r="H123" s="100">
        <f>H112*pricing!H9*2000</f>
        <v>3847030.7512736665</v>
      </c>
      <c r="I123" s="100">
        <f>I112*pricing!I9*2000</f>
        <v>3830263.4715544744</v>
      </c>
      <c r="J123" s="100">
        <f>J112*pricing!J9*2000</f>
        <v>1950666.0118644016</v>
      </c>
      <c r="K123" s="100">
        <f>K112*pricing!K9*2000</f>
        <v>2163799.5611777441</v>
      </c>
      <c r="L123" s="100">
        <f>L112*pricing!L9*2000</f>
        <v>1859085.6439964126</v>
      </c>
      <c r="M123" s="100">
        <f>M112*pricing!M9*2000</f>
        <v>2884739.3068205039</v>
      </c>
      <c r="N123" s="100">
        <f>N112*pricing!N9*2000</f>
        <v>2386109.0254594781</v>
      </c>
      <c r="O123" s="100">
        <f>O112*pricing!O9*2000</f>
        <v>3092590.1492567654</v>
      </c>
    </row>
    <row r="124" spans="2:15">
      <c r="C124" s="99" t="s">
        <v>130</v>
      </c>
      <c r="D124" s="100">
        <f>D113*pricing!D10*2000</f>
        <v>2215000</v>
      </c>
      <c r="E124" s="100">
        <f>E113*pricing!E10*2000</f>
        <v>2190000</v>
      </c>
      <c r="F124" s="100">
        <f>F113*pricing!F10*2000</f>
        <v>2560000</v>
      </c>
      <c r="G124" s="100">
        <f>G113*pricing!G10*2000</f>
        <v>2295000</v>
      </c>
      <c r="H124" s="100">
        <f>H113*pricing!H10*2000</f>
        <v>2410000</v>
      </c>
      <c r="I124" s="100">
        <f>I113*pricing!I10*2000</f>
        <v>2440000</v>
      </c>
      <c r="J124" s="100">
        <f>J113*pricing!J10*2000</f>
        <v>2460000</v>
      </c>
      <c r="K124" s="100">
        <f>K113*pricing!K10*2000</f>
        <v>1930000</v>
      </c>
      <c r="L124" s="100">
        <f>L113*pricing!L10*2000</f>
        <v>2400000</v>
      </c>
      <c r="M124" s="100">
        <f>M113*pricing!M10*2000</f>
        <v>2725000</v>
      </c>
      <c r="N124" s="100">
        <f>N113*pricing!N10*2000</f>
        <v>2910000</v>
      </c>
      <c r="O124" s="100">
        <f>O113*pricing!O10*2000</f>
        <v>2055000</v>
      </c>
    </row>
    <row r="125" spans="2:15">
      <c r="C125" s="99" t="s">
        <v>131</v>
      </c>
      <c r="D125" s="100">
        <f>D114*pricing!D11*2000</f>
        <v>1502800</v>
      </c>
      <c r="E125" s="100">
        <f>E114*pricing!E11*2000</f>
        <v>1404000</v>
      </c>
      <c r="F125" s="100">
        <f>F114*pricing!F11*2000</f>
        <v>1747200</v>
      </c>
      <c r="G125" s="100">
        <f>G114*pricing!G11*2000</f>
        <v>1378000</v>
      </c>
      <c r="H125" s="100">
        <f>H114*pricing!H11*2000</f>
        <v>1596400</v>
      </c>
      <c r="I125" s="100">
        <f>I114*pricing!I11*2000</f>
        <v>1778400</v>
      </c>
      <c r="J125" s="100">
        <f>J114*pricing!J11*2000</f>
        <v>1658800</v>
      </c>
      <c r="K125" s="100">
        <f>K114*pricing!K11*2000</f>
        <v>1487200</v>
      </c>
      <c r="L125" s="100">
        <f>L114*pricing!L11*2000</f>
        <v>1424800</v>
      </c>
      <c r="M125" s="100">
        <f>M114*pricing!M11*2000</f>
        <v>1736800</v>
      </c>
      <c r="N125" s="100">
        <f>N114*pricing!N11*2000</f>
        <v>1539200</v>
      </c>
      <c r="O125" s="100">
        <f>O114*pricing!O11*2000</f>
        <v>1669200</v>
      </c>
    </row>
    <row r="126" spans="2:15">
      <c r="C126" s="99" t="s">
        <v>132</v>
      </c>
      <c r="D126" s="100">
        <f>D115*pricing!D12*2000</f>
        <v>1776600.0000000002</v>
      </c>
      <c r="E126" s="100">
        <f>E115*pricing!E12*2000</f>
        <v>2106000</v>
      </c>
      <c r="F126" s="100">
        <f>F115*pricing!F12*2000</f>
        <v>2073600.0000000005</v>
      </c>
      <c r="G126" s="100">
        <f>G115*pricing!G12*2000</f>
        <v>1906200</v>
      </c>
      <c r="H126" s="100">
        <f>H115*pricing!H12*2000</f>
        <v>2289600.0000000005</v>
      </c>
      <c r="I126" s="100">
        <f>I115*pricing!I12*2000</f>
        <v>1976400</v>
      </c>
      <c r="J126" s="100">
        <f>J115*pricing!J12*2000</f>
        <v>2106000</v>
      </c>
      <c r="K126" s="100">
        <f>K115*pricing!K12*2000</f>
        <v>2127600.0000000005</v>
      </c>
      <c r="L126" s="100">
        <f>L115*pricing!L12*2000</f>
        <v>1927800.0000000002</v>
      </c>
      <c r="M126" s="100">
        <f>M115*pricing!M12*2000</f>
        <v>2300400</v>
      </c>
      <c r="N126" s="100">
        <f>N115*pricing!N12*2000</f>
        <v>2397600.0000000005</v>
      </c>
      <c r="O126" s="100">
        <f>O115*pricing!O12*2000</f>
        <v>2257200.0000000005</v>
      </c>
    </row>
    <row r="127" spans="2:15">
      <c r="C127" s="99" t="s">
        <v>278</v>
      </c>
      <c r="D127" s="100">
        <f t="shared" ref="D127:O127" si="1">SUM(D$120:D$126)</f>
        <v>22583200</v>
      </c>
      <c r="E127" s="100">
        <f t="shared" si="1"/>
        <v>20757676.407598794</v>
      </c>
      <c r="F127" s="100">
        <f t="shared" si="1"/>
        <v>26177300</v>
      </c>
      <c r="G127" s="100">
        <f t="shared" si="1"/>
        <v>23725400</v>
      </c>
      <c r="H127" s="100">
        <f t="shared" si="1"/>
        <v>22174001.006635945</v>
      </c>
      <c r="I127" s="100">
        <f t="shared" si="1"/>
        <v>20090351.407376476</v>
      </c>
      <c r="J127" s="100">
        <f t="shared" si="1"/>
        <v>11309914.93788442</v>
      </c>
      <c r="K127" s="100">
        <f t="shared" si="1"/>
        <v>12441800.687737172</v>
      </c>
      <c r="L127" s="100">
        <f t="shared" si="1"/>
        <v>10923445.53112644</v>
      </c>
      <c r="M127" s="100">
        <f t="shared" si="1"/>
        <v>17285379.225283742</v>
      </c>
      <c r="N127" s="100">
        <f t="shared" si="1"/>
        <v>17862432.702955924</v>
      </c>
      <c r="O127" s="100">
        <f t="shared" si="1"/>
        <v>16761226.801827542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530191.19999999995</v>
      </c>
      <c r="E131" s="106">
        <f>SUM(M$6:M$19)+SUM(O$6:O$19)+SUM(Q$6:Q$19)+SUM(S$6:S$19)</f>
        <v>473627.87115505803</v>
      </c>
      <c r="F131" s="106">
        <f>SUM(U$6:U$19)+SUM(W$6:W$19)+SUM(Y$6:Y$19)+SUM(AA$6:AA$19)</f>
        <v>576253.20000000007</v>
      </c>
      <c r="G131" s="106">
        <f>SUM(AC$6:AC$19)+SUM(AE$6:AE$19)+SUM(AG$6:AG$19)+SUM(AI$6:AI$19)</f>
        <v>568536</v>
      </c>
      <c r="H131" s="106">
        <f>SUM(AK$6:AK$19)+SUM(AM$6:AM$19)+SUM(AO$6:AO$19)+SUM(AQ$6:AQ$19)</f>
        <v>571742.03790529561</v>
      </c>
      <c r="I131" s="106">
        <f>SUM(AS$6:AS$19)+SUM(AU$6:AU$19)+SUM(AW$6:AW$19)+SUM(AY$6:AY$19)</f>
        <v>462838.57748943142</v>
      </c>
      <c r="J131" s="106">
        <f>SUM(BA$6:BA$19)+SUM(BC$6:BC$19)+SUM(BE$6:BE$19)+SUM(BG$6:BG$19)</f>
        <v>139081.35325491434</v>
      </c>
      <c r="K131" s="106">
        <f>SUM(BI$6:BI$19)+SUM(BK$6:BK$19)+SUM(BM$6:BM$19)+SUM(BO$6:BO$19)</f>
        <v>217232.40483634511</v>
      </c>
      <c r="L131" s="106">
        <f>SUM(BQ$6:BQ$19)+SUM(BS$6:BS$19)+SUM(BU$6:BU$19)+SUM(BW$6:BW$19)</f>
        <v>183571.23855635442</v>
      </c>
      <c r="M131" s="106">
        <f>SUM(BY$6:BY$19)+SUM(CA$6:CA$19)+SUM(CC$6:CC$19)+SUM(CE$6:CE$19)</f>
        <v>338695.13861464005</v>
      </c>
      <c r="N131" s="106">
        <f>SUM(CG$6:CG$19)+SUM(CI$6:CI$19)+SUM(CK$6:CK$19)+SUM(CM$6:CM$19)</f>
        <v>422245.81602889718</v>
      </c>
      <c r="O131" s="106">
        <f>SUM(CO$6:CO$19)+SUM(CQ$6:CQ$19)+SUM(CS$6:CS$19)+SUM(CU$6:CU$19)</f>
        <v>366462.70134449319</v>
      </c>
    </row>
    <row r="132" spans="2:15">
      <c r="C132" s="105" t="s">
        <v>127</v>
      </c>
      <c r="D132" s="106">
        <f>SUM(E$20:E$36)+SUM(G$20:G$36)+SUM(I$20:I$36)+SUM(K$20:K$36)</f>
        <v>551947.19999999995</v>
      </c>
      <c r="E132" s="106">
        <f>SUM(M$20:M$36)+SUM(O$20:O$36)+SUM(Q$20:Q$36)+SUM(S$20:S$36)</f>
        <v>613001.18182239577</v>
      </c>
      <c r="F132" s="106">
        <f>SUM(U$20:U$36)+SUM(W$20:W$36)+SUM(Y$20:Y$36)+SUM(AA$20:AA$36)</f>
        <v>661791.6</v>
      </c>
      <c r="G132" s="106">
        <f>SUM(AC$20:AC$36)+SUM(AE$20:AE$36)+SUM(AG$20:AG$36)+SUM(AI$20:AI$36)</f>
        <v>682796.4</v>
      </c>
      <c r="H132" s="106">
        <f>SUM(AK$20:AK$36)+SUM(AM$20:AM$36)+SUM(AO$20:AO$36)+SUM(AQ$20:AQ$36)</f>
        <v>629386.16028908268</v>
      </c>
      <c r="I132" s="106">
        <f>SUM(AS$20:AS$36)+SUM(AU$20:AU$36)+SUM(AW$20:AW$36)+SUM(AY$20:AY$36)</f>
        <v>526827.88363633689</v>
      </c>
      <c r="J132" s="106">
        <f>SUM(BA$20:BA$36)+SUM(BC$20:BC$36)+SUM(BE$20:BE$36)+SUM(BG$20:BG$36)</f>
        <v>163286.76700170027</v>
      </c>
      <c r="K132" s="106">
        <f>SUM(BI$20:BI$36)+SUM(BK$20:BK$36)+SUM(BM$20:BM$36)+SUM(BO$20:BO$36)</f>
        <v>225582.60323798892</v>
      </c>
      <c r="L132" s="106">
        <f>SUM(BQ$20:BQ$36)+SUM(BS$20:BS$36)+SUM(BU$20:BU$36)+SUM(BW$20:BW$36)</f>
        <v>156764.51080089237</v>
      </c>
      <c r="M132" s="106">
        <f>SUM(BY$20:BY$36)+SUM(CA$20:CA$36)+SUM(CC$20:CC$36)+SUM(CE$20:CE$36)</f>
        <v>415712.75444853224</v>
      </c>
      <c r="N132" s="106">
        <f>SUM(CG$20:CG$36)+SUM(CI$20:CI$36)+SUM(CK$20:CK$36)+SUM(CM$20:CM$36)</f>
        <v>430791.59381584747</v>
      </c>
      <c r="O132" s="106">
        <f>SUM(CO$20:CO$36)+SUM(CQ$20:CQ$36)+SUM(CS$20:CS$36)+SUM(CU$20:CU$36)</f>
        <v>351250.26183877047</v>
      </c>
    </row>
    <row r="133" spans="2:15">
      <c r="C133" s="105" t="s">
        <v>128</v>
      </c>
      <c r="D133" s="106">
        <f>SUM(E$37:E$48)+SUM(G$37:G$48)+SUM(I$37:I$48)+SUM(K$37:K$48)</f>
        <v>620743.19999999995</v>
      </c>
      <c r="E133" s="106">
        <f>SUM(M$37:M$48)+SUM(O$37:O$48)+SUM(Q$37:Q$48)+SUM(S$37:S$48)</f>
        <v>610600.13461467519</v>
      </c>
      <c r="F133" s="106">
        <f>SUM(U$37:U$48)+SUM(W$37:W$48)+SUM(Y$37:Y$48)+SUM(AA$37:AA$48)</f>
        <v>840369.6</v>
      </c>
      <c r="G133" s="106">
        <f>SUM(AC$37:AC$48)+SUM(AE$37:AE$48)+SUM(AG$37:AG$48)+SUM(AI$37:AI$48)</f>
        <v>638264.4</v>
      </c>
      <c r="H133" s="106">
        <f>SUM(AK$37:AK$48)+SUM(AM$37:AM$48)+SUM(AO$37:AO$48)+SUM(AQ$37:AQ$48)</f>
        <v>524622.60327442898</v>
      </c>
      <c r="I133" s="106">
        <f>SUM(AS$37:AS$48)+SUM(AU$37:AU$48)+SUM(AW$37:AW$48)+SUM(AY$37:AY$48)</f>
        <v>462522.28900234716</v>
      </c>
      <c r="J133" s="106">
        <f>SUM(BA$37:BA$48)+SUM(BC$37:BC$48)+SUM(BE$37:BE$48)+SUM(BG$37:BG$48)</f>
        <v>148776.96886067785</v>
      </c>
      <c r="K133" s="106">
        <f>SUM(BI$37:BI$48)+SUM(BK$37:BK$48)+SUM(BM$37:BM$48)+SUM(BO$37:BO$48)</f>
        <v>275786.61238658073</v>
      </c>
      <c r="L133" s="106">
        <f>SUM(BQ$37:BQ$48)+SUM(BS$37:BS$48)+SUM(BU$37:BU$48)+SUM(BW$37:BW$48)</f>
        <v>139843.04240904871</v>
      </c>
      <c r="M133" s="106">
        <f>SUM(BY$37:BY$48)+SUM(CA$37:CA$48)+SUM(CC$37:CC$48)+SUM(CE$37:CE$48)</f>
        <v>336447.04172835214</v>
      </c>
      <c r="N133" s="106">
        <f>SUM(CG$37:CG$48)+SUM(CI$37:CI$48)+SUM(CK$37:CK$48)+SUM(CM$37:CM$48)</f>
        <v>402147.14009065455</v>
      </c>
      <c r="O133" s="106">
        <f>SUM(CO$37:CO$48)+SUM(CQ$37:CQ$48)+SUM(CS$37:CS$48)+SUM(CU$37:CU$48)</f>
        <v>441041.17016502155</v>
      </c>
    </row>
    <row r="134" spans="2:15">
      <c r="C134" s="105" t="s">
        <v>129</v>
      </c>
      <c r="D134" s="106">
        <f>SUM(E$49:E$70)+SUM(G$49:G$70)+SUM(I$49:I$70)+SUM(K$49:K$70)</f>
        <v>1051185.6000000001</v>
      </c>
      <c r="E134" s="106">
        <f>SUM(M$49:M$70)+SUM(O$49:O$70)+SUM(Q$49:Q$70)+SUM(S$49:S$70)</f>
        <v>656847.63843293884</v>
      </c>
      <c r="F134" s="106">
        <f>SUM(U$49:U$70)+SUM(W$49:W$70)+SUM(Y$49:Y$70)+SUM(AA$49:AA$70)</f>
        <v>1119274.8</v>
      </c>
      <c r="G134" s="106">
        <f>SUM(AC$49:AC$70)+SUM(AE$49:AE$70)+SUM(AG$49:AG$70)+SUM(AI$49:AI$70)</f>
        <v>952138.8</v>
      </c>
      <c r="H134" s="106">
        <f>SUM(AK$49:AK$70)+SUM(AM$49:AM$70)+SUM(AO$49:AO$70)+SUM(AQ$49:AQ$70)</f>
        <v>723283.08361021848</v>
      </c>
      <c r="I134" s="106">
        <f>SUM(AS$49:AS$70)+SUM(AU$49:AU$70)+SUM(AW$49:AW$70)+SUM(AY$49:AY$70)</f>
        <v>731310.51484260731</v>
      </c>
      <c r="J134" s="106">
        <f>SUM(BA$49:BA$70)+SUM(BC$49:BC$70)+SUM(BE$49:BE$70)+SUM(BG$49:BG$70)</f>
        <v>409951.31466595712</v>
      </c>
      <c r="K134" s="106">
        <f>SUM(BI$49:BI$70)+SUM(BK$49:BK$70)+SUM(BM$49:BM$70)+SUM(BO$49:BO$70)</f>
        <v>451760.88644232106</v>
      </c>
      <c r="L134" s="106">
        <f>SUM(BQ$49:BQ$70)+SUM(BS$49:BS$70)+SUM(BU$49:BU$70)+SUM(BW$49:BW$70)</f>
        <v>396845.28484750888</v>
      </c>
      <c r="M134" s="106">
        <f>SUM(BY$49:BY$70)+SUM(CA$49:CA$70)+SUM(CC$49:CC$70)+SUM(CE$49:CE$70)</f>
        <v>568247.3759883889</v>
      </c>
      <c r="N134" s="106">
        <f>SUM(CG$49:CG$70)+SUM(CI$49:CI$70)+SUM(CK$49:CK$70)+SUM(CM$49:CM$70)</f>
        <v>477757.81899167958</v>
      </c>
      <c r="O134" s="106">
        <f>SUM(CO$49:CO$70)+SUM(CQ$49:CQ$70)+SUM(CS$49:CS$70)+SUM(CU$49:CU$70)</f>
        <v>591963.72719560959</v>
      </c>
    </row>
    <row r="135" spans="2:15">
      <c r="C135" s="105" t="s">
        <v>130</v>
      </c>
      <c r="D135" s="106">
        <f>SUM(E$71:E$86)+SUM(G$71:G$86)+SUM(I$71:I$86)+SUM(K$71:K$86)</f>
        <v>249406.8</v>
      </c>
      <c r="E135" s="106">
        <f>SUM(M$71:M$86)+SUM(O$71:O$86)+SUM(Q$71:Q$86)+SUM(S$71:S$86)</f>
        <v>242704.8</v>
      </c>
      <c r="F135" s="106">
        <f>SUM(U$71:U$86)+SUM(W$71:W$86)+SUM(Y$71:Y$86)+SUM(AA$71:AA$86)</f>
        <v>286996.8</v>
      </c>
      <c r="G135" s="106">
        <f>SUM(AC$71:AC$86)+SUM(AE$71:AE$86)+SUM(AG$71:AG$86)+SUM(AI$71:AI$86)</f>
        <v>255554.39999999997</v>
      </c>
      <c r="H135" s="106">
        <f>SUM(AK$71:AK$86)+SUM(AM$71:AM$86)+SUM(AO$71:AO$86)+SUM(AQ$71:AQ$86)</f>
        <v>269227.2</v>
      </c>
      <c r="I135" s="106">
        <f>SUM(AS$71:AS$86)+SUM(AU$71:AU$86)+SUM(AW$71:AW$86)+SUM(AY$71:AY$86)</f>
        <v>272299.2</v>
      </c>
      <c r="J135" s="106">
        <f>SUM(BA$71:BA$86)+SUM(BC$71:BC$86)+SUM(BE$71:BE$86)+SUM(BG$71:BG$86)</f>
        <v>275504.40000000002</v>
      </c>
      <c r="K135" s="106">
        <f>SUM(BI$71:BI$86)+SUM(BK$71:BK$86)+SUM(BM$71:BM$86)+SUM(BO$71:BO$86)</f>
        <v>216357.6</v>
      </c>
      <c r="L135" s="106">
        <f>SUM(BQ$71:BQ$86)+SUM(BS$71:BS$86)+SUM(BU$71:BU$86)+SUM(BW$71:BW$86)</f>
        <v>266320.8</v>
      </c>
      <c r="M135" s="106">
        <f>SUM(BY$71:BY$86)+SUM(CA$71:CA$86)+SUM(CC$71:CC$86)+SUM(CE$71:CE$86)</f>
        <v>305265.59999999998</v>
      </c>
      <c r="N135" s="106">
        <f>SUM(CG$71:CG$86)+SUM(CI$71:CI$86)+SUM(CK$71:CK$86)+SUM(CM$71:CM$86)</f>
        <v>322965.59999999998</v>
      </c>
      <c r="O135" s="106">
        <f>SUM(CO$71:CO$86)+SUM(CQ$71:CQ$86)+SUM(CS$71:CS$86)+SUM(CU$71:CU$86)</f>
        <v>229279.2</v>
      </c>
    </row>
    <row r="136" spans="2:15">
      <c r="C136" s="105" t="s">
        <v>131</v>
      </c>
      <c r="D136" s="106">
        <f>SUM(E$87:E$94)+SUM(G$87:G$94)+SUM(I$87:I$94)+SUM(K$87:K$94)</f>
        <v>290054.39999999997</v>
      </c>
      <c r="E136" s="106">
        <f>SUM(M$87:M$94)+SUM(O$87:O$94)+SUM(Q$87:Q$94)+SUM(S$87:S$94)</f>
        <v>270037.19999999995</v>
      </c>
      <c r="F136" s="106">
        <f>SUM(U$87:U$94)+SUM(W$87:W$94)+SUM(Y$87:Y$94)+SUM(AA$87:AA$94)</f>
        <v>337486.80000000005</v>
      </c>
      <c r="G136" s="106">
        <f>SUM(AC$87:AC$94)+SUM(AE$87:AE$94)+SUM(AG$87:AG$94)+SUM(AI$87:AI$94)</f>
        <v>265855.2</v>
      </c>
      <c r="H136" s="106">
        <f>SUM(AK$87:AK$94)+SUM(AM$87:AM$94)+SUM(AO$87:AO$94)+SUM(AQ$87:AQ$94)</f>
        <v>308212.8</v>
      </c>
      <c r="I136" s="106">
        <f>SUM(AS$87:AS$94)+SUM(AU$87:AU$94)+SUM(AW$87:AW$94)+SUM(AY$87:AY$94)</f>
        <v>343557.6</v>
      </c>
      <c r="J136" s="106">
        <f>SUM(BA$87:BA$94)+SUM(BC$87:BC$94)+SUM(BE$87:BE$94)+SUM(BG$87:BG$94)</f>
        <v>321618</v>
      </c>
      <c r="K136" s="106">
        <f>SUM(BI$87:BI$94)+SUM(BK$87:BK$94)+SUM(BM$87:BM$94)+SUM(BO$87:BO$94)</f>
        <v>288052.8</v>
      </c>
      <c r="L136" s="106">
        <f>SUM(BQ$87:BQ$94)+SUM(BS$87:BS$94)+SUM(BU$87:BU$94)+SUM(BW$87:BW$94)</f>
        <v>274731.59999999998</v>
      </c>
      <c r="M136" s="106">
        <f>SUM(BY$87:BY$94)+SUM(CA$87:CA$94)+SUM(CC$87:CC$94)+SUM(CE$87:CE$94)</f>
        <v>334633.19999999995</v>
      </c>
      <c r="N136" s="106">
        <f>SUM(CG$87:CG$94)+SUM(CI$87:CI$94)+SUM(CK$87:CK$94)+SUM(CM$87:CM$94)</f>
        <v>296560.8</v>
      </c>
      <c r="O136" s="106">
        <f>SUM(CO$87:CO$94)+SUM(CQ$87:CQ$94)+SUM(CS$87:CS$94)+SUM(CU$87:CU$94)</f>
        <v>321770.40000000002</v>
      </c>
    </row>
    <row r="137" spans="2:15">
      <c r="C137" s="105" t="s">
        <v>132</v>
      </c>
      <c r="D137" s="106">
        <f>SUM(E$95:E$105)+SUM(G$95:G$105)+SUM(I$95:I$105)+SUM(K$95:K$105)</f>
        <v>254802</v>
      </c>
      <c r="E137" s="106">
        <f>SUM(M$95:M$105)+SUM(O$95:O$105)+SUM(Q$95:Q$105)+SUM(S$95:S$105)</f>
        <v>308774.40000000002</v>
      </c>
      <c r="F137" s="106">
        <f>SUM(U$95:U$105)+SUM(W$95:W$105)+SUM(Y$95:Y$105)+SUM(AA$95:AA$105)</f>
        <v>306717.59999999998</v>
      </c>
      <c r="G137" s="106">
        <f>SUM(AC$95:AC$105)+SUM(AE$95:AE$105)+SUM(AG$95:AG$105)+SUM(AI$95:AI$105)</f>
        <v>274449.59999999998</v>
      </c>
      <c r="H137" s="106">
        <f>SUM(AK$95:AK$105)+SUM(AM$95:AM$105)+SUM(AO$95:AO$105)+SUM(AQ$95:AQ$105)</f>
        <v>335058</v>
      </c>
      <c r="I137" s="106">
        <f>SUM(AS$95:AS$105)+SUM(AU$95:AU$105)+SUM(AW$95:AW$105)+SUM(AY$95:AY$105)</f>
        <v>292801.2</v>
      </c>
      <c r="J137" s="106">
        <f>SUM(BA$95:BA$105)+SUM(BC$95:BC$105)+SUM(BE$95:BE$105)+SUM(BG$95:BG$105)</f>
        <v>309663.59999999998</v>
      </c>
      <c r="K137" s="106">
        <f>SUM(BI$95:BI$105)+SUM(BK$95:BK$105)+SUM(BM$95:BM$105)+SUM(BO$95:BO$105)</f>
        <v>310591.19999999995</v>
      </c>
      <c r="L137" s="106">
        <f>SUM(BQ$95:BQ$105)+SUM(BS$95:BS$105)+SUM(BU$95:BU$105)+SUM(BW$95:BW$105)</f>
        <v>280702.8</v>
      </c>
      <c r="M137" s="106">
        <f>SUM(BY$95:BY$105)+SUM(CA$95:CA$105)+SUM(CC$95:CC$105)+SUM(CE$95:CE$105)</f>
        <v>330922.8</v>
      </c>
      <c r="N137" s="106">
        <f>SUM(CG$95:CG$105)+SUM(CI$95:CI$105)+SUM(CK$95:CK$105)+SUM(CM$95:CM$105)</f>
        <v>347806.80000000005</v>
      </c>
      <c r="O137" s="106">
        <f>SUM(CO$95:CO$105)+SUM(CQ$95:CQ$105)+SUM(CS$95:CS$105)+SUM(CU$95:CU$105)</f>
        <v>331431.59999999998</v>
      </c>
    </row>
    <row r="138" spans="2:15">
      <c r="C138" s="105" t="s">
        <v>278</v>
      </c>
      <c r="D138" s="100">
        <f t="shared" ref="D138:O138" si="2">SUM(D$131:D$137)</f>
        <v>3548330.4</v>
      </c>
      <c r="E138" s="100">
        <f t="shared" si="2"/>
        <v>3175593.2260250677</v>
      </c>
      <c r="F138" s="100">
        <f t="shared" si="2"/>
        <v>4128890.4</v>
      </c>
      <c r="G138" s="100">
        <f t="shared" si="2"/>
        <v>3637594.8</v>
      </c>
      <c r="H138" s="100">
        <f t="shared" si="2"/>
        <v>3361531.8850790258</v>
      </c>
      <c r="I138" s="100">
        <f t="shared" si="2"/>
        <v>3092157.2649707231</v>
      </c>
      <c r="J138" s="100">
        <f t="shared" si="2"/>
        <v>1767882.4037832497</v>
      </c>
      <c r="K138" s="100">
        <f t="shared" si="2"/>
        <v>1985364.1069032359</v>
      </c>
      <c r="L138" s="100">
        <f t="shared" si="2"/>
        <v>1698779.2766138043</v>
      </c>
      <c r="M138" s="100">
        <f t="shared" si="2"/>
        <v>2629923.910779913</v>
      </c>
      <c r="N138" s="100">
        <f t="shared" si="2"/>
        <v>2700275.5689270785</v>
      </c>
      <c r="O138" s="100">
        <f t="shared" si="2"/>
        <v>2633199.0605438948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9</v>
      </c>
      <c r="E6" s="100">
        <v>5205.5999999999995</v>
      </c>
      <c r="F6" s="100">
        <v>5.1289087100723982</v>
      </c>
      <c r="G6" s="100">
        <v>2966.560797905875</v>
      </c>
      <c r="H6" s="100">
        <v>0</v>
      </c>
      <c r="I6" s="100">
        <v>0</v>
      </c>
      <c r="J6" s="100">
        <v>9</v>
      </c>
      <c r="K6" s="100">
        <v>5205.5999999999995</v>
      </c>
      <c r="L6" s="100">
        <v>7</v>
      </c>
      <c r="M6" s="100">
        <v>4048.7999999999997</v>
      </c>
      <c r="N6" s="100">
        <v>8</v>
      </c>
      <c r="O6" s="100">
        <v>4627.2</v>
      </c>
      <c r="P6" s="100">
        <v>9</v>
      </c>
      <c r="Q6" s="100">
        <v>5205.5999999999995</v>
      </c>
      <c r="R6" s="100">
        <v>6</v>
      </c>
      <c r="S6" s="100">
        <v>3470.3999999999996</v>
      </c>
      <c r="T6" s="100">
        <v>7</v>
      </c>
      <c r="U6" s="100">
        <v>4048.7999999999997</v>
      </c>
      <c r="V6" s="100">
        <v>9.8659961897165331</v>
      </c>
      <c r="W6" s="100">
        <v>5706.4921961320424</v>
      </c>
      <c r="X6" s="100">
        <v>6.9102315450459502</v>
      </c>
      <c r="Y6" s="100">
        <v>3996.8779256545772</v>
      </c>
      <c r="Z6" s="100">
        <v>9</v>
      </c>
      <c r="AA6" s="100">
        <v>5205.5999999999995</v>
      </c>
      <c r="AB6" s="100">
        <v>8</v>
      </c>
      <c r="AC6" s="100">
        <v>4627.2</v>
      </c>
      <c r="AD6" s="100">
        <v>9</v>
      </c>
      <c r="AE6" s="100">
        <v>5205.5999999999995</v>
      </c>
      <c r="AF6" s="100">
        <v>11</v>
      </c>
      <c r="AG6" s="100">
        <v>6362.4</v>
      </c>
      <c r="AH6" s="100">
        <v>11</v>
      </c>
      <c r="AI6" s="100">
        <v>6362.4</v>
      </c>
      <c r="AJ6" s="100">
        <v>9</v>
      </c>
      <c r="AK6" s="100">
        <v>5205.5999999999995</v>
      </c>
      <c r="AL6" s="100">
        <v>11</v>
      </c>
      <c r="AM6" s="100">
        <v>6362.4</v>
      </c>
      <c r="AN6" s="100">
        <v>11</v>
      </c>
      <c r="AO6" s="100">
        <v>6362.4</v>
      </c>
      <c r="AP6" s="100">
        <v>8</v>
      </c>
      <c r="AQ6" s="100">
        <v>4627.2</v>
      </c>
      <c r="AR6" s="100">
        <v>8</v>
      </c>
      <c r="AS6" s="100">
        <v>4627.2</v>
      </c>
      <c r="AT6" s="100">
        <v>8</v>
      </c>
      <c r="AU6" s="100">
        <v>4627.2</v>
      </c>
      <c r="AV6" s="100">
        <v>8</v>
      </c>
      <c r="AW6" s="100">
        <v>4627.2</v>
      </c>
      <c r="AX6" s="100">
        <v>11</v>
      </c>
      <c r="AY6" s="100">
        <v>6362.4</v>
      </c>
      <c r="AZ6" s="100">
        <v>11</v>
      </c>
      <c r="BA6" s="100">
        <v>6362.4</v>
      </c>
      <c r="BB6" s="100">
        <v>10</v>
      </c>
      <c r="BC6" s="100">
        <v>5784</v>
      </c>
      <c r="BD6" s="100">
        <v>8</v>
      </c>
      <c r="BE6" s="100">
        <v>4627.2</v>
      </c>
      <c r="BF6" s="100">
        <v>9</v>
      </c>
      <c r="BG6" s="100">
        <v>5205.5999999999995</v>
      </c>
      <c r="BH6" s="100">
        <v>11</v>
      </c>
      <c r="BI6" s="100">
        <v>6362.4</v>
      </c>
      <c r="BJ6" s="100">
        <v>13</v>
      </c>
      <c r="BK6" s="100">
        <v>7519.2</v>
      </c>
      <c r="BL6" s="100">
        <v>11</v>
      </c>
      <c r="BM6" s="100">
        <v>6362.4</v>
      </c>
      <c r="BN6" s="100">
        <v>6</v>
      </c>
      <c r="BO6" s="100">
        <v>3470.3999999999996</v>
      </c>
      <c r="BP6" s="100">
        <v>6</v>
      </c>
      <c r="BQ6" s="100">
        <v>3470.3999999999996</v>
      </c>
      <c r="BR6" s="100">
        <v>7</v>
      </c>
      <c r="BS6" s="100">
        <v>4048.7999999999997</v>
      </c>
      <c r="BT6" s="100">
        <v>10</v>
      </c>
      <c r="BU6" s="100">
        <v>5784</v>
      </c>
      <c r="BV6" s="100">
        <v>11</v>
      </c>
      <c r="BW6" s="100">
        <v>6362.4</v>
      </c>
      <c r="BX6" s="100">
        <v>7</v>
      </c>
      <c r="BY6" s="100">
        <v>4048.7999999999997</v>
      </c>
      <c r="BZ6" s="100">
        <v>10</v>
      </c>
      <c r="CA6" s="100">
        <v>5784</v>
      </c>
      <c r="CB6" s="100">
        <v>9</v>
      </c>
      <c r="CC6" s="100">
        <v>5205.5999999999995</v>
      </c>
      <c r="CD6" s="100">
        <v>8</v>
      </c>
      <c r="CE6" s="100">
        <v>4627.2</v>
      </c>
      <c r="CF6" s="100">
        <v>9</v>
      </c>
      <c r="CG6" s="100">
        <v>5205.5999999999995</v>
      </c>
      <c r="CH6" s="100">
        <v>6</v>
      </c>
      <c r="CI6" s="100">
        <v>3470.3999999999996</v>
      </c>
      <c r="CJ6" s="100">
        <v>9</v>
      </c>
      <c r="CK6" s="100">
        <v>5205.5999999999995</v>
      </c>
      <c r="CL6" s="100">
        <v>7</v>
      </c>
      <c r="CM6" s="100">
        <v>4048.7999999999997</v>
      </c>
      <c r="CN6" s="100">
        <v>14</v>
      </c>
      <c r="CO6" s="100">
        <v>8097.5999999999995</v>
      </c>
      <c r="CP6" s="100">
        <v>12</v>
      </c>
      <c r="CQ6" s="100">
        <v>6940.7999999999993</v>
      </c>
      <c r="CR6" s="100">
        <v>11</v>
      </c>
      <c r="CS6" s="100">
        <v>6362.4</v>
      </c>
      <c r="CT6" s="100">
        <v>6</v>
      </c>
      <c r="CU6" s="100">
        <v>3470.3999999999996</v>
      </c>
    </row>
    <row r="7" spans="1:99">
      <c r="C7" s="99" t="s">
        <v>173</v>
      </c>
      <c r="D7" s="100">
        <v>9</v>
      </c>
      <c r="E7" s="100">
        <v>7095.5999999999995</v>
      </c>
      <c r="F7" s="100">
        <v>5.1289087100723982</v>
      </c>
      <c r="G7" s="100">
        <v>4043.6316270210787</v>
      </c>
      <c r="H7" s="100">
        <v>0</v>
      </c>
      <c r="I7" s="100">
        <v>0</v>
      </c>
      <c r="J7" s="100">
        <v>11</v>
      </c>
      <c r="K7" s="100">
        <v>8672.4</v>
      </c>
      <c r="L7" s="100">
        <v>7</v>
      </c>
      <c r="M7" s="100">
        <v>5518.8</v>
      </c>
      <c r="N7" s="100">
        <v>9</v>
      </c>
      <c r="O7" s="100">
        <v>7095.5999999999995</v>
      </c>
      <c r="P7" s="100">
        <v>9</v>
      </c>
      <c r="Q7" s="100">
        <v>7095.5999999999995</v>
      </c>
      <c r="R7" s="100">
        <v>5</v>
      </c>
      <c r="S7" s="100">
        <v>3942</v>
      </c>
      <c r="T7" s="100">
        <v>7</v>
      </c>
      <c r="U7" s="100">
        <v>5518.8</v>
      </c>
      <c r="V7" s="100">
        <v>8.8793965707448805</v>
      </c>
      <c r="W7" s="100">
        <v>7000.5162563752638</v>
      </c>
      <c r="X7" s="100">
        <v>5.9230556100393867</v>
      </c>
      <c r="Y7" s="100">
        <v>4669.7370429550519</v>
      </c>
      <c r="Z7" s="100">
        <v>9</v>
      </c>
      <c r="AA7" s="100">
        <v>7095.5999999999995</v>
      </c>
      <c r="AB7" s="100">
        <v>8</v>
      </c>
      <c r="AC7" s="100">
        <v>6307.2</v>
      </c>
      <c r="AD7" s="100">
        <v>8</v>
      </c>
      <c r="AE7" s="100">
        <v>6307.2</v>
      </c>
      <c r="AF7" s="100">
        <v>9</v>
      </c>
      <c r="AG7" s="100">
        <v>7095.5999999999995</v>
      </c>
      <c r="AH7" s="100">
        <v>10</v>
      </c>
      <c r="AI7" s="100">
        <v>7884</v>
      </c>
      <c r="AJ7" s="100">
        <v>10</v>
      </c>
      <c r="AK7" s="100">
        <v>7884</v>
      </c>
      <c r="AL7" s="100">
        <v>12</v>
      </c>
      <c r="AM7" s="100">
        <v>9460.7999999999993</v>
      </c>
      <c r="AN7" s="100">
        <v>11</v>
      </c>
      <c r="AO7" s="100">
        <v>8672.4</v>
      </c>
      <c r="AP7" s="100">
        <v>9</v>
      </c>
      <c r="AQ7" s="100">
        <v>7095.5999999999995</v>
      </c>
      <c r="AR7" s="100">
        <v>8</v>
      </c>
      <c r="AS7" s="100">
        <v>6307.2</v>
      </c>
      <c r="AT7" s="100">
        <v>8</v>
      </c>
      <c r="AU7" s="100">
        <v>6307.2</v>
      </c>
      <c r="AV7" s="100">
        <v>7</v>
      </c>
      <c r="AW7" s="100">
        <v>5518.8</v>
      </c>
      <c r="AX7" s="100">
        <v>10</v>
      </c>
      <c r="AY7" s="100">
        <v>7884</v>
      </c>
      <c r="AZ7" s="100">
        <v>12</v>
      </c>
      <c r="BA7" s="100">
        <v>9460.7999999999993</v>
      </c>
      <c r="BB7" s="100">
        <v>8</v>
      </c>
      <c r="BC7" s="100">
        <v>6307.2</v>
      </c>
      <c r="BD7" s="100">
        <v>8</v>
      </c>
      <c r="BE7" s="100">
        <v>6307.2</v>
      </c>
      <c r="BF7" s="100">
        <v>9</v>
      </c>
      <c r="BG7" s="100">
        <v>7095.5999999999995</v>
      </c>
      <c r="BH7" s="100">
        <v>10</v>
      </c>
      <c r="BI7" s="100">
        <v>7884</v>
      </c>
      <c r="BJ7" s="100">
        <v>13</v>
      </c>
      <c r="BK7" s="100">
        <v>10249.199999999999</v>
      </c>
      <c r="BL7" s="100">
        <v>10</v>
      </c>
      <c r="BM7" s="100">
        <v>7884</v>
      </c>
      <c r="BN7" s="100">
        <v>7</v>
      </c>
      <c r="BO7" s="100">
        <v>5518.8</v>
      </c>
      <c r="BP7" s="100">
        <v>7</v>
      </c>
      <c r="BQ7" s="100">
        <v>5518.8</v>
      </c>
      <c r="BR7" s="100">
        <v>7</v>
      </c>
      <c r="BS7" s="100">
        <v>5518.8</v>
      </c>
      <c r="BT7" s="100">
        <v>11</v>
      </c>
      <c r="BU7" s="100">
        <v>8672.4</v>
      </c>
      <c r="BV7" s="100">
        <v>11</v>
      </c>
      <c r="BW7" s="100">
        <v>8672.4</v>
      </c>
      <c r="BX7" s="100">
        <v>7</v>
      </c>
      <c r="BY7" s="100">
        <v>5518.8</v>
      </c>
      <c r="BZ7" s="100">
        <v>9</v>
      </c>
      <c r="CA7" s="100">
        <v>7095.5999999999995</v>
      </c>
      <c r="CB7" s="100">
        <v>10</v>
      </c>
      <c r="CC7" s="100">
        <v>7884</v>
      </c>
      <c r="CD7" s="100">
        <v>8</v>
      </c>
      <c r="CE7" s="100">
        <v>6307.2</v>
      </c>
      <c r="CF7" s="100">
        <v>10</v>
      </c>
      <c r="CG7" s="100">
        <v>7884</v>
      </c>
      <c r="CH7" s="100">
        <v>6</v>
      </c>
      <c r="CI7" s="100">
        <v>4730.3999999999996</v>
      </c>
      <c r="CJ7" s="100">
        <v>10</v>
      </c>
      <c r="CK7" s="100">
        <v>7884</v>
      </c>
      <c r="CL7" s="100">
        <v>7</v>
      </c>
      <c r="CM7" s="100">
        <v>5518.8</v>
      </c>
      <c r="CN7" s="100">
        <v>13</v>
      </c>
      <c r="CO7" s="100">
        <v>10249.199999999999</v>
      </c>
      <c r="CP7" s="100">
        <v>14</v>
      </c>
      <c r="CQ7" s="100">
        <v>11037.6</v>
      </c>
      <c r="CR7" s="100">
        <v>13</v>
      </c>
      <c r="CS7" s="100">
        <v>10249.199999999999</v>
      </c>
      <c r="CT7" s="100">
        <v>7</v>
      </c>
      <c r="CU7" s="100">
        <v>5518.8</v>
      </c>
    </row>
    <row r="8" spans="1:99">
      <c r="C8" s="99" t="s">
        <v>174</v>
      </c>
      <c r="D8" s="100">
        <v>8</v>
      </c>
      <c r="E8" s="100">
        <v>2476.7999999999997</v>
      </c>
      <c r="F8" s="100">
        <v>4.5590299645087979</v>
      </c>
      <c r="G8" s="100">
        <v>1411.4756770119236</v>
      </c>
      <c r="H8" s="100">
        <v>0</v>
      </c>
      <c r="I8" s="100">
        <v>0</v>
      </c>
      <c r="J8" s="100">
        <v>12</v>
      </c>
      <c r="K8" s="100">
        <v>3715.2</v>
      </c>
      <c r="L8" s="100">
        <v>7</v>
      </c>
      <c r="M8" s="100">
        <v>2167.1999999999998</v>
      </c>
      <c r="N8" s="100">
        <v>9</v>
      </c>
      <c r="O8" s="100">
        <v>2786.3999999999996</v>
      </c>
      <c r="P8" s="100">
        <v>8</v>
      </c>
      <c r="Q8" s="100">
        <v>2476.7999999999997</v>
      </c>
      <c r="R8" s="100">
        <v>6</v>
      </c>
      <c r="S8" s="100">
        <v>1857.6</v>
      </c>
      <c r="T8" s="100">
        <v>7</v>
      </c>
      <c r="U8" s="100">
        <v>2167.1999999999998</v>
      </c>
      <c r="V8" s="100">
        <v>10.852595808688186</v>
      </c>
      <c r="W8" s="100">
        <v>3359.963662369862</v>
      </c>
      <c r="X8" s="100">
        <v>6.9102315450459502</v>
      </c>
      <c r="Y8" s="100">
        <v>2139.407686346226</v>
      </c>
      <c r="Z8" s="100">
        <v>9</v>
      </c>
      <c r="AA8" s="100">
        <v>2786.3999999999996</v>
      </c>
      <c r="AB8" s="100">
        <v>8</v>
      </c>
      <c r="AC8" s="100">
        <v>2476.7999999999997</v>
      </c>
      <c r="AD8" s="100">
        <v>9</v>
      </c>
      <c r="AE8" s="100">
        <v>2786.3999999999996</v>
      </c>
      <c r="AF8" s="100">
        <v>10</v>
      </c>
      <c r="AG8" s="100">
        <v>3095.9999999999995</v>
      </c>
      <c r="AH8" s="100">
        <v>12</v>
      </c>
      <c r="AI8" s="100">
        <v>3715.2</v>
      </c>
      <c r="AJ8" s="100">
        <v>11</v>
      </c>
      <c r="AK8" s="100">
        <v>3405.5999999999995</v>
      </c>
      <c r="AL8" s="100">
        <v>10</v>
      </c>
      <c r="AM8" s="100">
        <v>3095.9999999999995</v>
      </c>
      <c r="AN8" s="100">
        <v>10</v>
      </c>
      <c r="AO8" s="100">
        <v>3095.9999999999995</v>
      </c>
      <c r="AP8" s="100">
        <v>9</v>
      </c>
      <c r="AQ8" s="100">
        <v>2786.3999999999996</v>
      </c>
      <c r="AR8" s="100">
        <v>8</v>
      </c>
      <c r="AS8" s="100">
        <v>2476.7999999999997</v>
      </c>
      <c r="AT8" s="100">
        <v>8</v>
      </c>
      <c r="AU8" s="100">
        <v>2476.7999999999997</v>
      </c>
      <c r="AV8" s="100">
        <v>7</v>
      </c>
      <c r="AW8" s="100">
        <v>2167.1999999999998</v>
      </c>
      <c r="AX8" s="100">
        <v>11</v>
      </c>
      <c r="AY8" s="100">
        <v>3405.5999999999995</v>
      </c>
      <c r="AZ8" s="100">
        <v>11</v>
      </c>
      <c r="BA8" s="100">
        <v>3405.5999999999995</v>
      </c>
      <c r="BB8" s="100">
        <v>9</v>
      </c>
      <c r="BC8" s="100">
        <v>2786.3999999999996</v>
      </c>
      <c r="BD8" s="100">
        <v>8</v>
      </c>
      <c r="BE8" s="100">
        <v>2476.7999999999997</v>
      </c>
      <c r="BF8" s="100">
        <v>9</v>
      </c>
      <c r="BG8" s="100">
        <v>2786.3999999999996</v>
      </c>
      <c r="BH8" s="100">
        <v>11</v>
      </c>
      <c r="BI8" s="100">
        <v>3405.5999999999995</v>
      </c>
      <c r="BJ8" s="100">
        <v>12</v>
      </c>
      <c r="BK8" s="100">
        <v>3715.2</v>
      </c>
      <c r="BL8" s="100">
        <v>9</v>
      </c>
      <c r="BM8" s="100">
        <v>2786.3999999999996</v>
      </c>
      <c r="BN8" s="100">
        <v>6</v>
      </c>
      <c r="BO8" s="100">
        <v>1857.6</v>
      </c>
      <c r="BP8" s="100">
        <v>7</v>
      </c>
      <c r="BQ8" s="100">
        <v>2167.1999999999998</v>
      </c>
      <c r="BR8" s="100">
        <v>7</v>
      </c>
      <c r="BS8" s="100">
        <v>2167.1999999999998</v>
      </c>
      <c r="BT8" s="100">
        <v>10</v>
      </c>
      <c r="BU8" s="100">
        <v>3095.9999999999995</v>
      </c>
      <c r="BV8" s="100">
        <v>11</v>
      </c>
      <c r="BW8" s="100">
        <v>3405.5999999999995</v>
      </c>
      <c r="BX8" s="100">
        <v>7</v>
      </c>
      <c r="BY8" s="100">
        <v>2167.1999999999998</v>
      </c>
      <c r="BZ8" s="100">
        <v>8</v>
      </c>
      <c r="CA8" s="100">
        <v>2476.7999999999997</v>
      </c>
      <c r="CB8" s="100">
        <v>11</v>
      </c>
      <c r="CC8" s="100">
        <v>3405.5999999999995</v>
      </c>
      <c r="CD8" s="100">
        <v>8</v>
      </c>
      <c r="CE8" s="100">
        <v>2476.7999999999997</v>
      </c>
      <c r="CF8" s="100">
        <v>11</v>
      </c>
      <c r="CG8" s="100">
        <v>3405.5999999999995</v>
      </c>
      <c r="CH8" s="100">
        <v>7</v>
      </c>
      <c r="CI8" s="100">
        <v>2167.1999999999998</v>
      </c>
      <c r="CJ8" s="100">
        <v>9</v>
      </c>
      <c r="CK8" s="100">
        <v>2786.3999999999996</v>
      </c>
      <c r="CL8" s="100">
        <v>7</v>
      </c>
      <c r="CM8" s="100">
        <v>2167.1999999999998</v>
      </c>
      <c r="CN8" s="100">
        <v>13</v>
      </c>
      <c r="CO8" s="100">
        <v>4024.7999999999997</v>
      </c>
      <c r="CP8" s="100">
        <v>14</v>
      </c>
      <c r="CQ8" s="100">
        <v>4334.3999999999996</v>
      </c>
      <c r="CR8" s="100">
        <v>13</v>
      </c>
      <c r="CS8" s="100">
        <v>4024.7999999999997</v>
      </c>
      <c r="CT8" s="100">
        <v>8</v>
      </c>
      <c r="CU8" s="100">
        <v>2476.7999999999997</v>
      </c>
    </row>
    <row r="9" spans="1:99">
      <c r="C9" s="99" t="s">
        <v>175</v>
      </c>
      <c r="D9" s="100">
        <v>9</v>
      </c>
      <c r="E9" s="100">
        <v>6318</v>
      </c>
      <c r="F9" s="100">
        <v>4.5590299645087979</v>
      </c>
      <c r="G9" s="100">
        <v>3200.4390350851763</v>
      </c>
      <c r="H9" s="100">
        <v>0</v>
      </c>
      <c r="I9" s="100">
        <v>0</v>
      </c>
      <c r="J9" s="100">
        <v>11</v>
      </c>
      <c r="K9" s="100">
        <v>7722</v>
      </c>
      <c r="L9" s="100">
        <v>6</v>
      </c>
      <c r="M9" s="100">
        <v>4212</v>
      </c>
      <c r="N9" s="100">
        <v>8</v>
      </c>
      <c r="O9" s="100">
        <v>5616</v>
      </c>
      <c r="P9" s="100">
        <v>8</v>
      </c>
      <c r="Q9" s="100">
        <v>5616</v>
      </c>
      <c r="R9" s="100">
        <v>6</v>
      </c>
      <c r="S9" s="100">
        <v>4212</v>
      </c>
      <c r="T9" s="100">
        <v>6</v>
      </c>
      <c r="U9" s="100">
        <v>4212</v>
      </c>
      <c r="V9" s="100">
        <v>8.8793965707448805</v>
      </c>
      <c r="W9" s="100">
        <v>6233.3363926629063</v>
      </c>
      <c r="X9" s="100">
        <v>6.9102315450459502</v>
      </c>
      <c r="Y9" s="100">
        <v>4850.9825446222567</v>
      </c>
      <c r="Z9" s="100">
        <v>10</v>
      </c>
      <c r="AA9" s="100">
        <v>7020</v>
      </c>
      <c r="AB9" s="100">
        <v>8</v>
      </c>
      <c r="AC9" s="100">
        <v>5616</v>
      </c>
      <c r="AD9" s="100">
        <v>8</v>
      </c>
      <c r="AE9" s="100">
        <v>5616</v>
      </c>
      <c r="AF9" s="100">
        <v>11</v>
      </c>
      <c r="AG9" s="100">
        <v>7722</v>
      </c>
      <c r="AH9" s="100">
        <v>12</v>
      </c>
      <c r="AI9" s="100">
        <v>8424</v>
      </c>
      <c r="AJ9" s="100">
        <v>9</v>
      </c>
      <c r="AK9" s="100">
        <v>6318</v>
      </c>
      <c r="AL9" s="100">
        <v>10</v>
      </c>
      <c r="AM9" s="100">
        <v>7020</v>
      </c>
      <c r="AN9" s="100">
        <v>10</v>
      </c>
      <c r="AO9" s="100">
        <v>7020</v>
      </c>
      <c r="AP9" s="100">
        <v>8</v>
      </c>
      <c r="AQ9" s="100">
        <v>5616</v>
      </c>
      <c r="AR9" s="100">
        <v>8</v>
      </c>
      <c r="AS9" s="100">
        <v>5616</v>
      </c>
      <c r="AT9" s="100">
        <v>8</v>
      </c>
      <c r="AU9" s="100">
        <v>5616</v>
      </c>
      <c r="AV9" s="100">
        <v>8</v>
      </c>
      <c r="AW9" s="100">
        <v>5616</v>
      </c>
      <c r="AX9" s="100">
        <v>11</v>
      </c>
      <c r="AY9" s="100">
        <v>7722</v>
      </c>
      <c r="AZ9" s="100">
        <v>13</v>
      </c>
      <c r="BA9" s="100">
        <v>9126</v>
      </c>
      <c r="BB9" s="100">
        <v>9</v>
      </c>
      <c r="BC9" s="100">
        <v>6318</v>
      </c>
      <c r="BD9" s="100">
        <v>7</v>
      </c>
      <c r="BE9" s="100">
        <v>4914</v>
      </c>
      <c r="BF9" s="100">
        <v>9</v>
      </c>
      <c r="BG9" s="100">
        <v>6318</v>
      </c>
      <c r="BH9" s="100">
        <v>11</v>
      </c>
      <c r="BI9" s="100">
        <v>7722</v>
      </c>
      <c r="BJ9" s="100">
        <v>13</v>
      </c>
      <c r="BK9" s="100">
        <v>9126</v>
      </c>
      <c r="BL9" s="100">
        <v>10</v>
      </c>
      <c r="BM9" s="100">
        <v>7020</v>
      </c>
      <c r="BN9" s="100">
        <v>6</v>
      </c>
      <c r="BO9" s="100">
        <v>4212</v>
      </c>
      <c r="BP9" s="100">
        <v>7</v>
      </c>
      <c r="BQ9" s="100">
        <v>4914</v>
      </c>
      <c r="BR9" s="100">
        <v>7</v>
      </c>
      <c r="BS9" s="100">
        <v>4914</v>
      </c>
      <c r="BT9" s="100">
        <v>10</v>
      </c>
      <c r="BU9" s="100">
        <v>7020</v>
      </c>
      <c r="BV9" s="100">
        <v>10</v>
      </c>
      <c r="BW9" s="100">
        <v>7020</v>
      </c>
      <c r="BX9" s="100">
        <v>7</v>
      </c>
      <c r="BY9" s="100">
        <v>4914</v>
      </c>
      <c r="BZ9" s="100">
        <v>9</v>
      </c>
      <c r="CA9" s="100">
        <v>6318</v>
      </c>
      <c r="CB9" s="100">
        <v>11</v>
      </c>
      <c r="CC9" s="100">
        <v>7722</v>
      </c>
      <c r="CD9" s="100">
        <v>8</v>
      </c>
      <c r="CE9" s="100">
        <v>5616</v>
      </c>
      <c r="CF9" s="100">
        <v>10</v>
      </c>
      <c r="CG9" s="100">
        <v>7020</v>
      </c>
      <c r="CH9" s="100">
        <v>8</v>
      </c>
      <c r="CI9" s="100">
        <v>5616</v>
      </c>
      <c r="CJ9" s="100">
        <v>10</v>
      </c>
      <c r="CK9" s="100">
        <v>7020</v>
      </c>
      <c r="CL9" s="100">
        <v>7</v>
      </c>
      <c r="CM9" s="100">
        <v>4914</v>
      </c>
      <c r="CN9" s="100">
        <v>14</v>
      </c>
      <c r="CO9" s="100">
        <v>9828</v>
      </c>
      <c r="CP9" s="100">
        <v>14</v>
      </c>
      <c r="CQ9" s="100">
        <v>9828</v>
      </c>
      <c r="CR9" s="100">
        <v>11</v>
      </c>
      <c r="CS9" s="100">
        <v>7722</v>
      </c>
      <c r="CT9" s="100">
        <v>8</v>
      </c>
      <c r="CU9" s="100">
        <v>5616</v>
      </c>
    </row>
    <row r="10" spans="1:99">
      <c r="C10" s="99" t="s">
        <v>176</v>
      </c>
      <c r="D10" s="100">
        <v>9</v>
      </c>
      <c r="E10" s="100">
        <v>4903.2</v>
      </c>
      <c r="F10" s="100">
        <v>3.9891512189451985</v>
      </c>
      <c r="G10" s="100">
        <v>2173.2895840813439</v>
      </c>
      <c r="H10" s="100">
        <v>0</v>
      </c>
      <c r="I10" s="100">
        <v>0</v>
      </c>
      <c r="J10" s="100">
        <v>11</v>
      </c>
      <c r="K10" s="100">
        <v>5992.7999999999993</v>
      </c>
      <c r="L10" s="100">
        <v>7</v>
      </c>
      <c r="M10" s="100">
        <v>3813.5999999999995</v>
      </c>
      <c r="N10" s="100">
        <v>8</v>
      </c>
      <c r="O10" s="100">
        <v>4358.3999999999996</v>
      </c>
      <c r="P10" s="100">
        <v>8</v>
      </c>
      <c r="Q10" s="100">
        <v>4358.3999999999996</v>
      </c>
      <c r="R10" s="100">
        <v>6</v>
      </c>
      <c r="S10" s="100">
        <v>3268.7999999999997</v>
      </c>
      <c r="T10" s="100">
        <v>7</v>
      </c>
      <c r="U10" s="100">
        <v>3813.5999999999995</v>
      </c>
      <c r="V10" s="100">
        <v>10.852595808688186</v>
      </c>
      <c r="W10" s="100">
        <v>5912.4941965733233</v>
      </c>
      <c r="X10" s="100">
        <v>6.9102315450459502</v>
      </c>
      <c r="Y10" s="100">
        <v>3764.6941457410335</v>
      </c>
      <c r="Z10" s="100">
        <v>10</v>
      </c>
      <c r="AA10" s="100">
        <v>5448</v>
      </c>
      <c r="AB10" s="100">
        <v>7</v>
      </c>
      <c r="AC10" s="100">
        <v>3813.5999999999995</v>
      </c>
      <c r="AD10" s="100">
        <v>9</v>
      </c>
      <c r="AE10" s="100">
        <v>4903.2</v>
      </c>
      <c r="AF10" s="100">
        <v>10</v>
      </c>
      <c r="AG10" s="100">
        <v>5448</v>
      </c>
      <c r="AH10" s="100">
        <v>12</v>
      </c>
      <c r="AI10" s="100">
        <v>6537.5999999999995</v>
      </c>
      <c r="AJ10" s="100">
        <v>9</v>
      </c>
      <c r="AK10" s="100">
        <v>4903.2</v>
      </c>
      <c r="AL10" s="100">
        <v>10</v>
      </c>
      <c r="AM10" s="100">
        <v>5448</v>
      </c>
      <c r="AN10" s="100">
        <v>11</v>
      </c>
      <c r="AO10" s="100">
        <v>5992.7999999999993</v>
      </c>
      <c r="AP10" s="100">
        <v>8</v>
      </c>
      <c r="AQ10" s="100">
        <v>4358.3999999999996</v>
      </c>
      <c r="AR10" s="100">
        <v>8</v>
      </c>
      <c r="AS10" s="100">
        <v>4358.3999999999996</v>
      </c>
      <c r="AT10" s="100">
        <v>9</v>
      </c>
      <c r="AU10" s="100">
        <v>4903.2</v>
      </c>
      <c r="AV10" s="100">
        <v>8</v>
      </c>
      <c r="AW10" s="100">
        <v>4358.3999999999996</v>
      </c>
      <c r="AX10" s="100">
        <v>10</v>
      </c>
      <c r="AY10" s="100">
        <v>5448</v>
      </c>
      <c r="AZ10" s="100">
        <v>11</v>
      </c>
      <c r="BA10" s="100">
        <v>5992.7999999999993</v>
      </c>
      <c r="BB10" s="100">
        <v>9</v>
      </c>
      <c r="BC10" s="100">
        <v>4903.2</v>
      </c>
      <c r="BD10" s="100">
        <v>7</v>
      </c>
      <c r="BE10" s="100">
        <v>3813.5999999999995</v>
      </c>
      <c r="BF10" s="100">
        <v>10</v>
      </c>
      <c r="BG10" s="100">
        <v>5448</v>
      </c>
      <c r="BH10" s="100">
        <v>10</v>
      </c>
      <c r="BI10" s="100">
        <v>5448</v>
      </c>
      <c r="BJ10" s="100">
        <v>11</v>
      </c>
      <c r="BK10" s="100">
        <v>5992.7999999999993</v>
      </c>
      <c r="BL10" s="100">
        <v>10</v>
      </c>
      <c r="BM10" s="100">
        <v>5448</v>
      </c>
      <c r="BN10" s="100">
        <v>6</v>
      </c>
      <c r="BO10" s="100">
        <v>3268.7999999999997</v>
      </c>
      <c r="BP10" s="100">
        <v>6</v>
      </c>
      <c r="BQ10" s="100">
        <v>3268.7999999999997</v>
      </c>
      <c r="BR10" s="100">
        <v>6</v>
      </c>
      <c r="BS10" s="100">
        <v>3268.7999999999997</v>
      </c>
      <c r="BT10" s="100">
        <v>11</v>
      </c>
      <c r="BU10" s="100">
        <v>5992.7999999999993</v>
      </c>
      <c r="BV10" s="100">
        <v>12</v>
      </c>
      <c r="BW10" s="100">
        <v>6537.5999999999995</v>
      </c>
      <c r="BX10" s="100">
        <v>7</v>
      </c>
      <c r="BY10" s="100">
        <v>3813.5999999999995</v>
      </c>
      <c r="BZ10" s="100">
        <v>9</v>
      </c>
      <c r="CA10" s="100">
        <v>4903.2</v>
      </c>
      <c r="CB10" s="100">
        <v>10</v>
      </c>
      <c r="CC10" s="100">
        <v>5448</v>
      </c>
      <c r="CD10" s="100">
        <v>7</v>
      </c>
      <c r="CE10" s="100">
        <v>3813.5999999999995</v>
      </c>
      <c r="CF10" s="100">
        <v>9</v>
      </c>
      <c r="CG10" s="100">
        <v>4903.2</v>
      </c>
      <c r="CH10" s="100">
        <v>8</v>
      </c>
      <c r="CI10" s="100">
        <v>4358.3999999999996</v>
      </c>
      <c r="CJ10" s="100">
        <v>9</v>
      </c>
      <c r="CK10" s="100">
        <v>4903.2</v>
      </c>
      <c r="CL10" s="100">
        <v>7</v>
      </c>
      <c r="CM10" s="100">
        <v>3813.5999999999995</v>
      </c>
      <c r="CN10" s="100">
        <v>13</v>
      </c>
      <c r="CO10" s="100">
        <v>7082.4</v>
      </c>
      <c r="CP10" s="100">
        <v>12</v>
      </c>
      <c r="CQ10" s="100">
        <v>6537.5999999999995</v>
      </c>
      <c r="CR10" s="100">
        <v>13</v>
      </c>
      <c r="CS10" s="100">
        <v>7082.4</v>
      </c>
      <c r="CT10" s="100">
        <v>6</v>
      </c>
      <c r="CU10" s="100">
        <v>3268.7999999999997</v>
      </c>
    </row>
    <row r="11" spans="1:99">
      <c r="C11" s="99" t="s">
        <v>177</v>
      </c>
      <c r="D11" s="100">
        <v>9</v>
      </c>
      <c r="E11" s="100">
        <v>4795.2</v>
      </c>
      <c r="F11" s="100">
        <v>5.1289087100723982</v>
      </c>
      <c r="G11" s="100">
        <v>2732.6825607265737</v>
      </c>
      <c r="H11" s="100">
        <v>0</v>
      </c>
      <c r="I11" s="100">
        <v>0</v>
      </c>
      <c r="J11" s="100">
        <v>10</v>
      </c>
      <c r="K11" s="100">
        <v>5328</v>
      </c>
      <c r="L11" s="100">
        <v>7</v>
      </c>
      <c r="M11" s="100">
        <v>3729.5999999999995</v>
      </c>
      <c r="N11" s="100">
        <v>8</v>
      </c>
      <c r="O11" s="100">
        <v>4262.3999999999996</v>
      </c>
      <c r="P11" s="100">
        <v>8</v>
      </c>
      <c r="Q11" s="100">
        <v>4262.3999999999996</v>
      </c>
      <c r="R11" s="100">
        <v>6</v>
      </c>
      <c r="S11" s="100">
        <v>3196.7999999999997</v>
      </c>
      <c r="T11" s="100">
        <v>6</v>
      </c>
      <c r="U11" s="100">
        <v>3196.7999999999997</v>
      </c>
      <c r="V11" s="100">
        <v>9.8659961897165331</v>
      </c>
      <c r="W11" s="100">
        <v>5256.6027698809685</v>
      </c>
      <c r="X11" s="100">
        <v>5.9230556100393867</v>
      </c>
      <c r="Y11" s="100">
        <v>3155.804029028985</v>
      </c>
      <c r="Z11" s="100">
        <v>10</v>
      </c>
      <c r="AA11" s="100">
        <v>5328</v>
      </c>
      <c r="AB11" s="100">
        <v>8</v>
      </c>
      <c r="AC11" s="100">
        <v>4262.3999999999996</v>
      </c>
      <c r="AD11" s="100">
        <v>9</v>
      </c>
      <c r="AE11" s="100">
        <v>4795.2</v>
      </c>
      <c r="AF11" s="100">
        <v>11</v>
      </c>
      <c r="AG11" s="100">
        <v>5860.7999999999993</v>
      </c>
      <c r="AH11" s="100">
        <v>13</v>
      </c>
      <c r="AI11" s="100">
        <v>6926.4</v>
      </c>
      <c r="AJ11" s="100">
        <v>9</v>
      </c>
      <c r="AK11" s="100">
        <v>4795.2</v>
      </c>
      <c r="AL11" s="100">
        <v>11</v>
      </c>
      <c r="AM11" s="100">
        <v>5860.7999999999993</v>
      </c>
      <c r="AN11" s="100">
        <v>11</v>
      </c>
      <c r="AO11" s="100">
        <v>5860.7999999999993</v>
      </c>
      <c r="AP11" s="100">
        <v>7</v>
      </c>
      <c r="AQ11" s="100">
        <v>3729.5999999999995</v>
      </c>
      <c r="AR11" s="100">
        <v>7</v>
      </c>
      <c r="AS11" s="100">
        <v>3729.5999999999995</v>
      </c>
      <c r="AT11" s="100">
        <v>8</v>
      </c>
      <c r="AU11" s="100">
        <v>4262.3999999999996</v>
      </c>
      <c r="AV11" s="100">
        <v>7</v>
      </c>
      <c r="AW11" s="100">
        <v>3729.5999999999995</v>
      </c>
      <c r="AX11" s="100">
        <v>12</v>
      </c>
      <c r="AY11" s="100">
        <v>6393.5999999999995</v>
      </c>
      <c r="AZ11" s="100">
        <v>12</v>
      </c>
      <c r="BA11" s="100">
        <v>6393.5999999999995</v>
      </c>
      <c r="BB11" s="100">
        <v>10</v>
      </c>
      <c r="BC11" s="100">
        <v>5328</v>
      </c>
      <c r="BD11" s="100">
        <v>8</v>
      </c>
      <c r="BE11" s="100">
        <v>4262.3999999999996</v>
      </c>
      <c r="BF11" s="100">
        <v>8</v>
      </c>
      <c r="BG11" s="100">
        <v>4262.3999999999996</v>
      </c>
      <c r="BH11" s="100">
        <v>10</v>
      </c>
      <c r="BI11" s="100">
        <v>5328</v>
      </c>
      <c r="BJ11" s="100">
        <v>12</v>
      </c>
      <c r="BK11" s="100">
        <v>6393.5999999999995</v>
      </c>
      <c r="BL11" s="100">
        <v>11</v>
      </c>
      <c r="BM11" s="100">
        <v>5860.7999999999993</v>
      </c>
      <c r="BN11" s="100">
        <v>6</v>
      </c>
      <c r="BO11" s="100">
        <v>3196.7999999999997</v>
      </c>
      <c r="BP11" s="100">
        <v>7</v>
      </c>
      <c r="BQ11" s="100">
        <v>3729.5999999999995</v>
      </c>
      <c r="BR11" s="100">
        <v>6</v>
      </c>
      <c r="BS11" s="100">
        <v>3196.7999999999997</v>
      </c>
      <c r="BT11" s="100">
        <v>12</v>
      </c>
      <c r="BU11" s="100">
        <v>6393.5999999999995</v>
      </c>
      <c r="BV11" s="100">
        <v>11</v>
      </c>
      <c r="BW11" s="100">
        <v>5860.7999999999993</v>
      </c>
      <c r="BX11" s="100">
        <v>7</v>
      </c>
      <c r="BY11" s="100">
        <v>3729.5999999999995</v>
      </c>
      <c r="BZ11" s="100">
        <v>10</v>
      </c>
      <c r="CA11" s="100">
        <v>5328</v>
      </c>
      <c r="CB11" s="100">
        <v>11</v>
      </c>
      <c r="CC11" s="100">
        <v>5860.7999999999993</v>
      </c>
      <c r="CD11" s="100">
        <v>8</v>
      </c>
      <c r="CE11" s="100">
        <v>4262.3999999999996</v>
      </c>
      <c r="CF11" s="100">
        <v>11</v>
      </c>
      <c r="CG11" s="100">
        <v>5860.7999999999993</v>
      </c>
      <c r="CH11" s="100">
        <v>7</v>
      </c>
      <c r="CI11" s="100">
        <v>3729.5999999999995</v>
      </c>
      <c r="CJ11" s="100">
        <v>9</v>
      </c>
      <c r="CK11" s="100">
        <v>4795.2</v>
      </c>
      <c r="CL11" s="100">
        <v>7</v>
      </c>
      <c r="CM11" s="100">
        <v>3729.5999999999995</v>
      </c>
      <c r="CN11" s="100">
        <v>13</v>
      </c>
      <c r="CO11" s="100">
        <v>6926.4</v>
      </c>
      <c r="CP11" s="100">
        <v>13</v>
      </c>
      <c r="CQ11" s="100">
        <v>6926.4</v>
      </c>
      <c r="CR11" s="100">
        <v>12</v>
      </c>
      <c r="CS11" s="100">
        <v>6393.5999999999995</v>
      </c>
      <c r="CT11" s="100">
        <v>7</v>
      </c>
      <c r="CU11" s="100">
        <v>3729.5999999999995</v>
      </c>
    </row>
    <row r="12" spans="1:99">
      <c r="C12" s="99" t="s">
        <v>178</v>
      </c>
      <c r="D12" s="100">
        <v>9</v>
      </c>
      <c r="E12" s="100">
        <v>5065.2</v>
      </c>
      <c r="F12" s="100">
        <v>5.1289087100723982</v>
      </c>
      <c r="G12" s="100">
        <v>2886.5498220287454</v>
      </c>
      <c r="H12" s="100">
        <v>0</v>
      </c>
      <c r="I12" s="100">
        <v>0</v>
      </c>
      <c r="J12" s="100">
        <v>11</v>
      </c>
      <c r="K12" s="100">
        <v>6190.7999999999993</v>
      </c>
      <c r="L12" s="100">
        <v>7</v>
      </c>
      <c r="M12" s="100">
        <v>3939.5999999999995</v>
      </c>
      <c r="N12" s="100">
        <v>9</v>
      </c>
      <c r="O12" s="100">
        <v>5065.2</v>
      </c>
      <c r="P12" s="100">
        <v>9</v>
      </c>
      <c r="Q12" s="100">
        <v>5065.2</v>
      </c>
      <c r="R12" s="100">
        <v>6</v>
      </c>
      <c r="S12" s="100">
        <v>3376.7999999999997</v>
      </c>
      <c r="T12" s="100">
        <v>7</v>
      </c>
      <c r="U12" s="100">
        <v>3939.5999999999995</v>
      </c>
      <c r="V12" s="100">
        <v>8.8793965707448805</v>
      </c>
      <c r="W12" s="100">
        <v>4997.3243900152183</v>
      </c>
      <c r="X12" s="100">
        <v>5.9230556100393867</v>
      </c>
      <c r="Y12" s="100">
        <v>3333.4956973301664</v>
      </c>
      <c r="Z12" s="100">
        <v>9</v>
      </c>
      <c r="AA12" s="100">
        <v>5065.2</v>
      </c>
      <c r="AB12" s="100">
        <v>7</v>
      </c>
      <c r="AC12" s="100">
        <v>3939.5999999999995</v>
      </c>
      <c r="AD12" s="100">
        <v>9</v>
      </c>
      <c r="AE12" s="100">
        <v>5065.2</v>
      </c>
      <c r="AF12" s="100">
        <v>11</v>
      </c>
      <c r="AG12" s="100">
        <v>6190.7999999999993</v>
      </c>
      <c r="AH12" s="100">
        <v>11</v>
      </c>
      <c r="AI12" s="100">
        <v>6190.7999999999993</v>
      </c>
      <c r="AJ12" s="100">
        <v>9</v>
      </c>
      <c r="AK12" s="100">
        <v>5065.2</v>
      </c>
      <c r="AL12" s="100">
        <v>11</v>
      </c>
      <c r="AM12" s="100">
        <v>6190.7999999999993</v>
      </c>
      <c r="AN12" s="100">
        <v>10</v>
      </c>
      <c r="AO12" s="100">
        <v>5628</v>
      </c>
      <c r="AP12" s="100">
        <v>8</v>
      </c>
      <c r="AQ12" s="100">
        <v>4502.3999999999996</v>
      </c>
      <c r="AR12" s="100">
        <v>7</v>
      </c>
      <c r="AS12" s="100">
        <v>3939.5999999999995</v>
      </c>
      <c r="AT12" s="100">
        <v>8</v>
      </c>
      <c r="AU12" s="100">
        <v>4502.3999999999996</v>
      </c>
      <c r="AV12" s="100">
        <v>8</v>
      </c>
      <c r="AW12" s="100">
        <v>4502.3999999999996</v>
      </c>
      <c r="AX12" s="100">
        <v>11</v>
      </c>
      <c r="AY12" s="100">
        <v>6190.7999999999993</v>
      </c>
      <c r="AZ12" s="100">
        <v>13</v>
      </c>
      <c r="BA12" s="100">
        <v>7316.4</v>
      </c>
      <c r="BB12" s="100">
        <v>10</v>
      </c>
      <c r="BC12" s="100">
        <v>5628</v>
      </c>
      <c r="BD12" s="100">
        <v>8</v>
      </c>
      <c r="BE12" s="100">
        <v>4502.3999999999996</v>
      </c>
      <c r="BF12" s="100">
        <v>10</v>
      </c>
      <c r="BG12" s="100">
        <v>5628</v>
      </c>
      <c r="BH12" s="100">
        <v>11</v>
      </c>
      <c r="BI12" s="100">
        <v>6190.7999999999993</v>
      </c>
      <c r="BJ12" s="100">
        <v>13</v>
      </c>
      <c r="BK12" s="100">
        <v>7316.4</v>
      </c>
      <c r="BL12" s="100">
        <v>9</v>
      </c>
      <c r="BM12" s="100">
        <v>5065.2</v>
      </c>
      <c r="BN12" s="100">
        <v>7</v>
      </c>
      <c r="BO12" s="100">
        <v>3939.5999999999995</v>
      </c>
      <c r="BP12" s="100">
        <v>7</v>
      </c>
      <c r="BQ12" s="100">
        <v>3939.5999999999995</v>
      </c>
      <c r="BR12" s="100">
        <v>7</v>
      </c>
      <c r="BS12" s="100">
        <v>3939.5999999999995</v>
      </c>
      <c r="BT12" s="100">
        <v>12</v>
      </c>
      <c r="BU12" s="100">
        <v>6753.5999999999995</v>
      </c>
      <c r="BV12" s="100">
        <v>12</v>
      </c>
      <c r="BW12" s="100">
        <v>6753.5999999999995</v>
      </c>
      <c r="BX12" s="100">
        <v>7</v>
      </c>
      <c r="BY12" s="100">
        <v>3939.5999999999995</v>
      </c>
      <c r="BZ12" s="100">
        <v>10</v>
      </c>
      <c r="CA12" s="100">
        <v>5628</v>
      </c>
      <c r="CB12" s="100">
        <v>9</v>
      </c>
      <c r="CC12" s="100">
        <v>5065.2</v>
      </c>
      <c r="CD12" s="100">
        <v>8</v>
      </c>
      <c r="CE12" s="100">
        <v>4502.3999999999996</v>
      </c>
      <c r="CF12" s="100">
        <v>9</v>
      </c>
      <c r="CG12" s="100">
        <v>5065.2</v>
      </c>
      <c r="CH12" s="100">
        <v>7</v>
      </c>
      <c r="CI12" s="100">
        <v>3939.5999999999995</v>
      </c>
      <c r="CJ12" s="100">
        <v>9</v>
      </c>
      <c r="CK12" s="100">
        <v>5065.2</v>
      </c>
      <c r="CL12" s="100">
        <v>7</v>
      </c>
      <c r="CM12" s="100">
        <v>3939.5999999999995</v>
      </c>
      <c r="CN12" s="100">
        <v>14</v>
      </c>
      <c r="CO12" s="100">
        <v>7879.1999999999989</v>
      </c>
      <c r="CP12" s="100">
        <v>13</v>
      </c>
      <c r="CQ12" s="100">
        <v>7316.4</v>
      </c>
      <c r="CR12" s="100">
        <v>13</v>
      </c>
      <c r="CS12" s="100">
        <v>7316.4</v>
      </c>
      <c r="CT12" s="100">
        <v>8</v>
      </c>
      <c r="CU12" s="100">
        <v>4502.3999999999996</v>
      </c>
    </row>
    <row r="13" spans="1:99">
      <c r="C13" s="99" t="s">
        <v>179</v>
      </c>
      <c r="D13" s="100">
        <v>9</v>
      </c>
      <c r="E13" s="100">
        <v>766.80000000000007</v>
      </c>
      <c r="F13" s="100">
        <v>4.5590299645087979</v>
      </c>
      <c r="G13" s="100">
        <v>388.42935297614957</v>
      </c>
      <c r="H13" s="100">
        <v>0</v>
      </c>
      <c r="I13" s="100">
        <v>0</v>
      </c>
      <c r="J13" s="100">
        <v>11</v>
      </c>
      <c r="K13" s="100">
        <v>937.2</v>
      </c>
      <c r="L13" s="100">
        <v>7</v>
      </c>
      <c r="M13" s="100">
        <v>596.4</v>
      </c>
      <c r="N13" s="100">
        <v>9</v>
      </c>
      <c r="O13" s="100">
        <v>766.80000000000007</v>
      </c>
      <c r="P13" s="100">
        <v>9</v>
      </c>
      <c r="Q13" s="100">
        <v>766.80000000000007</v>
      </c>
      <c r="R13" s="100">
        <v>6</v>
      </c>
      <c r="S13" s="100">
        <v>511.20000000000005</v>
      </c>
      <c r="T13" s="100">
        <v>6</v>
      </c>
      <c r="U13" s="100">
        <v>511.20000000000005</v>
      </c>
      <c r="V13" s="100">
        <v>8.8793965707448805</v>
      </c>
      <c r="W13" s="100">
        <v>756.52458782746385</v>
      </c>
      <c r="X13" s="100">
        <v>6.9102315450459502</v>
      </c>
      <c r="Y13" s="100">
        <v>588.751727637915</v>
      </c>
      <c r="Z13" s="100">
        <v>9</v>
      </c>
      <c r="AA13" s="100">
        <v>766.80000000000007</v>
      </c>
      <c r="AB13" s="100">
        <v>7</v>
      </c>
      <c r="AC13" s="100">
        <v>596.4</v>
      </c>
      <c r="AD13" s="100">
        <v>9</v>
      </c>
      <c r="AE13" s="100">
        <v>766.80000000000007</v>
      </c>
      <c r="AF13" s="100">
        <v>10</v>
      </c>
      <c r="AG13" s="100">
        <v>852</v>
      </c>
      <c r="AH13" s="100">
        <v>12</v>
      </c>
      <c r="AI13" s="100">
        <v>1022.4000000000001</v>
      </c>
      <c r="AJ13" s="100">
        <v>9</v>
      </c>
      <c r="AK13" s="100">
        <v>766.80000000000007</v>
      </c>
      <c r="AL13" s="100">
        <v>11</v>
      </c>
      <c r="AM13" s="100">
        <v>937.2</v>
      </c>
      <c r="AN13" s="100">
        <v>10</v>
      </c>
      <c r="AO13" s="100">
        <v>852</v>
      </c>
      <c r="AP13" s="100">
        <v>9</v>
      </c>
      <c r="AQ13" s="100">
        <v>766.80000000000007</v>
      </c>
      <c r="AR13" s="100">
        <v>8</v>
      </c>
      <c r="AS13" s="100">
        <v>681.6</v>
      </c>
      <c r="AT13" s="100">
        <v>9</v>
      </c>
      <c r="AU13" s="100">
        <v>766.80000000000007</v>
      </c>
      <c r="AV13" s="100">
        <v>8</v>
      </c>
      <c r="AW13" s="100">
        <v>681.6</v>
      </c>
      <c r="AX13" s="100">
        <v>12</v>
      </c>
      <c r="AY13" s="100">
        <v>1022.4000000000001</v>
      </c>
      <c r="AZ13" s="100">
        <v>13</v>
      </c>
      <c r="BA13" s="100">
        <v>1107.6000000000001</v>
      </c>
      <c r="BB13" s="100">
        <v>10</v>
      </c>
      <c r="BC13" s="100">
        <v>852</v>
      </c>
      <c r="BD13" s="100">
        <v>8</v>
      </c>
      <c r="BE13" s="100">
        <v>681.6</v>
      </c>
      <c r="BF13" s="100">
        <v>10</v>
      </c>
      <c r="BG13" s="100">
        <v>852</v>
      </c>
      <c r="BH13" s="100">
        <v>10</v>
      </c>
      <c r="BI13" s="100">
        <v>852</v>
      </c>
      <c r="BJ13" s="100">
        <v>13</v>
      </c>
      <c r="BK13" s="100">
        <v>1107.6000000000001</v>
      </c>
      <c r="BL13" s="100">
        <v>11</v>
      </c>
      <c r="BM13" s="100">
        <v>937.2</v>
      </c>
      <c r="BN13" s="100">
        <v>7</v>
      </c>
      <c r="BO13" s="100">
        <v>596.4</v>
      </c>
      <c r="BP13" s="100">
        <v>6</v>
      </c>
      <c r="BQ13" s="100">
        <v>511.20000000000005</v>
      </c>
      <c r="BR13" s="100">
        <v>6</v>
      </c>
      <c r="BS13" s="100">
        <v>511.20000000000005</v>
      </c>
      <c r="BT13" s="100">
        <v>11</v>
      </c>
      <c r="BU13" s="100">
        <v>937.2</v>
      </c>
      <c r="BV13" s="100">
        <v>10</v>
      </c>
      <c r="BW13" s="100">
        <v>852</v>
      </c>
      <c r="BX13" s="100">
        <v>7</v>
      </c>
      <c r="BY13" s="100">
        <v>596.4</v>
      </c>
      <c r="BZ13" s="100">
        <v>9</v>
      </c>
      <c r="CA13" s="100">
        <v>766.80000000000007</v>
      </c>
      <c r="CB13" s="100">
        <v>10</v>
      </c>
      <c r="CC13" s="100">
        <v>852</v>
      </c>
      <c r="CD13" s="100">
        <v>9</v>
      </c>
      <c r="CE13" s="100">
        <v>766.80000000000007</v>
      </c>
      <c r="CF13" s="100">
        <v>10</v>
      </c>
      <c r="CG13" s="100">
        <v>852</v>
      </c>
      <c r="CH13" s="100">
        <v>8</v>
      </c>
      <c r="CI13" s="100">
        <v>681.6</v>
      </c>
      <c r="CJ13" s="100">
        <v>9</v>
      </c>
      <c r="CK13" s="100">
        <v>766.80000000000007</v>
      </c>
      <c r="CL13" s="100">
        <v>7</v>
      </c>
      <c r="CM13" s="100">
        <v>596.4</v>
      </c>
      <c r="CN13" s="100">
        <v>13</v>
      </c>
      <c r="CO13" s="100">
        <v>1107.6000000000001</v>
      </c>
      <c r="CP13" s="100">
        <v>15</v>
      </c>
      <c r="CQ13" s="100">
        <v>1278</v>
      </c>
      <c r="CR13" s="100">
        <v>12</v>
      </c>
      <c r="CS13" s="100">
        <v>1022.4000000000001</v>
      </c>
      <c r="CT13" s="100">
        <v>7</v>
      </c>
      <c r="CU13" s="100">
        <v>596.4</v>
      </c>
    </row>
    <row r="14" spans="1:99">
      <c r="C14" s="99" t="s">
        <v>180</v>
      </c>
      <c r="D14" s="100">
        <v>10</v>
      </c>
      <c r="E14" s="100">
        <v>4884</v>
      </c>
      <c r="F14" s="100">
        <v>5.1289087100723982</v>
      </c>
      <c r="G14" s="100">
        <v>2504.9590139993593</v>
      </c>
      <c r="H14" s="100">
        <v>0</v>
      </c>
      <c r="I14" s="100">
        <v>0</v>
      </c>
      <c r="J14" s="100">
        <v>11</v>
      </c>
      <c r="K14" s="100">
        <v>5372.4</v>
      </c>
      <c r="L14" s="100">
        <v>7</v>
      </c>
      <c r="M14" s="100">
        <v>3418.7999999999997</v>
      </c>
      <c r="N14" s="100">
        <v>8</v>
      </c>
      <c r="O14" s="100">
        <v>3907.2</v>
      </c>
      <c r="P14" s="100">
        <v>9</v>
      </c>
      <c r="Q14" s="100">
        <v>4395.5999999999995</v>
      </c>
      <c r="R14" s="100">
        <v>6</v>
      </c>
      <c r="S14" s="100">
        <v>2930.3999999999996</v>
      </c>
      <c r="T14" s="100">
        <v>7</v>
      </c>
      <c r="U14" s="100">
        <v>3418.7999999999997</v>
      </c>
      <c r="V14" s="100">
        <v>9.8659961897165331</v>
      </c>
      <c r="W14" s="100">
        <v>4818.5525390575549</v>
      </c>
      <c r="X14" s="100">
        <v>5.9230556100393867</v>
      </c>
      <c r="Y14" s="100">
        <v>2892.8203599432363</v>
      </c>
      <c r="Z14" s="100">
        <v>9</v>
      </c>
      <c r="AA14" s="100">
        <v>4395.5999999999995</v>
      </c>
      <c r="AB14" s="100">
        <v>8</v>
      </c>
      <c r="AC14" s="100">
        <v>3907.2</v>
      </c>
      <c r="AD14" s="100">
        <v>9</v>
      </c>
      <c r="AE14" s="100">
        <v>4395.5999999999995</v>
      </c>
      <c r="AF14" s="100">
        <v>11</v>
      </c>
      <c r="AG14" s="100">
        <v>5372.4</v>
      </c>
      <c r="AH14" s="100">
        <v>12</v>
      </c>
      <c r="AI14" s="100">
        <v>5860.7999999999993</v>
      </c>
      <c r="AJ14" s="100">
        <v>10</v>
      </c>
      <c r="AK14" s="100">
        <v>4884</v>
      </c>
      <c r="AL14" s="100">
        <v>10</v>
      </c>
      <c r="AM14" s="100">
        <v>4884</v>
      </c>
      <c r="AN14" s="100">
        <v>11</v>
      </c>
      <c r="AO14" s="100">
        <v>5372.4</v>
      </c>
      <c r="AP14" s="100">
        <v>8</v>
      </c>
      <c r="AQ14" s="100">
        <v>3907.2</v>
      </c>
      <c r="AR14" s="100">
        <v>8</v>
      </c>
      <c r="AS14" s="100">
        <v>3907.2</v>
      </c>
      <c r="AT14" s="100">
        <v>9</v>
      </c>
      <c r="AU14" s="100">
        <v>4395.5999999999995</v>
      </c>
      <c r="AV14" s="100">
        <v>7</v>
      </c>
      <c r="AW14" s="100">
        <v>3418.7999999999997</v>
      </c>
      <c r="AX14" s="100">
        <v>11</v>
      </c>
      <c r="AY14" s="100">
        <v>5372.4</v>
      </c>
      <c r="AZ14" s="100">
        <v>11</v>
      </c>
      <c r="BA14" s="100">
        <v>5372.4</v>
      </c>
      <c r="BB14" s="100">
        <v>10</v>
      </c>
      <c r="BC14" s="100">
        <v>4884</v>
      </c>
      <c r="BD14" s="100">
        <v>9</v>
      </c>
      <c r="BE14" s="100">
        <v>4395.5999999999995</v>
      </c>
      <c r="BF14" s="100">
        <v>8</v>
      </c>
      <c r="BG14" s="100">
        <v>3907.2</v>
      </c>
      <c r="BH14" s="100">
        <v>10</v>
      </c>
      <c r="BI14" s="100">
        <v>4884</v>
      </c>
      <c r="BJ14" s="100">
        <v>12</v>
      </c>
      <c r="BK14" s="100">
        <v>5860.7999999999993</v>
      </c>
      <c r="BL14" s="100">
        <v>10</v>
      </c>
      <c r="BM14" s="100">
        <v>4884</v>
      </c>
      <c r="BN14" s="100">
        <v>6</v>
      </c>
      <c r="BO14" s="100">
        <v>2930.3999999999996</v>
      </c>
      <c r="BP14" s="100">
        <v>7</v>
      </c>
      <c r="BQ14" s="100">
        <v>3418.7999999999997</v>
      </c>
      <c r="BR14" s="100">
        <v>7</v>
      </c>
      <c r="BS14" s="100">
        <v>3418.7999999999997</v>
      </c>
      <c r="BT14" s="100">
        <v>11</v>
      </c>
      <c r="BU14" s="100">
        <v>5372.4</v>
      </c>
      <c r="BV14" s="100">
        <v>11</v>
      </c>
      <c r="BW14" s="100">
        <v>5372.4</v>
      </c>
      <c r="BX14" s="100">
        <v>7</v>
      </c>
      <c r="BY14" s="100">
        <v>3418.7999999999997</v>
      </c>
      <c r="BZ14" s="100">
        <v>9</v>
      </c>
      <c r="CA14" s="100">
        <v>4395.5999999999995</v>
      </c>
      <c r="CB14" s="100">
        <v>11</v>
      </c>
      <c r="CC14" s="100">
        <v>5372.4</v>
      </c>
      <c r="CD14" s="100">
        <v>8</v>
      </c>
      <c r="CE14" s="100">
        <v>3907.2</v>
      </c>
      <c r="CF14" s="100">
        <v>10</v>
      </c>
      <c r="CG14" s="100">
        <v>4884</v>
      </c>
      <c r="CH14" s="100">
        <v>6</v>
      </c>
      <c r="CI14" s="100">
        <v>2930.3999999999996</v>
      </c>
      <c r="CJ14" s="100">
        <v>10</v>
      </c>
      <c r="CK14" s="100">
        <v>4884</v>
      </c>
      <c r="CL14" s="100">
        <v>7</v>
      </c>
      <c r="CM14" s="100">
        <v>3418.7999999999997</v>
      </c>
      <c r="CN14" s="100">
        <v>12</v>
      </c>
      <c r="CO14" s="100">
        <v>5860.7999999999993</v>
      </c>
      <c r="CP14" s="100">
        <v>13</v>
      </c>
      <c r="CQ14" s="100">
        <v>6349.2</v>
      </c>
      <c r="CR14" s="100">
        <v>12</v>
      </c>
      <c r="CS14" s="100">
        <v>5860.7999999999993</v>
      </c>
      <c r="CT14" s="100">
        <v>8</v>
      </c>
      <c r="CU14" s="100">
        <v>3907.2</v>
      </c>
    </row>
    <row r="15" spans="1:99">
      <c r="C15" s="99" t="s">
        <v>181</v>
      </c>
      <c r="D15" s="100">
        <v>9</v>
      </c>
      <c r="E15" s="100">
        <v>6868.7999999999993</v>
      </c>
      <c r="F15" s="100">
        <v>5.1289087100723982</v>
      </c>
      <c r="G15" s="100">
        <v>3914.3831275272541</v>
      </c>
      <c r="H15" s="100">
        <v>0</v>
      </c>
      <c r="I15" s="100">
        <v>0</v>
      </c>
      <c r="J15" s="100">
        <v>11</v>
      </c>
      <c r="K15" s="100">
        <v>8395.1999999999989</v>
      </c>
      <c r="L15" s="100">
        <v>6</v>
      </c>
      <c r="M15" s="100">
        <v>4579.2</v>
      </c>
      <c r="N15" s="100">
        <v>8</v>
      </c>
      <c r="O15" s="100">
        <v>6105.5999999999995</v>
      </c>
      <c r="P15" s="100">
        <v>9</v>
      </c>
      <c r="Q15" s="100">
        <v>6868.7999999999993</v>
      </c>
      <c r="R15" s="100">
        <v>5</v>
      </c>
      <c r="S15" s="100">
        <v>3815.9999999999995</v>
      </c>
      <c r="T15" s="100">
        <v>6</v>
      </c>
      <c r="U15" s="100">
        <v>4579.2</v>
      </c>
      <c r="V15" s="100">
        <v>8.8793965707448805</v>
      </c>
      <c r="W15" s="100">
        <v>6776.7554627924919</v>
      </c>
      <c r="X15" s="100">
        <v>5.9230556100393867</v>
      </c>
      <c r="Y15" s="100">
        <v>4520.4760415820592</v>
      </c>
      <c r="Z15" s="100">
        <v>10</v>
      </c>
      <c r="AA15" s="100">
        <v>7631.9999999999991</v>
      </c>
      <c r="AB15" s="100">
        <v>8</v>
      </c>
      <c r="AC15" s="100">
        <v>6105.5999999999995</v>
      </c>
      <c r="AD15" s="100">
        <v>9</v>
      </c>
      <c r="AE15" s="100">
        <v>6868.7999999999993</v>
      </c>
      <c r="AF15" s="100">
        <v>10</v>
      </c>
      <c r="AG15" s="100">
        <v>7631.9999999999991</v>
      </c>
      <c r="AH15" s="100">
        <v>10</v>
      </c>
      <c r="AI15" s="100">
        <v>7631.9999999999991</v>
      </c>
      <c r="AJ15" s="100">
        <v>9</v>
      </c>
      <c r="AK15" s="100">
        <v>6868.7999999999993</v>
      </c>
      <c r="AL15" s="100">
        <v>10</v>
      </c>
      <c r="AM15" s="100">
        <v>7631.9999999999991</v>
      </c>
      <c r="AN15" s="100">
        <v>11</v>
      </c>
      <c r="AO15" s="100">
        <v>8395.1999999999989</v>
      </c>
      <c r="AP15" s="100">
        <v>8</v>
      </c>
      <c r="AQ15" s="100">
        <v>6105.5999999999995</v>
      </c>
      <c r="AR15" s="100">
        <v>8</v>
      </c>
      <c r="AS15" s="100">
        <v>6105.5999999999995</v>
      </c>
      <c r="AT15" s="100">
        <v>8</v>
      </c>
      <c r="AU15" s="100">
        <v>6105.5999999999995</v>
      </c>
      <c r="AV15" s="100">
        <v>7</v>
      </c>
      <c r="AW15" s="100">
        <v>5342.4</v>
      </c>
      <c r="AX15" s="100">
        <v>11</v>
      </c>
      <c r="AY15" s="100">
        <v>8395.1999999999989</v>
      </c>
      <c r="AZ15" s="100">
        <v>11</v>
      </c>
      <c r="BA15" s="100">
        <v>8395.1999999999989</v>
      </c>
      <c r="BB15" s="100">
        <v>8</v>
      </c>
      <c r="BC15" s="100">
        <v>6105.5999999999995</v>
      </c>
      <c r="BD15" s="100">
        <v>8</v>
      </c>
      <c r="BE15" s="100">
        <v>6105.5999999999995</v>
      </c>
      <c r="BF15" s="100">
        <v>9</v>
      </c>
      <c r="BG15" s="100">
        <v>6868.7999999999993</v>
      </c>
      <c r="BH15" s="100">
        <v>11</v>
      </c>
      <c r="BI15" s="100">
        <v>8395.1999999999989</v>
      </c>
      <c r="BJ15" s="100">
        <v>11</v>
      </c>
      <c r="BK15" s="100">
        <v>8395.1999999999989</v>
      </c>
      <c r="BL15" s="100">
        <v>10</v>
      </c>
      <c r="BM15" s="100">
        <v>7631.9999999999991</v>
      </c>
      <c r="BN15" s="100">
        <v>6</v>
      </c>
      <c r="BO15" s="100">
        <v>4579.2</v>
      </c>
      <c r="BP15" s="100">
        <v>6</v>
      </c>
      <c r="BQ15" s="100">
        <v>4579.2</v>
      </c>
      <c r="BR15" s="100">
        <v>6</v>
      </c>
      <c r="BS15" s="100">
        <v>4579.2</v>
      </c>
      <c r="BT15" s="100">
        <v>12</v>
      </c>
      <c r="BU15" s="100">
        <v>9158.4</v>
      </c>
      <c r="BV15" s="100">
        <v>11</v>
      </c>
      <c r="BW15" s="100">
        <v>8395.1999999999989</v>
      </c>
      <c r="BX15" s="100">
        <v>7</v>
      </c>
      <c r="BY15" s="100">
        <v>5342.4</v>
      </c>
      <c r="BZ15" s="100">
        <v>8</v>
      </c>
      <c r="CA15" s="100">
        <v>6105.5999999999995</v>
      </c>
      <c r="CB15" s="100">
        <v>10</v>
      </c>
      <c r="CC15" s="100">
        <v>7631.9999999999991</v>
      </c>
      <c r="CD15" s="100">
        <v>8</v>
      </c>
      <c r="CE15" s="100">
        <v>6105.5999999999995</v>
      </c>
      <c r="CF15" s="100">
        <v>10</v>
      </c>
      <c r="CG15" s="100">
        <v>7631.9999999999991</v>
      </c>
      <c r="CH15" s="100">
        <v>7</v>
      </c>
      <c r="CI15" s="100">
        <v>5342.4</v>
      </c>
      <c r="CJ15" s="100">
        <v>10</v>
      </c>
      <c r="CK15" s="100">
        <v>7631.9999999999991</v>
      </c>
      <c r="CL15" s="100">
        <v>7</v>
      </c>
      <c r="CM15" s="100">
        <v>5342.4</v>
      </c>
      <c r="CN15" s="100">
        <v>13</v>
      </c>
      <c r="CO15" s="100">
        <v>9921.5999999999985</v>
      </c>
      <c r="CP15" s="100">
        <v>14</v>
      </c>
      <c r="CQ15" s="100">
        <v>10684.8</v>
      </c>
      <c r="CR15" s="100">
        <v>12</v>
      </c>
      <c r="CS15" s="100">
        <v>9158.4</v>
      </c>
      <c r="CT15" s="100">
        <v>7</v>
      </c>
      <c r="CU15" s="100">
        <v>5342.4</v>
      </c>
    </row>
    <row r="16" spans="1:99">
      <c r="C16" s="99" t="s">
        <v>182</v>
      </c>
      <c r="D16" s="100">
        <v>8</v>
      </c>
      <c r="E16" s="100">
        <v>2726.4</v>
      </c>
      <c r="F16" s="100">
        <v>4.5590299645087979</v>
      </c>
      <c r="G16" s="100">
        <v>1553.7174119045983</v>
      </c>
      <c r="H16" s="100">
        <v>0</v>
      </c>
      <c r="I16" s="100">
        <v>0</v>
      </c>
      <c r="J16" s="100">
        <v>10</v>
      </c>
      <c r="K16" s="100">
        <v>3408</v>
      </c>
      <c r="L16" s="100">
        <v>7</v>
      </c>
      <c r="M16" s="100">
        <v>2385.6</v>
      </c>
      <c r="N16" s="100">
        <v>9</v>
      </c>
      <c r="O16" s="100">
        <v>3067.2000000000003</v>
      </c>
      <c r="P16" s="100">
        <v>9</v>
      </c>
      <c r="Q16" s="100">
        <v>3067.2000000000003</v>
      </c>
      <c r="R16" s="100">
        <v>7</v>
      </c>
      <c r="S16" s="100">
        <v>2385.6</v>
      </c>
      <c r="T16" s="100">
        <v>6</v>
      </c>
      <c r="U16" s="100">
        <v>2044.8000000000002</v>
      </c>
      <c r="V16" s="100">
        <v>9.8659961897165331</v>
      </c>
      <c r="W16" s="100">
        <v>3362.3315014553946</v>
      </c>
      <c r="X16" s="100">
        <v>5.9230556100393867</v>
      </c>
      <c r="Y16" s="100">
        <v>2018.5773519014231</v>
      </c>
      <c r="Z16" s="100">
        <v>10</v>
      </c>
      <c r="AA16" s="100">
        <v>3408</v>
      </c>
      <c r="AB16" s="100">
        <v>8</v>
      </c>
      <c r="AC16" s="100">
        <v>2726.4</v>
      </c>
      <c r="AD16" s="100">
        <v>9</v>
      </c>
      <c r="AE16" s="100">
        <v>3067.2000000000003</v>
      </c>
      <c r="AF16" s="100">
        <v>10</v>
      </c>
      <c r="AG16" s="100">
        <v>3408</v>
      </c>
      <c r="AH16" s="100">
        <v>11</v>
      </c>
      <c r="AI16" s="100">
        <v>3748.8</v>
      </c>
      <c r="AJ16" s="100">
        <v>9</v>
      </c>
      <c r="AK16" s="100">
        <v>3067.2000000000003</v>
      </c>
      <c r="AL16" s="100">
        <v>10</v>
      </c>
      <c r="AM16" s="100">
        <v>3408</v>
      </c>
      <c r="AN16" s="100">
        <v>11</v>
      </c>
      <c r="AO16" s="100">
        <v>3748.8</v>
      </c>
      <c r="AP16" s="100">
        <v>8</v>
      </c>
      <c r="AQ16" s="100">
        <v>2726.4</v>
      </c>
      <c r="AR16" s="100">
        <v>7</v>
      </c>
      <c r="AS16" s="100">
        <v>2385.6</v>
      </c>
      <c r="AT16" s="100">
        <v>9</v>
      </c>
      <c r="AU16" s="100">
        <v>3067.2000000000003</v>
      </c>
      <c r="AV16" s="100">
        <v>8</v>
      </c>
      <c r="AW16" s="100">
        <v>2726.4</v>
      </c>
      <c r="AX16" s="100">
        <v>10</v>
      </c>
      <c r="AY16" s="100">
        <v>3408</v>
      </c>
      <c r="AZ16" s="100">
        <v>12</v>
      </c>
      <c r="BA16" s="100">
        <v>4089.6000000000004</v>
      </c>
      <c r="BB16" s="100">
        <v>9</v>
      </c>
      <c r="BC16" s="100">
        <v>3067.2000000000003</v>
      </c>
      <c r="BD16" s="100">
        <v>8</v>
      </c>
      <c r="BE16" s="100">
        <v>2726.4</v>
      </c>
      <c r="BF16" s="100">
        <v>9</v>
      </c>
      <c r="BG16" s="100">
        <v>3067.2000000000003</v>
      </c>
      <c r="BH16" s="100">
        <v>12</v>
      </c>
      <c r="BI16" s="100">
        <v>4089.6000000000004</v>
      </c>
      <c r="BJ16" s="100">
        <v>13</v>
      </c>
      <c r="BK16" s="100">
        <v>4430.4000000000005</v>
      </c>
      <c r="BL16" s="100">
        <v>9</v>
      </c>
      <c r="BM16" s="100">
        <v>3067.2000000000003</v>
      </c>
      <c r="BN16" s="100">
        <v>7</v>
      </c>
      <c r="BO16" s="100">
        <v>2385.6</v>
      </c>
      <c r="BP16" s="100">
        <v>6</v>
      </c>
      <c r="BQ16" s="100">
        <v>2044.8000000000002</v>
      </c>
      <c r="BR16" s="100">
        <v>7</v>
      </c>
      <c r="BS16" s="100">
        <v>2385.6</v>
      </c>
      <c r="BT16" s="100">
        <v>10</v>
      </c>
      <c r="BU16" s="100">
        <v>3408</v>
      </c>
      <c r="BV16" s="100">
        <v>12</v>
      </c>
      <c r="BW16" s="100">
        <v>4089.6000000000004</v>
      </c>
      <c r="BX16" s="100">
        <v>7</v>
      </c>
      <c r="BY16" s="100">
        <v>2385.6</v>
      </c>
      <c r="BZ16" s="100">
        <v>9</v>
      </c>
      <c r="CA16" s="100">
        <v>3067.2000000000003</v>
      </c>
      <c r="CB16" s="100">
        <v>10</v>
      </c>
      <c r="CC16" s="100">
        <v>3408</v>
      </c>
      <c r="CD16" s="100">
        <v>8</v>
      </c>
      <c r="CE16" s="100">
        <v>2726.4</v>
      </c>
      <c r="CF16" s="100">
        <v>10</v>
      </c>
      <c r="CG16" s="100">
        <v>3408</v>
      </c>
      <c r="CH16" s="100">
        <v>7</v>
      </c>
      <c r="CI16" s="100">
        <v>2385.6</v>
      </c>
      <c r="CJ16" s="100">
        <v>10</v>
      </c>
      <c r="CK16" s="100">
        <v>3408</v>
      </c>
      <c r="CL16" s="100">
        <v>7</v>
      </c>
      <c r="CM16" s="100">
        <v>2385.6</v>
      </c>
      <c r="CN16" s="100">
        <v>14</v>
      </c>
      <c r="CO16" s="100">
        <v>4771.2</v>
      </c>
      <c r="CP16" s="100">
        <v>14</v>
      </c>
      <c r="CQ16" s="100">
        <v>4771.2</v>
      </c>
      <c r="CR16" s="100">
        <v>13</v>
      </c>
      <c r="CS16" s="100">
        <v>4430.4000000000005</v>
      </c>
      <c r="CT16" s="100">
        <v>7</v>
      </c>
      <c r="CU16" s="100">
        <v>2385.6</v>
      </c>
    </row>
    <row r="17" spans="2:99">
      <c r="C17" s="99" t="s">
        <v>183</v>
      </c>
      <c r="D17" s="100">
        <v>9</v>
      </c>
      <c r="E17" s="100">
        <v>3801.6</v>
      </c>
      <c r="F17" s="100">
        <v>4.5590299645087979</v>
      </c>
      <c r="G17" s="100">
        <v>1925.7342570085161</v>
      </c>
      <c r="H17" s="100">
        <v>0</v>
      </c>
      <c r="I17" s="100">
        <v>0</v>
      </c>
      <c r="J17" s="100">
        <v>11</v>
      </c>
      <c r="K17" s="100">
        <v>4646.3999999999996</v>
      </c>
      <c r="L17" s="100">
        <v>6</v>
      </c>
      <c r="M17" s="100">
        <v>2534.3999999999996</v>
      </c>
      <c r="N17" s="100">
        <v>9</v>
      </c>
      <c r="O17" s="100">
        <v>3801.6</v>
      </c>
      <c r="P17" s="100">
        <v>9</v>
      </c>
      <c r="Q17" s="100">
        <v>3801.6</v>
      </c>
      <c r="R17" s="100">
        <v>6</v>
      </c>
      <c r="S17" s="100">
        <v>2534.3999999999996</v>
      </c>
      <c r="T17" s="100">
        <v>7</v>
      </c>
      <c r="U17" s="100">
        <v>2956.7999999999997</v>
      </c>
      <c r="V17" s="100">
        <v>9.8659961897165331</v>
      </c>
      <c r="W17" s="100">
        <v>4167.3967905362633</v>
      </c>
      <c r="X17" s="100">
        <v>6.9102315450459502</v>
      </c>
      <c r="Y17" s="100">
        <v>2918.8818046274091</v>
      </c>
      <c r="Z17" s="100">
        <v>9</v>
      </c>
      <c r="AA17" s="100">
        <v>3801.6</v>
      </c>
      <c r="AB17" s="100">
        <v>8</v>
      </c>
      <c r="AC17" s="100">
        <v>3379.2</v>
      </c>
      <c r="AD17" s="100">
        <v>8</v>
      </c>
      <c r="AE17" s="100">
        <v>3379.2</v>
      </c>
      <c r="AF17" s="100">
        <v>11</v>
      </c>
      <c r="AG17" s="100">
        <v>4646.3999999999996</v>
      </c>
      <c r="AH17" s="100">
        <v>12</v>
      </c>
      <c r="AI17" s="100">
        <v>5068.7999999999993</v>
      </c>
      <c r="AJ17" s="100">
        <v>9</v>
      </c>
      <c r="AK17" s="100">
        <v>3801.6</v>
      </c>
      <c r="AL17" s="100">
        <v>10</v>
      </c>
      <c r="AM17" s="100">
        <v>4224</v>
      </c>
      <c r="AN17" s="100">
        <v>11</v>
      </c>
      <c r="AO17" s="100">
        <v>4646.3999999999996</v>
      </c>
      <c r="AP17" s="100">
        <v>9</v>
      </c>
      <c r="AQ17" s="100">
        <v>3801.6</v>
      </c>
      <c r="AR17" s="100">
        <v>8</v>
      </c>
      <c r="AS17" s="100">
        <v>3379.2</v>
      </c>
      <c r="AT17" s="100">
        <v>9</v>
      </c>
      <c r="AU17" s="100">
        <v>3801.6</v>
      </c>
      <c r="AV17" s="100">
        <v>7</v>
      </c>
      <c r="AW17" s="100">
        <v>2956.7999999999997</v>
      </c>
      <c r="AX17" s="100">
        <v>12</v>
      </c>
      <c r="AY17" s="100">
        <v>5068.7999999999993</v>
      </c>
      <c r="AZ17" s="100">
        <v>11</v>
      </c>
      <c r="BA17" s="100">
        <v>4646.3999999999996</v>
      </c>
      <c r="BB17" s="100">
        <v>10</v>
      </c>
      <c r="BC17" s="100">
        <v>4224</v>
      </c>
      <c r="BD17" s="100">
        <v>8</v>
      </c>
      <c r="BE17" s="100">
        <v>3379.2</v>
      </c>
      <c r="BF17" s="100">
        <v>10</v>
      </c>
      <c r="BG17" s="100">
        <v>4224</v>
      </c>
      <c r="BH17" s="100">
        <v>10</v>
      </c>
      <c r="BI17" s="100">
        <v>4224</v>
      </c>
      <c r="BJ17" s="100">
        <v>11</v>
      </c>
      <c r="BK17" s="100">
        <v>4646.3999999999996</v>
      </c>
      <c r="BL17" s="100">
        <v>9</v>
      </c>
      <c r="BM17" s="100">
        <v>3801.6</v>
      </c>
      <c r="BN17" s="100">
        <v>6</v>
      </c>
      <c r="BO17" s="100">
        <v>2534.3999999999996</v>
      </c>
      <c r="BP17" s="100">
        <v>6</v>
      </c>
      <c r="BQ17" s="100">
        <v>2534.3999999999996</v>
      </c>
      <c r="BR17" s="100">
        <v>7</v>
      </c>
      <c r="BS17" s="100">
        <v>2956.7999999999997</v>
      </c>
      <c r="BT17" s="100">
        <v>11</v>
      </c>
      <c r="BU17" s="100">
        <v>4646.3999999999996</v>
      </c>
      <c r="BV17" s="100">
        <v>11</v>
      </c>
      <c r="BW17" s="100">
        <v>4646.3999999999996</v>
      </c>
      <c r="BX17" s="100">
        <v>6</v>
      </c>
      <c r="BY17" s="100">
        <v>2534.3999999999996</v>
      </c>
      <c r="BZ17" s="100">
        <v>9</v>
      </c>
      <c r="CA17" s="100">
        <v>3801.6</v>
      </c>
      <c r="CB17" s="100">
        <v>11</v>
      </c>
      <c r="CC17" s="100">
        <v>4646.3999999999996</v>
      </c>
      <c r="CD17" s="100">
        <v>9</v>
      </c>
      <c r="CE17" s="100">
        <v>3801.6</v>
      </c>
      <c r="CF17" s="100">
        <v>11</v>
      </c>
      <c r="CG17" s="100">
        <v>4646.3999999999996</v>
      </c>
      <c r="CH17" s="100">
        <v>8</v>
      </c>
      <c r="CI17" s="100">
        <v>3379.2</v>
      </c>
      <c r="CJ17" s="100">
        <v>9</v>
      </c>
      <c r="CK17" s="100">
        <v>3801.6</v>
      </c>
      <c r="CL17" s="100">
        <v>7</v>
      </c>
      <c r="CM17" s="100">
        <v>2956.7999999999997</v>
      </c>
      <c r="CN17" s="100">
        <v>14</v>
      </c>
      <c r="CO17" s="100">
        <v>5913.5999999999995</v>
      </c>
      <c r="CP17" s="100">
        <v>14</v>
      </c>
      <c r="CQ17" s="100">
        <v>5913.5999999999995</v>
      </c>
      <c r="CR17" s="100">
        <v>13</v>
      </c>
      <c r="CS17" s="100">
        <v>5491.2</v>
      </c>
      <c r="CT17" s="100">
        <v>7</v>
      </c>
      <c r="CU17" s="100">
        <v>2956.7999999999997</v>
      </c>
    </row>
    <row r="18" spans="2:99">
      <c r="C18" s="99" t="s">
        <v>184</v>
      </c>
      <c r="D18" s="100">
        <v>9</v>
      </c>
      <c r="E18" s="100">
        <v>5875.2</v>
      </c>
      <c r="F18" s="100">
        <v>4.5590299645087979</v>
      </c>
      <c r="G18" s="100">
        <v>2976.1347608313431</v>
      </c>
      <c r="H18" s="100">
        <v>0</v>
      </c>
      <c r="I18" s="100">
        <v>0</v>
      </c>
      <c r="J18" s="100">
        <v>10</v>
      </c>
      <c r="K18" s="100">
        <v>6528</v>
      </c>
      <c r="L18" s="100">
        <v>7</v>
      </c>
      <c r="M18" s="100">
        <v>4569.5999999999995</v>
      </c>
      <c r="N18" s="100">
        <v>8</v>
      </c>
      <c r="O18" s="100">
        <v>5222.3999999999996</v>
      </c>
      <c r="P18" s="100">
        <v>8</v>
      </c>
      <c r="Q18" s="100">
        <v>5222.3999999999996</v>
      </c>
      <c r="R18" s="100">
        <v>6</v>
      </c>
      <c r="S18" s="100">
        <v>3916.7999999999997</v>
      </c>
      <c r="T18" s="100">
        <v>7</v>
      </c>
      <c r="U18" s="100">
        <v>4569.5999999999995</v>
      </c>
      <c r="V18" s="100">
        <v>9.8659961897165331</v>
      </c>
      <c r="W18" s="100">
        <v>6440.5223126469527</v>
      </c>
      <c r="X18" s="100">
        <v>6.9102315450459502</v>
      </c>
      <c r="Y18" s="100">
        <v>4510.9991526059957</v>
      </c>
      <c r="Z18" s="100">
        <v>9</v>
      </c>
      <c r="AA18" s="100">
        <v>5875.2</v>
      </c>
      <c r="AB18" s="100">
        <v>8</v>
      </c>
      <c r="AC18" s="100">
        <v>5222.3999999999996</v>
      </c>
      <c r="AD18" s="100">
        <v>8</v>
      </c>
      <c r="AE18" s="100">
        <v>5222.3999999999996</v>
      </c>
      <c r="AF18" s="100">
        <v>10</v>
      </c>
      <c r="AG18" s="100">
        <v>6528</v>
      </c>
      <c r="AH18" s="100">
        <v>12</v>
      </c>
      <c r="AI18" s="100">
        <v>7833.5999999999995</v>
      </c>
      <c r="AJ18" s="100">
        <v>9</v>
      </c>
      <c r="AK18" s="100">
        <v>5875.2</v>
      </c>
      <c r="AL18" s="100">
        <v>11</v>
      </c>
      <c r="AM18" s="100">
        <v>7180.7999999999993</v>
      </c>
      <c r="AN18" s="100">
        <v>10</v>
      </c>
      <c r="AO18" s="100">
        <v>6528</v>
      </c>
      <c r="AP18" s="100">
        <v>8</v>
      </c>
      <c r="AQ18" s="100">
        <v>5222.3999999999996</v>
      </c>
      <c r="AR18" s="100">
        <v>8</v>
      </c>
      <c r="AS18" s="100">
        <v>5222.3999999999996</v>
      </c>
      <c r="AT18" s="100">
        <v>9</v>
      </c>
      <c r="AU18" s="100">
        <v>5875.2</v>
      </c>
      <c r="AV18" s="100">
        <v>7</v>
      </c>
      <c r="AW18" s="100">
        <v>4569.5999999999995</v>
      </c>
      <c r="AX18" s="100">
        <v>10</v>
      </c>
      <c r="AY18" s="100">
        <v>6528</v>
      </c>
      <c r="AZ18" s="100">
        <v>11</v>
      </c>
      <c r="BA18" s="100">
        <v>7180.7999999999993</v>
      </c>
      <c r="BB18" s="100">
        <v>9</v>
      </c>
      <c r="BC18" s="100">
        <v>5875.2</v>
      </c>
      <c r="BD18" s="100">
        <v>8</v>
      </c>
      <c r="BE18" s="100">
        <v>5222.3999999999996</v>
      </c>
      <c r="BF18" s="100">
        <v>9</v>
      </c>
      <c r="BG18" s="100">
        <v>5875.2</v>
      </c>
      <c r="BH18" s="100">
        <v>11</v>
      </c>
      <c r="BI18" s="100">
        <v>7180.7999999999993</v>
      </c>
      <c r="BJ18" s="100">
        <v>11</v>
      </c>
      <c r="BK18" s="100">
        <v>7180.7999999999993</v>
      </c>
      <c r="BL18" s="100">
        <v>9</v>
      </c>
      <c r="BM18" s="100">
        <v>5875.2</v>
      </c>
      <c r="BN18" s="100">
        <v>6</v>
      </c>
      <c r="BO18" s="100">
        <v>3916.7999999999997</v>
      </c>
      <c r="BP18" s="100">
        <v>6</v>
      </c>
      <c r="BQ18" s="100">
        <v>3916.7999999999997</v>
      </c>
      <c r="BR18" s="100">
        <v>6</v>
      </c>
      <c r="BS18" s="100">
        <v>3916.7999999999997</v>
      </c>
      <c r="BT18" s="100">
        <v>12</v>
      </c>
      <c r="BU18" s="100">
        <v>7833.5999999999995</v>
      </c>
      <c r="BV18" s="100">
        <v>12</v>
      </c>
      <c r="BW18" s="100">
        <v>7833.5999999999995</v>
      </c>
      <c r="BX18" s="100">
        <v>6</v>
      </c>
      <c r="BY18" s="100">
        <v>3916.7999999999997</v>
      </c>
      <c r="BZ18" s="100">
        <v>9</v>
      </c>
      <c r="CA18" s="100">
        <v>5875.2</v>
      </c>
      <c r="CB18" s="100">
        <v>9</v>
      </c>
      <c r="CC18" s="100">
        <v>5875.2</v>
      </c>
      <c r="CD18" s="100">
        <v>7</v>
      </c>
      <c r="CE18" s="100">
        <v>4569.5999999999995</v>
      </c>
      <c r="CF18" s="100">
        <v>10</v>
      </c>
      <c r="CG18" s="100">
        <v>6528</v>
      </c>
      <c r="CH18" s="100">
        <v>7</v>
      </c>
      <c r="CI18" s="100">
        <v>4569.5999999999995</v>
      </c>
      <c r="CJ18" s="100">
        <v>10</v>
      </c>
      <c r="CK18" s="100">
        <v>6528</v>
      </c>
      <c r="CL18" s="100">
        <v>7</v>
      </c>
      <c r="CM18" s="100">
        <v>4569.5999999999995</v>
      </c>
      <c r="CN18" s="100">
        <v>13</v>
      </c>
      <c r="CO18" s="100">
        <v>8486.4</v>
      </c>
      <c r="CP18" s="100">
        <v>12</v>
      </c>
      <c r="CQ18" s="100">
        <v>7833.5999999999995</v>
      </c>
      <c r="CR18" s="100">
        <v>13</v>
      </c>
      <c r="CS18" s="100">
        <v>8486.4</v>
      </c>
      <c r="CT18" s="100">
        <v>7</v>
      </c>
      <c r="CU18" s="100">
        <v>4569.5999999999995</v>
      </c>
    </row>
    <row r="19" spans="2:99">
      <c r="C19" s="99" t="s">
        <v>185</v>
      </c>
      <c r="D19" s="100">
        <v>9</v>
      </c>
      <c r="E19" s="100">
        <v>2970</v>
      </c>
      <c r="F19" s="100">
        <v>4.5590299645087979</v>
      </c>
      <c r="G19" s="100">
        <v>1504.4798882879033</v>
      </c>
      <c r="H19" s="100">
        <v>0</v>
      </c>
      <c r="I19" s="100">
        <v>0</v>
      </c>
      <c r="J19" s="100">
        <v>10</v>
      </c>
      <c r="K19" s="100">
        <v>3300</v>
      </c>
      <c r="L19" s="100">
        <v>7</v>
      </c>
      <c r="M19" s="100">
        <v>2310</v>
      </c>
      <c r="N19" s="100">
        <v>9</v>
      </c>
      <c r="O19" s="100">
        <v>2970</v>
      </c>
      <c r="P19" s="100">
        <v>9</v>
      </c>
      <c r="Q19" s="100">
        <v>2970</v>
      </c>
      <c r="R19" s="100">
        <v>6</v>
      </c>
      <c r="S19" s="100">
        <v>1980</v>
      </c>
      <c r="T19" s="100">
        <v>7</v>
      </c>
      <c r="U19" s="100">
        <v>2310</v>
      </c>
      <c r="V19" s="100">
        <v>8.8793965707448805</v>
      </c>
      <c r="W19" s="100">
        <v>2930.2008683458107</v>
      </c>
      <c r="X19" s="100">
        <v>6.9102315450459502</v>
      </c>
      <c r="Y19" s="100">
        <v>2280.3764098651636</v>
      </c>
      <c r="Z19" s="100">
        <v>10</v>
      </c>
      <c r="AA19" s="100">
        <v>3300</v>
      </c>
      <c r="AB19" s="100">
        <v>8</v>
      </c>
      <c r="AC19" s="100">
        <v>2640</v>
      </c>
      <c r="AD19" s="100">
        <v>10</v>
      </c>
      <c r="AE19" s="100">
        <v>3300</v>
      </c>
      <c r="AF19" s="100">
        <v>10</v>
      </c>
      <c r="AG19" s="100">
        <v>3300</v>
      </c>
      <c r="AH19" s="100">
        <v>11</v>
      </c>
      <c r="AI19" s="100">
        <v>3630</v>
      </c>
      <c r="AJ19" s="100">
        <v>9</v>
      </c>
      <c r="AK19" s="100">
        <v>2970</v>
      </c>
      <c r="AL19" s="100">
        <v>10</v>
      </c>
      <c r="AM19" s="100">
        <v>3300</v>
      </c>
      <c r="AN19" s="100">
        <v>10</v>
      </c>
      <c r="AO19" s="100">
        <v>3300</v>
      </c>
      <c r="AP19" s="100">
        <v>9</v>
      </c>
      <c r="AQ19" s="100">
        <v>2970</v>
      </c>
      <c r="AR19" s="100">
        <v>8</v>
      </c>
      <c r="AS19" s="100">
        <v>2640</v>
      </c>
      <c r="AT19" s="100">
        <v>9</v>
      </c>
      <c r="AU19" s="100">
        <v>2970</v>
      </c>
      <c r="AV19" s="100">
        <v>7</v>
      </c>
      <c r="AW19" s="100">
        <v>2310</v>
      </c>
      <c r="AX19" s="100">
        <v>11</v>
      </c>
      <c r="AY19" s="100">
        <v>3630</v>
      </c>
      <c r="AZ19" s="100">
        <v>13</v>
      </c>
      <c r="BA19" s="100">
        <v>4290</v>
      </c>
      <c r="BB19" s="100">
        <v>10</v>
      </c>
      <c r="BC19" s="100">
        <v>3300</v>
      </c>
      <c r="BD19" s="100">
        <v>8</v>
      </c>
      <c r="BE19" s="100">
        <v>2640</v>
      </c>
      <c r="BF19" s="100">
        <v>9</v>
      </c>
      <c r="BG19" s="100">
        <v>2970</v>
      </c>
      <c r="BH19" s="100">
        <v>10</v>
      </c>
      <c r="BI19" s="100">
        <v>3300</v>
      </c>
      <c r="BJ19" s="100">
        <v>12</v>
      </c>
      <c r="BK19" s="100">
        <v>3960</v>
      </c>
      <c r="BL19" s="100">
        <v>9</v>
      </c>
      <c r="BM19" s="100">
        <v>2970</v>
      </c>
      <c r="BN19" s="100">
        <v>6</v>
      </c>
      <c r="BO19" s="100">
        <v>1980</v>
      </c>
      <c r="BP19" s="100">
        <v>6</v>
      </c>
      <c r="BQ19" s="100">
        <v>1980</v>
      </c>
      <c r="BR19" s="100">
        <v>7</v>
      </c>
      <c r="BS19" s="100">
        <v>2310</v>
      </c>
      <c r="BT19" s="100">
        <v>11</v>
      </c>
      <c r="BU19" s="100">
        <v>3630</v>
      </c>
      <c r="BV19" s="100">
        <v>11</v>
      </c>
      <c r="BW19" s="100">
        <v>3630</v>
      </c>
      <c r="BX19" s="100">
        <v>6</v>
      </c>
      <c r="BY19" s="100">
        <v>1980</v>
      </c>
      <c r="BZ19" s="100">
        <v>8</v>
      </c>
      <c r="CA19" s="100">
        <v>2640</v>
      </c>
      <c r="CB19" s="100">
        <v>10</v>
      </c>
      <c r="CC19" s="100">
        <v>3300</v>
      </c>
      <c r="CD19" s="100">
        <v>9</v>
      </c>
      <c r="CE19" s="100">
        <v>2970</v>
      </c>
      <c r="CF19" s="100">
        <v>9</v>
      </c>
      <c r="CG19" s="100">
        <v>2970</v>
      </c>
      <c r="CH19" s="100">
        <v>7</v>
      </c>
      <c r="CI19" s="100">
        <v>2310</v>
      </c>
      <c r="CJ19" s="100">
        <v>9</v>
      </c>
      <c r="CK19" s="100">
        <v>2970</v>
      </c>
      <c r="CL19" s="100">
        <v>7</v>
      </c>
      <c r="CM19" s="100">
        <v>2310</v>
      </c>
      <c r="CN19" s="100">
        <v>12</v>
      </c>
      <c r="CO19" s="100">
        <v>3960</v>
      </c>
      <c r="CP19" s="100">
        <v>12</v>
      </c>
      <c r="CQ19" s="100">
        <v>3960</v>
      </c>
      <c r="CR19" s="100">
        <v>13</v>
      </c>
      <c r="CS19" s="100">
        <v>4290</v>
      </c>
      <c r="CT19" s="100">
        <v>7</v>
      </c>
      <c r="CU19" s="100">
        <v>2310</v>
      </c>
    </row>
    <row r="20" spans="2:99">
      <c r="B20" s="99" t="s">
        <v>127</v>
      </c>
      <c r="C20" s="99" t="s">
        <v>186</v>
      </c>
      <c r="D20" s="100">
        <v>22</v>
      </c>
      <c r="E20" s="100">
        <v>6309.6</v>
      </c>
      <c r="F20" s="100">
        <v>11.967453656835595</v>
      </c>
      <c r="G20" s="100">
        <v>3432.2657087804487</v>
      </c>
      <c r="H20" s="100">
        <v>0</v>
      </c>
      <c r="I20" s="100">
        <v>0</v>
      </c>
      <c r="J20" s="100">
        <v>12</v>
      </c>
      <c r="K20" s="100">
        <v>3441.6000000000004</v>
      </c>
      <c r="L20" s="100">
        <v>22</v>
      </c>
      <c r="M20" s="100">
        <v>6309.6</v>
      </c>
      <c r="N20" s="100">
        <v>16</v>
      </c>
      <c r="O20" s="100">
        <v>4588.8</v>
      </c>
      <c r="P20" s="100">
        <v>18</v>
      </c>
      <c r="Q20" s="100">
        <v>5162.4000000000005</v>
      </c>
      <c r="R20" s="100">
        <v>17</v>
      </c>
      <c r="S20" s="100">
        <v>4875.6000000000004</v>
      </c>
      <c r="T20" s="100">
        <v>14</v>
      </c>
      <c r="U20" s="100">
        <v>4015.2000000000003</v>
      </c>
      <c r="V20" s="100">
        <v>19.731992379433066</v>
      </c>
      <c r="W20" s="100">
        <v>5659.1354144214038</v>
      </c>
      <c r="X20" s="100">
        <v>17.769166830118159</v>
      </c>
      <c r="Y20" s="100">
        <v>5096.1970468778882</v>
      </c>
      <c r="Z20" s="100">
        <v>15</v>
      </c>
      <c r="AA20" s="100">
        <v>4302</v>
      </c>
      <c r="AB20" s="100">
        <v>12</v>
      </c>
      <c r="AC20" s="100">
        <v>3441.6000000000004</v>
      </c>
      <c r="AD20" s="100">
        <v>16</v>
      </c>
      <c r="AE20" s="100">
        <v>4588.8</v>
      </c>
      <c r="AF20" s="100">
        <v>18</v>
      </c>
      <c r="AG20" s="100">
        <v>5162.4000000000005</v>
      </c>
      <c r="AH20" s="100">
        <v>13</v>
      </c>
      <c r="AI20" s="100">
        <v>3728.4</v>
      </c>
      <c r="AJ20" s="100">
        <v>12</v>
      </c>
      <c r="AK20" s="100">
        <v>3441.6000000000004</v>
      </c>
      <c r="AL20" s="100">
        <v>20</v>
      </c>
      <c r="AM20" s="100">
        <v>5736</v>
      </c>
      <c r="AN20" s="100">
        <v>12</v>
      </c>
      <c r="AO20" s="100">
        <v>3441.6000000000004</v>
      </c>
      <c r="AP20" s="100">
        <v>13</v>
      </c>
      <c r="AQ20" s="100">
        <v>3728.4</v>
      </c>
      <c r="AR20" s="100">
        <v>15</v>
      </c>
      <c r="AS20" s="100">
        <v>4302</v>
      </c>
      <c r="AT20" s="100">
        <v>17</v>
      </c>
      <c r="AU20" s="100">
        <v>4875.6000000000004</v>
      </c>
      <c r="AV20" s="100">
        <v>17</v>
      </c>
      <c r="AW20" s="100">
        <v>4875.6000000000004</v>
      </c>
      <c r="AX20" s="100">
        <v>11</v>
      </c>
      <c r="AY20" s="100">
        <v>3154.8</v>
      </c>
      <c r="AZ20" s="100">
        <v>18</v>
      </c>
      <c r="BA20" s="100">
        <v>5162.4000000000005</v>
      </c>
      <c r="BB20" s="100">
        <v>17</v>
      </c>
      <c r="BC20" s="100">
        <v>4875.6000000000004</v>
      </c>
      <c r="BD20" s="100">
        <v>20</v>
      </c>
      <c r="BE20" s="100">
        <v>5736</v>
      </c>
      <c r="BF20" s="100">
        <v>13</v>
      </c>
      <c r="BG20" s="100">
        <v>3728.4</v>
      </c>
      <c r="BH20" s="100">
        <v>14</v>
      </c>
      <c r="BI20" s="100">
        <v>4015.2000000000003</v>
      </c>
      <c r="BJ20" s="100">
        <v>17</v>
      </c>
      <c r="BK20" s="100">
        <v>4875.6000000000004</v>
      </c>
      <c r="BL20" s="100">
        <v>22</v>
      </c>
      <c r="BM20" s="100">
        <v>6309.6</v>
      </c>
      <c r="BN20" s="100">
        <v>15</v>
      </c>
      <c r="BO20" s="100">
        <v>4302</v>
      </c>
      <c r="BP20" s="100">
        <v>15</v>
      </c>
      <c r="BQ20" s="100">
        <v>4302</v>
      </c>
      <c r="BR20" s="100">
        <v>16</v>
      </c>
      <c r="BS20" s="100">
        <v>4588.8</v>
      </c>
      <c r="BT20" s="100">
        <v>12</v>
      </c>
      <c r="BU20" s="100">
        <v>3441.6000000000004</v>
      </c>
      <c r="BV20" s="100">
        <v>16</v>
      </c>
      <c r="BW20" s="100">
        <v>4588.8</v>
      </c>
      <c r="BX20" s="100">
        <v>23</v>
      </c>
      <c r="BY20" s="100">
        <v>6596.4000000000005</v>
      </c>
      <c r="BZ20" s="100">
        <v>14</v>
      </c>
      <c r="CA20" s="100">
        <v>4015.2000000000003</v>
      </c>
      <c r="CB20" s="100">
        <v>17</v>
      </c>
      <c r="CC20" s="100">
        <v>4875.6000000000004</v>
      </c>
      <c r="CD20" s="100">
        <v>15</v>
      </c>
      <c r="CE20" s="100">
        <v>4302</v>
      </c>
      <c r="CF20" s="100">
        <v>21</v>
      </c>
      <c r="CG20" s="100">
        <v>6022.8</v>
      </c>
      <c r="CH20" s="100">
        <v>15</v>
      </c>
      <c r="CI20" s="100">
        <v>4302</v>
      </c>
      <c r="CJ20" s="100">
        <v>15</v>
      </c>
      <c r="CK20" s="100">
        <v>4302</v>
      </c>
      <c r="CL20" s="100">
        <v>17</v>
      </c>
      <c r="CM20" s="100">
        <v>4875.6000000000004</v>
      </c>
      <c r="CN20" s="100">
        <v>20</v>
      </c>
      <c r="CO20" s="100">
        <v>5736</v>
      </c>
      <c r="CP20" s="100">
        <v>17</v>
      </c>
      <c r="CQ20" s="100">
        <v>4875.6000000000004</v>
      </c>
      <c r="CR20" s="100">
        <v>19</v>
      </c>
      <c r="CS20" s="100">
        <v>5449.2</v>
      </c>
      <c r="CT20" s="100">
        <v>13</v>
      </c>
      <c r="CU20" s="100">
        <v>3728.4</v>
      </c>
    </row>
    <row r="21" spans="2:99">
      <c r="C21" s="99" t="s">
        <v>187</v>
      </c>
      <c r="D21" s="100">
        <v>21</v>
      </c>
      <c r="E21" s="100">
        <v>1310.3999999999999</v>
      </c>
      <c r="F21" s="100">
        <v>13.107211147962795</v>
      </c>
      <c r="G21" s="100">
        <v>817.88997563287842</v>
      </c>
      <c r="H21" s="100">
        <v>0</v>
      </c>
      <c r="I21" s="100">
        <v>0</v>
      </c>
      <c r="J21" s="100">
        <v>11</v>
      </c>
      <c r="K21" s="100">
        <v>686.4</v>
      </c>
      <c r="L21" s="100">
        <v>23</v>
      </c>
      <c r="M21" s="100">
        <v>1435.2</v>
      </c>
      <c r="N21" s="100">
        <v>15</v>
      </c>
      <c r="O21" s="100">
        <v>936</v>
      </c>
      <c r="P21" s="100">
        <v>18</v>
      </c>
      <c r="Q21" s="100">
        <v>1123.2</v>
      </c>
      <c r="R21" s="100">
        <v>17</v>
      </c>
      <c r="S21" s="100">
        <v>1060.8</v>
      </c>
      <c r="T21" s="100">
        <v>15</v>
      </c>
      <c r="U21" s="100">
        <v>936</v>
      </c>
      <c r="V21" s="100">
        <v>18.745392760461414</v>
      </c>
      <c r="W21" s="100">
        <v>1169.7125082527921</v>
      </c>
      <c r="X21" s="100">
        <v>19.743518700131286</v>
      </c>
      <c r="Y21" s="100">
        <v>1231.9955668881923</v>
      </c>
      <c r="Z21" s="100">
        <v>16</v>
      </c>
      <c r="AA21" s="100">
        <v>998.4</v>
      </c>
      <c r="AB21" s="100">
        <v>15</v>
      </c>
      <c r="AC21" s="100">
        <v>936</v>
      </c>
      <c r="AD21" s="100">
        <v>15</v>
      </c>
      <c r="AE21" s="100">
        <v>936</v>
      </c>
      <c r="AF21" s="100">
        <v>19</v>
      </c>
      <c r="AG21" s="100">
        <v>1185.5999999999999</v>
      </c>
      <c r="AH21" s="100">
        <v>14</v>
      </c>
      <c r="AI21" s="100">
        <v>873.6</v>
      </c>
      <c r="AJ21" s="100">
        <v>10</v>
      </c>
      <c r="AK21" s="100">
        <v>624</v>
      </c>
      <c r="AL21" s="100">
        <v>20</v>
      </c>
      <c r="AM21" s="100">
        <v>1248</v>
      </c>
      <c r="AN21" s="100">
        <v>13</v>
      </c>
      <c r="AO21" s="100">
        <v>811.19999999999993</v>
      </c>
      <c r="AP21" s="100">
        <v>12</v>
      </c>
      <c r="AQ21" s="100">
        <v>748.8</v>
      </c>
      <c r="AR21" s="100">
        <v>16</v>
      </c>
      <c r="AS21" s="100">
        <v>998.4</v>
      </c>
      <c r="AT21" s="100">
        <v>16</v>
      </c>
      <c r="AU21" s="100">
        <v>998.4</v>
      </c>
      <c r="AV21" s="100">
        <v>16</v>
      </c>
      <c r="AW21" s="100">
        <v>998.4</v>
      </c>
      <c r="AX21" s="100">
        <v>11</v>
      </c>
      <c r="AY21" s="100">
        <v>686.4</v>
      </c>
      <c r="AZ21" s="100">
        <v>19</v>
      </c>
      <c r="BA21" s="100">
        <v>1185.5999999999999</v>
      </c>
      <c r="BB21" s="100">
        <v>17</v>
      </c>
      <c r="BC21" s="100">
        <v>1060.8</v>
      </c>
      <c r="BD21" s="100">
        <v>20</v>
      </c>
      <c r="BE21" s="100">
        <v>1248</v>
      </c>
      <c r="BF21" s="100">
        <v>11</v>
      </c>
      <c r="BG21" s="100">
        <v>686.4</v>
      </c>
      <c r="BH21" s="100">
        <v>12</v>
      </c>
      <c r="BI21" s="100">
        <v>748.8</v>
      </c>
      <c r="BJ21" s="100">
        <v>18</v>
      </c>
      <c r="BK21" s="100">
        <v>1123.2</v>
      </c>
      <c r="BL21" s="100">
        <v>22</v>
      </c>
      <c r="BM21" s="100">
        <v>1372.8</v>
      </c>
      <c r="BN21" s="100">
        <v>15</v>
      </c>
      <c r="BO21" s="100">
        <v>936</v>
      </c>
      <c r="BP21" s="100">
        <v>13</v>
      </c>
      <c r="BQ21" s="100">
        <v>811.19999999999993</v>
      </c>
      <c r="BR21" s="100">
        <v>16</v>
      </c>
      <c r="BS21" s="100">
        <v>998.4</v>
      </c>
      <c r="BT21" s="100">
        <v>14</v>
      </c>
      <c r="BU21" s="100">
        <v>873.6</v>
      </c>
      <c r="BV21" s="100">
        <v>20</v>
      </c>
      <c r="BW21" s="100">
        <v>1248</v>
      </c>
      <c r="BX21" s="100">
        <v>23</v>
      </c>
      <c r="BY21" s="100">
        <v>1435.2</v>
      </c>
      <c r="BZ21" s="100">
        <v>15</v>
      </c>
      <c r="CA21" s="100">
        <v>936</v>
      </c>
      <c r="CB21" s="100">
        <v>16</v>
      </c>
      <c r="CC21" s="100">
        <v>998.4</v>
      </c>
      <c r="CD21" s="100">
        <v>15</v>
      </c>
      <c r="CE21" s="100">
        <v>936</v>
      </c>
      <c r="CF21" s="100">
        <v>20</v>
      </c>
      <c r="CG21" s="100">
        <v>1248</v>
      </c>
      <c r="CH21" s="100">
        <v>14</v>
      </c>
      <c r="CI21" s="100">
        <v>873.6</v>
      </c>
      <c r="CJ21" s="100">
        <v>14</v>
      </c>
      <c r="CK21" s="100">
        <v>873.6</v>
      </c>
      <c r="CL21" s="100">
        <v>20</v>
      </c>
      <c r="CM21" s="100">
        <v>1248</v>
      </c>
      <c r="CN21" s="100">
        <v>17</v>
      </c>
      <c r="CO21" s="100">
        <v>1060.8</v>
      </c>
      <c r="CP21" s="100">
        <v>16</v>
      </c>
      <c r="CQ21" s="100">
        <v>998.4</v>
      </c>
      <c r="CR21" s="100">
        <v>19</v>
      </c>
      <c r="CS21" s="100">
        <v>1185.5999999999999</v>
      </c>
      <c r="CT21" s="100">
        <v>15</v>
      </c>
      <c r="CU21" s="100">
        <v>936</v>
      </c>
    </row>
    <row r="22" spans="2:99">
      <c r="C22" s="99" t="s">
        <v>188</v>
      </c>
      <c r="D22" s="100">
        <v>21</v>
      </c>
      <c r="E22" s="100">
        <v>3931.2</v>
      </c>
      <c r="F22" s="100">
        <v>11.967453656835595</v>
      </c>
      <c r="G22" s="100">
        <v>2240.3073245596233</v>
      </c>
      <c r="H22" s="100">
        <v>0</v>
      </c>
      <c r="I22" s="100">
        <v>0</v>
      </c>
      <c r="J22" s="100">
        <v>13</v>
      </c>
      <c r="K22" s="100">
        <v>2433.6</v>
      </c>
      <c r="L22" s="100">
        <v>22</v>
      </c>
      <c r="M22" s="100">
        <v>4118.3999999999996</v>
      </c>
      <c r="N22" s="100">
        <v>16</v>
      </c>
      <c r="O22" s="100">
        <v>2995.2</v>
      </c>
      <c r="P22" s="100">
        <v>19</v>
      </c>
      <c r="Q22" s="100">
        <v>3556.7999999999997</v>
      </c>
      <c r="R22" s="100">
        <v>19</v>
      </c>
      <c r="S22" s="100">
        <v>3556.7999999999997</v>
      </c>
      <c r="T22" s="100">
        <v>14</v>
      </c>
      <c r="U22" s="100">
        <v>2620.7999999999997</v>
      </c>
      <c r="V22" s="100">
        <v>20.718591998404719</v>
      </c>
      <c r="W22" s="100">
        <v>3878.5204221013632</v>
      </c>
      <c r="X22" s="100">
        <v>19.743518700131286</v>
      </c>
      <c r="Y22" s="100">
        <v>3695.9867006645763</v>
      </c>
      <c r="Z22" s="100">
        <v>17</v>
      </c>
      <c r="AA22" s="100">
        <v>3182.3999999999996</v>
      </c>
      <c r="AB22" s="100">
        <v>14</v>
      </c>
      <c r="AC22" s="100">
        <v>2620.7999999999997</v>
      </c>
      <c r="AD22" s="100">
        <v>17</v>
      </c>
      <c r="AE22" s="100">
        <v>3182.3999999999996</v>
      </c>
      <c r="AF22" s="100">
        <v>18</v>
      </c>
      <c r="AG22" s="100">
        <v>3369.6</v>
      </c>
      <c r="AH22" s="100">
        <v>13</v>
      </c>
      <c r="AI22" s="100">
        <v>2433.6</v>
      </c>
      <c r="AJ22" s="100">
        <v>12</v>
      </c>
      <c r="AK22" s="100">
        <v>2246.3999999999996</v>
      </c>
      <c r="AL22" s="100">
        <v>18</v>
      </c>
      <c r="AM22" s="100">
        <v>3369.6</v>
      </c>
      <c r="AN22" s="100">
        <v>14</v>
      </c>
      <c r="AO22" s="100">
        <v>2620.7999999999997</v>
      </c>
      <c r="AP22" s="100">
        <v>13</v>
      </c>
      <c r="AQ22" s="100">
        <v>2433.6</v>
      </c>
      <c r="AR22" s="100">
        <v>16</v>
      </c>
      <c r="AS22" s="100">
        <v>2995.2</v>
      </c>
      <c r="AT22" s="100">
        <v>17</v>
      </c>
      <c r="AU22" s="100">
        <v>3182.3999999999996</v>
      </c>
      <c r="AV22" s="100">
        <v>15</v>
      </c>
      <c r="AW22" s="100">
        <v>2808</v>
      </c>
      <c r="AX22" s="100">
        <v>12</v>
      </c>
      <c r="AY22" s="100">
        <v>2246.3999999999996</v>
      </c>
      <c r="AZ22" s="100">
        <v>17</v>
      </c>
      <c r="BA22" s="100">
        <v>3182.3999999999996</v>
      </c>
      <c r="BB22" s="100">
        <v>16</v>
      </c>
      <c r="BC22" s="100">
        <v>2995.2</v>
      </c>
      <c r="BD22" s="100">
        <v>19</v>
      </c>
      <c r="BE22" s="100">
        <v>3556.7999999999997</v>
      </c>
      <c r="BF22" s="100">
        <v>13</v>
      </c>
      <c r="BG22" s="100">
        <v>2433.6</v>
      </c>
      <c r="BH22" s="100">
        <v>12</v>
      </c>
      <c r="BI22" s="100">
        <v>2246.3999999999996</v>
      </c>
      <c r="BJ22" s="100">
        <v>16</v>
      </c>
      <c r="BK22" s="100">
        <v>2995.2</v>
      </c>
      <c r="BL22" s="100">
        <v>22</v>
      </c>
      <c r="BM22" s="100">
        <v>4118.3999999999996</v>
      </c>
      <c r="BN22" s="100">
        <v>14</v>
      </c>
      <c r="BO22" s="100">
        <v>2620.7999999999997</v>
      </c>
      <c r="BP22" s="100">
        <v>15</v>
      </c>
      <c r="BQ22" s="100">
        <v>2808</v>
      </c>
      <c r="BR22" s="100">
        <v>16</v>
      </c>
      <c r="BS22" s="100">
        <v>2995.2</v>
      </c>
      <c r="BT22" s="100">
        <v>11</v>
      </c>
      <c r="BU22" s="100">
        <v>2059.1999999999998</v>
      </c>
      <c r="BV22" s="100">
        <v>17</v>
      </c>
      <c r="BW22" s="100">
        <v>3182.3999999999996</v>
      </c>
      <c r="BX22" s="100">
        <v>22</v>
      </c>
      <c r="BY22" s="100">
        <v>4118.3999999999996</v>
      </c>
      <c r="BZ22" s="100">
        <v>13</v>
      </c>
      <c r="CA22" s="100">
        <v>2433.6</v>
      </c>
      <c r="CB22" s="100">
        <v>17</v>
      </c>
      <c r="CC22" s="100">
        <v>3182.3999999999996</v>
      </c>
      <c r="CD22" s="100">
        <v>14</v>
      </c>
      <c r="CE22" s="100">
        <v>2620.7999999999997</v>
      </c>
      <c r="CF22" s="100">
        <v>23</v>
      </c>
      <c r="CG22" s="100">
        <v>4305.5999999999995</v>
      </c>
      <c r="CH22" s="100">
        <v>15</v>
      </c>
      <c r="CI22" s="100">
        <v>2808</v>
      </c>
      <c r="CJ22" s="100">
        <v>16</v>
      </c>
      <c r="CK22" s="100">
        <v>2995.2</v>
      </c>
      <c r="CL22" s="100">
        <v>17</v>
      </c>
      <c r="CM22" s="100">
        <v>3182.3999999999996</v>
      </c>
      <c r="CN22" s="100">
        <v>18</v>
      </c>
      <c r="CO22" s="100">
        <v>3369.6</v>
      </c>
      <c r="CP22" s="100">
        <v>15</v>
      </c>
      <c r="CQ22" s="100">
        <v>2808</v>
      </c>
      <c r="CR22" s="100">
        <v>19</v>
      </c>
      <c r="CS22" s="100">
        <v>3556.7999999999997</v>
      </c>
      <c r="CT22" s="100">
        <v>14</v>
      </c>
      <c r="CU22" s="100">
        <v>2620.7999999999997</v>
      </c>
    </row>
    <row r="23" spans="2:99">
      <c r="C23" s="99" t="s">
        <v>189</v>
      </c>
      <c r="D23" s="100">
        <v>21</v>
      </c>
      <c r="E23" s="100">
        <v>6174</v>
      </c>
      <c r="F23" s="100">
        <v>10.827696165708396</v>
      </c>
      <c r="G23" s="100">
        <v>3183.3426727182682</v>
      </c>
      <c r="H23" s="100">
        <v>0</v>
      </c>
      <c r="I23" s="100">
        <v>0</v>
      </c>
      <c r="J23" s="100">
        <v>13</v>
      </c>
      <c r="K23" s="100">
        <v>3822</v>
      </c>
      <c r="L23" s="100">
        <v>22</v>
      </c>
      <c r="M23" s="100">
        <v>6468</v>
      </c>
      <c r="N23" s="100">
        <v>16</v>
      </c>
      <c r="O23" s="100">
        <v>4704</v>
      </c>
      <c r="P23" s="100">
        <v>18</v>
      </c>
      <c r="Q23" s="100">
        <v>5292</v>
      </c>
      <c r="R23" s="100">
        <v>16</v>
      </c>
      <c r="S23" s="100">
        <v>4704</v>
      </c>
      <c r="T23" s="100">
        <v>15</v>
      </c>
      <c r="U23" s="100">
        <v>4410</v>
      </c>
      <c r="V23" s="100">
        <v>19.731992379433066</v>
      </c>
      <c r="W23" s="100">
        <v>5801.2057595533215</v>
      </c>
      <c r="X23" s="100">
        <v>19.743518700131286</v>
      </c>
      <c r="Y23" s="100">
        <v>5804.5944978385978</v>
      </c>
      <c r="Z23" s="100">
        <v>17</v>
      </c>
      <c r="AA23" s="100">
        <v>4998</v>
      </c>
      <c r="AB23" s="100">
        <v>14</v>
      </c>
      <c r="AC23" s="100">
        <v>4116</v>
      </c>
      <c r="AD23" s="100">
        <v>16</v>
      </c>
      <c r="AE23" s="100">
        <v>4704</v>
      </c>
      <c r="AF23" s="100">
        <v>20</v>
      </c>
      <c r="AG23" s="100">
        <v>5880</v>
      </c>
      <c r="AH23" s="100">
        <v>13</v>
      </c>
      <c r="AI23" s="100">
        <v>3822</v>
      </c>
      <c r="AJ23" s="100">
        <v>11</v>
      </c>
      <c r="AK23" s="100">
        <v>3234</v>
      </c>
      <c r="AL23" s="100">
        <v>20</v>
      </c>
      <c r="AM23" s="100">
        <v>5880</v>
      </c>
      <c r="AN23" s="100">
        <v>13</v>
      </c>
      <c r="AO23" s="100">
        <v>3822</v>
      </c>
      <c r="AP23" s="100">
        <v>12</v>
      </c>
      <c r="AQ23" s="100">
        <v>3528</v>
      </c>
      <c r="AR23" s="100">
        <v>17</v>
      </c>
      <c r="AS23" s="100">
        <v>4998</v>
      </c>
      <c r="AT23" s="100">
        <v>14</v>
      </c>
      <c r="AU23" s="100">
        <v>4116</v>
      </c>
      <c r="AV23" s="100">
        <v>16</v>
      </c>
      <c r="AW23" s="100">
        <v>4704</v>
      </c>
      <c r="AX23" s="100">
        <v>11</v>
      </c>
      <c r="AY23" s="100">
        <v>3234</v>
      </c>
      <c r="AZ23" s="100">
        <v>16</v>
      </c>
      <c r="BA23" s="100">
        <v>4704</v>
      </c>
      <c r="BB23" s="100">
        <v>18</v>
      </c>
      <c r="BC23" s="100">
        <v>5292</v>
      </c>
      <c r="BD23" s="100">
        <v>21</v>
      </c>
      <c r="BE23" s="100">
        <v>6174</v>
      </c>
      <c r="BF23" s="100">
        <v>12</v>
      </c>
      <c r="BG23" s="100">
        <v>3528</v>
      </c>
      <c r="BH23" s="100">
        <v>13</v>
      </c>
      <c r="BI23" s="100">
        <v>3822</v>
      </c>
      <c r="BJ23" s="100">
        <v>15</v>
      </c>
      <c r="BK23" s="100">
        <v>4410</v>
      </c>
      <c r="BL23" s="100">
        <v>20</v>
      </c>
      <c r="BM23" s="100">
        <v>5880</v>
      </c>
      <c r="BN23" s="100">
        <v>16</v>
      </c>
      <c r="BO23" s="100">
        <v>4704</v>
      </c>
      <c r="BP23" s="100">
        <v>15</v>
      </c>
      <c r="BQ23" s="100">
        <v>4410</v>
      </c>
      <c r="BR23" s="100">
        <v>15</v>
      </c>
      <c r="BS23" s="100">
        <v>4410</v>
      </c>
      <c r="BT23" s="100">
        <v>13</v>
      </c>
      <c r="BU23" s="100">
        <v>3822</v>
      </c>
      <c r="BV23" s="100">
        <v>20</v>
      </c>
      <c r="BW23" s="100">
        <v>5880</v>
      </c>
      <c r="BX23" s="100">
        <v>23</v>
      </c>
      <c r="BY23" s="100">
        <v>6762</v>
      </c>
      <c r="BZ23" s="100">
        <v>14</v>
      </c>
      <c r="CA23" s="100">
        <v>4116</v>
      </c>
      <c r="CB23" s="100">
        <v>17</v>
      </c>
      <c r="CC23" s="100">
        <v>4998</v>
      </c>
      <c r="CD23" s="100">
        <v>16</v>
      </c>
      <c r="CE23" s="100">
        <v>4704</v>
      </c>
      <c r="CF23" s="100">
        <v>23</v>
      </c>
      <c r="CG23" s="100">
        <v>6762</v>
      </c>
      <c r="CH23" s="100">
        <v>14</v>
      </c>
      <c r="CI23" s="100">
        <v>4116</v>
      </c>
      <c r="CJ23" s="100">
        <v>15</v>
      </c>
      <c r="CK23" s="100">
        <v>4410</v>
      </c>
      <c r="CL23" s="100">
        <v>19</v>
      </c>
      <c r="CM23" s="100">
        <v>5586</v>
      </c>
      <c r="CN23" s="100">
        <v>19</v>
      </c>
      <c r="CO23" s="100">
        <v>5586</v>
      </c>
      <c r="CP23" s="100">
        <v>15</v>
      </c>
      <c r="CQ23" s="100">
        <v>4410</v>
      </c>
      <c r="CR23" s="100">
        <v>17</v>
      </c>
      <c r="CS23" s="100">
        <v>4998</v>
      </c>
      <c r="CT23" s="100">
        <v>14</v>
      </c>
      <c r="CU23" s="100">
        <v>4116</v>
      </c>
    </row>
    <row r="24" spans="2:99">
      <c r="C24" s="99" t="s">
        <v>190</v>
      </c>
      <c r="D24" s="100">
        <v>19</v>
      </c>
      <c r="E24" s="100">
        <v>6976.8</v>
      </c>
      <c r="F24" s="100">
        <v>11.967453656835595</v>
      </c>
      <c r="G24" s="100">
        <v>4394.4489827900306</v>
      </c>
      <c r="H24" s="100">
        <v>0</v>
      </c>
      <c r="I24" s="100">
        <v>0</v>
      </c>
      <c r="J24" s="100">
        <v>11</v>
      </c>
      <c r="K24" s="100">
        <v>4039.2</v>
      </c>
      <c r="L24" s="100">
        <v>22</v>
      </c>
      <c r="M24" s="100">
        <v>8078.4</v>
      </c>
      <c r="N24" s="100">
        <v>15</v>
      </c>
      <c r="O24" s="100">
        <v>5508</v>
      </c>
      <c r="P24" s="100">
        <v>16</v>
      </c>
      <c r="Q24" s="100">
        <v>5875.2</v>
      </c>
      <c r="R24" s="100">
        <v>18</v>
      </c>
      <c r="S24" s="100">
        <v>6609.5999999999995</v>
      </c>
      <c r="T24" s="100">
        <v>13</v>
      </c>
      <c r="U24" s="100">
        <v>4773.5999999999995</v>
      </c>
      <c r="V24" s="100">
        <v>21.705191617376371</v>
      </c>
      <c r="W24" s="100">
        <v>7970.1463619006036</v>
      </c>
      <c r="X24" s="100">
        <v>17.769166830118159</v>
      </c>
      <c r="Y24" s="100">
        <v>6524.8380600193877</v>
      </c>
      <c r="Z24" s="100">
        <v>15</v>
      </c>
      <c r="AA24" s="100">
        <v>5508</v>
      </c>
      <c r="AB24" s="100">
        <v>13</v>
      </c>
      <c r="AC24" s="100">
        <v>4773.5999999999995</v>
      </c>
      <c r="AD24" s="100">
        <v>17</v>
      </c>
      <c r="AE24" s="100">
        <v>6242.4</v>
      </c>
      <c r="AF24" s="100">
        <v>20</v>
      </c>
      <c r="AG24" s="100">
        <v>7344</v>
      </c>
      <c r="AH24" s="100">
        <v>13</v>
      </c>
      <c r="AI24" s="100">
        <v>4773.5999999999995</v>
      </c>
      <c r="AJ24" s="100">
        <v>12</v>
      </c>
      <c r="AK24" s="100">
        <v>4406.3999999999996</v>
      </c>
      <c r="AL24" s="100">
        <v>20</v>
      </c>
      <c r="AM24" s="100">
        <v>7344</v>
      </c>
      <c r="AN24" s="100">
        <v>14</v>
      </c>
      <c r="AO24" s="100">
        <v>5140.8</v>
      </c>
      <c r="AP24" s="100">
        <v>11</v>
      </c>
      <c r="AQ24" s="100">
        <v>4039.2</v>
      </c>
      <c r="AR24" s="100">
        <v>16</v>
      </c>
      <c r="AS24" s="100">
        <v>5875.2</v>
      </c>
      <c r="AT24" s="100">
        <v>17</v>
      </c>
      <c r="AU24" s="100">
        <v>6242.4</v>
      </c>
      <c r="AV24" s="100">
        <v>16</v>
      </c>
      <c r="AW24" s="100">
        <v>5875.2</v>
      </c>
      <c r="AX24" s="100">
        <v>11</v>
      </c>
      <c r="AY24" s="100">
        <v>4039.2</v>
      </c>
      <c r="AZ24" s="100">
        <v>17</v>
      </c>
      <c r="BA24" s="100">
        <v>6242.4</v>
      </c>
      <c r="BB24" s="100">
        <v>17</v>
      </c>
      <c r="BC24" s="100">
        <v>6242.4</v>
      </c>
      <c r="BD24" s="100">
        <v>22</v>
      </c>
      <c r="BE24" s="100">
        <v>8078.4</v>
      </c>
      <c r="BF24" s="100">
        <v>11</v>
      </c>
      <c r="BG24" s="100">
        <v>4039.2</v>
      </c>
      <c r="BH24" s="100">
        <v>13</v>
      </c>
      <c r="BI24" s="100">
        <v>4773.5999999999995</v>
      </c>
      <c r="BJ24" s="100">
        <v>16</v>
      </c>
      <c r="BK24" s="100">
        <v>5875.2</v>
      </c>
      <c r="BL24" s="100">
        <v>23</v>
      </c>
      <c r="BM24" s="100">
        <v>8445.6</v>
      </c>
      <c r="BN24" s="100">
        <v>15</v>
      </c>
      <c r="BO24" s="100">
        <v>5508</v>
      </c>
      <c r="BP24" s="100">
        <v>13</v>
      </c>
      <c r="BQ24" s="100">
        <v>4773.5999999999995</v>
      </c>
      <c r="BR24" s="100">
        <v>14</v>
      </c>
      <c r="BS24" s="100">
        <v>5140.8</v>
      </c>
      <c r="BT24" s="100">
        <v>11</v>
      </c>
      <c r="BU24" s="100">
        <v>4039.2</v>
      </c>
      <c r="BV24" s="100">
        <v>18</v>
      </c>
      <c r="BW24" s="100">
        <v>6609.5999999999995</v>
      </c>
      <c r="BX24" s="100">
        <v>25</v>
      </c>
      <c r="BY24" s="100">
        <v>9180</v>
      </c>
      <c r="BZ24" s="100">
        <v>13</v>
      </c>
      <c r="CA24" s="100">
        <v>4773.5999999999995</v>
      </c>
      <c r="CB24" s="100">
        <v>17</v>
      </c>
      <c r="CC24" s="100">
        <v>6242.4</v>
      </c>
      <c r="CD24" s="100">
        <v>15</v>
      </c>
      <c r="CE24" s="100">
        <v>5508</v>
      </c>
      <c r="CF24" s="100">
        <v>22</v>
      </c>
      <c r="CG24" s="100">
        <v>8078.4</v>
      </c>
      <c r="CH24" s="100">
        <v>13</v>
      </c>
      <c r="CI24" s="100">
        <v>4773.5999999999995</v>
      </c>
      <c r="CJ24" s="100">
        <v>15</v>
      </c>
      <c r="CK24" s="100">
        <v>5508</v>
      </c>
      <c r="CL24" s="100">
        <v>17</v>
      </c>
      <c r="CM24" s="100">
        <v>6242.4</v>
      </c>
      <c r="CN24" s="100">
        <v>19</v>
      </c>
      <c r="CO24" s="100">
        <v>6976.8</v>
      </c>
      <c r="CP24" s="100">
        <v>17</v>
      </c>
      <c r="CQ24" s="100">
        <v>6242.4</v>
      </c>
      <c r="CR24" s="100">
        <v>17</v>
      </c>
      <c r="CS24" s="100">
        <v>6242.4</v>
      </c>
      <c r="CT24" s="100">
        <v>13</v>
      </c>
      <c r="CU24" s="100">
        <v>4773.5999999999995</v>
      </c>
    </row>
    <row r="25" spans="2:99">
      <c r="C25" s="99" t="s">
        <v>191</v>
      </c>
      <c r="D25" s="100">
        <v>22</v>
      </c>
      <c r="E25" s="100">
        <v>11668.8</v>
      </c>
      <c r="F25" s="100">
        <v>11.967453656835595</v>
      </c>
      <c r="G25" s="100">
        <v>6347.5374195855993</v>
      </c>
      <c r="H25" s="100">
        <v>0</v>
      </c>
      <c r="I25" s="100">
        <v>0</v>
      </c>
      <c r="J25" s="100">
        <v>12</v>
      </c>
      <c r="K25" s="100">
        <v>6364.7999999999993</v>
      </c>
      <c r="L25" s="100">
        <v>20</v>
      </c>
      <c r="M25" s="100">
        <v>10608</v>
      </c>
      <c r="N25" s="100">
        <v>14</v>
      </c>
      <c r="O25" s="100">
        <v>7425.5999999999995</v>
      </c>
      <c r="P25" s="100">
        <v>18</v>
      </c>
      <c r="Q25" s="100">
        <v>9547.1999999999989</v>
      </c>
      <c r="R25" s="100">
        <v>16</v>
      </c>
      <c r="S25" s="100">
        <v>8486.4</v>
      </c>
      <c r="T25" s="100">
        <v>14</v>
      </c>
      <c r="U25" s="100">
        <v>7425.5999999999995</v>
      </c>
      <c r="V25" s="100">
        <v>18.745392760461414</v>
      </c>
      <c r="W25" s="100">
        <v>9942.556320148733</v>
      </c>
      <c r="X25" s="100">
        <v>17.769166830118159</v>
      </c>
      <c r="Y25" s="100">
        <v>9424.7660866946717</v>
      </c>
      <c r="Z25" s="100">
        <v>16</v>
      </c>
      <c r="AA25" s="100">
        <v>8486.4</v>
      </c>
      <c r="AB25" s="100">
        <v>13</v>
      </c>
      <c r="AC25" s="100">
        <v>6895.2</v>
      </c>
      <c r="AD25" s="100">
        <v>16</v>
      </c>
      <c r="AE25" s="100">
        <v>8486.4</v>
      </c>
      <c r="AF25" s="100">
        <v>20</v>
      </c>
      <c r="AG25" s="100">
        <v>10608</v>
      </c>
      <c r="AH25" s="100">
        <v>13</v>
      </c>
      <c r="AI25" s="100">
        <v>6895.2</v>
      </c>
      <c r="AJ25" s="100">
        <v>12</v>
      </c>
      <c r="AK25" s="100">
        <v>6364.7999999999993</v>
      </c>
      <c r="AL25" s="100">
        <v>19</v>
      </c>
      <c r="AM25" s="100">
        <v>10077.6</v>
      </c>
      <c r="AN25" s="100">
        <v>14</v>
      </c>
      <c r="AO25" s="100">
        <v>7425.5999999999995</v>
      </c>
      <c r="AP25" s="100">
        <v>12</v>
      </c>
      <c r="AQ25" s="100">
        <v>6364.7999999999993</v>
      </c>
      <c r="AR25" s="100">
        <v>16</v>
      </c>
      <c r="AS25" s="100">
        <v>8486.4</v>
      </c>
      <c r="AT25" s="100">
        <v>16</v>
      </c>
      <c r="AU25" s="100">
        <v>8486.4</v>
      </c>
      <c r="AV25" s="100">
        <v>16</v>
      </c>
      <c r="AW25" s="100">
        <v>8486.4</v>
      </c>
      <c r="AX25" s="100">
        <v>11</v>
      </c>
      <c r="AY25" s="100">
        <v>5834.4</v>
      </c>
      <c r="AZ25" s="100">
        <v>16</v>
      </c>
      <c r="BA25" s="100">
        <v>8486.4</v>
      </c>
      <c r="BB25" s="100">
        <v>17</v>
      </c>
      <c r="BC25" s="100">
        <v>9016.7999999999993</v>
      </c>
      <c r="BD25" s="100">
        <v>21</v>
      </c>
      <c r="BE25" s="100">
        <v>11138.4</v>
      </c>
      <c r="BF25" s="100">
        <v>13</v>
      </c>
      <c r="BG25" s="100">
        <v>6895.2</v>
      </c>
      <c r="BH25" s="100">
        <v>13</v>
      </c>
      <c r="BI25" s="100">
        <v>6895.2</v>
      </c>
      <c r="BJ25" s="100">
        <v>17</v>
      </c>
      <c r="BK25" s="100">
        <v>9016.7999999999993</v>
      </c>
      <c r="BL25" s="100">
        <v>20</v>
      </c>
      <c r="BM25" s="100">
        <v>10608</v>
      </c>
      <c r="BN25" s="100">
        <v>14</v>
      </c>
      <c r="BO25" s="100">
        <v>7425.5999999999995</v>
      </c>
      <c r="BP25" s="100">
        <v>13</v>
      </c>
      <c r="BQ25" s="100">
        <v>6895.2</v>
      </c>
      <c r="BR25" s="100">
        <v>16</v>
      </c>
      <c r="BS25" s="100">
        <v>8486.4</v>
      </c>
      <c r="BT25" s="100">
        <v>11</v>
      </c>
      <c r="BU25" s="100">
        <v>5834.4</v>
      </c>
      <c r="BV25" s="100">
        <v>17</v>
      </c>
      <c r="BW25" s="100">
        <v>9016.7999999999993</v>
      </c>
      <c r="BX25" s="100">
        <v>23</v>
      </c>
      <c r="BY25" s="100">
        <v>12199.199999999999</v>
      </c>
      <c r="BZ25" s="100">
        <v>12</v>
      </c>
      <c r="CA25" s="100">
        <v>6364.7999999999993</v>
      </c>
      <c r="CB25" s="100">
        <v>17</v>
      </c>
      <c r="CC25" s="100">
        <v>9016.7999999999993</v>
      </c>
      <c r="CD25" s="100">
        <v>14</v>
      </c>
      <c r="CE25" s="100">
        <v>7425.5999999999995</v>
      </c>
      <c r="CF25" s="100">
        <v>23</v>
      </c>
      <c r="CG25" s="100">
        <v>12199.199999999999</v>
      </c>
      <c r="CH25" s="100">
        <v>13</v>
      </c>
      <c r="CI25" s="100">
        <v>6895.2</v>
      </c>
      <c r="CJ25" s="100">
        <v>15</v>
      </c>
      <c r="CK25" s="100">
        <v>7956</v>
      </c>
      <c r="CL25" s="100">
        <v>17</v>
      </c>
      <c r="CM25" s="100">
        <v>9016.7999999999993</v>
      </c>
      <c r="CN25" s="100">
        <v>16</v>
      </c>
      <c r="CO25" s="100">
        <v>8486.4</v>
      </c>
      <c r="CP25" s="100">
        <v>15</v>
      </c>
      <c r="CQ25" s="100">
        <v>7956</v>
      </c>
      <c r="CR25" s="100">
        <v>19</v>
      </c>
      <c r="CS25" s="100">
        <v>10077.6</v>
      </c>
      <c r="CT25" s="100">
        <v>14</v>
      </c>
      <c r="CU25" s="100">
        <v>7425.5999999999995</v>
      </c>
    </row>
    <row r="26" spans="2:99">
      <c r="C26" s="99" t="s">
        <v>192</v>
      </c>
      <c r="D26" s="100">
        <v>22</v>
      </c>
      <c r="E26" s="100">
        <v>10692</v>
      </c>
      <c r="F26" s="100">
        <v>11.967453656835595</v>
      </c>
      <c r="G26" s="100">
        <v>5816.1824772220989</v>
      </c>
      <c r="H26" s="100">
        <v>0</v>
      </c>
      <c r="I26" s="100">
        <v>0</v>
      </c>
      <c r="J26" s="100">
        <v>13</v>
      </c>
      <c r="K26" s="100">
        <v>6318</v>
      </c>
      <c r="L26" s="100">
        <v>22</v>
      </c>
      <c r="M26" s="100">
        <v>10692</v>
      </c>
      <c r="N26" s="100">
        <v>15</v>
      </c>
      <c r="O26" s="100">
        <v>7290</v>
      </c>
      <c r="P26" s="100">
        <v>17</v>
      </c>
      <c r="Q26" s="100">
        <v>8262</v>
      </c>
      <c r="R26" s="100">
        <v>18</v>
      </c>
      <c r="S26" s="100">
        <v>8748</v>
      </c>
      <c r="T26" s="100">
        <v>14</v>
      </c>
      <c r="U26" s="100">
        <v>6804</v>
      </c>
      <c r="V26" s="100">
        <v>18.745392760461414</v>
      </c>
      <c r="W26" s="100">
        <v>9110.2608815842468</v>
      </c>
      <c r="X26" s="100">
        <v>18.756342765124721</v>
      </c>
      <c r="Y26" s="100">
        <v>9115.5825838506153</v>
      </c>
      <c r="Z26" s="100">
        <v>16</v>
      </c>
      <c r="AA26" s="100">
        <v>7776</v>
      </c>
      <c r="AB26" s="100">
        <v>12</v>
      </c>
      <c r="AC26" s="100">
        <v>5832</v>
      </c>
      <c r="AD26" s="100">
        <v>15</v>
      </c>
      <c r="AE26" s="100">
        <v>7290</v>
      </c>
      <c r="AF26" s="100">
        <v>20</v>
      </c>
      <c r="AG26" s="100">
        <v>9720</v>
      </c>
      <c r="AH26" s="100">
        <v>12</v>
      </c>
      <c r="AI26" s="100">
        <v>5832</v>
      </c>
      <c r="AJ26" s="100">
        <v>10</v>
      </c>
      <c r="AK26" s="100">
        <v>4860</v>
      </c>
      <c r="AL26" s="100">
        <v>18</v>
      </c>
      <c r="AM26" s="100">
        <v>8748</v>
      </c>
      <c r="AN26" s="100">
        <v>13</v>
      </c>
      <c r="AO26" s="100">
        <v>6318</v>
      </c>
      <c r="AP26" s="100">
        <v>13</v>
      </c>
      <c r="AQ26" s="100">
        <v>6318</v>
      </c>
      <c r="AR26" s="100">
        <v>15</v>
      </c>
      <c r="AS26" s="100">
        <v>7290</v>
      </c>
      <c r="AT26" s="100">
        <v>14</v>
      </c>
      <c r="AU26" s="100">
        <v>6804</v>
      </c>
      <c r="AV26" s="100">
        <v>16</v>
      </c>
      <c r="AW26" s="100">
        <v>7776</v>
      </c>
      <c r="AX26" s="100">
        <v>12</v>
      </c>
      <c r="AY26" s="100">
        <v>5832</v>
      </c>
      <c r="AZ26" s="100">
        <v>18</v>
      </c>
      <c r="BA26" s="100">
        <v>8748</v>
      </c>
      <c r="BB26" s="100">
        <v>16</v>
      </c>
      <c r="BC26" s="100">
        <v>7776</v>
      </c>
      <c r="BD26" s="100">
        <v>21</v>
      </c>
      <c r="BE26" s="100">
        <v>10206</v>
      </c>
      <c r="BF26" s="100">
        <v>12</v>
      </c>
      <c r="BG26" s="100">
        <v>5832</v>
      </c>
      <c r="BH26" s="100">
        <v>12</v>
      </c>
      <c r="BI26" s="100">
        <v>5832</v>
      </c>
      <c r="BJ26" s="100">
        <v>16</v>
      </c>
      <c r="BK26" s="100">
        <v>7776</v>
      </c>
      <c r="BL26" s="100">
        <v>21</v>
      </c>
      <c r="BM26" s="100">
        <v>10206</v>
      </c>
      <c r="BN26" s="100">
        <v>15</v>
      </c>
      <c r="BO26" s="100">
        <v>7290</v>
      </c>
      <c r="BP26" s="100">
        <v>13</v>
      </c>
      <c r="BQ26" s="100">
        <v>6318</v>
      </c>
      <c r="BR26" s="100">
        <v>16</v>
      </c>
      <c r="BS26" s="100">
        <v>7776</v>
      </c>
      <c r="BT26" s="100">
        <v>13</v>
      </c>
      <c r="BU26" s="100">
        <v>6318</v>
      </c>
      <c r="BV26" s="100">
        <v>19</v>
      </c>
      <c r="BW26" s="100">
        <v>9234</v>
      </c>
      <c r="BX26" s="100">
        <v>25</v>
      </c>
      <c r="BY26" s="100">
        <v>12150</v>
      </c>
      <c r="BZ26" s="100">
        <v>12</v>
      </c>
      <c r="CA26" s="100">
        <v>5832</v>
      </c>
      <c r="CB26" s="100">
        <v>17</v>
      </c>
      <c r="CC26" s="100">
        <v>8262</v>
      </c>
      <c r="CD26" s="100">
        <v>14</v>
      </c>
      <c r="CE26" s="100">
        <v>6804</v>
      </c>
      <c r="CF26" s="100">
        <v>21</v>
      </c>
      <c r="CG26" s="100">
        <v>10206</v>
      </c>
      <c r="CH26" s="100">
        <v>13</v>
      </c>
      <c r="CI26" s="100">
        <v>6318</v>
      </c>
      <c r="CJ26" s="100">
        <v>16</v>
      </c>
      <c r="CK26" s="100">
        <v>7776</v>
      </c>
      <c r="CL26" s="100">
        <v>19</v>
      </c>
      <c r="CM26" s="100">
        <v>9234</v>
      </c>
      <c r="CN26" s="100">
        <v>17</v>
      </c>
      <c r="CO26" s="100">
        <v>8262</v>
      </c>
      <c r="CP26" s="100">
        <v>15</v>
      </c>
      <c r="CQ26" s="100">
        <v>7290</v>
      </c>
      <c r="CR26" s="100">
        <v>18</v>
      </c>
      <c r="CS26" s="100">
        <v>8748</v>
      </c>
      <c r="CT26" s="100">
        <v>14</v>
      </c>
      <c r="CU26" s="100">
        <v>6804</v>
      </c>
    </row>
    <row r="27" spans="2:99">
      <c r="C27" s="99" t="s">
        <v>193</v>
      </c>
      <c r="D27" s="100">
        <v>19</v>
      </c>
      <c r="E27" s="100">
        <v>8116.8</v>
      </c>
      <c r="F27" s="100">
        <v>10.827696165708396</v>
      </c>
      <c r="G27" s="100">
        <v>4625.5918019906267</v>
      </c>
      <c r="H27" s="100">
        <v>0</v>
      </c>
      <c r="I27" s="100">
        <v>0</v>
      </c>
      <c r="J27" s="100">
        <v>12</v>
      </c>
      <c r="K27" s="100">
        <v>5126.3999999999996</v>
      </c>
      <c r="L27" s="100">
        <v>20</v>
      </c>
      <c r="M27" s="100">
        <v>8544</v>
      </c>
      <c r="N27" s="100">
        <v>15</v>
      </c>
      <c r="O27" s="100">
        <v>6408</v>
      </c>
      <c r="P27" s="100">
        <v>18</v>
      </c>
      <c r="Q27" s="100">
        <v>7689.5999999999995</v>
      </c>
      <c r="R27" s="100">
        <v>16</v>
      </c>
      <c r="S27" s="100">
        <v>6835.2</v>
      </c>
      <c r="T27" s="100">
        <v>13</v>
      </c>
      <c r="U27" s="100">
        <v>5553.5999999999995</v>
      </c>
      <c r="V27" s="100">
        <v>17.758793141489761</v>
      </c>
      <c r="W27" s="100">
        <v>7586.5564300444257</v>
      </c>
      <c r="X27" s="100">
        <v>18.756342765124721</v>
      </c>
      <c r="Y27" s="100">
        <v>8012.7096292612805</v>
      </c>
      <c r="Z27" s="100">
        <v>17</v>
      </c>
      <c r="AA27" s="100">
        <v>7262.4</v>
      </c>
      <c r="AB27" s="100">
        <v>13</v>
      </c>
      <c r="AC27" s="100">
        <v>5553.5999999999995</v>
      </c>
      <c r="AD27" s="100">
        <v>16</v>
      </c>
      <c r="AE27" s="100">
        <v>6835.2</v>
      </c>
      <c r="AF27" s="100">
        <v>21</v>
      </c>
      <c r="AG27" s="100">
        <v>8971.1999999999989</v>
      </c>
      <c r="AH27" s="100">
        <v>12</v>
      </c>
      <c r="AI27" s="100">
        <v>5126.3999999999996</v>
      </c>
      <c r="AJ27" s="100">
        <v>12</v>
      </c>
      <c r="AK27" s="100">
        <v>5126.3999999999996</v>
      </c>
      <c r="AL27" s="100">
        <v>21</v>
      </c>
      <c r="AM27" s="100">
        <v>8971.1999999999989</v>
      </c>
      <c r="AN27" s="100">
        <v>12</v>
      </c>
      <c r="AO27" s="100">
        <v>5126.3999999999996</v>
      </c>
      <c r="AP27" s="100">
        <v>13</v>
      </c>
      <c r="AQ27" s="100">
        <v>5553.5999999999995</v>
      </c>
      <c r="AR27" s="100">
        <v>14</v>
      </c>
      <c r="AS27" s="100">
        <v>5980.8</v>
      </c>
      <c r="AT27" s="100">
        <v>16</v>
      </c>
      <c r="AU27" s="100">
        <v>6835.2</v>
      </c>
      <c r="AV27" s="100">
        <v>15</v>
      </c>
      <c r="AW27" s="100">
        <v>6408</v>
      </c>
      <c r="AX27" s="100">
        <v>12</v>
      </c>
      <c r="AY27" s="100">
        <v>5126.3999999999996</v>
      </c>
      <c r="AZ27" s="100">
        <v>19</v>
      </c>
      <c r="BA27" s="100">
        <v>8116.8</v>
      </c>
      <c r="BB27" s="100">
        <v>15</v>
      </c>
      <c r="BC27" s="100">
        <v>6408</v>
      </c>
      <c r="BD27" s="100">
        <v>20</v>
      </c>
      <c r="BE27" s="100">
        <v>8544</v>
      </c>
      <c r="BF27" s="100">
        <v>12</v>
      </c>
      <c r="BG27" s="100">
        <v>5126.3999999999996</v>
      </c>
      <c r="BH27" s="100">
        <v>14</v>
      </c>
      <c r="BI27" s="100">
        <v>5980.8</v>
      </c>
      <c r="BJ27" s="100">
        <v>17</v>
      </c>
      <c r="BK27" s="100">
        <v>7262.4</v>
      </c>
      <c r="BL27" s="100">
        <v>23</v>
      </c>
      <c r="BM27" s="100">
        <v>9825.6</v>
      </c>
      <c r="BN27" s="100">
        <v>15</v>
      </c>
      <c r="BO27" s="100">
        <v>6408</v>
      </c>
      <c r="BP27" s="100">
        <v>14</v>
      </c>
      <c r="BQ27" s="100">
        <v>5980.8</v>
      </c>
      <c r="BR27" s="100">
        <v>16</v>
      </c>
      <c r="BS27" s="100">
        <v>6835.2</v>
      </c>
      <c r="BT27" s="100">
        <v>12</v>
      </c>
      <c r="BU27" s="100">
        <v>5126.3999999999996</v>
      </c>
      <c r="BV27" s="100">
        <v>19</v>
      </c>
      <c r="BW27" s="100">
        <v>8116.8</v>
      </c>
      <c r="BX27" s="100">
        <v>23</v>
      </c>
      <c r="BY27" s="100">
        <v>9825.6</v>
      </c>
      <c r="BZ27" s="100">
        <v>13</v>
      </c>
      <c r="CA27" s="100">
        <v>5553.5999999999995</v>
      </c>
      <c r="CB27" s="100">
        <v>15</v>
      </c>
      <c r="CC27" s="100">
        <v>6408</v>
      </c>
      <c r="CD27" s="100">
        <v>13</v>
      </c>
      <c r="CE27" s="100">
        <v>5553.5999999999995</v>
      </c>
      <c r="CF27" s="100">
        <v>20</v>
      </c>
      <c r="CG27" s="100">
        <v>8544</v>
      </c>
      <c r="CH27" s="100">
        <v>14</v>
      </c>
      <c r="CI27" s="100">
        <v>5980.8</v>
      </c>
      <c r="CJ27" s="100">
        <v>17</v>
      </c>
      <c r="CK27" s="100">
        <v>7262.4</v>
      </c>
      <c r="CL27" s="100">
        <v>19</v>
      </c>
      <c r="CM27" s="100">
        <v>8116.8</v>
      </c>
      <c r="CN27" s="100">
        <v>19</v>
      </c>
      <c r="CO27" s="100">
        <v>8116.8</v>
      </c>
      <c r="CP27" s="100">
        <v>17</v>
      </c>
      <c r="CQ27" s="100">
        <v>7262.4</v>
      </c>
      <c r="CR27" s="100">
        <v>17</v>
      </c>
      <c r="CS27" s="100">
        <v>7262.4</v>
      </c>
      <c r="CT27" s="100">
        <v>14</v>
      </c>
      <c r="CU27" s="100">
        <v>5980.8</v>
      </c>
    </row>
    <row r="28" spans="2:99">
      <c r="C28" s="99" t="s">
        <v>194</v>
      </c>
      <c r="D28" s="100">
        <v>18</v>
      </c>
      <c r="E28" s="100">
        <v>13284</v>
      </c>
      <c r="F28" s="100">
        <v>11.397574911271995</v>
      </c>
      <c r="G28" s="100">
        <v>8411.4102845187317</v>
      </c>
      <c r="H28" s="100">
        <v>0</v>
      </c>
      <c r="I28" s="100">
        <v>0</v>
      </c>
      <c r="J28" s="100">
        <v>11</v>
      </c>
      <c r="K28" s="100">
        <v>8118</v>
      </c>
      <c r="L28" s="100">
        <v>21</v>
      </c>
      <c r="M28" s="100">
        <v>15498</v>
      </c>
      <c r="N28" s="100">
        <v>14</v>
      </c>
      <c r="O28" s="100">
        <v>10332</v>
      </c>
      <c r="P28" s="100">
        <v>16</v>
      </c>
      <c r="Q28" s="100">
        <v>11808</v>
      </c>
      <c r="R28" s="100">
        <v>15</v>
      </c>
      <c r="S28" s="100">
        <v>11070</v>
      </c>
      <c r="T28" s="100">
        <v>15</v>
      </c>
      <c r="U28" s="100">
        <v>11070</v>
      </c>
      <c r="V28" s="100">
        <v>17.758793141489761</v>
      </c>
      <c r="W28" s="100">
        <v>13105.989338419444</v>
      </c>
      <c r="X28" s="100">
        <v>17.769166830118159</v>
      </c>
      <c r="Y28" s="100">
        <v>13113.645120627201</v>
      </c>
      <c r="Z28" s="100">
        <v>17</v>
      </c>
      <c r="AA28" s="100">
        <v>12546</v>
      </c>
      <c r="AB28" s="100">
        <v>14</v>
      </c>
      <c r="AC28" s="100">
        <v>10332</v>
      </c>
      <c r="AD28" s="100">
        <v>14</v>
      </c>
      <c r="AE28" s="100">
        <v>10332</v>
      </c>
      <c r="AF28" s="100">
        <v>20</v>
      </c>
      <c r="AG28" s="100">
        <v>14760</v>
      </c>
      <c r="AH28" s="100">
        <v>13</v>
      </c>
      <c r="AI28" s="100">
        <v>9594</v>
      </c>
      <c r="AJ28" s="100">
        <v>11</v>
      </c>
      <c r="AK28" s="100">
        <v>8118</v>
      </c>
      <c r="AL28" s="100">
        <v>17</v>
      </c>
      <c r="AM28" s="100">
        <v>12546</v>
      </c>
      <c r="AN28" s="100">
        <v>11</v>
      </c>
      <c r="AO28" s="100">
        <v>8118</v>
      </c>
      <c r="AP28" s="100">
        <v>12</v>
      </c>
      <c r="AQ28" s="100">
        <v>8856</v>
      </c>
      <c r="AR28" s="100">
        <v>16</v>
      </c>
      <c r="AS28" s="100">
        <v>11808</v>
      </c>
      <c r="AT28" s="100">
        <v>17</v>
      </c>
      <c r="AU28" s="100">
        <v>12546</v>
      </c>
      <c r="AV28" s="100">
        <v>15</v>
      </c>
      <c r="AW28" s="100">
        <v>11070</v>
      </c>
      <c r="AX28" s="100">
        <v>10</v>
      </c>
      <c r="AY28" s="100">
        <v>7380</v>
      </c>
      <c r="AZ28" s="100">
        <v>16</v>
      </c>
      <c r="BA28" s="100">
        <v>11808</v>
      </c>
      <c r="BB28" s="100">
        <v>15</v>
      </c>
      <c r="BC28" s="100">
        <v>11070</v>
      </c>
      <c r="BD28" s="100">
        <v>20</v>
      </c>
      <c r="BE28" s="100">
        <v>14760</v>
      </c>
      <c r="BF28" s="100">
        <v>11</v>
      </c>
      <c r="BG28" s="100">
        <v>8118</v>
      </c>
      <c r="BH28" s="100">
        <v>14</v>
      </c>
      <c r="BI28" s="100">
        <v>10332</v>
      </c>
      <c r="BJ28" s="100">
        <v>16</v>
      </c>
      <c r="BK28" s="100">
        <v>11808</v>
      </c>
      <c r="BL28" s="100">
        <v>22</v>
      </c>
      <c r="BM28" s="100">
        <v>16236</v>
      </c>
      <c r="BN28" s="100">
        <v>15</v>
      </c>
      <c r="BO28" s="100">
        <v>11070</v>
      </c>
      <c r="BP28" s="100">
        <v>13</v>
      </c>
      <c r="BQ28" s="100">
        <v>9594</v>
      </c>
      <c r="BR28" s="100">
        <v>15</v>
      </c>
      <c r="BS28" s="100">
        <v>11070</v>
      </c>
      <c r="BT28" s="100">
        <v>12</v>
      </c>
      <c r="BU28" s="100">
        <v>8856</v>
      </c>
      <c r="BV28" s="100">
        <v>19</v>
      </c>
      <c r="BW28" s="100">
        <v>14022</v>
      </c>
      <c r="BX28" s="100">
        <v>25</v>
      </c>
      <c r="BY28" s="100">
        <v>18450</v>
      </c>
      <c r="BZ28" s="100">
        <v>12</v>
      </c>
      <c r="CA28" s="100">
        <v>8856</v>
      </c>
      <c r="CB28" s="100">
        <v>16</v>
      </c>
      <c r="CC28" s="100">
        <v>11808</v>
      </c>
      <c r="CD28" s="100">
        <v>14</v>
      </c>
      <c r="CE28" s="100">
        <v>10332</v>
      </c>
      <c r="CF28" s="100">
        <v>23</v>
      </c>
      <c r="CG28" s="100">
        <v>16974</v>
      </c>
      <c r="CH28" s="100">
        <v>15</v>
      </c>
      <c r="CI28" s="100">
        <v>11070</v>
      </c>
      <c r="CJ28" s="100">
        <v>16</v>
      </c>
      <c r="CK28" s="100">
        <v>11808</v>
      </c>
      <c r="CL28" s="100">
        <v>18</v>
      </c>
      <c r="CM28" s="100">
        <v>13284</v>
      </c>
      <c r="CN28" s="100">
        <v>19</v>
      </c>
      <c r="CO28" s="100">
        <v>14022</v>
      </c>
      <c r="CP28" s="100">
        <v>16</v>
      </c>
      <c r="CQ28" s="100">
        <v>11808</v>
      </c>
      <c r="CR28" s="100">
        <v>18</v>
      </c>
      <c r="CS28" s="100">
        <v>13284</v>
      </c>
      <c r="CT28" s="100">
        <v>15</v>
      </c>
      <c r="CU28" s="100">
        <v>11070</v>
      </c>
    </row>
    <row r="29" spans="2:99">
      <c r="C29" s="99" t="s">
        <v>195</v>
      </c>
      <c r="D29" s="100">
        <v>20</v>
      </c>
      <c r="E29" s="100">
        <v>6768</v>
      </c>
      <c r="F29" s="100">
        <v>11.397574911271995</v>
      </c>
      <c r="G29" s="100">
        <v>3856.9393499744428</v>
      </c>
      <c r="H29" s="100">
        <v>0</v>
      </c>
      <c r="I29" s="100">
        <v>0</v>
      </c>
      <c r="J29" s="100">
        <v>11</v>
      </c>
      <c r="K29" s="100">
        <v>3722.3999999999996</v>
      </c>
      <c r="L29" s="100">
        <v>22</v>
      </c>
      <c r="M29" s="100">
        <v>7444.7999999999993</v>
      </c>
      <c r="N29" s="100">
        <v>16</v>
      </c>
      <c r="O29" s="100">
        <v>5414.4</v>
      </c>
      <c r="P29" s="100">
        <v>17</v>
      </c>
      <c r="Q29" s="100">
        <v>5752.7999999999993</v>
      </c>
      <c r="R29" s="100">
        <v>18</v>
      </c>
      <c r="S29" s="100">
        <v>6091.2</v>
      </c>
      <c r="T29" s="100">
        <v>14</v>
      </c>
      <c r="U29" s="100">
        <v>4737.5999999999995</v>
      </c>
      <c r="V29" s="100">
        <v>20.718591998404719</v>
      </c>
      <c r="W29" s="100">
        <v>7011.1715322601567</v>
      </c>
      <c r="X29" s="100">
        <v>20.730694635137848</v>
      </c>
      <c r="Y29" s="100">
        <v>7015.2670645306471</v>
      </c>
      <c r="Z29" s="100">
        <v>15</v>
      </c>
      <c r="AA29" s="100">
        <v>5076</v>
      </c>
      <c r="AB29" s="100">
        <v>12</v>
      </c>
      <c r="AC29" s="100">
        <v>4060.7999999999997</v>
      </c>
      <c r="AD29" s="100">
        <v>16</v>
      </c>
      <c r="AE29" s="100">
        <v>5414.4</v>
      </c>
      <c r="AF29" s="100">
        <v>20</v>
      </c>
      <c r="AG29" s="100">
        <v>6768</v>
      </c>
      <c r="AH29" s="100">
        <v>13</v>
      </c>
      <c r="AI29" s="100">
        <v>4399.2</v>
      </c>
      <c r="AJ29" s="100">
        <v>12</v>
      </c>
      <c r="AK29" s="100">
        <v>4060.7999999999997</v>
      </c>
      <c r="AL29" s="100">
        <v>21</v>
      </c>
      <c r="AM29" s="100">
        <v>7106.4</v>
      </c>
      <c r="AN29" s="100">
        <v>12</v>
      </c>
      <c r="AO29" s="100">
        <v>4060.7999999999997</v>
      </c>
      <c r="AP29" s="100">
        <v>13</v>
      </c>
      <c r="AQ29" s="100">
        <v>4399.2</v>
      </c>
      <c r="AR29" s="100">
        <v>16</v>
      </c>
      <c r="AS29" s="100">
        <v>5414.4</v>
      </c>
      <c r="AT29" s="100">
        <v>17</v>
      </c>
      <c r="AU29" s="100">
        <v>5752.7999999999993</v>
      </c>
      <c r="AV29" s="100">
        <v>16</v>
      </c>
      <c r="AW29" s="100">
        <v>5414.4</v>
      </c>
      <c r="AX29" s="100">
        <v>12</v>
      </c>
      <c r="AY29" s="100">
        <v>4060.7999999999997</v>
      </c>
      <c r="AZ29" s="100">
        <v>16</v>
      </c>
      <c r="BA29" s="100">
        <v>5414.4</v>
      </c>
      <c r="BB29" s="100">
        <v>17</v>
      </c>
      <c r="BC29" s="100">
        <v>5752.7999999999993</v>
      </c>
      <c r="BD29" s="100">
        <v>21</v>
      </c>
      <c r="BE29" s="100">
        <v>7106.4</v>
      </c>
      <c r="BF29" s="100">
        <v>13</v>
      </c>
      <c r="BG29" s="100">
        <v>4399.2</v>
      </c>
      <c r="BH29" s="100">
        <v>13</v>
      </c>
      <c r="BI29" s="100">
        <v>4399.2</v>
      </c>
      <c r="BJ29" s="100">
        <v>16</v>
      </c>
      <c r="BK29" s="100">
        <v>5414.4</v>
      </c>
      <c r="BL29" s="100">
        <v>19</v>
      </c>
      <c r="BM29" s="100">
        <v>6429.5999999999995</v>
      </c>
      <c r="BN29" s="100">
        <v>14</v>
      </c>
      <c r="BO29" s="100">
        <v>4737.5999999999995</v>
      </c>
      <c r="BP29" s="100">
        <v>15</v>
      </c>
      <c r="BQ29" s="100">
        <v>5076</v>
      </c>
      <c r="BR29" s="100">
        <v>14</v>
      </c>
      <c r="BS29" s="100">
        <v>4737.5999999999995</v>
      </c>
      <c r="BT29" s="100">
        <v>13</v>
      </c>
      <c r="BU29" s="100">
        <v>4399.2</v>
      </c>
      <c r="BV29" s="100">
        <v>17</v>
      </c>
      <c r="BW29" s="100">
        <v>5752.7999999999993</v>
      </c>
      <c r="BX29" s="100">
        <v>22</v>
      </c>
      <c r="BY29" s="100">
        <v>7444.7999999999993</v>
      </c>
      <c r="BZ29" s="100">
        <v>14</v>
      </c>
      <c r="CA29" s="100">
        <v>4737.5999999999995</v>
      </c>
      <c r="CB29" s="100">
        <v>18</v>
      </c>
      <c r="CC29" s="100">
        <v>6091.2</v>
      </c>
      <c r="CD29" s="100">
        <v>14</v>
      </c>
      <c r="CE29" s="100">
        <v>4737.5999999999995</v>
      </c>
      <c r="CF29" s="100">
        <v>24</v>
      </c>
      <c r="CG29" s="100">
        <v>8121.5999999999995</v>
      </c>
      <c r="CH29" s="100">
        <v>14</v>
      </c>
      <c r="CI29" s="100">
        <v>4737.5999999999995</v>
      </c>
      <c r="CJ29" s="100">
        <v>16</v>
      </c>
      <c r="CK29" s="100">
        <v>5414.4</v>
      </c>
      <c r="CL29" s="100">
        <v>19</v>
      </c>
      <c r="CM29" s="100">
        <v>6429.5999999999995</v>
      </c>
      <c r="CN29" s="100">
        <v>17</v>
      </c>
      <c r="CO29" s="100">
        <v>5752.7999999999993</v>
      </c>
      <c r="CP29" s="100">
        <v>16</v>
      </c>
      <c r="CQ29" s="100">
        <v>5414.4</v>
      </c>
      <c r="CR29" s="100">
        <v>18</v>
      </c>
      <c r="CS29" s="100">
        <v>6091.2</v>
      </c>
      <c r="CT29" s="100">
        <v>14</v>
      </c>
      <c r="CU29" s="100">
        <v>4737.5999999999995</v>
      </c>
    </row>
    <row r="30" spans="2:99">
      <c r="C30" s="99" t="s">
        <v>196</v>
      </c>
      <c r="D30" s="100">
        <v>23</v>
      </c>
      <c r="E30" s="100">
        <v>3201.6</v>
      </c>
      <c r="F30" s="100">
        <v>11.967453656835595</v>
      </c>
      <c r="G30" s="100">
        <v>1665.8695490315147</v>
      </c>
      <c r="H30" s="100">
        <v>0</v>
      </c>
      <c r="I30" s="100">
        <v>0</v>
      </c>
      <c r="J30" s="100">
        <v>12</v>
      </c>
      <c r="K30" s="100">
        <v>1670.3999999999999</v>
      </c>
      <c r="L30" s="100">
        <v>19</v>
      </c>
      <c r="M30" s="100">
        <v>2644.7999999999997</v>
      </c>
      <c r="N30" s="100">
        <v>14</v>
      </c>
      <c r="O30" s="100">
        <v>1948.7999999999997</v>
      </c>
      <c r="P30" s="100">
        <v>18</v>
      </c>
      <c r="Q30" s="100">
        <v>2505.6</v>
      </c>
      <c r="R30" s="100">
        <v>17</v>
      </c>
      <c r="S30" s="100">
        <v>2366.3999999999996</v>
      </c>
      <c r="T30" s="100">
        <v>15</v>
      </c>
      <c r="U30" s="100">
        <v>2088</v>
      </c>
      <c r="V30" s="100">
        <v>18.745392760461414</v>
      </c>
      <c r="W30" s="100">
        <v>2609.3586722562286</v>
      </c>
      <c r="X30" s="100">
        <v>18.756342765124721</v>
      </c>
      <c r="Y30" s="100">
        <v>2610.8829129053611</v>
      </c>
      <c r="Z30" s="100">
        <v>15</v>
      </c>
      <c r="AA30" s="100">
        <v>2088</v>
      </c>
      <c r="AB30" s="100">
        <v>13</v>
      </c>
      <c r="AC30" s="100">
        <v>1809.6</v>
      </c>
      <c r="AD30" s="100">
        <v>15</v>
      </c>
      <c r="AE30" s="100">
        <v>2088</v>
      </c>
      <c r="AF30" s="100">
        <v>20</v>
      </c>
      <c r="AG30" s="100">
        <v>2784</v>
      </c>
      <c r="AH30" s="100">
        <v>13</v>
      </c>
      <c r="AI30" s="100">
        <v>1809.6</v>
      </c>
      <c r="AJ30" s="100">
        <v>12</v>
      </c>
      <c r="AK30" s="100">
        <v>1670.3999999999999</v>
      </c>
      <c r="AL30" s="100">
        <v>21</v>
      </c>
      <c r="AM30" s="100">
        <v>2923.2</v>
      </c>
      <c r="AN30" s="100">
        <v>12</v>
      </c>
      <c r="AO30" s="100">
        <v>1670.3999999999999</v>
      </c>
      <c r="AP30" s="100">
        <v>13</v>
      </c>
      <c r="AQ30" s="100">
        <v>1809.6</v>
      </c>
      <c r="AR30" s="100">
        <v>15</v>
      </c>
      <c r="AS30" s="100">
        <v>2088</v>
      </c>
      <c r="AT30" s="100">
        <v>16</v>
      </c>
      <c r="AU30" s="100">
        <v>2227.1999999999998</v>
      </c>
      <c r="AV30" s="100">
        <v>14</v>
      </c>
      <c r="AW30" s="100">
        <v>1948.7999999999997</v>
      </c>
      <c r="AX30" s="100">
        <v>11</v>
      </c>
      <c r="AY30" s="100">
        <v>1531.1999999999998</v>
      </c>
      <c r="AZ30" s="100">
        <v>17</v>
      </c>
      <c r="BA30" s="100">
        <v>2366.3999999999996</v>
      </c>
      <c r="BB30" s="100">
        <v>17</v>
      </c>
      <c r="BC30" s="100">
        <v>2366.3999999999996</v>
      </c>
      <c r="BD30" s="100">
        <v>21</v>
      </c>
      <c r="BE30" s="100">
        <v>2923.2</v>
      </c>
      <c r="BF30" s="100">
        <v>11</v>
      </c>
      <c r="BG30" s="100">
        <v>1531.1999999999998</v>
      </c>
      <c r="BH30" s="100">
        <v>14</v>
      </c>
      <c r="BI30" s="100">
        <v>1948.7999999999997</v>
      </c>
      <c r="BJ30" s="100">
        <v>16</v>
      </c>
      <c r="BK30" s="100">
        <v>2227.1999999999998</v>
      </c>
      <c r="BL30" s="100">
        <v>19</v>
      </c>
      <c r="BM30" s="100">
        <v>2644.7999999999997</v>
      </c>
      <c r="BN30" s="100">
        <v>16</v>
      </c>
      <c r="BO30" s="100">
        <v>2227.1999999999998</v>
      </c>
      <c r="BP30" s="100">
        <v>14</v>
      </c>
      <c r="BQ30" s="100">
        <v>1948.7999999999997</v>
      </c>
      <c r="BR30" s="100">
        <v>15</v>
      </c>
      <c r="BS30" s="100">
        <v>2088</v>
      </c>
      <c r="BT30" s="100">
        <v>12</v>
      </c>
      <c r="BU30" s="100">
        <v>1670.3999999999999</v>
      </c>
      <c r="BV30" s="100">
        <v>17</v>
      </c>
      <c r="BW30" s="100">
        <v>2366.3999999999996</v>
      </c>
      <c r="BX30" s="100">
        <v>24</v>
      </c>
      <c r="BY30" s="100">
        <v>3340.7999999999997</v>
      </c>
      <c r="BZ30" s="100">
        <v>15</v>
      </c>
      <c r="CA30" s="100">
        <v>2088</v>
      </c>
      <c r="CB30" s="100">
        <v>16</v>
      </c>
      <c r="CC30" s="100">
        <v>2227.1999999999998</v>
      </c>
      <c r="CD30" s="100">
        <v>14</v>
      </c>
      <c r="CE30" s="100">
        <v>1948.7999999999997</v>
      </c>
      <c r="CF30" s="100">
        <v>22</v>
      </c>
      <c r="CG30" s="100">
        <v>3062.3999999999996</v>
      </c>
      <c r="CH30" s="100">
        <v>15</v>
      </c>
      <c r="CI30" s="100">
        <v>2088</v>
      </c>
      <c r="CJ30" s="100">
        <v>16</v>
      </c>
      <c r="CK30" s="100">
        <v>2227.1999999999998</v>
      </c>
      <c r="CL30" s="100">
        <v>17</v>
      </c>
      <c r="CM30" s="100">
        <v>2366.3999999999996</v>
      </c>
      <c r="CN30" s="100">
        <v>17</v>
      </c>
      <c r="CO30" s="100">
        <v>2366.3999999999996</v>
      </c>
      <c r="CP30" s="100">
        <v>16</v>
      </c>
      <c r="CQ30" s="100">
        <v>2227.1999999999998</v>
      </c>
      <c r="CR30" s="100">
        <v>17</v>
      </c>
      <c r="CS30" s="100">
        <v>2366.3999999999996</v>
      </c>
      <c r="CT30" s="100">
        <v>14</v>
      </c>
      <c r="CU30" s="100">
        <v>1948.7999999999997</v>
      </c>
    </row>
    <row r="31" spans="2:99">
      <c r="C31" s="99" t="s">
        <v>197</v>
      </c>
      <c r="D31" s="100">
        <v>22</v>
      </c>
      <c r="E31" s="100">
        <v>7497.6</v>
      </c>
      <c r="F31" s="100">
        <v>11.397574911271995</v>
      </c>
      <c r="G31" s="100">
        <v>3884.2935297614963</v>
      </c>
      <c r="H31" s="100">
        <v>0</v>
      </c>
      <c r="I31" s="100">
        <v>0</v>
      </c>
      <c r="J31" s="100">
        <v>11</v>
      </c>
      <c r="K31" s="100">
        <v>3748.8</v>
      </c>
      <c r="L31" s="100">
        <v>20</v>
      </c>
      <c r="M31" s="100">
        <v>6816</v>
      </c>
      <c r="N31" s="100">
        <v>15</v>
      </c>
      <c r="O31" s="100">
        <v>5112</v>
      </c>
      <c r="P31" s="100">
        <v>19</v>
      </c>
      <c r="Q31" s="100">
        <v>6475.2</v>
      </c>
      <c r="R31" s="100">
        <v>17</v>
      </c>
      <c r="S31" s="100">
        <v>5793.6</v>
      </c>
      <c r="T31" s="100">
        <v>15</v>
      </c>
      <c r="U31" s="100">
        <v>5112</v>
      </c>
      <c r="V31" s="100">
        <v>19.731992379433066</v>
      </c>
      <c r="W31" s="100">
        <v>6724.6630029107891</v>
      </c>
      <c r="X31" s="100">
        <v>19.743518700131286</v>
      </c>
      <c r="Y31" s="100">
        <v>6728.5911730047428</v>
      </c>
      <c r="Z31" s="100">
        <v>15</v>
      </c>
      <c r="AA31" s="100">
        <v>5112</v>
      </c>
      <c r="AB31" s="100">
        <v>14</v>
      </c>
      <c r="AC31" s="100">
        <v>4771.2</v>
      </c>
      <c r="AD31" s="100">
        <v>18</v>
      </c>
      <c r="AE31" s="100">
        <v>6134.4000000000005</v>
      </c>
      <c r="AF31" s="100">
        <v>20</v>
      </c>
      <c r="AG31" s="100">
        <v>6816</v>
      </c>
      <c r="AH31" s="100">
        <v>12</v>
      </c>
      <c r="AI31" s="100">
        <v>4089.6000000000004</v>
      </c>
      <c r="AJ31" s="100">
        <v>11</v>
      </c>
      <c r="AK31" s="100">
        <v>3748.8</v>
      </c>
      <c r="AL31" s="100">
        <v>18</v>
      </c>
      <c r="AM31" s="100">
        <v>6134.4000000000005</v>
      </c>
      <c r="AN31" s="100">
        <v>13</v>
      </c>
      <c r="AO31" s="100">
        <v>4430.4000000000005</v>
      </c>
      <c r="AP31" s="100">
        <v>12</v>
      </c>
      <c r="AQ31" s="100">
        <v>4089.6000000000004</v>
      </c>
      <c r="AR31" s="100">
        <v>15</v>
      </c>
      <c r="AS31" s="100">
        <v>5112</v>
      </c>
      <c r="AT31" s="100">
        <v>15</v>
      </c>
      <c r="AU31" s="100">
        <v>5112</v>
      </c>
      <c r="AV31" s="100">
        <v>14</v>
      </c>
      <c r="AW31" s="100">
        <v>4771.2</v>
      </c>
      <c r="AX31" s="100">
        <v>11</v>
      </c>
      <c r="AY31" s="100">
        <v>3748.8</v>
      </c>
      <c r="AZ31" s="100">
        <v>17</v>
      </c>
      <c r="BA31" s="100">
        <v>5793.6</v>
      </c>
      <c r="BB31" s="100">
        <v>17</v>
      </c>
      <c r="BC31" s="100">
        <v>5793.6</v>
      </c>
      <c r="BD31" s="100">
        <v>22</v>
      </c>
      <c r="BE31" s="100">
        <v>7497.6</v>
      </c>
      <c r="BF31" s="100">
        <v>13</v>
      </c>
      <c r="BG31" s="100">
        <v>4430.4000000000005</v>
      </c>
      <c r="BH31" s="100">
        <v>14</v>
      </c>
      <c r="BI31" s="100">
        <v>4771.2</v>
      </c>
      <c r="BJ31" s="100">
        <v>16</v>
      </c>
      <c r="BK31" s="100">
        <v>5452.8</v>
      </c>
      <c r="BL31" s="100">
        <v>21</v>
      </c>
      <c r="BM31" s="100">
        <v>7156.8</v>
      </c>
      <c r="BN31" s="100">
        <v>17</v>
      </c>
      <c r="BO31" s="100">
        <v>5793.6</v>
      </c>
      <c r="BP31" s="100">
        <v>15</v>
      </c>
      <c r="BQ31" s="100">
        <v>5112</v>
      </c>
      <c r="BR31" s="100">
        <v>16</v>
      </c>
      <c r="BS31" s="100">
        <v>5452.8</v>
      </c>
      <c r="BT31" s="100">
        <v>11</v>
      </c>
      <c r="BU31" s="100">
        <v>3748.8</v>
      </c>
      <c r="BV31" s="100">
        <v>19</v>
      </c>
      <c r="BW31" s="100">
        <v>6475.2</v>
      </c>
      <c r="BX31" s="100">
        <v>24</v>
      </c>
      <c r="BY31" s="100">
        <v>8179.2000000000007</v>
      </c>
      <c r="BZ31" s="100">
        <v>14</v>
      </c>
      <c r="CA31" s="100">
        <v>4771.2</v>
      </c>
      <c r="CB31" s="100">
        <v>18</v>
      </c>
      <c r="CC31" s="100">
        <v>6134.4000000000005</v>
      </c>
      <c r="CD31" s="100">
        <v>14</v>
      </c>
      <c r="CE31" s="100">
        <v>4771.2</v>
      </c>
      <c r="CF31" s="100">
        <v>20</v>
      </c>
      <c r="CG31" s="100">
        <v>6816</v>
      </c>
      <c r="CH31" s="100">
        <v>14</v>
      </c>
      <c r="CI31" s="100">
        <v>4771.2</v>
      </c>
      <c r="CJ31" s="100">
        <v>16</v>
      </c>
      <c r="CK31" s="100">
        <v>5452.8</v>
      </c>
      <c r="CL31" s="100">
        <v>19</v>
      </c>
      <c r="CM31" s="100">
        <v>6475.2</v>
      </c>
      <c r="CN31" s="100">
        <v>18</v>
      </c>
      <c r="CO31" s="100">
        <v>6134.4000000000005</v>
      </c>
      <c r="CP31" s="100">
        <v>14</v>
      </c>
      <c r="CQ31" s="100">
        <v>4771.2</v>
      </c>
      <c r="CR31" s="100">
        <v>17</v>
      </c>
      <c r="CS31" s="100">
        <v>5793.6</v>
      </c>
      <c r="CT31" s="100">
        <v>14</v>
      </c>
      <c r="CU31" s="100">
        <v>4771.2</v>
      </c>
    </row>
    <row r="32" spans="2:99">
      <c r="C32" s="99" t="s">
        <v>198</v>
      </c>
      <c r="D32" s="100">
        <v>21</v>
      </c>
      <c r="E32" s="100">
        <v>17640</v>
      </c>
      <c r="F32" s="100">
        <v>10.827696165708396</v>
      </c>
      <c r="G32" s="100">
        <v>9095.2647791950531</v>
      </c>
      <c r="H32" s="100">
        <v>0</v>
      </c>
      <c r="I32" s="100">
        <v>0</v>
      </c>
      <c r="J32" s="100">
        <v>12</v>
      </c>
      <c r="K32" s="100">
        <v>10080</v>
      </c>
      <c r="L32" s="100">
        <v>21</v>
      </c>
      <c r="M32" s="100">
        <v>17640</v>
      </c>
      <c r="N32" s="100">
        <v>14</v>
      </c>
      <c r="O32" s="100">
        <v>11760</v>
      </c>
      <c r="P32" s="100">
        <v>17</v>
      </c>
      <c r="Q32" s="100">
        <v>14280</v>
      </c>
      <c r="R32" s="100">
        <v>17</v>
      </c>
      <c r="S32" s="100">
        <v>14280</v>
      </c>
      <c r="T32" s="100">
        <v>13</v>
      </c>
      <c r="U32" s="100">
        <v>10920</v>
      </c>
      <c r="V32" s="100">
        <v>20.718591998404719</v>
      </c>
      <c r="W32" s="100">
        <v>17403.617278659964</v>
      </c>
      <c r="X32" s="100">
        <v>17.769166830118159</v>
      </c>
      <c r="Y32" s="100">
        <v>14926.100137299254</v>
      </c>
      <c r="Z32" s="100">
        <v>17</v>
      </c>
      <c r="AA32" s="100">
        <v>14280</v>
      </c>
      <c r="AB32" s="100">
        <v>12</v>
      </c>
      <c r="AC32" s="100">
        <v>10080</v>
      </c>
      <c r="AD32" s="100">
        <v>14</v>
      </c>
      <c r="AE32" s="100">
        <v>11760</v>
      </c>
      <c r="AF32" s="100">
        <v>18</v>
      </c>
      <c r="AG32" s="100">
        <v>15120</v>
      </c>
      <c r="AH32" s="100">
        <v>12</v>
      </c>
      <c r="AI32" s="100">
        <v>10080</v>
      </c>
      <c r="AJ32" s="100">
        <v>11</v>
      </c>
      <c r="AK32" s="100">
        <v>9240</v>
      </c>
      <c r="AL32" s="100">
        <v>21</v>
      </c>
      <c r="AM32" s="100">
        <v>17640</v>
      </c>
      <c r="AN32" s="100">
        <v>12</v>
      </c>
      <c r="AO32" s="100">
        <v>10080</v>
      </c>
      <c r="AP32" s="100">
        <v>12</v>
      </c>
      <c r="AQ32" s="100">
        <v>10080</v>
      </c>
      <c r="AR32" s="100">
        <v>15</v>
      </c>
      <c r="AS32" s="100">
        <v>12600</v>
      </c>
      <c r="AT32" s="100">
        <v>16</v>
      </c>
      <c r="AU32" s="100">
        <v>13440</v>
      </c>
      <c r="AV32" s="100">
        <v>15</v>
      </c>
      <c r="AW32" s="100">
        <v>12600</v>
      </c>
      <c r="AX32" s="100">
        <v>12</v>
      </c>
      <c r="AY32" s="100">
        <v>10080</v>
      </c>
      <c r="AZ32" s="100">
        <v>16</v>
      </c>
      <c r="BA32" s="100">
        <v>13440</v>
      </c>
      <c r="BB32" s="100">
        <v>16</v>
      </c>
      <c r="BC32" s="100">
        <v>13440</v>
      </c>
      <c r="BD32" s="100">
        <v>20</v>
      </c>
      <c r="BE32" s="100">
        <v>16800</v>
      </c>
      <c r="BF32" s="100">
        <v>12</v>
      </c>
      <c r="BG32" s="100">
        <v>10080</v>
      </c>
      <c r="BH32" s="100">
        <v>13</v>
      </c>
      <c r="BI32" s="100">
        <v>10920</v>
      </c>
      <c r="BJ32" s="100">
        <v>16</v>
      </c>
      <c r="BK32" s="100">
        <v>13440</v>
      </c>
      <c r="BL32" s="100">
        <v>22</v>
      </c>
      <c r="BM32" s="100">
        <v>18480</v>
      </c>
      <c r="BN32" s="100">
        <v>14</v>
      </c>
      <c r="BO32" s="100">
        <v>11760</v>
      </c>
      <c r="BP32" s="100">
        <v>14</v>
      </c>
      <c r="BQ32" s="100">
        <v>11760</v>
      </c>
      <c r="BR32" s="100">
        <v>15</v>
      </c>
      <c r="BS32" s="100">
        <v>12600</v>
      </c>
      <c r="BT32" s="100">
        <v>12</v>
      </c>
      <c r="BU32" s="100">
        <v>10080</v>
      </c>
      <c r="BV32" s="100">
        <v>18</v>
      </c>
      <c r="BW32" s="100">
        <v>15120</v>
      </c>
      <c r="BX32" s="100">
        <v>22</v>
      </c>
      <c r="BY32" s="100">
        <v>18480</v>
      </c>
      <c r="BZ32" s="100">
        <v>12</v>
      </c>
      <c r="CA32" s="100">
        <v>10080</v>
      </c>
      <c r="CB32" s="100">
        <v>18</v>
      </c>
      <c r="CC32" s="100">
        <v>15120</v>
      </c>
      <c r="CD32" s="100">
        <v>13</v>
      </c>
      <c r="CE32" s="100">
        <v>10920</v>
      </c>
      <c r="CF32" s="100">
        <v>21</v>
      </c>
      <c r="CG32" s="100">
        <v>17640</v>
      </c>
      <c r="CH32" s="100">
        <v>14</v>
      </c>
      <c r="CI32" s="100">
        <v>11760</v>
      </c>
      <c r="CJ32" s="100">
        <v>16</v>
      </c>
      <c r="CK32" s="100">
        <v>13440</v>
      </c>
      <c r="CL32" s="100">
        <v>19</v>
      </c>
      <c r="CM32" s="100">
        <v>15960</v>
      </c>
      <c r="CN32" s="100">
        <v>17</v>
      </c>
      <c r="CO32" s="100">
        <v>14280</v>
      </c>
      <c r="CP32" s="100">
        <v>16</v>
      </c>
      <c r="CQ32" s="100">
        <v>13440</v>
      </c>
      <c r="CR32" s="100">
        <v>17</v>
      </c>
      <c r="CS32" s="100">
        <v>14280</v>
      </c>
      <c r="CT32" s="100">
        <v>13</v>
      </c>
      <c r="CU32" s="100">
        <v>10920</v>
      </c>
    </row>
    <row r="33" spans="2:99">
      <c r="C33" s="99" t="s">
        <v>199</v>
      </c>
      <c r="D33" s="100">
        <v>21</v>
      </c>
      <c r="E33" s="100">
        <v>9954</v>
      </c>
      <c r="F33" s="100">
        <v>11.967453656835595</v>
      </c>
      <c r="G33" s="100">
        <v>5672.5730333400716</v>
      </c>
      <c r="H33" s="100">
        <v>0</v>
      </c>
      <c r="I33" s="100">
        <v>0</v>
      </c>
      <c r="J33" s="100">
        <v>12</v>
      </c>
      <c r="K33" s="100">
        <v>5688</v>
      </c>
      <c r="L33" s="100">
        <v>20</v>
      </c>
      <c r="M33" s="100">
        <v>9480</v>
      </c>
      <c r="N33" s="100">
        <v>16</v>
      </c>
      <c r="O33" s="100">
        <v>7584</v>
      </c>
      <c r="P33" s="100">
        <v>17</v>
      </c>
      <c r="Q33" s="100">
        <v>8058</v>
      </c>
      <c r="R33" s="100">
        <v>17</v>
      </c>
      <c r="S33" s="100">
        <v>8058</v>
      </c>
      <c r="T33" s="100">
        <v>14</v>
      </c>
      <c r="U33" s="100">
        <v>6636</v>
      </c>
      <c r="V33" s="100">
        <v>19.731992379433066</v>
      </c>
      <c r="W33" s="100">
        <v>9352.9643878512743</v>
      </c>
      <c r="X33" s="100">
        <v>19.743518700131286</v>
      </c>
      <c r="Y33" s="100">
        <v>9358.4278638622291</v>
      </c>
      <c r="Z33" s="100">
        <v>17</v>
      </c>
      <c r="AA33" s="100">
        <v>8058</v>
      </c>
      <c r="AB33" s="100">
        <v>14</v>
      </c>
      <c r="AC33" s="100">
        <v>6636</v>
      </c>
      <c r="AD33" s="100">
        <v>14</v>
      </c>
      <c r="AE33" s="100">
        <v>6636</v>
      </c>
      <c r="AF33" s="100">
        <v>19</v>
      </c>
      <c r="AG33" s="100">
        <v>9006</v>
      </c>
      <c r="AH33" s="100">
        <v>12</v>
      </c>
      <c r="AI33" s="100">
        <v>5688</v>
      </c>
      <c r="AJ33" s="100">
        <v>12</v>
      </c>
      <c r="AK33" s="100">
        <v>5688</v>
      </c>
      <c r="AL33" s="100">
        <v>21</v>
      </c>
      <c r="AM33" s="100">
        <v>9954</v>
      </c>
      <c r="AN33" s="100">
        <v>13</v>
      </c>
      <c r="AO33" s="100">
        <v>6162</v>
      </c>
      <c r="AP33" s="100">
        <v>12</v>
      </c>
      <c r="AQ33" s="100">
        <v>5688</v>
      </c>
      <c r="AR33" s="100">
        <v>15</v>
      </c>
      <c r="AS33" s="100">
        <v>7110</v>
      </c>
      <c r="AT33" s="100">
        <v>17</v>
      </c>
      <c r="AU33" s="100">
        <v>8058</v>
      </c>
      <c r="AV33" s="100">
        <v>16</v>
      </c>
      <c r="AW33" s="100">
        <v>7584</v>
      </c>
      <c r="AX33" s="100">
        <v>13</v>
      </c>
      <c r="AY33" s="100">
        <v>6162</v>
      </c>
      <c r="AZ33" s="100">
        <v>16</v>
      </c>
      <c r="BA33" s="100">
        <v>7584</v>
      </c>
      <c r="BB33" s="100">
        <v>16</v>
      </c>
      <c r="BC33" s="100">
        <v>7584</v>
      </c>
      <c r="BD33" s="100">
        <v>19</v>
      </c>
      <c r="BE33" s="100">
        <v>9006</v>
      </c>
      <c r="BF33" s="100">
        <v>13</v>
      </c>
      <c r="BG33" s="100">
        <v>6162</v>
      </c>
      <c r="BH33" s="100">
        <v>13</v>
      </c>
      <c r="BI33" s="100">
        <v>6162</v>
      </c>
      <c r="BJ33" s="100">
        <v>16</v>
      </c>
      <c r="BK33" s="100">
        <v>7584</v>
      </c>
      <c r="BL33" s="100">
        <v>20</v>
      </c>
      <c r="BM33" s="100">
        <v>9480</v>
      </c>
      <c r="BN33" s="100">
        <v>16</v>
      </c>
      <c r="BO33" s="100">
        <v>7584</v>
      </c>
      <c r="BP33" s="100">
        <v>15</v>
      </c>
      <c r="BQ33" s="100">
        <v>7110</v>
      </c>
      <c r="BR33" s="100">
        <v>14</v>
      </c>
      <c r="BS33" s="100">
        <v>6636</v>
      </c>
      <c r="BT33" s="100">
        <v>11</v>
      </c>
      <c r="BU33" s="100">
        <v>5214</v>
      </c>
      <c r="BV33" s="100">
        <v>19</v>
      </c>
      <c r="BW33" s="100">
        <v>9006</v>
      </c>
      <c r="BX33" s="100">
        <v>21</v>
      </c>
      <c r="BY33" s="100">
        <v>9954</v>
      </c>
      <c r="BZ33" s="100">
        <v>14</v>
      </c>
      <c r="CA33" s="100">
        <v>6636</v>
      </c>
      <c r="CB33" s="100">
        <v>16</v>
      </c>
      <c r="CC33" s="100">
        <v>7584</v>
      </c>
      <c r="CD33" s="100">
        <v>14</v>
      </c>
      <c r="CE33" s="100">
        <v>6636</v>
      </c>
      <c r="CF33" s="100">
        <v>23</v>
      </c>
      <c r="CG33" s="100">
        <v>10902</v>
      </c>
      <c r="CH33" s="100">
        <v>13</v>
      </c>
      <c r="CI33" s="100">
        <v>6162</v>
      </c>
      <c r="CJ33" s="100">
        <v>16</v>
      </c>
      <c r="CK33" s="100">
        <v>7584</v>
      </c>
      <c r="CL33" s="100">
        <v>16</v>
      </c>
      <c r="CM33" s="100">
        <v>7584</v>
      </c>
      <c r="CN33" s="100">
        <v>17</v>
      </c>
      <c r="CO33" s="100">
        <v>8058</v>
      </c>
      <c r="CP33" s="100">
        <v>16</v>
      </c>
      <c r="CQ33" s="100">
        <v>7584</v>
      </c>
      <c r="CR33" s="100">
        <v>16</v>
      </c>
      <c r="CS33" s="100">
        <v>7584</v>
      </c>
      <c r="CT33" s="100">
        <v>15</v>
      </c>
      <c r="CU33" s="100">
        <v>7110</v>
      </c>
    </row>
    <row r="34" spans="2:99">
      <c r="C34" s="99" t="s">
        <v>200</v>
      </c>
      <c r="D34" s="100">
        <v>18</v>
      </c>
      <c r="E34" s="100">
        <v>9871.1999999999989</v>
      </c>
      <c r="F34" s="100">
        <v>11.397574911271995</v>
      </c>
      <c r="G34" s="100">
        <v>6250.4300813415621</v>
      </c>
      <c r="H34" s="100">
        <v>0</v>
      </c>
      <c r="I34" s="100">
        <v>0</v>
      </c>
      <c r="J34" s="100">
        <v>13</v>
      </c>
      <c r="K34" s="100">
        <v>7129.2</v>
      </c>
      <c r="L34" s="100">
        <v>21</v>
      </c>
      <c r="M34" s="100">
        <v>11516.4</v>
      </c>
      <c r="N34" s="100">
        <v>15</v>
      </c>
      <c r="O34" s="100">
        <v>8226</v>
      </c>
      <c r="P34" s="100">
        <v>18</v>
      </c>
      <c r="Q34" s="100">
        <v>9871.1999999999989</v>
      </c>
      <c r="R34" s="100">
        <v>17</v>
      </c>
      <c r="S34" s="100">
        <v>9322.7999999999993</v>
      </c>
      <c r="T34" s="100">
        <v>13</v>
      </c>
      <c r="U34" s="100">
        <v>7129.2</v>
      </c>
      <c r="V34" s="100">
        <v>18.745392760461414</v>
      </c>
      <c r="W34" s="100">
        <v>10279.97338983704</v>
      </c>
      <c r="X34" s="100">
        <v>19.743518700131286</v>
      </c>
      <c r="Y34" s="100">
        <v>10827.345655151998</v>
      </c>
      <c r="Z34" s="100">
        <v>16</v>
      </c>
      <c r="AA34" s="100">
        <v>8774.4</v>
      </c>
      <c r="AB34" s="100">
        <v>14</v>
      </c>
      <c r="AC34" s="100">
        <v>7677.5999999999995</v>
      </c>
      <c r="AD34" s="100">
        <v>15</v>
      </c>
      <c r="AE34" s="100">
        <v>8226</v>
      </c>
      <c r="AF34" s="100">
        <v>20</v>
      </c>
      <c r="AG34" s="100">
        <v>10968</v>
      </c>
      <c r="AH34" s="100">
        <v>14</v>
      </c>
      <c r="AI34" s="100">
        <v>7677.5999999999995</v>
      </c>
      <c r="AJ34" s="100">
        <v>11</v>
      </c>
      <c r="AK34" s="100">
        <v>6032.4</v>
      </c>
      <c r="AL34" s="100">
        <v>18</v>
      </c>
      <c r="AM34" s="100">
        <v>9871.1999999999989</v>
      </c>
      <c r="AN34" s="100">
        <v>12</v>
      </c>
      <c r="AO34" s="100">
        <v>6580.7999999999993</v>
      </c>
      <c r="AP34" s="100">
        <v>12</v>
      </c>
      <c r="AQ34" s="100">
        <v>6580.7999999999993</v>
      </c>
      <c r="AR34" s="100">
        <v>14</v>
      </c>
      <c r="AS34" s="100">
        <v>7677.5999999999995</v>
      </c>
      <c r="AT34" s="100">
        <v>17</v>
      </c>
      <c r="AU34" s="100">
        <v>9322.7999999999993</v>
      </c>
      <c r="AV34" s="100">
        <v>15</v>
      </c>
      <c r="AW34" s="100">
        <v>8226</v>
      </c>
      <c r="AX34" s="100">
        <v>10</v>
      </c>
      <c r="AY34" s="100">
        <v>5484</v>
      </c>
      <c r="AZ34" s="100">
        <v>16</v>
      </c>
      <c r="BA34" s="100">
        <v>8774.4</v>
      </c>
      <c r="BB34" s="100">
        <v>17</v>
      </c>
      <c r="BC34" s="100">
        <v>9322.7999999999993</v>
      </c>
      <c r="BD34" s="100">
        <v>22</v>
      </c>
      <c r="BE34" s="100">
        <v>12064.8</v>
      </c>
      <c r="BF34" s="100">
        <v>11</v>
      </c>
      <c r="BG34" s="100">
        <v>6032.4</v>
      </c>
      <c r="BH34" s="100">
        <v>12</v>
      </c>
      <c r="BI34" s="100">
        <v>6580.7999999999993</v>
      </c>
      <c r="BJ34" s="100">
        <v>15</v>
      </c>
      <c r="BK34" s="100">
        <v>8226</v>
      </c>
      <c r="BL34" s="100">
        <v>19</v>
      </c>
      <c r="BM34" s="100">
        <v>10419.6</v>
      </c>
      <c r="BN34" s="100">
        <v>15</v>
      </c>
      <c r="BO34" s="100">
        <v>8226</v>
      </c>
      <c r="BP34" s="100">
        <v>13</v>
      </c>
      <c r="BQ34" s="100">
        <v>7129.2</v>
      </c>
      <c r="BR34" s="100">
        <v>16</v>
      </c>
      <c r="BS34" s="100">
        <v>8774.4</v>
      </c>
      <c r="BT34" s="100">
        <v>12</v>
      </c>
      <c r="BU34" s="100">
        <v>6580.7999999999993</v>
      </c>
      <c r="BV34" s="100">
        <v>18</v>
      </c>
      <c r="BW34" s="100">
        <v>9871.1999999999989</v>
      </c>
      <c r="BX34" s="100">
        <v>23</v>
      </c>
      <c r="BY34" s="100">
        <v>12613.199999999999</v>
      </c>
      <c r="BZ34" s="100">
        <v>14</v>
      </c>
      <c r="CA34" s="100">
        <v>7677.5999999999995</v>
      </c>
      <c r="CB34" s="100">
        <v>17</v>
      </c>
      <c r="CC34" s="100">
        <v>9322.7999999999993</v>
      </c>
      <c r="CD34" s="100">
        <v>13</v>
      </c>
      <c r="CE34" s="100">
        <v>7129.2</v>
      </c>
      <c r="CF34" s="100">
        <v>20</v>
      </c>
      <c r="CG34" s="100">
        <v>10968</v>
      </c>
      <c r="CH34" s="100">
        <v>15</v>
      </c>
      <c r="CI34" s="100">
        <v>8226</v>
      </c>
      <c r="CJ34" s="100">
        <v>17</v>
      </c>
      <c r="CK34" s="100">
        <v>9322.7999999999993</v>
      </c>
      <c r="CL34" s="100">
        <v>18</v>
      </c>
      <c r="CM34" s="100">
        <v>9871.1999999999989</v>
      </c>
      <c r="CN34" s="100">
        <v>17</v>
      </c>
      <c r="CO34" s="100">
        <v>9322.7999999999993</v>
      </c>
      <c r="CP34" s="100">
        <v>16</v>
      </c>
      <c r="CQ34" s="100">
        <v>8774.4</v>
      </c>
      <c r="CR34" s="100">
        <v>19</v>
      </c>
      <c r="CS34" s="100">
        <v>10419.6</v>
      </c>
      <c r="CT34" s="100">
        <v>14</v>
      </c>
      <c r="CU34" s="100">
        <v>7677.5999999999995</v>
      </c>
    </row>
    <row r="35" spans="2:99">
      <c r="C35" s="99" t="s">
        <v>201</v>
      </c>
      <c r="D35" s="100">
        <v>20</v>
      </c>
      <c r="E35" s="100">
        <v>10055.999999999998</v>
      </c>
      <c r="F35" s="100">
        <v>12.537332402399196</v>
      </c>
      <c r="G35" s="100">
        <v>6303.7707319263145</v>
      </c>
      <c r="H35" s="100">
        <v>0</v>
      </c>
      <c r="I35" s="100">
        <v>0</v>
      </c>
      <c r="J35" s="100">
        <v>11</v>
      </c>
      <c r="K35" s="100">
        <v>5530.7999999999993</v>
      </c>
      <c r="L35" s="100">
        <v>21</v>
      </c>
      <c r="M35" s="100">
        <v>10558.799999999997</v>
      </c>
      <c r="N35" s="100">
        <v>15</v>
      </c>
      <c r="O35" s="100">
        <v>7541.9999999999982</v>
      </c>
      <c r="P35" s="100">
        <v>17</v>
      </c>
      <c r="Q35" s="100">
        <v>8547.5999999999985</v>
      </c>
      <c r="R35" s="100">
        <v>18</v>
      </c>
      <c r="S35" s="100">
        <v>9050.3999999999978</v>
      </c>
      <c r="T35" s="100">
        <v>13</v>
      </c>
      <c r="U35" s="100">
        <v>6536.3999999999987</v>
      </c>
      <c r="V35" s="100">
        <v>19.731992379433066</v>
      </c>
      <c r="W35" s="100">
        <v>9921.2457683789435</v>
      </c>
      <c r="X35" s="100">
        <v>20.730694635137848</v>
      </c>
      <c r="Y35" s="100">
        <v>10423.393262547308</v>
      </c>
      <c r="Z35" s="100">
        <v>17</v>
      </c>
      <c r="AA35" s="100">
        <v>8547.5999999999985</v>
      </c>
      <c r="AB35" s="100">
        <v>13</v>
      </c>
      <c r="AC35" s="100">
        <v>6536.3999999999987</v>
      </c>
      <c r="AD35" s="100">
        <v>17</v>
      </c>
      <c r="AE35" s="100">
        <v>8547.5999999999985</v>
      </c>
      <c r="AF35" s="100">
        <v>22</v>
      </c>
      <c r="AG35" s="100">
        <v>11061.599999999999</v>
      </c>
      <c r="AH35" s="100">
        <v>13</v>
      </c>
      <c r="AI35" s="100">
        <v>6536.3999999999987</v>
      </c>
      <c r="AJ35" s="100">
        <v>12</v>
      </c>
      <c r="AK35" s="100">
        <v>6033.5999999999985</v>
      </c>
      <c r="AL35" s="100">
        <v>21</v>
      </c>
      <c r="AM35" s="100">
        <v>10558.799999999997</v>
      </c>
      <c r="AN35" s="100">
        <v>13</v>
      </c>
      <c r="AO35" s="100">
        <v>6536.3999999999987</v>
      </c>
      <c r="AP35" s="100">
        <v>13</v>
      </c>
      <c r="AQ35" s="100">
        <v>6536.3999999999987</v>
      </c>
      <c r="AR35" s="100">
        <v>14</v>
      </c>
      <c r="AS35" s="100">
        <v>7039.1999999999989</v>
      </c>
      <c r="AT35" s="100">
        <v>16</v>
      </c>
      <c r="AU35" s="100">
        <v>8044.7999999999984</v>
      </c>
      <c r="AV35" s="100">
        <v>16</v>
      </c>
      <c r="AW35" s="100">
        <v>8044.7999999999984</v>
      </c>
      <c r="AX35" s="100">
        <v>12</v>
      </c>
      <c r="AY35" s="100">
        <v>6033.5999999999985</v>
      </c>
      <c r="AZ35" s="100">
        <v>15</v>
      </c>
      <c r="BA35" s="100">
        <v>7541.9999999999982</v>
      </c>
      <c r="BB35" s="100">
        <v>17</v>
      </c>
      <c r="BC35" s="100">
        <v>8547.5999999999985</v>
      </c>
      <c r="BD35" s="100">
        <v>21</v>
      </c>
      <c r="BE35" s="100">
        <v>10558.799999999997</v>
      </c>
      <c r="BF35" s="100">
        <v>11</v>
      </c>
      <c r="BG35" s="100">
        <v>5530.7999999999993</v>
      </c>
      <c r="BH35" s="100">
        <v>13</v>
      </c>
      <c r="BI35" s="100">
        <v>6536.3999999999987</v>
      </c>
      <c r="BJ35" s="100">
        <v>17</v>
      </c>
      <c r="BK35" s="100">
        <v>8547.5999999999985</v>
      </c>
      <c r="BL35" s="100">
        <v>22</v>
      </c>
      <c r="BM35" s="100">
        <v>11061.599999999999</v>
      </c>
      <c r="BN35" s="100">
        <v>14</v>
      </c>
      <c r="BO35" s="100">
        <v>7039.1999999999989</v>
      </c>
      <c r="BP35" s="100">
        <v>12</v>
      </c>
      <c r="BQ35" s="100">
        <v>6033.5999999999985</v>
      </c>
      <c r="BR35" s="100">
        <v>16</v>
      </c>
      <c r="BS35" s="100">
        <v>8044.7999999999984</v>
      </c>
      <c r="BT35" s="100">
        <v>12</v>
      </c>
      <c r="BU35" s="100">
        <v>6033.5999999999985</v>
      </c>
      <c r="BV35" s="100">
        <v>17</v>
      </c>
      <c r="BW35" s="100">
        <v>8547.5999999999985</v>
      </c>
      <c r="BX35" s="100">
        <v>22</v>
      </c>
      <c r="BY35" s="100">
        <v>11061.599999999999</v>
      </c>
      <c r="BZ35" s="100">
        <v>14</v>
      </c>
      <c r="CA35" s="100">
        <v>7039.1999999999989</v>
      </c>
      <c r="CB35" s="100">
        <v>16</v>
      </c>
      <c r="CC35" s="100">
        <v>8044.7999999999984</v>
      </c>
      <c r="CD35" s="100">
        <v>13</v>
      </c>
      <c r="CE35" s="100">
        <v>6536.3999999999987</v>
      </c>
      <c r="CF35" s="100">
        <v>23</v>
      </c>
      <c r="CG35" s="100">
        <v>11564.399999999998</v>
      </c>
      <c r="CH35" s="100">
        <v>15</v>
      </c>
      <c r="CI35" s="100">
        <v>7541.9999999999982</v>
      </c>
      <c r="CJ35" s="100">
        <v>15</v>
      </c>
      <c r="CK35" s="100">
        <v>7541.9999999999982</v>
      </c>
      <c r="CL35" s="100">
        <v>19</v>
      </c>
      <c r="CM35" s="100">
        <v>9553.1999999999989</v>
      </c>
      <c r="CN35" s="100">
        <v>19</v>
      </c>
      <c r="CO35" s="100">
        <v>9553.1999999999989</v>
      </c>
      <c r="CP35" s="100">
        <v>14</v>
      </c>
      <c r="CQ35" s="100">
        <v>7039.1999999999989</v>
      </c>
      <c r="CR35" s="100">
        <v>19</v>
      </c>
      <c r="CS35" s="100">
        <v>9553.1999999999989</v>
      </c>
      <c r="CT35" s="100">
        <v>14</v>
      </c>
      <c r="CU35" s="100">
        <v>7039.1999999999989</v>
      </c>
    </row>
    <row r="36" spans="2:99">
      <c r="C36" s="99" t="s">
        <v>202</v>
      </c>
      <c r="D36" s="100">
        <v>18</v>
      </c>
      <c r="E36" s="100">
        <v>13694.4</v>
      </c>
      <c r="F36" s="100">
        <v>11.397574911271995</v>
      </c>
      <c r="G36" s="100">
        <v>8671.2749924957334</v>
      </c>
      <c r="H36" s="100">
        <v>0</v>
      </c>
      <c r="I36" s="100">
        <v>0</v>
      </c>
      <c r="J36" s="100">
        <v>13</v>
      </c>
      <c r="K36" s="100">
        <v>9890.4</v>
      </c>
      <c r="L36" s="100">
        <v>20</v>
      </c>
      <c r="M36" s="100">
        <v>15216</v>
      </c>
      <c r="N36" s="100">
        <v>14</v>
      </c>
      <c r="O36" s="100">
        <v>10651.199999999999</v>
      </c>
      <c r="P36" s="100">
        <v>17</v>
      </c>
      <c r="Q36" s="100">
        <v>12933.599999999999</v>
      </c>
      <c r="R36" s="100">
        <v>17</v>
      </c>
      <c r="S36" s="100">
        <v>12933.599999999999</v>
      </c>
      <c r="T36" s="100">
        <v>14</v>
      </c>
      <c r="U36" s="100">
        <v>10651.199999999999</v>
      </c>
      <c r="V36" s="100">
        <v>20.718591998404719</v>
      </c>
      <c r="W36" s="100">
        <v>15762.704792386308</v>
      </c>
      <c r="X36" s="100">
        <v>19.743518700131286</v>
      </c>
      <c r="Y36" s="100">
        <v>15020.869027059882</v>
      </c>
      <c r="Z36" s="100">
        <v>15</v>
      </c>
      <c r="AA36" s="100">
        <v>11412</v>
      </c>
      <c r="AB36" s="100">
        <v>13</v>
      </c>
      <c r="AC36" s="100">
        <v>9890.4</v>
      </c>
      <c r="AD36" s="100">
        <v>15</v>
      </c>
      <c r="AE36" s="100">
        <v>11412</v>
      </c>
      <c r="AF36" s="100">
        <v>20</v>
      </c>
      <c r="AG36" s="100">
        <v>15216</v>
      </c>
      <c r="AH36" s="100">
        <v>12</v>
      </c>
      <c r="AI36" s="100">
        <v>9129.5999999999985</v>
      </c>
      <c r="AJ36" s="100">
        <v>11</v>
      </c>
      <c r="AK36" s="100">
        <v>8368.7999999999993</v>
      </c>
      <c r="AL36" s="100">
        <v>19</v>
      </c>
      <c r="AM36" s="100">
        <v>14455.199999999999</v>
      </c>
      <c r="AN36" s="100">
        <v>12</v>
      </c>
      <c r="AO36" s="100">
        <v>9129.5999999999985</v>
      </c>
      <c r="AP36" s="100">
        <v>13</v>
      </c>
      <c r="AQ36" s="100">
        <v>9890.4</v>
      </c>
      <c r="AR36" s="100">
        <v>16</v>
      </c>
      <c r="AS36" s="100">
        <v>12172.8</v>
      </c>
      <c r="AT36" s="100">
        <v>14</v>
      </c>
      <c r="AU36" s="100">
        <v>10651.199999999999</v>
      </c>
      <c r="AV36" s="100">
        <v>15</v>
      </c>
      <c r="AW36" s="100">
        <v>11412</v>
      </c>
      <c r="AX36" s="100">
        <v>11</v>
      </c>
      <c r="AY36" s="100">
        <v>8368.7999999999993</v>
      </c>
      <c r="AZ36" s="100">
        <v>17</v>
      </c>
      <c r="BA36" s="100">
        <v>12933.599999999999</v>
      </c>
      <c r="BB36" s="100">
        <v>16</v>
      </c>
      <c r="BC36" s="100">
        <v>12172.8</v>
      </c>
      <c r="BD36" s="100">
        <v>21</v>
      </c>
      <c r="BE36" s="100">
        <v>15976.8</v>
      </c>
      <c r="BF36" s="100">
        <v>12</v>
      </c>
      <c r="BG36" s="100">
        <v>9129.5999999999985</v>
      </c>
      <c r="BH36" s="100">
        <v>12</v>
      </c>
      <c r="BI36" s="100">
        <v>9129.5999999999985</v>
      </c>
      <c r="BJ36" s="100">
        <v>17</v>
      </c>
      <c r="BK36" s="100">
        <v>12933.599999999999</v>
      </c>
      <c r="BL36" s="100">
        <v>19</v>
      </c>
      <c r="BM36" s="100">
        <v>14455.199999999999</v>
      </c>
      <c r="BN36" s="100">
        <v>15</v>
      </c>
      <c r="BO36" s="100">
        <v>11412</v>
      </c>
      <c r="BP36" s="100">
        <v>13</v>
      </c>
      <c r="BQ36" s="100">
        <v>9890.4</v>
      </c>
      <c r="BR36" s="100">
        <v>15</v>
      </c>
      <c r="BS36" s="100">
        <v>11412</v>
      </c>
      <c r="BT36" s="100">
        <v>12</v>
      </c>
      <c r="BU36" s="100">
        <v>9129.5999999999985</v>
      </c>
      <c r="BV36" s="100">
        <v>17</v>
      </c>
      <c r="BW36" s="100">
        <v>12933.599999999999</v>
      </c>
      <c r="BX36" s="100">
        <v>21</v>
      </c>
      <c r="BY36" s="100">
        <v>15976.8</v>
      </c>
      <c r="BZ36" s="100">
        <v>14</v>
      </c>
      <c r="CA36" s="100">
        <v>10651.199999999999</v>
      </c>
      <c r="CB36" s="100">
        <v>16</v>
      </c>
      <c r="CC36" s="100">
        <v>12172.8</v>
      </c>
      <c r="CD36" s="100">
        <v>13</v>
      </c>
      <c r="CE36" s="100">
        <v>9890.4</v>
      </c>
      <c r="CF36" s="100">
        <v>19</v>
      </c>
      <c r="CG36" s="100">
        <v>14455.199999999999</v>
      </c>
      <c r="CH36" s="100">
        <v>14</v>
      </c>
      <c r="CI36" s="100">
        <v>10651.199999999999</v>
      </c>
      <c r="CJ36" s="100">
        <v>16</v>
      </c>
      <c r="CK36" s="100">
        <v>12172.8</v>
      </c>
      <c r="CL36" s="100">
        <v>16</v>
      </c>
      <c r="CM36" s="100">
        <v>12172.8</v>
      </c>
      <c r="CN36" s="100">
        <v>17</v>
      </c>
      <c r="CO36" s="100">
        <v>12933.599999999999</v>
      </c>
      <c r="CP36" s="100">
        <v>15</v>
      </c>
      <c r="CQ36" s="100">
        <v>11412</v>
      </c>
      <c r="CR36" s="100">
        <v>16</v>
      </c>
      <c r="CS36" s="100">
        <v>12172.8</v>
      </c>
      <c r="CT36" s="100">
        <v>13</v>
      </c>
      <c r="CU36" s="100">
        <v>9890.4</v>
      </c>
    </row>
    <row r="37" spans="2:99">
      <c r="B37" s="99" t="s">
        <v>128</v>
      </c>
      <c r="C37" s="99" t="s">
        <v>203</v>
      </c>
      <c r="D37" s="100">
        <v>12</v>
      </c>
      <c r="E37" s="100">
        <v>10324.799999999999</v>
      </c>
      <c r="F37" s="100">
        <v>6.8385449467631974</v>
      </c>
      <c r="G37" s="100">
        <v>5883.8840721950546</v>
      </c>
      <c r="H37" s="100">
        <v>0</v>
      </c>
      <c r="I37" s="100">
        <v>0</v>
      </c>
      <c r="J37" s="100">
        <v>9</v>
      </c>
      <c r="K37" s="100">
        <v>7743.5999999999995</v>
      </c>
      <c r="L37" s="100">
        <v>14</v>
      </c>
      <c r="M37" s="100">
        <v>12045.6</v>
      </c>
      <c r="N37" s="100">
        <v>12</v>
      </c>
      <c r="O37" s="100">
        <v>10324.799999999999</v>
      </c>
      <c r="P37" s="100">
        <v>13</v>
      </c>
      <c r="Q37" s="100">
        <v>11185.199999999999</v>
      </c>
      <c r="R37" s="100">
        <v>9</v>
      </c>
      <c r="S37" s="100">
        <v>7743.5999999999995</v>
      </c>
      <c r="T37" s="100">
        <v>9</v>
      </c>
      <c r="U37" s="100">
        <v>7743.5999999999995</v>
      </c>
      <c r="V37" s="100">
        <v>9.8659961897165331</v>
      </c>
      <c r="W37" s="100">
        <v>8488.7031216321047</v>
      </c>
      <c r="X37" s="100">
        <v>11.846111220078773</v>
      </c>
      <c r="Y37" s="100">
        <v>10192.394093755776</v>
      </c>
      <c r="Z37" s="100">
        <v>7</v>
      </c>
      <c r="AA37" s="100">
        <v>6022.8</v>
      </c>
      <c r="AB37" s="100">
        <v>10</v>
      </c>
      <c r="AC37" s="100">
        <v>8604</v>
      </c>
      <c r="AD37" s="100">
        <v>13</v>
      </c>
      <c r="AE37" s="100">
        <v>11185.199999999999</v>
      </c>
      <c r="AF37" s="100">
        <v>12</v>
      </c>
      <c r="AG37" s="100">
        <v>10324.799999999999</v>
      </c>
      <c r="AH37" s="100">
        <v>10</v>
      </c>
      <c r="AI37" s="100">
        <v>8604</v>
      </c>
      <c r="AJ37" s="100">
        <v>12</v>
      </c>
      <c r="AK37" s="100">
        <v>10324.799999999999</v>
      </c>
      <c r="AL37" s="100">
        <v>15</v>
      </c>
      <c r="AM37" s="100">
        <v>12906</v>
      </c>
      <c r="AN37" s="100">
        <v>11</v>
      </c>
      <c r="AO37" s="100">
        <v>9464.4</v>
      </c>
      <c r="AP37" s="100">
        <v>9</v>
      </c>
      <c r="AQ37" s="100">
        <v>7743.5999999999995</v>
      </c>
      <c r="AR37" s="100">
        <v>11</v>
      </c>
      <c r="AS37" s="100">
        <v>9464.4</v>
      </c>
      <c r="AT37" s="100">
        <v>11</v>
      </c>
      <c r="AU37" s="100">
        <v>9464.4</v>
      </c>
      <c r="AV37" s="100">
        <v>10</v>
      </c>
      <c r="AW37" s="100">
        <v>8604</v>
      </c>
      <c r="AX37" s="100">
        <v>13</v>
      </c>
      <c r="AY37" s="100">
        <v>11185.199999999999</v>
      </c>
      <c r="AZ37" s="100">
        <v>12</v>
      </c>
      <c r="BA37" s="100">
        <v>10324.799999999999</v>
      </c>
      <c r="BB37" s="100">
        <v>12</v>
      </c>
      <c r="BC37" s="100">
        <v>10324.799999999999</v>
      </c>
      <c r="BD37" s="100">
        <v>9</v>
      </c>
      <c r="BE37" s="100">
        <v>7743.5999999999995</v>
      </c>
      <c r="BF37" s="100">
        <v>10</v>
      </c>
      <c r="BG37" s="100">
        <v>8604</v>
      </c>
      <c r="BH37" s="100">
        <v>14</v>
      </c>
      <c r="BI37" s="100">
        <v>12045.6</v>
      </c>
      <c r="BJ37" s="100">
        <v>11</v>
      </c>
      <c r="BK37" s="100">
        <v>9464.4</v>
      </c>
      <c r="BL37" s="100">
        <v>14</v>
      </c>
      <c r="BM37" s="100">
        <v>12045.6</v>
      </c>
      <c r="BN37" s="100">
        <v>12</v>
      </c>
      <c r="BO37" s="100">
        <v>10324.799999999999</v>
      </c>
      <c r="BP37" s="100">
        <v>8</v>
      </c>
      <c r="BQ37" s="100">
        <v>6883.2</v>
      </c>
      <c r="BR37" s="100">
        <v>11</v>
      </c>
      <c r="BS37" s="100">
        <v>9464.4</v>
      </c>
      <c r="BT37" s="100">
        <v>10</v>
      </c>
      <c r="BU37" s="100">
        <v>8604</v>
      </c>
      <c r="BV37" s="100">
        <v>14</v>
      </c>
      <c r="BW37" s="100">
        <v>12045.6</v>
      </c>
      <c r="BX37" s="100">
        <v>9</v>
      </c>
      <c r="BY37" s="100">
        <v>7743.5999999999995</v>
      </c>
      <c r="BZ37" s="100">
        <v>12</v>
      </c>
      <c r="CA37" s="100">
        <v>10324.799999999999</v>
      </c>
      <c r="CB37" s="100">
        <v>10</v>
      </c>
      <c r="CC37" s="100">
        <v>8604</v>
      </c>
      <c r="CD37" s="100">
        <v>13</v>
      </c>
      <c r="CE37" s="100">
        <v>11185.199999999999</v>
      </c>
      <c r="CF37" s="100">
        <v>13</v>
      </c>
      <c r="CG37" s="100">
        <v>11185.199999999999</v>
      </c>
      <c r="CH37" s="100">
        <v>8</v>
      </c>
      <c r="CI37" s="100">
        <v>6883.2</v>
      </c>
      <c r="CJ37" s="100">
        <v>16</v>
      </c>
      <c r="CK37" s="100">
        <v>13766.4</v>
      </c>
      <c r="CL37" s="100">
        <v>9</v>
      </c>
      <c r="CM37" s="100">
        <v>7743.5999999999995</v>
      </c>
      <c r="CN37" s="100">
        <v>16</v>
      </c>
      <c r="CO37" s="100">
        <v>13766.4</v>
      </c>
      <c r="CP37" s="100">
        <v>15</v>
      </c>
      <c r="CQ37" s="100">
        <v>12906</v>
      </c>
      <c r="CR37" s="100">
        <v>10</v>
      </c>
      <c r="CS37" s="100">
        <v>8604</v>
      </c>
      <c r="CT37" s="100">
        <v>9</v>
      </c>
      <c r="CU37" s="100">
        <v>7743.5999999999995</v>
      </c>
    </row>
    <row r="38" spans="2:99">
      <c r="C38" s="99" t="s">
        <v>204</v>
      </c>
      <c r="D38" s="100">
        <v>10</v>
      </c>
      <c r="E38" s="100">
        <v>12420</v>
      </c>
      <c r="F38" s="100">
        <v>6.2686662011995979</v>
      </c>
      <c r="G38" s="100">
        <v>7785.6834218899003</v>
      </c>
      <c r="H38" s="100">
        <v>0</v>
      </c>
      <c r="I38" s="100">
        <v>0</v>
      </c>
      <c r="J38" s="100">
        <v>9</v>
      </c>
      <c r="K38" s="100">
        <v>11178</v>
      </c>
      <c r="L38" s="100">
        <v>12</v>
      </c>
      <c r="M38" s="100">
        <v>14904</v>
      </c>
      <c r="N38" s="100">
        <v>12</v>
      </c>
      <c r="O38" s="100">
        <v>14904</v>
      </c>
      <c r="P38" s="100">
        <v>15</v>
      </c>
      <c r="Q38" s="100">
        <v>18630</v>
      </c>
      <c r="R38" s="100">
        <v>8</v>
      </c>
      <c r="S38" s="100">
        <v>9936</v>
      </c>
      <c r="T38" s="100">
        <v>10</v>
      </c>
      <c r="U38" s="100">
        <v>12420</v>
      </c>
      <c r="V38" s="100">
        <v>9.8659961897165331</v>
      </c>
      <c r="W38" s="100">
        <v>12253.567267627934</v>
      </c>
      <c r="X38" s="100">
        <v>12.833287155085335</v>
      </c>
      <c r="Y38" s="100">
        <v>15938.942646615986</v>
      </c>
      <c r="Z38" s="100">
        <v>8</v>
      </c>
      <c r="AA38" s="100">
        <v>9936</v>
      </c>
      <c r="AB38" s="100">
        <v>9</v>
      </c>
      <c r="AC38" s="100">
        <v>11178</v>
      </c>
      <c r="AD38" s="100">
        <v>15</v>
      </c>
      <c r="AE38" s="100">
        <v>18630</v>
      </c>
      <c r="AF38" s="100">
        <v>12</v>
      </c>
      <c r="AG38" s="100">
        <v>14904</v>
      </c>
      <c r="AH38" s="100">
        <v>10</v>
      </c>
      <c r="AI38" s="100">
        <v>12420</v>
      </c>
      <c r="AJ38" s="100">
        <v>13</v>
      </c>
      <c r="AK38" s="100">
        <v>16146</v>
      </c>
      <c r="AL38" s="100">
        <v>15</v>
      </c>
      <c r="AM38" s="100">
        <v>18630</v>
      </c>
      <c r="AN38" s="100">
        <v>10</v>
      </c>
      <c r="AO38" s="100">
        <v>12420</v>
      </c>
      <c r="AP38" s="100">
        <v>8</v>
      </c>
      <c r="AQ38" s="100">
        <v>9936</v>
      </c>
      <c r="AR38" s="100">
        <v>10</v>
      </c>
      <c r="AS38" s="100">
        <v>12420</v>
      </c>
      <c r="AT38" s="100">
        <v>13</v>
      </c>
      <c r="AU38" s="100">
        <v>16146</v>
      </c>
      <c r="AV38" s="100">
        <v>11</v>
      </c>
      <c r="AW38" s="100">
        <v>13662</v>
      </c>
      <c r="AX38" s="100">
        <v>12</v>
      </c>
      <c r="AY38" s="100">
        <v>14904</v>
      </c>
      <c r="AZ38" s="100">
        <v>12</v>
      </c>
      <c r="BA38" s="100">
        <v>14904</v>
      </c>
      <c r="BB38" s="100">
        <v>12</v>
      </c>
      <c r="BC38" s="100">
        <v>14904</v>
      </c>
      <c r="BD38" s="100">
        <v>9</v>
      </c>
      <c r="BE38" s="100">
        <v>11178</v>
      </c>
      <c r="BF38" s="100">
        <v>9</v>
      </c>
      <c r="BG38" s="100">
        <v>11178</v>
      </c>
      <c r="BH38" s="100">
        <v>12</v>
      </c>
      <c r="BI38" s="100">
        <v>14904</v>
      </c>
      <c r="BJ38" s="100">
        <v>10</v>
      </c>
      <c r="BK38" s="100">
        <v>12420</v>
      </c>
      <c r="BL38" s="100">
        <v>12</v>
      </c>
      <c r="BM38" s="100">
        <v>14904</v>
      </c>
      <c r="BN38" s="100">
        <v>12</v>
      </c>
      <c r="BO38" s="100">
        <v>14904</v>
      </c>
      <c r="BP38" s="100">
        <v>8</v>
      </c>
      <c r="BQ38" s="100">
        <v>9936</v>
      </c>
      <c r="BR38" s="100">
        <v>10</v>
      </c>
      <c r="BS38" s="100">
        <v>12420</v>
      </c>
      <c r="BT38" s="100">
        <v>9</v>
      </c>
      <c r="BU38" s="100">
        <v>11178</v>
      </c>
      <c r="BV38" s="100">
        <v>14</v>
      </c>
      <c r="BW38" s="100">
        <v>17388</v>
      </c>
      <c r="BX38" s="100">
        <v>9</v>
      </c>
      <c r="BY38" s="100">
        <v>11178</v>
      </c>
      <c r="BZ38" s="100">
        <v>12</v>
      </c>
      <c r="CA38" s="100">
        <v>14904</v>
      </c>
      <c r="CB38" s="100">
        <v>9</v>
      </c>
      <c r="CC38" s="100">
        <v>11178</v>
      </c>
      <c r="CD38" s="100">
        <v>12</v>
      </c>
      <c r="CE38" s="100">
        <v>14904</v>
      </c>
      <c r="CF38" s="100">
        <v>15</v>
      </c>
      <c r="CG38" s="100">
        <v>18630</v>
      </c>
      <c r="CH38" s="100">
        <v>8</v>
      </c>
      <c r="CI38" s="100">
        <v>9936</v>
      </c>
      <c r="CJ38" s="100">
        <v>14</v>
      </c>
      <c r="CK38" s="100">
        <v>17388</v>
      </c>
      <c r="CL38" s="100">
        <v>10</v>
      </c>
      <c r="CM38" s="100">
        <v>12420</v>
      </c>
      <c r="CN38" s="100">
        <v>14</v>
      </c>
      <c r="CO38" s="100">
        <v>17388</v>
      </c>
      <c r="CP38" s="100">
        <v>14</v>
      </c>
      <c r="CQ38" s="100">
        <v>17388</v>
      </c>
      <c r="CR38" s="100">
        <v>9</v>
      </c>
      <c r="CS38" s="100">
        <v>11178</v>
      </c>
      <c r="CT38" s="100">
        <v>8</v>
      </c>
      <c r="CU38" s="100">
        <v>9936</v>
      </c>
    </row>
    <row r="39" spans="2:99">
      <c r="C39" s="99" t="s">
        <v>205</v>
      </c>
      <c r="D39" s="100">
        <v>11</v>
      </c>
      <c r="E39" s="100">
        <v>15655.2</v>
      </c>
      <c r="F39" s="100">
        <v>6.8385449467631974</v>
      </c>
      <c r="G39" s="100">
        <v>9732.6171682333825</v>
      </c>
      <c r="H39" s="100">
        <v>0</v>
      </c>
      <c r="I39" s="100">
        <v>0</v>
      </c>
      <c r="J39" s="100">
        <v>9</v>
      </c>
      <c r="K39" s="100">
        <v>12808.800000000001</v>
      </c>
      <c r="L39" s="100">
        <v>13</v>
      </c>
      <c r="M39" s="100">
        <v>18501.600000000002</v>
      </c>
      <c r="N39" s="100">
        <v>12</v>
      </c>
      <c r="O39" s="100">
        <v>17078.400000000001</v>
      </c>
      <c r="P39" s="100">
        <v>13</v>
      </c>
      <c r="Q39" s="100">
        <v>18501.600000000002</v>
      </c>
      <c r="R39" s="100">
        <v>9</v>
      </c>
      <c r="S39" s="100">
        <v>12808.800000000001</v>
      </c>
      <c r="T39" s="100">
        <v>10</v>
      </c>
      <c r="U39" s="100">
        <v>14232</v>
      </c>
      <c r="V39" s="100">
        <v>9.8659961897165331</v>
      </c>
      <c r="W39" s="100">
        <v>14041.28577720457</v>
      </c>
      <c r="X39" s="100">
        <v>10.858935285072207</v>
      </c>
      <c r="Y39" s="100">
        <v>15454.436697714766</v>
      </c>
      <c r="Z39" s="100">
        <v>8</v>
      </c>
      <c r="AA39" s="100">
        <v>11385.6</v>
      </c>
      <c r="AB39" s="100">
        <v>8</v>
      </c>
      <c r="AC39" s="100">
        <v>11385.6</v>
      </c>
      <c r="AD39" s="100">
        <v>14</v>
      </c>
      <c r="AE39" s="100">
        <v>19924.8</v>
      </c>
      <c r="AF39" s="100">
        <v>12</v>
      </c>
      <c r="AG39" s="100">
        <v>17078.400000000001</v>
      </c>
      <c r="AH39" s="100">
        <v>10</v>
      </c>
      <c r="AI39" s="100">
        <v>14232</v>
      </c>
      <c r="AJ39" s="100">
        <v>12</v>
      </c>
      <c r="AK39" s="100">
        <v>17078.400000000001</v>
      </c>
      <c r="AL39" s="100">
        <v>13</v>
      </c>
      <c r="AM39" s="100">
        <v>18501.600000000002</v>
      </c>
      <c r="AN39" s="100">
        <v>10</v>
      </c>
      <c r="AO39" s="100">
        <v>14232</v>
      </c>
      <c r="AP39" s="100">
        <v>8</v>
      </c>
      <c r="AQ39" s="100">
        <v>11385.6</v>
      </c>
      <c r="AR39" s="100">
        <v>10</v>
      </c>
      <c r="AS39" s="100">
        <v>14232</v>
      </c>
      <c r="AT39" s="100">
        <v>11</v>
      </c>
      <c r="AU39" s="100">
        <v>15655.2</v>
      </c>
      <c r="AV39" s="100">
        <v>9</v>
      </c>
      <c r="AW39" s="100">
        <v>12808.800000000001</v>
      </c>
      <c r="AX39" s="100">
        <v>12</v>
      </c>
      <c r="AY39" s="100">
        <v>17078.400000000001</v>
      </c>
      <c r="AZ39" s="100">
        <v>10</v>
      </c>
      <c r="BA39" s="100">
        <v>14232</v>
      </c>
      <c r="BB39" s="100">
        <v>10</v>
      </c>
      <c r="BC39" s="100">
        <v>14232</v>
      </c>
      <c r="BD39" s="100">
        <v>8</v>
      </c>
      <c r="BE39" s="100">
        <v>11385.6</v>
      </c>
      <c r="BF39" s="100">
        <v>11</v>
      </c>
      <c r="BG39" s="100">
        <v>15655.2</v>
      </c>
      <c r="BH39" s="100">
        <v>12</v>
      </c>
      <c r="BI39" s="100">
        <v>17078.400000000001</v>
      </c>
      <c r="BJ39" s="100">
        <v>9</v>
      </c>
      <c r="BK39" s="100">
        <v>12808.800000000001</v>
      </c>
      <c r="BL39" s="100">
        <v>12</v>
      </c>
      <c r="BM39" s="100">
        <v>17078.400000000001</v>
      </c>
      <c r="BN39" s="100">
        <v>11</v>
      </c>
      <c r="BO39" s="100">
        <v>15655.2</v>
      </c>
      <c r="BP39" s="100">
        <v>8</v>
      </c>
      <c r="BQ39" s="100">
        <v>11385.6</v>
      </c>
      <c r="BR39" s="100">
        <v>10</v>
      </c>
      <c r="BS39" s="100">
        <v>14232</v>
      </c>
      <c r="BT39" s="100">
        <v>9</v>
      </c>
      <c r="BU39" s="100">
        <v>12808.800000000001</v>
      </c>
      <c r="BV39" s="100">
        <v>13</v>
      </c>
      <c r="BW39" s="100">
        <v>18501.600000000002</v>
      </c>
      <c r="BX39" s="100">
        <v>9</v>
      </c>
      <c r="BY39" s="100">
        <v>12808.800000000001</v>
      </c>
      <c r="BZ39" s="100">
        <v>11</v>
      </c>
      <c r="CA39" s="100">
        <v>15655.2</v>
      </c>
      <c r="CB39" s="100">
        <v>9</v>
      </c>
      <c r="CC39" s="100">
        <v>12808.800000000001</v>
      </c>
      <c r="CD39" s="100">
        <v>12</v>
      </c>
      <c r="CE39" s="100">
        <v>17078.400000000001</v>
      </c>
      <c r="CF39" s="100">
        <v>14</v>
      </c>
      <c r="CG39" s="100">
        <v>19924.8</v>
      </c>
      <c r="CH39" s="100">
        <v>8</v>
      </c>
      <c r="CI39" s="100">
        <v>11385.6</v>
      </c>
      <c r="CJ39" s="100">
        <v>15</v>
      </c>
      <c r="CK39" s="100">
        <v>21348</v>
      </c>
      <c r="CL39" s="100">
        <v>10</v>
      </c>
      <c r="CM39" s="100">
        <v>14232</v>
      </c>
      <c r="CN39" s="100">
        <v>14</v>
      </c>
      <c r="CO39" s="100">
        <v>19924.8</v>
      </c>
      <c r="CP39" s="100">
        <v>15</v>
      </c>
      <c r="CQ39" s="100">
        <v>21348</v>
      </c>
      <c r="CR39" s="100">
        <v>9</v>
      </c>
      <c r="CS39" s="100">
        <v>12808.800000000001</v>
      </c>
      <c r="CT39" s="100">
        <v>8</v>
      </c>
      <c r="CU39" s="100">
        <v>11385.6</v>
      </c>
    </row>
    <row r="40" spans="2:99">
      <c r="C40" s="99" t="s">
        <v>206</v>
      </c>
      <c r="D40" s="100">
        <v>12</v>
      </c>
      <c r="E40" s="100">
        <v>8697.5999999999985</v>
      </c>
      <c r="F40" s="100">
        <v>6.2686662011995979</v>
      </c>
      <c r="G40" s="100">
        <v>4543.5292626294686</v>
      </c>
      <c r="H40" s="100">
        <v>0</v>
      </c>
      <c r="I40" s="100">
        <v>0</v>
      </c>
      <c r="J40" s="100">
        <v>10</v>
      </c>
      <c r="K40" s="100">
        <v>7248</v>
      </c>
      <c r="L40" s="100">
        <v>13</v>
      </c>
      <c r="M40" s="100">
        <v>9422.4</v>
      </c>
      <c r="N40" s="100">
        <v>13</v>
      </c>
      <c r="O40" s="100">
        <v>9422.4</v>
      </c>
      <c r="P40" s="100">
        <v>13</v>
      </c>
      <c r="Q40" s="100">
        <v>9422.4</v>
      </c>
      <c r="R40" s="100">
        <v>9</v>
      </c>
      <c r="S40" s="100">
        <v>6523.2</v>
      </c>
      <c r="T40" s="100">
        <v>11</v>
      </c>
      <c r="U40" s="100">
        <v>7972.7999999999993</v>
      </c>
      <c r="V40" s="100">
        <v>9.8659961897165331</v>
      </c>
      <c r="W40" s="100">
        <v>7150.8740383065424</v>
      </c>
      <c r="X40" s="100">
        <v>11.846111220078773</v>
      </c>
      <c r="Y40" s="100">
        <v>8586.0614123130945</v>
      </c>
      <c r="Z40" s="100">
        <v>9</v>
      </c>
      <c r="AA40" s="100">
        <v>6523.2</v>
      </c>
      <c r="AB40" s="100">
        <v>9</v>
      </c>
      <c r="AC40" s="100">
        <v>6523.2</v>
      </c>
      <c r="AD40" s="100">
        <v>14</v>
      </c>
      <c r="AE40" s="100">
        <v>10147.199999999999</v>
      </c>
      <c r="AF40" s="100">
        <v>11</v>
      </c>
      <c r="AG40" s="100">
        <v>7972.7999999999993</v>
      </c>
      <c r="AH40" s="100">
        <v>10</v>
      </c>
      <c r="AI40" s="100">
        <v>7248</v>
      </c>
      <c r="AJ40" s="100">
        <v>14</v>
      </c>
      <c r="AK40" s="100">
        <v>10147.199999999999</v>
      </c>
      <c r="AL40" s="100">
        <v>13</v>
      </c>
      <c r="AM40" s="100">
        <v>9422.4</v>
      </c>
      <c r="AN40" s="100">
        <v>9</v>
      </c>
      <c r="AO40" s="100">
        <v>6523.2</v>
      </c>
      <c r="AP40" s="100">
        <v>9</v>
      </c>
      <c r="AQ40" s="100">
        <v>6523.2</v>
      </c>
      <c r="AR40" s="100">
        <v>12</v>
      </c>
      <c r="AS40" s="100">
        <v>8697.5999999999985</v>
      </c>
      <c r="AT40" s="100">
        <v>12</v>
      </c>
      <c r="AU40" s="100">
        <v>8697.5999999999985</v>
      </c>
      <c r="AV40" s="100">
        <v>10</v>
      </c>
      <c r="AW40" s="100">
        <v>7248</v>
      </c>
      <c r="AX40" s="100">
        <v>12</v>
      </c>
      <c r="AY40" s="100">
        <v>8697.5999999999985</v>
      </c>
      <c r="AZ40" s="100">
        <v>12</v>
      </c>
      <c r="BA40" s="100">
        <v>8697.5999999999985</v>
      </c>
      <c r="BB40" s="100">
        <v>12</v>
      </c>
      <c r="BC40" s="100">
        <v>8697.5999999999985</v>
      </c>
      <c r="BD40" s="100">
        <v>8</v>
      </c>
      <c r="BE40" s="100">
        <v>5798.4</v>
      </c>
      <c r="BF40" s="100">
        <v>11</v>
      </c>
      <c r="BG40" s="100">
        <v>7972.7999999999993</v>
      </c>
      <c r="BH40" s="100">
        <v>12</v>
      </c>
      <c r="BI40" s="100">
        <v>8697.5999999999985</v>
      </c>
      <c r="BJ40" s="100">
        <v>10</v>
      </c>
      <c r="BK40" s="100">
        <v>7248</v>
      </c>
      <c r="BL40" s="100">
        <v>13</v>
      </c>
      <c r="BM40" s="100">
        <v>9422.4</v>
      </c>
      <c r="BN40" s="100">
        <v>11</v>
      </c>
      <c r="BO40" s="100">
        <v>7972.7999999999993</v>
      </c>
      <c r="BP40" s="100">
        <v>8</v>
      </c>
      <c r="BQ40" s="100">
        <v>5798.4</v>
      </c>
      <c r="BR40" s="100">
        <v>11</v>
      </c>
      <c r="BS40" s="100">
        <v>7972.7999999999993</v>
      </c>
      <c r="BT40" s="100">
        <v>9</v>
      </c>
      <c r="BU40" s="100">
        <v>6523.2</v>
      </c>
      <c r="BV40" s="100">
        <v>13</v>
      </c>
      <c r="BW40" s="100">
        <v>9422.4</v>
      </c>
      <c r="BX40" s="100">
        <v>8</v>
      </c>
      <c r="BY40" s="100">
        <v>5798.4</v>
      </c>
      <c r="BZ40" s="100">
        <v>11</v>
      </c>
      <c r="CA40" s="100">
        <v>7972.7999999999993</v>
      </c>
      <c r="CB40" s="100">
        <v>10</v>
      </c>
      <c r="CC40" s="100">
        <v>7248</v>
      </c>
      <c r="CD40" s="100">
        <v>14</v>
      </c>
      <c r="CE40" s="100">
        <v>10147.199999999999</v>
      </c>
      <c r="CF40" s="100">
        <v>16</v>
      </c>
      <c r="CG40" s="100">
        <v>11596.8</v>
      </c>
      <c r="CH40" s="100">
        <v>9</v>
      </c>
      <c r="CI40" s="100">
        <v>6523.2</v>
      </c>
      <c r="CJ40" s="100">
        <v>16</v>
      </c>
      <c r="CK40" s="100">
        <v>11596.8</v>
      </c>
      <c r="CL40" s="100">
        <v>9</v>
      </c>
      <c r="CM40" s="100">
        <v>6523.2</v>
      </c>
      <c r="CN40" s="100">
        <v>14</v>
      </c>
      <c r="CO40" s="100">
        <v>10147.199999999999</v>
      </c>
      <c r="CP40" s="100">
        <v>16</v>
      </c>
      <c r="CQ40" s="100">
        <v>11596.8</v>
      </c>
      <c r="CR40" s="100">
        <v>10</v>
      </c>
      <c r="CS40" s="100">
        <v>7248</v>
      </c>
      <c r="CT40" s="100">
        <v>9</v>
      </c>
      <c r="CU40" s="100">
        <v>6523.2</v>
      </c>
    </row>
    <row r="41" spans="2:99">
      <c r="C41" s="99" t="s">
        <v>207</v>
      </c>
      <c r="D41" s="100">
        <v>12</v>
      </c>
      <c r="E41" s="100">
        <v>7920</v>
      </c>
      <c r="F41" s="100">
        <v>6.8385449467631974</v>
      </c>
      <c r="G41" s="100">
        <v>4513.4396648637103</v>
      </c>
      <c r="H41" s="100">
        <v>0</v>
      </c>
      <c r="I41" s="100">
        <v>0</v>
      </c>
      <c r="J41" s="100">
        <v>10</v>
      </c>
      <c r="K41" s="100">
        <v>6600</v>
      </c>
      <c r="L41" s="100">
        <v>13</v>
      </c>
      <c r="M41" s="100">
        <v>8580</v>
      </c>
      <c r="N41" s="100">
        <v>11</v>
      </c>
      <c r="O41" s="100">
        <v>7260</v>
      </c>
      <c r="P41" s="100">
        <v>15</v>
      </c>
      <c r="Q41" s="100">
        <v>9900</v>
      </c>
      <c r="R41" s="100">
        <v>9</v>
      </c>
      <c r="S41" s="100">
        <v>5940</v>
      </c>
      <c r="T41" s="100">
        <v>11</v>
      </c>
      <c r="U41" s="100">
        <v>7260</v>
      </c>
      <c r="V41" s="100">
        <v>9.8659961897165331</v>
      </c>
      <c r="W41" s="100">
        <v>6511.5574852129121</v>
      </c>
      <c r="X41" s="100">
        <v>11.846111220078773</v>
      </c>
      <c r="Y41" s="100">
        <v>7818.4334052519907</v>
      </c>
      <c r="Z41" s="100">
        <v>9</v>
      </c>
      <c r="AA41" s="100">
        <v>5940</v>
      </c>
      <c r="AB41" s="100">
        <v>10</v>
      </c>
      <c r="AC41" s="100">
        <v>6600</v>
      </c>
      <c r="AD41" s="100">
        <v>15</v>
      </c>
      <c r="AE41" s="100">
        <v>9900</v>
      </c>
      <c r="AF41" s="100">
        <v>12</v>
      </c>
      <c r="AG41" s="100">
        <v>7920</v>
      </c>
      <c r="AH41" s="100">
        <v>9</v>
      </c>
      <c r="AI41" s="100">
        <v>5940</v>
      </c>
      <c r="AJ41" s="100">
        <v>12</v>
      </c>
      <c r="AK41" s="100">
        <v>7920</v>
      </c>
      <c r="AL41" s="100">
        <v>14</v>
      </c>
      <c r="AM41" s="100">
        <v>9240</v>
      </c>
      <c r="AN41" s="100">
        <v>9</v>
      </c>
      <c r="AO41" s="100">
        <v>5940</v>
      </c>
      <c r="AP41" s="100">
        <v>9</v>
      </c>
      <c r="AQ41" s="100">
        <v>5940</v>
      </c>
      <c r="AR41" s="100">
        <v>12</v>
      </c>
      <c r="AS41" s="100">
        <v>7920</v>
      </c>
      <c r="AT41" s="100">
        <v>11</v>
      </c>
      <c r="AU41" s="100">
        <v>7260</v>
      </c>
      <c r="AV41" s="100">
        <v>11</v>
      </c>
      <c r="AW41" s="100">
        <v>7260</v>
      </c>
      <c r="AX41" s="100">
        <v>12</v>
      </c>
      <c r="AY41" s="100">
        <v>7920</v>
      </c>
      <c r="AZ41" s="100">
        <v>11</v>
      </c>
      <c r="BA41" s="100">
        <v>7260</v>
      </c>
      <c r="BB41" s="100">
        <v>11</v>
      </c>
      <c r="BC41" s="100">
        <v>7260</v>
      </c>
      <c r="BD41" s="100">
        <v>9</v>
      </c>
      <c r="BE41" s="100">
        <v>5940</v>
      </c>
      <c r="BF41" s="100">
        <v>10</v>
      </c>
      <c r="BG41" s="100">
        <v>6600</v>
      </c>
      <c r="BH41" s="100">
        <v>13</v>
      </c>
      <c r="BI41" s="100">
        <v>8580</v>
      </c>
      <c r="BJ41" s="100">
        <v>10</v>
      </c>
      <c r="BK41" s="100">
        <v>6600</v>
      </c>
      <c r="BL41" s="100">
        <v>13</v>
      </c>
      <c r="BM41" s="100">
        <v>8580</v>
      </c>
      <c r="BN41" s="100">
        <v>11</v>
      </c>
      <c r="BO41" s="100">
        <v>7260</v>
      </c>
      <c r="BP41" s="100">
        <v>8</v>
      </c>
      <c r="BQ41" s="100">
        <v>5280</v>
      </c>
      <c r="BR41" s="100">
        <v>10</v>
      </c>
      <c r="BS41" s="100">
        <v>6600</v>
      </c>
      <c r="BT41" s="100">
        <v>10</v>
      </c>
      <c r="BU41" s="100">
        <v>6600</v>
      </c>
      <c r="BV41" s="100">
        <v>12</v>
      </c>
      <c r="BW41" s="100">
        <v>7920</v>
      </c>
      <c r="BX41" s="100">
        <v>9</v>
      </c>
      <c r="BY41" s="100">
        <v>5940</v>
      </c>
      <c r="BZ41" s="100">
        <v>12</v>
      </c>
      <c r="CA41" s="100">
        <v>7920</v>
      </c>
      <c r="CB41" s="100">
        <v>9</v>
      </c>
      <c r="CC41" s="100">
        <v>5940</v>
      </c>
      <c r="CD41" s="100">
        <v>14</v>
      </c>
      <c r="CE41" s="100">
        <v>9240</v>
      </c>
      <c r="CF41" s="100">
        <v>15</v>
      </c>
      <c r="CG41" s="100">
        <v>9900</v>
      </c>
      <c r="CH41" s="100">
        <v>8</v>
      </c>
      <c r="CI41" s="100">
        <v>5280</v>
      </c>
      <c r="CJ41" s="100">
        <v>16</v>
      </c>
      <c r="CK41" s="100">
        <v>10560</v>
      </c>
      <c r="CL41" s="100">
        <v>11</v>
      </c>
      <c r="CM41" s="100">
        <v>7260</v>
      </c>
      <c r="CN41" s="100">
        <v>17</v>
      </c>
      <c r="CO41" s="100">
        <v>11220</v>
      </c>
      <c r="CP41" s="100">
        <v>14</v>
      </c>
      <c r="CQ41" s="100">
        <v>9240</v>
      </c>
      <c r="CR41" s="100">
        <v>9</v>
      </c>
      <c r="CS41" s="100">
        <v>5940</v>
      </c>
      <c r="CT41" s="100">
        <v>9</v>
      </c>
      <c r="CU41" s="100">
        <v>5940</v>
      </c>
    </row>
    <row r="42" spans="2:99">
      <c r="C42" s="99" t="s">
        <v>208</v>
      </c>
      <c r="D42" s="100">
        <v>12</v>
      </c>
      <c r="E42" s="100">
        <v>10152</v>
      </c>
      <c r="F42" s="100">
        <v>6.2686662011995979</v>
      </c>
      <c r="G42" s="100">
        <v>5303.2916062148597</v>
      </c>
      <c r="H42" s="100">
        <v>0</v>
      </c>
      <c r="I42" s="100">
        <v>0</v>
      </c>
      <c r="J42" s="100">
        <v>10</v>
      </c>
      <c r="K42" s="100">
        <v>8460</v>
      </c>
      <c r="L42" s="100">
        <v>14</v>
      </c>
      <c r="M42" s="100">
        <v>11844</v>
      </c>
      <c r="N42" s="100">
        <v>12</v>
      </c>
      <c r="O42" s="100">
        <v>10152</v>
      </c>
      <c r="P42" s="100">
        <v>12</v>
      </c>
      <c r="Q42" s="100">
        <v>10152</v>
      </c>
      <c r="R42" s="100">
        <v>9</v>
      </c>
      <c r="S42" s="100">
        <v>7614</v>
      </c>
      <c r="T42" s="100">
        <v>11</v>
      </c>
      <c r="U42" s="100">
        <v>9306</v>
      </c>
      <c r="V42" s="100">
        <v>9.8659961897165331</v>
      </c>
      <c r="W42" s="100">
        <v>8346.6327765001879</v>
      </c>
      <c r="X42" s="100">
        <v>12.833287155085335</v>
      </c>
      <c r="Y42" s="100">
        <v>10856.960933202194</v>
      </c>
      <c r="Z42" s="100">
        <v>7</v>
      </c>
      <c r="AA42" s="100">
        <v>5922</v>
      </c>
      <c r="AB42" s="100">
        <v>10</v>
      </c>
      <c r="AC42" s="100">
        <v>8460</v>
      </c>
      <c r="AD42" s="100">
        <v>14</v>
      </c>
      <c r="AE42" s="100">
        <v>11844</v>
      </c>
      <c r="AF42" s="100">
        <v>12</v>
      </c>
      <c r="AG42" s="100">
        <v>10152</v>
      </c>
      <c r="AH42" s="100">
        <v>10</v>
      </c>
      <c r="AI42" s="100">
        <v>8460</v>
      </c>
      <c r="AJ42" s="100">
        <v>12</v>
      </c>
      <c r="AK42" s="100">
        <v>10152</v>
      </c>
      <c r="AL42" s="100">
        <v>13</v>
      </c>
      <c r="AM42" s="100">
        <v>10998</v>
      </c>
      <c r="AN42" s="100">
        <v>9</v>
      </c>
      <c r="AO42" s="100">
        <v>7614</v>
      </c>
      <c r="AP42" s="100">
        <v>9</v>
      </c>
      <c r="AQ42" s="100">
        <v>7614</v>
      </c>
      <c r="AR42" s="100">
        <v>11</v>
      </c>
      <c r="AS42" s="100">
        <v>9306</v>
      </c>
      <c r="AT42" s="100">
        <v>12</v>
      </c>
      <c r="AU42" s="100">
        <v>10152</v>
      </c>
      <c r="AV42" s="100">
        <v>10</v>
      </c>
      <c r="AW42" s="100">
        <v>8460</v>
      </c>
      <c r="AX42" s="100">
        <v>11</v>
      </c>
      <c r="AY42" s="100">
        <v>9306</v>
      </c>
      <c r="AZ42" s="100">
        <v>12</v>
      </c>
      <c r="BA42" s="100">
        <v>10152</v>
      </c>
      <c r="BB42" s="100">
        <v>11</v>
      </c>
      <c r="BC42" s="100">
        <v>9306</v>
      </c>
      <c r="BD42" s="100">
        <v>8</v>
      </c>
      <c r="BE42" s="100">
        <v>6768</v>
      </c>
      <c r="BF42" s="100">
        <v>11</v>
      </c>
      <c r="BG42" s="100">
        <v>9306</v>
      </c>
      <c r="BH42" s="100">
        <v>14</v>
      </c>
      <c r="BI42" s="100">
        <v>11844</v>
      </c>
      <c r="BJ42" s="100">
        <v>9</v>
      </c>
      <c r="BK42" s="100">
        <v>7614</v>
      </c>
      <c r="BL42" s="100">
        <v>13</v>
      </c>
      <c r="BM42" s="100">
        <v>10998</v>
      </c>
      <c r="BN42" s="100">
        <v>11</v>
      </c>
      <c r="BO42" s="100">
        <v>9306</v>
      </c>
      <c r="BP42" s="100">
        <v>8</v>
      </c>
      <c r="BQ42" s="100">
        <v>6768</v>
      </c>
      <c r="BR42" s="100">
        <v>10</v>
      </c>
      <c r="BS42" s="100">
        <v>8460</v>
      </c>
      <c r="BT42" s="100">
        <v>9</v>
      </c>
      <c r="BU42" s="100">
        <v>7614</v>
      </c>
      <c r="BV42" s="100">
        <v>15</v>
      </c>
      <c r="BW42" s="100">
        <v>12690</v>
      </c>
      <c r="BX42" s="100">
        <v>9</v>
      </c>
      <c r="BY42" s="100">
        <v>7614</v>
      </c>
      <c r="BZ42" s="100">
        <v>12</v>
      </c>
      <c r="CA42" s="100">
        <v>10152</v>
      </c>
      <c r="CB42" s="100">
        <v>9</v>
      </c>
      <c r="CC42" s="100">
        <v>7614</v>
      </c>
      <c r="CD42" s="100">
        <v>13</v>
      </c>
      <c r="CE42" s="100">
        <v>10998</v>
      </c>
      <c r="CF42" s="100">
        <v>14</v>
      </c>
      <c r="CG42" s="100">
        <v>11844</v>
      </c>
      <c r="CH42" s="100">
        <v>8</v>
      </c>
      <c r="CI42" s="100">
        <v>6768</v>
      </c>
      <c r="CJ42" s="100">
        <v>15</v>
      </c>
      <c r="CK42" s="100">
        <v>12690</v>
      </c>
      <c r="CL42" s="100">
        <v>9</v>
      </c>
      <c r="CM42" s="100">
        <v>7614</v>
      </c>
      <c r="CN42" s="100">
        <v>15</v>
      </c>
      <c r="CO42" s="100">
        <v>12690</v>
      </c>
      <c r="CP42" s="100">
        <v>13</v>
      </c>
      <c r="CQ42" s="100">
        <v>10998</v>
      </c>
      <c r="CR42" s="100">
        <v>9</v>
      </c>
      <c r="CS42" s="100">
        <v>7614</v>
      </c>
      <c r="CT42" s="100">
        <v>9</v>
      </c>
      <c r="CU42" s="100">
        <v>7614</v>
      </c>
    </row>
    <row r="43" spans="2:99">
      <c r="C43" s="99" t="s">
        <v>209</v>
      </c>
      <c r="D43" s="100">
        <v>12</v>
      </c>
      <c r="E43" s="100">
        <v>12268.8</v>
      </c>
      <c r="F43" s="100">
        <v>6.2686662011995979</v>
      </c>
      <c r="G43" s="100">
        <v>6409.0843241064686</v>
      </c>
      <c r="H43" s="100">
        <v>0</v>
      </c>
      <c r="I43" s="100">
        <v>0</v>
      </c>
      <c r="J43" s="100">
        <v>11</v>
      </c>
      <c r="K43" s="100">
        <v>11246.4</v>
      </c>
      <c r="L43" s="100">
        <v>15</v>
      </c>
      <c r="M43" s="100">
        <v>15336</v>
      </c>
      <c r="N43" s="100">
        <v>12</v>
      </c>
      <c r="O43" s="100">
        <v>12268.8</v>
      </c>
      <c r="P43" s="100">
        <v>14</v>
      </c>
      <c r="Q43" s="100">
        <v>14313.6</v>
      </c>
      <c r="R43" s="100">
        <v>9</v>
      </c>
      <c r="S43" s="100">
        <v>9201.6</v>
      </c>
      <c r="T43" s="100">
        <v>10</v>
      </c>
      <c r="U43" s="100">
        <v>10224</v>
      </c>
      <c r="V43" s="100">
        <v>9.8659961897165331</v>
      </c>
      <c r="W43" s="100">
        <v>10086.994504366183</v>
      </c>
      <c r="X43" s="100">
        <v>11.846111220078773</v>
      </c>
      <c r="Y43" s="100">
        <v>12111.464111408537</v>
      </c>
      <c r="Z43" s="100">
        <v>9</v>
      </c>
      <c r="AA43" s="100">
        <v>9201.6</v>
      </c>
      <c r="AB43" s="100">
        <v>10</v>
      </c>
      <c r="AC43" s="100">
        <v>10224</v>
      </c>
      <c r="AD43" s="100">
        <v>13</v>
      </c>
      <c r="AE43" s="100">
        <v>13291.199999999999</v>
      </c>
      <c r="AF43" s="100">
        <v>11</v>
      </c>
      <c r="AG43" s="100">
        <v>11246.4</v>
      </c>
      <c r="AH43" s="100">
        <v>10</v>
      </c>
      <c r="AI43" s="100">
        <v>10224</v>
      </c>
      <c r="AJ43" s="100">
        <v>12</v>
      </c>
      <c r="AK43" s="100">
        <v>12268.8</v>
      </c>
      <c r="AL43" s="100">
        <v>13</v>
      </c>
      <c r="AM43" s="100">
        <v>13291.199999999999</v>
      </c>
      <c r="AN43" s="100">
        <v>9</v>
      </c>
      <c r="AO43" s="100">
        <v>9201.6</v>
      </c>
      <c r="AP43" s="100">
        <v>8</v>
      </c>
      <c r="AQ43" s="100">
        <v>8179.2</v>
      </c>
      <c r="AR43" s="100">
        <v>12</v>
      </c>
      <c r="AS43" s="100">
        <v>12268.8</v>
      </c>
      <c r="AT43" s="100">
        <v>12</v>
      </c>
      <c r="AU43" s="100">
        <v>12268.8</v>
      </c>
      <c r="AV43" s="100">
        <v>10</v>
      </c>
      <c r="AW43" s="100">
        <v>10224</v>
      </c>
      <c r="AX43" s="100">
        <v>12</v>
      </c>
      <c r="AY43" s="100">
        <v>12268.8</v>
      </c>
      <c r="AZ43" s="100">
        <v>10</v>
      </c>
      <c r="BA43" s="100">
        <v>10224</v>
      </c>
      <c r="BB43" s="100">
        <v>11</v>
      </c>
      <c r="BC43" s="100">
        <v>11246.4</v>
      </c>
      <c r="BD43" s="100">
        <v>8</v>
      </c>
      <c r="BE43" s="100">
        <v>8179.2</v>
      </c>
      <c r="BF43" s="100">
        <v>9</v>
      </c>
      <c r="BG43" s="100">
        <v>9201.6</v>
      </c>
      <c r="BH43" s="100">
        <v>12</v>
      </c>
      <c r="BI43" s="100">
        <v>12268.8</v>
      </c>
      <c r="BJ43" s="100">
        <v>10</v>
      </c>
      <c r="BK43" s="100">
        <v>10224</v>
      </c>
      <c r="BL43" s="100">
        <v>12</v>
      </c>
      <c r="BM43" s="100">
        <v>12268.8</v>
      </c>
      <c r="BN43" s="100">
        <v>11</v>
      </c>
      <c r="BO43" s="100">
        <v>11246.4</v>
      </c>
      <c r="BP43" s="100">
        <v>8</v>
      </c>
      <c r="BQ43" s="100">
        <v>8179.2</v>
      </c>
      <c r="BR43" s="100">
        <v>11</v>
      </c>
      <c r="BS43" s="100">
        <v>11246.4</v>
      </c>
      <c r="BT43" s="100">
        <v>9</v>
      </c>
      <c r="BU43" s="100">
        <v>9201.6</v>
      </c>
      <c r="BV43" s="100">
        <v>13</v>
      </c>
      <c r="BW43" s="100">
        <v>13291.199999999999</v>
      </c>
      <c r="BX43" s="100">
        <v>9</v>
      </c>
      <c r="BY43" s="100">
        <v>9201.6</v>
      </c>
      <c r="BZ43" s="100">
        <v>12</v>
      </c>
      <c r="CA43" s="100">
        <v>12268.8</v>
      </c>
      <c r="CB43" s="100">
        <v>10</v>
      </c>
      <c r="CC43" s="100">
        <v>10224</v>
      </c>
      <c r="CD43" s="100">
        <v>12</v>
      </c>
      <c r="CE43" s="100">
        <v>12268.8</v>
      </c>
      <c r="CF43" s="100">
        <v>14</v>
      </c>
      <c r="CG43" s="100">
        <v>14313.6</v>
      </c>
      <c r="CH43" s="100">
        <v>9</v>
      </c>
      <c r="CI43" s="100">
        <v>9201.6</v>
      </c>
      <c r="CJ43" s="100">
        <v>16</v>
      </c>
      <c r="CK43" s="100">
        <v>16358.4</v>
      </c>
      <c r="CL43" s="100">
        <v>11</v>
      </c>
      <c r="CM43" s="100">
        <v>11246.4</v>
      </c>
      <c r="CN43" s="100">
        <v>16</v>
      </c>
      <c r="CO43" s="100">
        <v>16358.4</v>
      </c>
      <c r="CP43" s="100">
        <v>14</v>
      </c>
      <c r="CQ43" s="100">
        <v>14313.6</v>
      </c>
      <c r="CR43" s="100">
        <v>10</v>
      </c>
      <c r="CS43" s="100">
        <v>10224</v>
      </c>
      <c r="CT43" s="100">
        <v>9</v>
      </c>
      <c r="CU43" s="100">
        <v>9201.6</v>
      </c>
    </row>
    <row r="44" spans="2:99">
      <c r="C44" s="99" t="s">
        <v>210</v>
      </c>
      <c r="D44" s="100">
        <v>10</v>
      </c>
      <c r="E44" s="100">
        <v>10224</v>
      </c>
      <c r="F44" s="100">
        <v>6.8385449467631974</v>
      </c>
      <c r="G44" s="100">
        <v>6991.7283535706929</v>
      </c>
      <c r="H44" s="100">
        <v>0</v>
      </c>
      <c r="I44" s="100">
        <v>0</v>
      </c>
      <c r="J44" s="100">
        <v>9</v>
      </c>
      <c r="K44" s="100">
        <v>9201.6</v>
      </c>
      <c r="L44" s="100">
        <v>14</v>
      </c>
      <c r="M44" s="100">
        <v>14313.6</v>
      </c>
      <c r="N44" s="100">
        <v>12</v>
      </c>
      <c r="O44" s="100">
        <v>12268.8</v>
      </c>
      <c r="P44" s="100">
        <v>14</v>
      </c>
      <c r="Q44" s="100">
        <v>14313.6</v>
      </c>
      <c r="R44" s="100">
        <v>9</v>
      </c>
      <c r="S44" s="100">
        <v>9201.6</v>
      </c>
      <c r="T44" s="100">
        <v>10</v>
      </c>
      <c r="U44" s="100">
        <v>10224</v>
      </c>
      <c r="V44" s="100">
        <v>9.8659961897165331</v>
      </c>
      <c r="W44" s="100">
        <v>10086.994504366183</v>
      </c>
      <c r="X44" s="100">
        <v>11.846111220078773</v>
      </c>
      <c r="Y44" s="100">
        <v>12111.464111408537</v>
      </c>
      <c r="Z44" s="100">
        <v>8</v>
      </c>
      <c r="AA44" s="100">
        <v>8179.2</v>
      </c>
      <c r="AB44" s="100">
        <v>8</v>
      </c>
      <c r="AC44" s="100">
        <v>8179.2</v>
      </c>
      <c r="AD44" s="100">
        <v>16</v>
      </c>
      <c r="AE44" s="100">
        <v>16358.4</v>
      </c>
      <c r="AF44" s="100">
        <v>11</v>
      </c>
      <c r="AG44" s="100">
        <v>11246.4</v>
      </c>
      <c r="AH44" s="100">
        <v>10</v>
      </c>
      <c r="AI44" s="100">
        <v>10224</v>
      </c>
      <c r="AJ44" s="100">
        <v>14</v>
      </c>
      <c r="AK44" s="100">
        <v>14313.6</v>
      </c>
      <c r="AL44" s="100">
        <v>14</v>
      </c>
      <c r="AM44" s="100">
        <v>14313.6</v>
      </c>
      <c r="AN44" s="100">
        <v>11</v>
      </c>
      <c r="AO44" s="100">
        <v>11246.4</v>
      </c>
      <c r="AP44" s="100">
        <v>8</v>
      </c>
      <c r="AQ44" s="100">
        <v>8179.2</v>
      </c>
      <c r="AR44" s="100">
        <v>12</v>
      </c>
      <c r="AS44" s="100">
        <v>12268.8</v>
      </c>
      <c r="AT44" s="100">
        <v>12</v>
      </c>
      <c r="AU44" s="100">
        <v>12268.8</v>
      </c>
      <c r="AV44" s="100">
        <v>10</v>
      </c>
      <c r="AW44" s="100">
        <v>10224</v>
      </c>
      <c r="AX44" s="100">
        <v>13</v>
      </c>
      <c r="AY44" s="100">
        <v>13291.199999999999</v>
      </c>
      <c r="AZ44" s="100">
        <v>12</v>
      </c>
      <c r="BA44" s="100">
        <v>12268.8</v>
      </c>
      <c r="BB44" s="100">
        <v>12</v>
      </c>
      <c r="BC44" s="100">
        <v>12268.8</v>
      </c>
      <c r="BD44" s="100">
        <v>8</v>
      </c>
      <c r="BE44" s="100">
        <v>8179.2</v>
      </c>
      <c r="BF44" s="100">
        <v>10</v>
      </c>
      <c r="BG44" s="100">
        <v>10224</v>
      </c>
      <c r="BH44" s="100">
        <v>14</v>
      </c>
      <c r="BI44" s="100">
        <v>14313.6</v>
      </c>
      <c r="BJ44" s="100">
        <v>10</v>
      </c>
      <c r="BK44" s="100">
        <v>10224</v>
      </c>
      <c r="BL44" s="100">
        <v>12</v>
      </c>
      <c r="BM44" s="100">
        <v>12268.8</v>
      </c>
      <c r="BN44" s="100">
        <v>12</v>
      </c>
      <c r="BO44" s="100">
        <v>12268.8</v>
      </c>
      <c r="BP44" s="100">
        <v>8</v>
      </c>
      <c r="BQ44" s="100">
        <v>8179.2</v>
      </c>
      <c r="BR44" s="100">
        <v>11</v>
      </c>
      <c r="BS44" s="100">
        <v>11246.4</v>
      </c>
      <c r="BT44" s="100">
        <v>9</v>
      </c>
      <c r="BU44" s="100">
        <v>9201.6</v>
      </c>
      <c r="BV44" s="100">
        <v>14</v>
      </c>
      <c r="BW44" s="100">
        <v>14313.6</v>
      </c>
      <c r="BX44" s="100">
        <v>8</v>
      </c>
      <c r="BY44" s="100">
        <v>8179.2</v>
      </c>
      <c r="BZ44" s="100">
        <v>12</v>
      </c>
      <c r="CA44" s="100">
        <v>12268.8</v>
      </c>
      <c r="CB44" s="100">
        <v>10</v>
      </c>
      <c r="CC44" s="100">
        <v>10224</v>
      </c>
      <c r="CD44" s="100">
        <v>12</v>
      </c>
      <c r="CE44" s="100">
        <v>12268.8</v>
      </c>
      <c r="CF44" s="100">
        <v>14</v>
      </c>
      <c r="CG44" s="100">
        <v>14313.6</v>
      </c>
      <c r="CH44" s="100">
        <v>9</v>
      </c>
      <c r="CI44" s="100">
        <v>9201.6</v>
      </c>
      <c r="CJ44" s="100">
        <v>14</v>
      </c>
      <c r="CK44" s="100">
        <v>14313.6</v>
      </c>
      <c r="CL44" s="100">
        <v>9</v>
      </c>
      <c r="CM44" s="100">
        <v>9201.6</v>
      </c>
      <c r="CN44" s="100">
        <v>16</v>
      </c>
      <c r="CO44" s="100">
        <v>16358.4</v>
      </c>
      <c r="CP44" s="100">
        <v>13</v>
      </c>
      <c r="CQ44" s="100">
        <v>13291.199999999999</v>
      </c>
      <c r="CR44" s="100">
        <v>9</v>
      </c>
      <c r="CS44" s="100">
        <v>9201.6</v>
      </c>
      <c r="CT44" s="100">
        <v>8</v>
      </c>
      <c r="CU44" s="100">
        <v>8179.2</v>
      </c>
    </row>
    <row r="45" spans="2:99">
      <c r="C45" s="99" t="s">
        <v>211</v>
      </c>
      <c r="D45" s="100">
        <v>12</v>
      </c>
      <c r="E45" s="100">
        <v>14990.400000000001</v>
      </c>
      <c r="F45" s="100">
        <v>6.2686662011995979</v>
      </c>
      <c r="G45" s="100">
        <v>7830.8178185385377</v>
      </c>
      <c r="H45" s="100">
        <v>0</v>
      </c>
      <c r="I45" s="100">
        <v>0</v>
      </c>
      <c r="J45" s="100">
        <v>9</v>
      </c>
      <c r="K45" s="100">
        <v>11242.800000000001</v>
      </c>
      <c r="L45" s="100">
        <v>14</v>
      </c>
      <c r="M45" s="100">
        <v>17488.8</v>
      </c>
      <c r="N45" s="100">
        <v>12</v>
      </c>
      <c r="O45" s="100">
        <v>14990.400000000001</v>
      </c>
      <c r="P45" s="100">
        <v>12</v>
      </c>
      <c r="Q45" s="100">
        <v>14990.400000000001</v>
      </c>
      <c r="R45" s="100">
        <v>10</v>
      </c>
      <c r="S45" s="100">
        <v>12492</v>
      </c>
      <c r="T45" s="100">
        <v>10</v>
      </c>
      <c r="U45" s="100">
        <v>12492</v>
      </c>
      <c r="V45" s="100">
        <v>8.8793965707448805</v>
      </c>
      <c r="W45" s="100">
        <v>11092.142196174505</v>
      </c>
      <c r="X45" s="100">
        <v>10.858935285072207</v>
      </c>
      <c r="Y45" s="100">
        <v>13564.981958112201</v>
      </c>
      <c r="Z45" s="100">
        <v>7</v>
      </c>
      <c r="AA45" s="100">
        <v>8744.4</v>
      </c>
      <c r="AB45" s="100">
        <v>8</v>
      </c>
      <c r="AC45" s="100">
        <v>9993.6</v>
      </c>
      <c r="AD45" s="100">
        <v>13</v>
      </c>
      <c r="AE45" s="100">
        <v>16239.6</v>
      </c>
      <c r="AF45" s="100">
        <v>10</v>
      </c>
      <c r="AG45" s="100">
        <v>12492</v>
      </c>
      <c r="AH45" s="100">
        <v>9</v>
      </c>
      <c r="AI45" s="100">
        <v>11242.800000000001</v>
      </c>
      <c r="AJ45" s="100">
        <v>14</v>
      </c>
      <c r="AK45" s="100">
        <v>17488.8</v>
      </c>
      <c r="AL45" s="100">
        <v>14</v>
      </c>
      <c r="AM45" s="100">
        <v>17488.8</v>
      </c>
      <c r="AN45" s="100">
        <v>11</v>
      </c>
      <c r="AO45" s="100">
        <v>13741.2</v>
      </c>
      <c r="AP45" s="100">
        <v>8</v>
      </c>
      <c r="AQ45" s="100">
        <v>9993.6</v>
      </c>
      <c r="AR45" s="100">
        <v>12</v>
      </c>
      <c r="AS45" s="100">
        <v>14990.400000000001</v>
      </c>
      <c r="AT45" s="100">
        <v>12</v>
      </c>
      <c r="AU45" s="100">
        <v>14990.400000000001</v>
      </c>
      <c r="AV45" s="100">
        <v>9</v>
      </c>
      <c r="AW45" s="100">
        <v>11242.800000000001</v>
      </c>
      <c r="AX45" s="100">
        <v>11</v>
      </c>
      <c r="AY45" s="100">
        <v>13741.2</v>
      </c>
      <c r="AZ45" s="100">
        <v>11</v>
      </c>
      <c r="BA45" s="100">
        <v>13741.2</v>
      </c>
      <c r="BB45" s="100">
        <v>10</v>
      </c>
      <c r="BC45" s="100">
        <v>12492</v>
      </c>
      <c r="BD45" s="100">
        <v>7</v>
      </c>
      <c r="BE45" s="100">
        <v>8744.4</v>
      </c>
      <c r="BF45" s="100">
        <v>10</v>
      </c>
      <c r="BG45" s="100">
        <v>12492</v>
      </c>
      <c r="BH45" s="100">
        <v>14</v>
      </c>
      <c r="BI45" s="100">
        <v>17488.8</v>
      </c>
      <c r="BJ45" s="100">
        <v>10</v>
      </c>
      <c r="BK45" s="100">
        <v>12492</v>
      </c>
      <c r="BL45" s="100">
        <v>13</v>
      </c>
      <c r="BM45" s="100">
        <v>16239.6</v>
      </c>
      <c r="BN45" s="100">
        <v>12</v>
      </c>
      <c r="BO45" s="100">
        <v>14990.400000000001</v>
      </c>
      <c r="BP45" s="100">
        <v>7</v>
      </c>
      <c r="BQ45" s="100">
        <v>8744.4</v>
      </c>
      <c r="BR45" s="100">
        <v>9</v>
      </c>
      <c r="BS45" s="100">
        <v>11242.800000000001</v>
      </c>
      <c r="BT45" s="100">
        <v>8</v>
      </c>
      <c r="BU45" s="100">
        <v>9993.6</v>
      </c>
      <c r="BV45" s="100">
        <v>14</v>
      </c>
      <c r="BW45" s="100">
        <v>17488.8</v>
      </c>
      <c r="BX45" s="100">
        <v>9</v>
      </c>
      <c r="BY45" s="100">
        <v>11242.800000000001</v>
      </c>
      <c r="BZ45" s="100">
        <v>11</v>
      </c>
      <c r="CA45" s="100">
        <v>13741.2</v>
      </c>
      <c r="CB45" s="100">
        <v>10</v>
      </c>
      <c r="CC45" s="100">
        <v>12492</v>
      </c>
      <c r="CD45" s="100">
        <v>12</v>
      </c>
      <c r="CE45" s="100">
        <v>14990.400000000001</v>
      </c>
      <c r="CF45" s="100">
        <v>13</v>
      </c>
      <c r="CG45" s="100">
        <v>16239.6</v>
      </c>
      <c r="CH45" s="100">
        <v>8</v>
      </c>
      <c r="CI45" s="100">
        <v>9993.6</v>
      </c>
      <c r="CJ45" s="100">
        <v>14</v>
      </c>
      <c r="CK45" s="100">
        <v>17488.8</v>
      </c>
      <c r="CL45" s="100">
        <v>9</v>
      </c>
      <c r="CM45" s="100">
        <v>11242.800000000001</v>
      </c>
      <c r="CN45" s="100">
        <v>14</v>
      </c>
      <c r="CO45" s="100">
        <v>17488.8</v>
      </c>
      <c r="CP45" s="100">
        <v>15</v>
      </c>
      <c r="CQ45" s="100">
        <v>18738</v>
      </c>
      <c r="CR45" s="100">
        <v>9</v>
      </c>
      <c r="CS45" s="100">
        <v>11242.800000000001</v>
      </c>
      <c r="CT45" s="100">
        <v>9</v>
      </c>
      <c r="CU45" s="100">
        <v>11242.800000000001</v>
      </c>
    </row>
    <row r="46" spans="2:99">
      <c r="C46" s="99" t="s">
        <v>212</v>
      </c>
      <c r="D46" s="100">
        <v>12</v>
      </c>
      <c r="E46" s="100">
        <v>14544</v>
      </c>
      <c r="F46" s="100">
        <v>6.8385449467631974</v>
      </c>
      <c r="G46" s="100">
        <v>8288.316475476995</v>
      </c>
      <c r="H46" s="100">
        <v>0</v>
      </c>
      <c r="I46" s="100">
        <v>0</v>
      </c>
      <c r="J46" s="100">
        <v>10</v>
      </c>
      <c r="K46" s="100">
        <v>12120</v>
      </c>
      <c r="L46" s="100">
        <v>13</v>
      </c>
      <c r="M46" s="100">
        <v>15756</v>
      </c>
      <c r="N46" s="100">
        <v>11</v>
      </c>
      <c r="O46" s="100">
        <v>13332</v>
      </c>
      <c r="P46" s="100">
        <v>15</v>
      </c>
      <c r="Q46" s="100">
        <v>18180</v>
      </c>
      <c r="R46" s="100">
        <v>9</v>
      </c>
      <c r="S46" s="100">
        <v>10908</v>
      </c>
      <c r="T46" s="100">
        <v>10</v>
      </c>
      <c r="U46" s="100">
        <v>12120</v>
      </c>
      <c r="V46" s="100">
        <v>8.8793965707448805</v>
      </c>
      <c r="W46" s="100">
        <v>10761.828643742796</v>
      </c>
      <c r="X46" s="100">
        <v>12.833287155085335</v>
      </c>
      <c r="Y46" s="100">
        <v>15553.944031963427</v>
      </c>
      <c r="Z46" s="100">
        <v>7</v>
      </c>
      <c r="AA46" s="100">
        <v>8484</v>
      </c>
      <c r="AB46" s="100">
        <v>9</v>
      </c>
      <c r="AC46" s="100">
        <v>10908</v>
      </c>
      <c r="AD46" s="100">
        <v>14</v>
      </c>
      <c r="AE46" s="100">
        <v>16968</v>
      </c>
      <c r="AF46" s="100">
        <v>11</v>
      </c>
      <c r="AG46" s="100">
        <v>13332</v>
      </c>
      <c r="AH46" s="100">
        <v>9</v>
      </c>
      <c r="AI46" s="100">
        <v>10908</v>
      </c>
      <c r="AJ46" s="100">
        <v>12</v>
      </c>
      <c r="AK46" s="100">
        <v>14544</v>
      </c>
      <c r="AL46" s="100">
        <v>15</v>
      </c>
      <c r="AM46" s="100">
        <v>18180</v>
      </c>
      <c r="AN46" s="100">
        <v>11</v>
      </c>
      <c r="AO46" s="100">
        <v>13332</v>
      </c>
      <c r="AP46" s="100">
        <v>8</v>
      </c>
      <c r="AQ46" s="100">
        <v>9696</v>
      </c>
      <c r="AR46" s="100">
        <v>11</v>
      </c>
      <c r="AS46" s="100">
        <v>13332</v>
      </c>
      <c r="AT46" s="100">
        <v>12</v>
      </c>
      <c r="AU46" s="100">
        <v>14544</v>
      </c>
      <c r="AV46" s="100">
        <v>10</v>
      </c>
      <c r="AW46" s="100">
        <v>12120</v>
      </c>
      <c r="AX46" s="100">
        <v>12</v>
      </c>
      <c r="AY46" s="100">
        <v>14544</v>
      </c>
      <c r="AZ46" s="100">
        <v>11</v>
      </c>
      <c r="BA46" s="100">
        <v>13332</v>
      </c>
      <c r="BB46" s="100">
        <v>11</v>
      </c>
      <c r="BC46" s="100">
        <v>13332</v>
      </c>
      <c r="BD46" s="100">
        <v>8</v>
      </c>
      <c r="BE46" s="100">
        <v>9696</v>
      </c>
      <c r="BF46" s="100">
        <v>10</v>
      </c>
      <c r="BG46" s="100">
        <v>12120</v>
      </c>
      <c r="BH46" s="100">
        <v>12</v>
      </c>
      <c r="BI46" s="100">
        <v>14544</v>
      </c>
      <c r="BJ46" s="100">
        <v>10</v>
      </c>
      <c r="BK46" s="100">
        <v>12120</v>
      </c>
      <c r="BL46" s="100">
        <v>12</v>
      </c>
      <c r="BM46" s="100">
        <v>14544</v>
      </c>
      <c r="BN46" s="100">
        <v>11</v>
      </c>
      <c r="BO46" s="100">
        <v>13332</v>
      </c>
      <c r="BP46" s="100">
        <v>8</v>
      </c>
      <c r="BQ46" s="100">
        <v>9696</v>
      </c>
      <c r="BR46" s="100">
        <v>10</v>
      </c>
      <c r="BS46" s="100">
        <v>12120</v>
      </c>
      <c r="BT46" s="100">
        <v>10</v>
      </c>
      <c r="BU46" s="100">
        <v>12120</v>
      </c>
      <c r="BV46" s="100">
        <v>14</v>
      </c>
      <c r="BW46" s="100">
        <v>16968</v>
      </c>
      <c r="BX46" s="100">
        <v>8</v>
      </c>
      <c r="BY46" s="100">
        <v>9696</v>
      </c>
      <c r="BZ46" s="100">
        <v>11</v>
      </c>
      <c r="CA46" s="100">
        <v>13332</v>
      </c>
      <c r="CB46" s="100">
        <v>9</v>
      </c>
      <c r="CC46" s="100">
        <v>10908</v>
      </c>
      <c r="CD46" s="100">
        <v>13</v>
      </c>
      <c r="CE46" s="100">
        <v>15756</v>
      </c>
      <c r="CF46" s="100">
        <v>14</v>
      </c>
      <c r="CG46" s="100">
        <v>16968</v>
      </c>
      <c r="CH46" s="100">
        <v>8</v>
      </c>
      <c r="CI46" s="100">
        <v>9696</v>
      </c>
      <c r="CJ46" s="100">
        <v>16</v>
      </c>
      <c r="CK46" s="100">
        <v>19392</v>
      </c>
      <c r="CL46" s="100">
        <v>10</v>
      </c>
      <c r="CM46" s="100">
        <v>12120</v>
      </c>
      <c r="CN46" s="100">
        <v>16</v>
      </c>
      <c r="CO46" s="100">
        <v>19392</v>
      </c>
      <c r="CP46" s="100">
        <v>14</v>
      </c>
      <c r="CQ46" s="100">
        <v>16968</v>
      </c>
      <c r="CR46" s="100">
        <v>9</v>
      </c>
      <c r="CS46" s="100">
        <v>10908</v>
      </c>
      <c r="CT46" s="100">
        <v>8</v>
      </c>
      <c r="CU46" s="100">
        <v>9696</v>
      </c>
    </row>
    <row r="47" spans="2:99">
      <c r="C47" s="99" t="s">
        <v>213</v>
      </c>
      <c r="D47" s="100">
        <v>12</v>
      </c>
      <c r="E47" s="100">
        <v>18331.199999999997</v>
      </c>
      <c r="F47" s="100">
        <v>6.2686662011995979</v>
      </c>
      <c r="G47" s="100">
        <v>9576.0144889525054</v>
      </c>
      <c r="H47" s="100">
        <v>0</v>
      </c>
      <c r="I47" s="100">
        <v>0</v>
      </c>
      <c r="J47" s="100">
        <v>8</v>
      </c>
      <c r="K47" s="100">
        <v>12220.8</v>
      </c>
      <c r="L47" s="100">
        <v>14</v>
      </c>
      <c r="M47" s="100">
        <v>21386.399999999998</v>
      </c>
      <c r="N47" s="100">
        <v>11</v>
      </c>
      <c r="O47" s="100">
        <v>16803.599999999999</v>
      </c>
      <c r="P47" s="100">
        <v>14</v>
      </c>
      <c r="Q47" s="100">
        <v>21386.399999999998</v>
      </c>
      <c r="R47" s="100">
        <v>9</v>
      </c>
      <c r="S47" s="100">
        <v>13748.4</v>
      </c>
      <c r="T47" s="100">
        <v>10</v>
      </c>
      <c r="U47" s="100">
        <v>15276</v>
      </c>
      <c r="V47" s="100">
        <v>9.8659961897165331</v>
      </c>
      <c r="W47" s="100">
        <v>15071.295779410975</v>
      </c>
      <c r="X47" s="100">
        <v>12.833287155085335</v>
      </c>
      <c r="Y47" s="100">
        <v>19604.129458108357</v>
      </c>
      <c r="Z47" s="100">
        <v>8</v>
      </c>
      <c r="AA47" s="100">
        <v>12220.8</v>
      </c>
      <c r="AB47" s="100">
        <v>8</v>
      </c>
      <c r="AC47" s="100">
        <v>12220.8</v>
      </c>
      <c r="AD47" s="100">
        <v>13</v>
      </c>
      <c r="AE47" s="100">
        <v>19858.8</v>
      </c>
      <c r="AF47" s="100">
        <v>12</v>
      </c>
      <c r="AG47" s="100">
        <v>18331.199999999997</v>
      </c>
      <c r="AH47" s="100">
        <v>10</v>
      </c>
      <c r="AI47" s="100">
        <v>15276</v>
      </c>
      <c r="AJ47" s="100">
        <v>12</v>
      </c>
      <c r="AK47" s="100">
        <v>18331.199999999997</v>
      </c>
      <c r="AL47" s="100">
        <v>13</v>
      </c>
      <c r="AM47" s="100">
        <v>19858.8</v>
      </c>
      <c r="AN47" s="100">
        <v>9</v>
      </c>
      <c r="AO47" s="100">
        <v>13748.4</v>
      </c>
      <c r="AP47" s="100">
        <v>9</v>
      </c>
      <c r="AQ47" s="100">
        <v>13748.4</v>
      </c>
      <c r="AR47" s="100">
        <v>12</v>
      </c>
      <c r="AS47" s="100">
        <v>18331.199999999997</v>
      </c>
      <c r="AT47" s="100">
        <v>11</v>
      </c>
      <c r="AU47" s="100">
        <v>16803.599999999999</v>
      </c>
      <c r="AV47" s="100">
        <v>9</v>
      </c>
      <c r="AW47" s="100">
        <v>13748.4</v>
      </c>
      <c r="AX47" s="100">
        <v>12</v>
      </c>
      <c r="AY47" s="100">
        <v>18331.199999999997</v>
      </c>
      <c r="AZ47" s="100">
        <v>12</v>
      </c>
      <c r="BA47" s="100">
        <v>18331.199999999997</v>
      </c>
      <c r="BB47" s="100">
        <v>11</v>
      </c>
      <c r="BC47" s="100">
        <v>16803.599999999999</v>
      </c>
      <c r="BD47" s="100">
        <v>7</v>
      </c>
      <c r="BE47" s="100">
        <v>10693.199999999999</v>
      </c>
      <c r="BF47" s="100">
        <v>9</v>
      </c>
      <c r="BG47" s="100">
        <v>13748.4</v>
      </c>
      <c r="BH47" s="100">
        <v>12</v>
      </c>
      <c r="BI47" s="100">
        <v>18331.199999999997</v>
      </c>
      <c r="BJ47" s="100">
        <v>10</v>
      </c>
      <c r="BK47" s="100">
        <v>15276</v>
      </c>
      <c r="BL47" s="100">
        <v>13</v>
      </c>
      <c r="BM47" s="100">
        <v>19858.8</v>
      </c>
      <c r="BN47" s="100">
        <v>11</v>
      </c>
      <c r="BO47" s="100">
        <v>16803.599999999999</v>
      </c>
      <c r="BP47" s="100">
        <v>7</v>
      </c>
      <c r="BQ47" s="100">
        <v>10693.199999999999</v>
      </c>
      <c r="BR47" s="100">
        <v>11</v>
      </c>
      <c r="BS47" s="100">
        <v>16803.599999999999</v>
      </c>
      <c r="BT47" s="100">
        <v>8</v>
      </c>
      <c r="BU47" s="100">
        <v>12220.8</v>
      </c>
      <c r="BV47" s="100">
        <v>12</v>
      </c>
      <c r="BW47" s="100">
        <v>18331.199999999997</v>
      </c>
      <c r="BX47" s="100">
        <v>9</v>
      </c>
      <c r="BY47" s="100">
        <v>13748.4</v>
      </c>
      <c r="BZ47" s="100">
        <v>12</v>
      </c>
      <c r="CA47" s="100">
        <v>18331.199999999997</v>
      </c>
      <c r="CB47" s="100">
        <v>8</v>
      </c>
      <c r="CC47" s="100">
        <v>12220.8</v>
      </c>
      <c r="CD47" s="100">
        <v>12</v>
      </c>
      <c r="CE47" s="100">
        <v>18331.199999999997</v>
      </c>
      <c r="CF47" s="100">
        <v>15</v>
      </c>
      <c r="CG47" s="100">
        <v>22914</v>
      </c>
      <c r="CH47" s="100">
        <v>8</v>
      </c>
      <c r="CI47" s="100">
        <v>12220.8</v>
      </c>
      <c r="CJ47" s="100">
        <v>14</v>
      </c>
      <c r="CK47" s="100">
        <v>21386.399999999998</v>
      </c>
      <c r="CL47" s="100">
        <v>9</v>
      </c>
      <c r="CM47" s="100">
        <v>13748.4</v>
      </c>
      <c r="CN47" s="100">
        <v>15</v>
      </c>
      <c r="CO47" s="100">
        <v>22914</v>
      </c>
      <c r="CP47" s="100">
        <v>14</v>
      </c>
      <c r="CQ47" s="100">
        <v>21386.399999999998</v>
      </c>
      <c r="CR47" s="100">
        <v>9</v>
      </c>
      <c r="CS47" s="100">
        <v>13748.4</v>
      </c>
      <c r="CT47" s="100">
        <v>9</v>
      </c>
      <c r="CU47" s="100">
        <v>13748.4</v>
      </c>
    </row>
    <row r="48" spans="2:99">
      <c r="C48" s="99" t="s">
        <v>214</v>
      </c>
      <c r="D48" s="100">
        <v>11</v>
      </c>
      <c r="E48" s="100">
        <v>9543.6</v>
      </c>
      <c r="F48" s="100">
        <v>6.2686662011995979</v>
      </c>
      <c r="G48" s="100">
        <v>5438.6947961607711</v>
      </c>
      <c r="H48" s="100">
        <v>0</v>
      </c>
      <c r="I48" s="100">
        <v>0</v>
      </c>
      <c r="J48" s="100">
        <v>9</v>
      </c>
      <c r="K48" s="100">
        <v>7808.4000000000005</v>
      </c>
      <c r="L48" s="100">
        <v>13</v>
      </c>
      <c r="M48" s="100">
        <v>11278.800000000001</v>
      </c>
      <c r="N48" s="100">
        <v>12</v>
      </c>
      <c r="O48" s="100">
        <v>10411.200000000001</v>
      </c>
      <c r="P48" s="100">
        <v>14</v>
      </c>
      <c r="Q48" s="100">
        <v>12146.4</v>
      </c>
      <c r="R48" s="100">
        <v>8</v>
      </c>
      <c r="S48" s="100">
        <v>6940.8</v>
      </c>
      <c r="T48" s="100">
        <v>9</v>
      </c>
      <c r="U48" s="100">
        <v>7808.4000000000005</v>
      </c>
      <c r="V48" s="100">
        <v>9.8659961897165331</v>
      </c>
      <c r="W48" s="100">
        <v>8559.738294198065</v>
      </c>
      <c r="X48" s="100">
        <v>10.858935285072207</v>
      </c>
      <c r="Y48" s="100">
        <v>9421.2122533286474</v>
      </c>
      <c r="Z48" s="100">
        <v>8</v>
      </c>
      <c r="AA48" s="100">
        <v>6940.8</v>
      </c>
      <c r="AB48" s="100">
        <v>10</v>
      </c>
      <c r="AC48" s="100">
        <v>8676</v>
      </c>
      <c r="AD48" s="100">
        <v>15</v>
      </c>
      <c r="AE48" s="100">
        <v>13014</v>
      </c>
      <c r="AF48" s="100">
        <v>12</v>
      </c>
      <c r="AG48" s="100">
        <v>10411.200000000001</v>
      </c>
      <c r="AH48" s="100">
        <v>9</v>
      </c>
      <c r="AI48" s="100">
        <v>7808.4000000000005</v>
      </c>
      <c r="AJ48" s="100">
        <v>14</v>
      </c>
      <c r="AK48" s="100">
        <v>12146.4</v>
      </c>
      <c r="AL48" s="100">
        <v>15</v>
      </c>
      <c r="AM48" s="100">
        <v>13014</v>
      </c>
      <c r="AN48" s="100">
        <v>9</v>
      </c>
      <c r="AO48" s="100">
        <v>7808.4000000000005</v>
      </c>
      <c r="AP48" s="100">
        <v>8</v>
      </c>
      <c r="AQ48" s="100">
        <v>6940.8</v>
      </c>
      <c r="AR48" s="100">
        <v>12</v>
      </c>
      <c r="AS48" s="100">
        <v>10411.200000000001</v>
      </c>
      <c r="AT48" s="100">
        <v>11</v>
      </c>
      <c r="AU48" s="100">
        <v>9543.6</v>
      </c>
      <c r="AV48" s="100">
        <v>10</v>
      </c>
      <c r="AW48" s="100">
        <v>8676</v>
      </c>
      <c r="AX48" s="100">
        <v>11</v>
      </c>
      <c r="AY48" s="100">
        <v>9543.6</v>
      </c>
      <c r="AZ48" s="100">
        <v>11</v>
      </c>
      <c r="BA48" s="100">
        <v>9543.6</v>
      </c>
      <c r="BB48" s="100">
        <v>11</v>
      </c>
      <c r="BC48" s="100">
        <v>9543.6</v>
      </c>
      <c r="BD48" s="100">
        <v>8</v>
      </c>
      <c r="BE48" s="100">
        <v>6940.8</v>
      </c>
      <c r="BF48" s="100">
        <v>10</v>
      </c>
      <c r="BG48" s="100">
        <v>8676</v>
      </c>
      <c r="BH48" s="100">
        <v>14</v>
      </c>
      <c r="BI48" s="100">
        <v>12146.4</v>
      </c>
      <c r="BJ48" s="100">
        <v>9</v>
      </c>
      <c r="BK48" s="100">
        <v>7808.4000000000005</v>
      </c>
      <c r="BL48" s="100">
        <v>12</v>
      </c>
      <c r="BM48" s="100">
        <v>10411.200000000001</v>
      </c>
      <c r="BN48" s="100">
        <v>12</v>
      </c>
      <c r="BO48" s="100">
        <v>10411.200000000001</v>
      </c>
      <c r="BP48" s="100">
        <v>7</v>
      </c>
      <c r="BQ48" s="100">
        <v>6073.2</v>
      </c>
      <c r="BR48" s="100">
        <v>10</v>
      </c>
      <c r="BS48" s="100">
        <v>8676</v>
      </c>
      <c r="BT48" s="100">
        <v>10</v>
      </c>
      <c r="BU48" s="100">
        <v>8676</v>
      </c>
      <c r="BV48" s="100">
        <v>13</v>
      </c>
      <c r="BW48" s="100">
        <v>11278.800000000001</v>
      </c>
      <c r="BX48" s="100">
        <v>8</v>
      </c>
      <c r="BY48" s="100">
        <v>6940.8</v>
      </c>
      <c r="BZ48" s="100">
        <v>11</v>
      </c>
      <c r="CA48" s="100">
        <v>9543.6</v>
      </c>
      <c r="CB48" s="100">
        <v>10</v>
      </c>
      <c r="CC48" s="100">
        <v>8676</v>
      </c>
      <c r="CD48" s="100">
        <v>13</v>
      </c>
      <c r="CE48" s="100">
        <v>11278.800000000001</v>
      </c>
      <c r="CF48" s="100">
        <v>15</v>
      </c>
      <c r="CG48" s="100">
        <v>13014</v>
      </c>
      <c r="CH48" s="100">
        <v>8</v>
      </c>
      <c r="CI48" s="100">
        <v>6940.8</v>
      </c>
      <c r="CJ48" s="100">
        <v>14</v>
      </c>
      <c r="CK48" s="100">
        <v>12146.4</v>
      </c>
      <c r="CL48" s="100">
        <v>11</v>
      </c>
      <c r="CM48" s="100">
        <v>9543.6</v>
      </c>
      <c r="CN48" s="100">
        <v>14</v>
      </c>
      <c r="CO48" s="100">
        <v>12146.4</v>
      </c>
      <c r="CP48" s="100">
        <v>13</v>
      </c>
      <c r="CQ48" s="100">
        <v>11278.800000000001</v>
      </c>
      <c r="CR48" s="100">
        <v>10</v>
      </c>
      <c r="CS48" s="100">
        <v>8676</v>
      </c>
      <c r="CT48" s="100">
        <v>8</v>
      </c>
      <c r="CU48" s="100">
        <v>6940.8</v>
      </c>
    </row>
    <row r="49" spans="2:99">
      <c r="B49" s="99" t="s">
        <v>129</v>
      </c>
      <c r="C49" s="99" t="s">
        <v>215</v>
      </c>
      <c r="D49" s="100">
        <v>7</v>
      </c>
      <c r="E49" s="100">
        <v>6896.4</v>
      </c>
      <c r="F49" s="100">
        <v>5.5271353213522012</v>
      </c>
      <c r="G49" s="100">
        <v>5445.3337185961882</v>
      </c>
      <c r="H49" s="100">
        <v>6</v>
      </c>
      <c r="I49" s="100">
        <v>5911.2</v>
      </c>
      <c r="J49" s="100">
        <v>3.3915894042312678</v>
      </c>
      <c r="K49" s="100">
        <v>3341.3938810486447</v>
      </c>
      <c r="L49" s="100">
        <v>10</v>
      </c>
      <c r="M49" s="100">
        <v>9852</v>
      </c>
      <c r="N49" s="100">
        <v>11</v>
      </c>
      <c r="O49" s="100">
        <v>10837.199999999999</v>
      </c>
      <c r="P49" s="100">
        <v>4.6952174688878801</v>
      </c>
      <c r="Q49" s="100">
        <v>4625.7282503483393</v>
      </c>
      <c r="R49" s="100">
        <v>6</v>
      </c>
      <c r="S49" s="100">
        <v>5911.2</v>
      </c>
      <c r="T49" s="100">
        <v>5.9331175139835493</v>
      </c>
      <c r="U49" s="100">
        <v>5845.307374776592</v>
      </c>
      <c r="V49" s="100">
        <v>9</v>
      </c>
      <c r="W49" s="100">
        <v>8866.7999999999993</v>
      </c>
      <c r="X49" s="100">
        <v>7.1510087436057743</v>
      </c>
      <c r="Y49" s="100">
        <v>7045.1738142004087</v>
      </c>
      <c r="Z49" s="100">
        <v>2.300347596370516</v>
      </c>
      <c r="AA49" s="100">
        <v>2266.3024519442324</v>
      </c>
      <c r="AB49" s="100">
        <v>6</v>
      </c>
      <c r="AC49" s="100">
        <v>5911.2</v>
      </c>
      <c r="AD49" s="100">
        <v>8</v>
      </c>
      <c r="AE49" s="100">
        <v>7881.5999999999995</v>
      </c>
      <c r="AF49" s="100">
        <v>4.5009647023729062</v>
      </c>
      <c r="AG49" s="100">
        <v>4434.3504247777873</v>
      </c>
      <c r="AH49" s="100">
        <v>11</v>
      </c>
      <c r="AI49" s="100">
        <v>10837.199999999999</v>
      </c>
      <c r="AJ49" s="100">
        <v>9</v>
      </c>
      <c r="AK49" s="100">
        <v>8866.7999999999993</v>
      </c>
      <c r="AL49" s="100">
        <v>7</v>
      </c>
      <c r="AM49" s="100">
        <v>6896.4</v>
      </c>
      <c r="AN49" s="100">
        <v>8</v>
      </c>
      <c r="AO49" s="100">
        <v>7881.5999999999995</v>
      </c>
      <c r="AP49" s="100">
        <v>2.5639019345916041</v>
      </c>
      <c r="AQ49" s="100">
        <v>2525.9561859596483</v>
      </c>
      <c r="AR49" s="100">
        <v>6.0850476003728673</v>
      </c>
      <c r="AS49" s="100">
        <v>5994.988895887348</v>
      </c>
      <c r="AT49" s="100">
        <v>7</v>
      </c>
      <c r="AU49" s="100">
        <v>6896.4</v>
      </c>
      <c r="AV49" s="100">
        <v>8</v>
      </c>
      <c r="AW49" s="100">
        <v>7881.5999999999995</v>
      </c>
      <c r="AX49" s="100">
        <v>5</v>
      </c>
      <c r="AY49" s="100">
        <v>4926</v>
      </c>
      <c r="AZ49" s="100">
        <v>8</v>
      </c>
      <c r="BA49" s="100">
        <v>7881.5999999999995</v>
      </c>
      <c r="BB49" s="100">
        <v>6</v>
      </c>
      <c r="BC49" s="100">
        <v>5911.2</v>
      </c>
      <c r="BD49" s="100">
        <v>9</v>
      </c>
      <c r="BE49" s="100">
        <v>8866.7999999999993</v>
      </c>
      <c r="BF49" s="100">
        <v>1.6954707605140686</v>
      </c>
      <c r="BG49" s="100">
        <v>1670.3777932584603</v>
      </c>
      <c r="BH49" s="100">
        <v>8</v>
      </c>
      <c r="BI49" s="100">
        <v>7881.5999999999995</v>
      </c>
      <c r="BJ49" s="100">
        <v>6.2204178962197938</v>
      </c>
      <c r="BK49" s="100">
        <v>6128.3557113557408</v>
      </c>
      <c r="BL49" s="100">
        <v>5</v>
      </c>
      <c r="BM49" s="100">
        <v>4926</v>
      </c>
      <c r="BN49" s="100">
        <v>11</v>
      </c>
      <c r="BO49" s="100">
        <v>10837.199999999999</v>
      </c>
      <c r="BP49" s="100">
        <v>9</v>
      </c>
      <c r="BQ49" s="100">
        <v>8866.7999999999993</v>
      </c>
      <c r="BR49" s="100">
        <v>9</v>
      </c>
      <c r="BS49" s="100">
        <v>8866.7999999999993</v>
      </c>
      <c r="BT49" s="100">
        <v>7</v>
      </c>
      <c r="BU49" s="100">
        <v>6896.4</v>
      </c>
      <c r="BV49" s="100">
        <v>8.7366195692389415</v>
      </c>
      <c r="BW49" s="100">
        <v>8607.3175996142054</v>
      </c>
      <c r="BX49" s="100">
        <v>7</v>
      </c>
      <c r="BY49" s="100">
        <v>6896.4</v>
      </c>
      <c r="BZ49" s="100">
        <v>0.5311925517201791</v>
      </c>
      <c r="CA49" s="100">
        <v>523.33090195472039</v>
      </c>
      <c r="CB49" s="100">
        <v>8</v>
      </c>
      <c r="CC49" s="100">
        <v>7881.5999999999995</v>
      </c>
      <c r="CD49" s="100">
        <v>1.5294867624074793</v>
      </c>
      <c r="CE49" s="100">
        <v>1506.8503583238485</v>
      </c>
      <c r="CF49" s="100">
        <v>6</v>
      </c>
      <c r="CG49" s="100">
        <v>5911.2</v>
      </c>
      <c r="CH49" s="100">
        <v>5.3932317560649388</v>
      </c>
      <c r="CI49" s="100">
        <v>5313.4119260751777</v>
      </c>
      <c r="CJ49" s="100">
        <v>10</v>
      </c>
      <c r="CK49" s="100">
        <v>9852</v>
      </c>
      <c r="CL49" s="100">
        <v>8</v>
      </c>
      <c r="CM49" s="100">
        <v>7881.5999999999995</v>
      </c>
      <c r="CN49" s="100">
        <v>5</v>
      </c>
      <c r="CO49" s="100">
        <v>4926</v>
      </c>
      <c r="CP49" s="100">
        <v>9</v>
      </c>
      <c r="CQ49" s="100">
        <v>8866.7999999999993</v>
      </c>
      <c r="CR49" s="100">
        <v>7</v>
      </c>
      <c r="CS49" s="100">
        <v>6896.4</v>
      </c>
      <c r="CT49" s="100">
        <v>9</v>
      </c>
      <c r="CU49" s="100">
        <v>8866.7999999999993</v>
      </c>
    </row>
    <row r="50" spans="2:99">
      <c r="C50" s="99" t="s">
        <v>216</v>
      </c>
      <c r="D50" s="100">
        <v>8</v>
      </c>
      <c r="E50" s="100">
        <v>2256</v>
      </c>
      <c r="F50" s="100">
        <v>5.1289087100723982</v>
      </c>
      <c r="G50" s="100">
        <v>1446.3522562404164</v>
      </c>
      <c r="H50" s="100">
        <v>0</v>
      </c>
      <c r="I50" s="100">
        <v>0</v>
      </c>
      <c r="J50" s="100">
        <v>6</v>
      </c>
      <c r="K50" s="100">
        <v>1692</v>
      </c>
      <c r="L50" s="100">
        <v>11</v>
      </c>
      <c r="M50" s="100">
        <v>3102</v>
      </c>
      <c r="N50" s="100">
        <v>10</v>
      </c>
      <c r="O50" s="100">
        <v>2820</v>
      </c>
      <c r="P50" s="100">
        <v>6</v>
      </c>
      <c r="Q50" s="100">
        <v>1692</v>
      </c>
      <c r="R50" s="100">
        <v>6</v>
      </c>
      <c r="S50" s="100">
        <v>1692</v>
      </c>
      <c r="T50" s="100">
        <v>6</v>
      </c>
      <c r="U50" s="100">
        <v>1692</v>
      </c>
      <c r="V50" s="100">
        <v>9.8659961897165331</v>
      </c>
      <c r="W50" s="100">
        <v>2782.2109255000623</v>
      </c>
      <c r="X50" s="100">
        <v>9.8717593500656431</v>
      </c>
      <c r="Y50" s="100">
        <v>2783.8361367185112</v>
      </c>
      <c r="Z50" s="100">
        <v>10</v>
      </c>
      <c r="AA50" s="100">
        <v>2820</v>
      </c>
      <c r="AB50" s="100">
        <v>6</v>
      </c>
      <c r="AC50" s="100">
        <v>1692</v>
      </c>
      <c r="AD50" s="100">
        <v>8</v>
      </c>
      <c r="AE50" s="100">
        <v>2256</v>
      </c>
      <c r="AF50" s="100">
        <v>6</v>
      </c>
      <c r="AG50" s="100">
        <v>1692</v>
      </c>
      <c r="AH50" s="100">
        <v>12</v>
      </c>
      <c r="AI50" s="100">
        <v>3384</v>
      </c>
      <c r="AJ50" s="100">
        <v>10</v>
      </c>
      <c r="AK50" s="100">
        <v>2820</v>
      </c>
      <c r="AL50" s="100">
        <v>8</v>
      </c>
      <c r="AM50" s="100">
        <v>2256</v>
      </c>
      <c r="AN50" s="100">
        <v>8</v>
      </c>
      <c r="AO50" s="100">
        <v>2256</v>
      </c>
      <c r="AP50" s="100">
        <v>6</v>
      </c>
      <c r="AQ50" s="100">
        <v>1692</v>
      </c>
      <c r="AR50" s="100">
        <v>8</v>
      </c>
      <c r="AS50" s="100">
        <v>2256</v>
      </c>
      <c r="AT50" s="100">
        <v>8</v>
      </c>
      <c r="AU50" s="100">
        <v>2256</v>
      </c>
      <c r="AV50" s="100">
        <v>9</v>
      </c>
      <c r="AW50" s="100">
        <v>2538</v>
      </c>
      <c r="AX50" s="100">
        <v>5</v>
      </c>
      <c r="AY50" s="100">
        <v>1410</v>
      </c>
      <c r="AZ50" s="100">
        <v>8</v>
      </c>
      <c r="BA50" s="100">
        <v>2256</v>
      </c>
      <c r="BB50" s="100">
        <v>6</v>
      </c>
      <c r="BC50" s="100">
        <v>1692</v>
      </c>
      <c r="BD50" s="100">
        <v>9</v>
      </c>
      <c r="BE50" s="100">
        <v>2538</v>
      </c>
      <c r="BF50" s="100">
        <v>6</v>
      </c>
      <c r="BG50" s="100">
        <v>1692</v>
      </c>
      <c r="BH50" s="100">
        <v>10</v>
      </c>
      <c r="BI50" s="100">
        <v>2820</v>
      </c>
      <c r="BJ50" s="100">
        <v>6</v>
      </c>
      <c r="BK50" s="100">
        <v>1692</v>
      </c>
      <c r="BL50" s="100">
        <v>6</v>
      </c>
      <c r="BM50" s="100">
        <v>1692</v>
      </c>
      <c r="BN50" s="100">
        <v>10</v>
      </c>
      <c r="BO50" s="100">
        <v>2820</v>
      </c>
      <c r="BP50" s="100">
        <v>10</v>
      </c>
      <c r="BQ50" s="100">
        <v>2820</v>
      </c>
      <c r="BR50" s="100">
        <v>11</v>
      </c>
      <c r="BS50" s="100">
        <v>3102</v>
      </c>
      <c r="BT50" s="100">
        <v>8</v>
      </c>
      <c r="BU50" s="100">
        <v>2256</v>
      </c>
      <c r="BV50" s="100">
        <v>10</v>
      </c>
      <c r="BW50" s="100">
        <v>2820</v>
      </c>
      <c r="BX50" s="100">
        <v>7</v>
      </c>
      <c r="BY50" s="100">
        <v>1974</v>
      </c>
      <c r="BZ50" s="100">
        <v>8</v>
      </c>
      <c r="CA50" s="100">
        <v>2256</v>
      </c>
      <c r="CB50" s="100">
        <v>9</v>
      </c>
      <c r="CC50" s="100">
        <v>2538</v>
      </c>
      <c r="CD50" s="100">
        <v>11</v>
      </c>
      <c r="CE50" s="100">
        <v>3102</v>
      </c>
      <c r="CF50" s="100">
        <v>6</v>
      </c>
      <c r="CG50" s="100">
        <v>1692</v>
      </c>
      <c r="CH50" s="100">
        <v>7</v>
      </c>
      <c r="CI50" s="100">
        <v>1974</v>
      </c>
      <c r="CJ50" s="100">
        <v>10</v>
      </c>
      <c r="CK50" s="100">
        <v>2820</v>
      </c>
      <c r="CL50" s="100">
        <v>7</v>
      </c>
      <c r="CM50" s="100">
        <v>1974</v>
      </c>
      <c r="CN50" s="100">
        <v>6</v>
      </c>
      <c r="CO50" s="100">
        <v>1692</v>
      </c>
      <c r="CP50" s="100">
        <v>8</v>
      </c>
      <c r="CQ50" s="100">
        <v>2256</v>
      </c>
      <c r="CR50" s="100">
        <v>7</v>
      </c>
      <c r="CS50" s="100">
        <v>1974</v>
      </c>
      <c r="CT50" s="100">
        <v>9</v>
      </c>
      <c r="CU50" s="100">
        <v>2538</v>
      </c>
    </row>
    <row r="51" spans="2:99">
      <c r="C51" s="99" t="s">
        <v>217</v>
      </c>
      <c r="D51" s="100">
        <v>8</v>
      </c>
      <c r="E51" s="100">
        <v>6835.2</v>
      </c>
      <c r="F51" s="100">
        <v>5.1289087100723982</v>
      </c>
      <c r="G51" s="100">
        <v>4382.1396018858568</v>
      </c>
      <c r="H51" s="100">
        <v>0</v>
      </c>
      <c r="I51" s="100">
        <v>0</v>
      </c>
      <c r="J51" s="100">
        <v>6</v>
      </c>
      <c r="K51" s="100">
        <v>5126.3999999999996</v>
      </c>
      <c r="L51" s="100">
        <v>10</v>
      </c>
      <c r="M51" s="100">
        <v>8544</v>
      </c>
      <c r="N51" s="100">
        <v>9</v>
      </c>
      <c r="O51" s="100">
        <v>7689.5999999999995</v>
      </c>
      <c r="P51" s="100">
        <v>6</v>
      </c>
      <c r="Q51" s="100">
        <v>5126.3999999999996</v>
      </c>
      <c r="R51" s="100">
        <v>7</v>
      </c>
      <c r="S51" s="100">
        <v>5980.8</v>
      </c>
      <c r="T51" s="100">
        <v>6</v>
      </c>
      <c r="U51" s="100">
        <v>5126.3999999999996</v>
      </c>
      <c r="V51" s="100">
        <v>8.8793965707448805</v>
      </c>
      <c r="W51" s="100">
        <v>7586.5564300444257</v>
      </c>
      <c r="X51" s="100">
        <v>8.8845834150590797</v>
      </c>
      <c r="Y51" s="100">
        <v>7590.9880698264778</v>
      </c>
      <c r="Z51" s="100">
        <v>9</v>
      </c>
      <c r="AA51" s="100">
        <v>7689.5999999999995</v>
      </c>
      <c r="AB51" s="100">
        <v>6</v>
      </c>
      <c r="AC51" s="100">
        <v>5126.3999999999996</v>
      </c>
      <c r="AD51" s="100">
        <v>9</v>
      </c>
      <c r="AE51" s="100">
        <v>7689.5999999999995</v>
      </c>
      <c r="AF51" s="100">
        <v>5</v>
      </c>
      <c r="AG51" s="100">
        <v>4272</v>
      </c>
      <c r="AH51" s="100">
        <v>11</v>
      </c>
      <c r="AI51" s="100">
        <v>9398.4</v>
      </c>
      <c r="AJ51" s="100">
        <v>9</v>
      </c>
      <c r="AK51" s="100">
        <v>7689.5999999999995</v>
      </c>
      <c r="AL51" s="100">
        <v>7</v>
      </c>
      <c r="AM51" s="100">
        <v>5980.8</v>
      </c>
      <c r="AN51" s="100">
        <v>8</v>
      </c>
      <c r="AO51" s="100">
        <v>6835.2</v>
      </c>
      <c r="AP51" s="100">
        <v>6</v>
      </c>
      <c r="AQ51" s="100">
        <v>5126.3999999999996</v>
      </c>
      <c r="AR51" s="100">
        <v>8</v>
      </c>
      <c r="AS51" s="100">
        <v>6835.2</v>
      </c>
      <c r="AT51" s="100">
        <v>8</v>
      </c>
      <c r="AU51" s="100">
        <v>6835.2</v>
      </c>
      <c r="AV51" s="100">
        <v>7</v>
      </c>
      <c r="AW51" s="100">
        <v>5980.8</v>
      </c>
      <c r="AX51" s="100">
        <v>5</v>
      </c>
      <c r="AY51" s="100">
        <v>4272</v>
      </c>
      <c r="AZ51" s="100">
        <v>8</v>
      </c>
      <c r="BA51" s="100">
        <v>6835.2</v>
      </c>
      <c r="BB51" s="100">
        <v>6</v>
      </c>
      <c r="BC51" s="100">
        <v>5126.3999999999996</v>
      </c>
      <c r="BD51" s="100">
        <v>10</v>
      </c>
      <c r="BE51" s="100">
        <v>8544</v>
      </c>
      <c r="BF51" s="100">
        <v>7</v>
      </c>
      <c r="BG51" s="100">
        <v>5980.8</v>
      </c>
      <c r="BH51" s="100">
        <v>8</v>
      </c>
      <c r="BI51" s="100">
        <v>6835.2</v>
      </c>
      <c r="BJ51" s="100">
        <v>7</v>
      </c>
      <c r="BK51" s="100">
        <v>5980.8</v>
      </c>
      <c r="BL51" s="100">
        <v>6</v>
      </c>
      <c r="BM51" s="100">
        <v>5126.3999999999996</v>
      </c>
      <c r="BN51" s="100">
        <v>10</v>
      </c>
      <c r="BO51" s="100">
        <v>8544</v>
      </c>
      <c r="BP51" s="100">
        <v>9</v>
      </c>
      <c r="BQ51" s="100">
        <v>7689.5999999999995</v>
      </c>
      <c r="BR51" s="100">
        <v>9</v>
      </c>
      <c r="BS51" s="100">
        <v>7689.5999999999995</v>
      </c>
      <c r="BT51" s="100">
        <v>7</v>
      </c>
      <c r="BU51" s="100">
        <v>5980.8</v>
      </c>
      <c r="BV51" s="100">
        <v>9</v>
      </c>
      <c r="BW51" s="100">
        <v>7689.5999999999995</v>
      </c>
      <c r="BX51" s="100">
        <v>6</v>
      </c>
      <c r="BY51" s="100">
        <v>5126.3999999999996</v>
      </c>
      <c r="BZ51" s="100">
        <v>10</v>
      </c>
      <c r="CA51" s="100">
        <v>8544</v>
      </c>
      <c r="CB51" s="100">
        <v>8</v>
      </c>
      <c r="CC51" s="100">
        <v>6835.2</v>
      </c>
      <c r="CD51" s="100">
        <v>12</v>
      </c>
      <c r="CE51" s="100">
        <v>10252.799999999999</v>
      </c>
      <c r="CF51" s="100">
        <v>6</v>
      </c>
      <c r="CG51" s="100">
        <v>5126.3999999999996</v>
      </c>
      <c r="CH51" s="100">
        <v>7</v>
      </c>
      <c r="CI51" s="100">
        <v>5980.8</v>
      </c>
      <c r="CJ51" s="100">
        <v>9</v>
      </c>
      <c r="CK51" s="100">
        <v>7689.5999999999995</v>
      </c>
      <c r="CL51" s="100">
        <v>6</v>
      </c>
      <c r="CM51" s="100">
        <v>5126.3999999999996</v>
      </c>
      <c r="CN51" s="100">
        <v>6</v>
      </c>
      <c r="CO51" s="100">
        <v>5126.3999999999996</v>
      </c>
      <c r="CP51" s="100">
        <v>8</v>
      </c>
      <c r="CQ51" s="100">
        <v>6835.2</v>
      </c>
      <c r="CR51" s="100">
        <v>7</v>
      </c>
      <c r="CS51" s="100">
        <v>5980.8</v>
      </c>
      <c r="CT51" s="100">
        <v>9</v>
      </c>
      <c r="CU51" s="100">
        <v>7689.5999999999995</v>
      </c>
    </row>
    <row r="52" spans="2:99">
      <c r="C52" s="99" t="s">
        <v>218</v>
      </c>
      <c r="D52" s="100">
        <v>8</v>
      </c>
      <c r="E52" s="100">
        <v>4320</v>
      </c>
      <c r="F52" s="100">
        <v>4.5590299645087979</v>
      </c>
      <c r="G52" s="100">
        <v>2461.8761808347508</v>
      </c>
      <c r="H52" s="100">
        <v>0</v>
      </c>
      <c r="I52" s="100">
        <v>0</v>
      </c>
      <c r="J52" s="100">
        <v>6</v>
      </c>
      <c r="K52" s="100">
        <v>3240</v>
      </c>
      <c r="L52" s="100">
        <v>9</v>
      </c>
      <c r="M52" s="100">
        <v>4860</v>
      </c>
      <c r="N52" s="100">
        <v>11</v>
      </c>
      <c r="O52" s="100">
        <v>5940</v>
      </c>
      <c r="P52" s="100">
        <v>6</v>
      </c>
      <c r="Q52" s="100">
        <v>3240</v>
      </c>
      <c r="R52" s="100">
        <v>7</v>
      </c>
      <c r="S52" s="100">
        <v>3780</v>
      </c>
      <c r="T52" s="100">
        <v>5</v>
      </c>
      <c r="U52" s="100">
        <v>2700</v>
      </c>
      <c r="V52" s="100">
        <v>10.852595808688186</v>
      </c>
      <c r="W52" s="100">
        <v>5860.4017366916205</v>
      </c>
      <c r="X52" s="100">
        <v>9.8717593500656431</v>
      </c>
      <c r="Y52" s="100">
        <v>5330.7500490354469</v>
      </c>
      <c r="Z52" s="100">
        <v>9</v>
      </c>
      <c r="AA52" s="100">
        <v>4860</v>
      </c>
      <c r="AB52" s="100">
        <v>6</v>
      </c>
      <c r="AC52" s="100">
        <v>3240</v>
      </c>
      <c r="AD52" s="100">
        <v>9</v>
      </c>
      <c r="AE52" s="100">
        <v>4860</v>
      </c>
      <c r="AF52" s="100">
        <v>6</v>
      </c>
      <c r="AG52" s="100">
        <v>3240</v>
      </c>
      <c r="AH52" s="100">
        <v>11</v>
      </c>
      <c r="AI52" s="100">
        <v>5940</v>
      </c>
      <c r="AJ52" s="100">
        <v>8</v>
      </c>
      <c r="AK52" s="100">
        <v>4320</v>
      </c>
      <c r="AL52" s="100">
        <v>8</v>
      </c>
      <c r="AM52" s="100">
        <v>4320</v>
      </c>
      <c r="AN52" s="100">
        <v>8</v>
      </c>
      <c r="AO52" s="100">
        <v>4320</v>
      </c>
      <c r="AP52" s="100">
        <v>7</v>
      </c>
      <c r="AQ52" s="100">
        <v>3780</v>
      </c>
      <c r="AR52" s="100">
        <v>8</v>
      </c>
      <c r="AS52" s="100">
        <v>4320</v>
      </c>
      <c r="AT52" s="100">
        <v>7</v>
      </c>
      <c r="AU52" s="100">
        <v>3780</v>
      </c>
      <c r="AV52" s="100">
        <v>8</v>
      </c>
      <c r="AW52" s="100">
        <v>4320</v>
      </c>
      <c r="AX52" s="100">
        <v>6</v>
      </c>
      <c r="AY52" s="100">
        <v>3240</v>
      </c>
      <c r="AZ52" s="100">
        <v>8</v>
      </c>
      <c r="BA52" s="100">
        <v>4320</v>
      </c>
      <c r="BB52" s="100">
        <v>6</v>
      </c>
      <c r="BC52" s="100">
        <v>3240</v>
      </c>
      <c r="BD52" s="100">
        <v>9</v>
      </c>
      <c r="BE52" s="100">
        <v>4860</v>
      </c>
      <c r="BF52" s="100">
        <v>6</v>
      </c>
      <c r="BG52" s="100">
        <v>3240</v>
      </c>
      <c r="BH52" s="100">
        <v>9</v>
      </c>
      <c r="BI52" s="100">
        <v>4860</v>
      </c>
      <c r="BJ52" s="100">
        <v>8</v>
      </c>
      <c r="BK52" s="100">
        <v>4320</v>
      </c>
      <c r="BL52" s="100">
        <v>6</v>
      </c>
      <c r="BM52" s="100">
        <v>3240</v>
      </c>
      <c r="BN52" s="100">
        <v>11</v>
      </c>
      <c r="BO52" s="100">
        <v>5940</v>
      </c>
      <c r="BP52" s="100">
        <v>9</v>
      </c>
      <c r="BQ52" s="100">
        <v>4860</v>
      </c>
      <c r="BR52" s="100">
        <v>11</v>
      </c>
      <c r="BS52" s="100">
        <v>5940</v>
      </c>
      <c r="BT52" s="100">
        <v>8</v>
      </c>
      <c r="BU52" s="100">
        <v>4320</v>
      </c>
      <c r="BV52" s="100">
        <v>9</v>
      </c>
      <c r="BW52" s="100">
        <v>4860</v>
      </c>
      <c r="BX52" s="100">
        <v>8</v>
      </c>
      <c r="BY52" s="100">
        <v>4320</v>
      </c>
      <c r="BZ52" s="100">
        <v>9</v>
      </c>
      <c r="CA52" s="100">
        <v>4860</v>
      </c>
      <c r="CB52" s="100">
        <v>9</v>
      </c>
      <c r="CC52" s="100">
        <v>4860</v>
      </c>
      <c r="CD52" s="100">
        <v>12</v>
      </c>
      <c r="CE52" s="100">
        <v>6480</v>
      </c>
      <c r="CF52" s="100">
        <v>6</v>
      </c>
      <c r="CG52" s="100">
        <v>3240</v>
      </c>
      <c r="CH52" s="100">
        <v>7</v>
      </c>
      <c r="CI52" s="100">
        <v>3780</v>
      </c>
      <c r="CJ52" s="100">
        <v>9</v>
      </c>
      <c r="CK52" s="100">
        <v>4860</v>
      </c>
      <c r="CL52" s="100">
        <v>7</v>
      </c>
      <c r="CM52" s="100">
        <v>3780</v>
      </c>
      <c r="CN52" s="100">
        <v>6</v>
      </c>
      <c r="CO52" s="100">
        <v>3240</v>
      </c>
      <c r="CP52" s="100">
        <v>8</v>
      </c>
      <c r="CQ52" s="100">
        <v>4320</v>
      </c>
      <c r="CR52" s="100">
        <v>7</v>
      </c>
      <c r="CS52" s="100">
        <v>3780</v>
      </c>
      <c r="CT52" s="100">
        <v>8</v>
      </c>
      <c r="CU52" s="100">
        <v>4320</v>
      </c>
    </row>
    <row r="53" spans="2:99">
      <c r="C53" s="99" t="s">
        <v>219</v>
      </c>
      <c r="D53" s="100">
        <v>7</v>
      </c>
      <c r="E53" s="100">
        <v>2847.6</v>
      </c>
      <c r="F53" s="100">
        <v>5.1289087100723982</v>
      </c>
      <c r="G53" s="100">
        <v>2086.4400632574516</v>
      </c>
      <c r="H53" s="100">
        <v>0</v>
      </c>
      <c r="I53" s="100">
        <v>0</v>
      </c>
      <c r="J53" s="100">
        <v>6</v>
      </c>
      <c r="K53" s="100">
        <v>2440.8000000000002</v>
      </c>
      <c r="L53" s="100">
        <v>10</v>
      </c>
      <c r="M53" s="100">
        <v>4068</v>
      </c>
      <c r="N53" s="100">
        <v>11</v>
      </c>
      <c r="O53" s="100">
        <v>4474.8</v>
      </c>
      <c r="P53" s="100">
        <v>7</v>
      </c>
      <c r="Q53" s="100">
        <v>2847.6</v>
      </c>
      <c r="R53" s="100">
        <v>6</v>
      </c>
      <c r="S53" s="100">
        <v>2440.8000000000002</v>
      </c>
      <c r="T53" s="100">
        <v>6</v>
      </c>
      <c r="U53" s="100">
        <v>2440.8000000000002</v>
      </c>
      <c r="V53" s="100">
        <v>10.852595808688186</v>
      </c>
      <c r="W53" s="100">
        <v>4414.835974974354</v>
      </c>
      <c r="X53" s="100">
        <v>8.8845834150590797</v>
      </c>
      <c r="Y53" s="100">
        <v>3614.2485332460337</v>
      </c>
      <c r="Z53" s="100">
        <v>10</v>
      </c>
      <c r="AA53" s="100">
        <v>4068</v>
      </c>
      <c r="AB53" s="100">
        <v>6</v>
      </c>
      <c r="AC53" s="100">
        <v>2440.8000000000002</v>
      </c>
      <c r="AD53" s="100">
        <v>7</v>
      </c>
      <c r="AE53" s="100">
        <v>2847.6</v>
      </c>
      <c r="AF53" s="100">
        <v>6</v>
      </c>
      <c r="AG53" s="100">
        <v>2440.8000000000002</v>
      </c>
      <c r="AH53" s="100">
        <v>12</v>
      </c>
      <c r="AI53" s="100">
        <v>4881.6000000000004</v>
      </c>
      <c r="AJ53" s="100">
        <v>10</v>
      </c>
      <c r="AK53" s="100">
        <v>4068</v>
      </c>
      <c r="AL53" s="100">
        <v>8</v>
      </c>
      <c r="AM53" s="100">
        <v>3254.4</v>
      </c>
      <c r="AN53" s="100">
        <v>8</v>
      </c>
      <c r="AO53" s="100">
        <v>3254.4</v>
      </c>
      <c r="AP53" s="100">
        <v>6</v>
      </c>
      <c r="AQ53" s="100">
        <v>2440.8000000000002</v>
      </c>
      <c r="AR53" s="100">
        <v>9</v>
      </c>
      <c r="AS53" s="100">
        <v>3661.2000000000003</v>
      </c>
      <c r="AT53" s="100">
        <v>8</v>
      </c>
      <c r="AU53" s="100">
        <v>3254.4</v>
      </c>
      <c r="AV53" s="100">
        <v>8</v>
      </c>
      <c r="AW53" s="100">
        <v>3254.4</v>
      </c>
      <c r="AX53" s="100">
        <v>6</v>
      </c>
      <c r="AY53" s="100">
        <v>2440.8000000000002</v>
      </c>
      <c r="AZ53" s="100">
        <v>9</v>
      </c>
      <c r="BA53" s="100">
        <v>3661.2000000000003</v>
      </c>
      <c r="BB53" s="100">
        <v>6</v>
      </c>
      <c r="BC53" s="100">
        <v>2440.8000000000002</v>
      </c>
      <c r="BD53" s="100">
        <v>10</v>
      </c>
      <c r="BE53" s="100">
        <v>4068</v>
      </c>
      <c r="BF53" s="100">
        <v>7</v>
      </c>
      <c r="BG53" s="100">
        <v>2847.6</v>
      </c>
      <c r="BH53" s="100">
        <v>9</v>
      </c>
      <c r="BI53" s="100">
        <v>3661.2000000000003</v>
      </c>
      <c r="BJ53" s="100">
        <v>7</v>
      </c>
      <c r="BK53" s="100">
        <v>2847.6</v>
      </c>
      <c r="BL53" s="100">
        <v>5</v>
      </c>
      <c r="BM53" s="100">
        <v>2034</v>
      </c>
      <c r="BN53" s="100">
        <v>12</v>
      </c>
      <c r="BO53" s="100">
        <v>4881.6000000000004</v>
      </c>
      <c r="BP53" s="100">
        <v>9</v>
      </c>
      <c r="BQ53" s="100">
        <v>3661.2000000000003</v>
      </c>
      <c r="BR53" s="100">
        <v>10</v>
      </c>
      <c r="BS53" s="100">
        <v>4068</v>
      </c>
      <c r="BT53" s="100">
        <v>7</v>
      </c>
      <c r="BU53" s="100">
        <v>2847.6</v>
      </c>
      <c r="BV53" s="100">
        <v>9</v>
      </c>
      <c r="BW53" s="100">
        <v>3661.2000000000003</v>
      </c>
      <c r="BX53" s="100">
        <v>7</v>
      </c>
      <c r="BY53" s="100">
        <v>2847.6</v>
      </c>
      <c r="BZ53" s="100">
        <v>9</v>
      </c>
      <c r="CA53" s="100">
        <v>3661.2000000000003</v>
      </c>
      <c r="CB53" s="100">
        <v>9</v>
      </c>
      <c r="CC53" s="100">
        <v>3661.2000000000003</v>
      </c>
      <c r="CD53" s="100">
        <v>11</v>
      </c>
      <c r="CE53" s="100">
        <v>4474.8</v>
      </c>
      <c r="CF53" s="100">
        <v>6</v>
      </c>
      <c r="CG53" s="100">
        <v>2440.8000000000002</v>
      </c>
      <c r="CH53" s="100">
        <v>6</v>
      </c>
      <c r="CI53" s="100">
        <v>2440.8000000000002</v>
      </c>
      <c r="CJ53" s="100">
        <v>11</v>
      </c>
      <c r="CK53" s="100">
        <v>4474.8</v>
      </c>
      <c r="CL53" s="100">
        <v>7</v>
      </c>
      <c r="CM53" s="100">
        <v>2847.6</v>
      </c>
      <c r="CN53" s="100">
        <v>6</v>
      </c>
      <c r="CO53" s="100">
        <v>2440.8000000000002</v>
      </c>
      <c r="CP53" s="100">
        <v>8</v>
      </c>
      <c r="CQ53" s="100">
        <v>3254.4</v>
      </c>
      <c r="CR53" s="100">
        <v>8</v>
      </c>
      <c r="CS53" s="100">
        <v>3254.4</v>
      </c>
      <c r="CT53" s="100">
        <v>8</v>
      </c>
      <c r="CU53" s="100">
        <v>3254.4</v>
      </c>
    </row>
    <row r="54" spans="2:99">
      <c r="C54" s="99" t="s">
        <v>220</v>
      </c>
      <c r="D54" s="100">
        <v>8</v>
      </c>
      <c r="E54" s="100">
        <v>2678.4</v>
      </c>
      <c r="F54" s="100">
        <v>4.5590299645087979</v>
      </c>
      <c r="G54" s="100">
        <v>1526.3632321175455</v>
      </c>
      <c r="H54" s="100">
        <v>0</v>
      </c>
      <c r="I54" s="100">
        <v>0</v>
      </c>
      <c r="J54" s="100">
        <v>6</v>
      </c>
      <c r="K54" s="100">
        <v>2008.8000000000002</v>
      </c>
      <c r="L54" s="100">
        <v>10</v>
      </c>
      <c r="M54" s="100">
        <v>3348</v>
      </c>
      <c r="N54" s="100">
        <v>11</v>
      </c>
      <c r="O54" s="100">
        <v>3682.8</v>
      </c>
      <c r="P54" s="100">
        <v>6</v>
      </c>
      <c r="Q54" s="100">
        <v>2008.8000000000002</v>
      </c>
      <c r="R54" s="100">
        <v>7</v>
      </c>
      <c r="S54" s="100">
        <v>2343.6</v>
      </c>
      <c r="T54" s="100">
        <v>6</v>
      </c>
      <c r="U54" s="100">
        <v>2008.8000000000002</v>
      </c>
      <c r="V54" s="100">
        <v>8.8793965707448805</v>
      </c>
      <c r="W54" s="100">
        <v>2972.8219718853861</v>
      </c>
      <c r="X54" s="100">
        <v>10.858935285072207</v>
      </c>
      <c r="Y54" s="100">
        <v>3635.5715334421748</v>
      </c>
      <c r="Z54" s="100">
        <v>10</v>
      </c>
      <c r="AA54" s="100">
        <v>3348</v>
      </c>
      <c r="AB54" s="100">
        <v>7</v>
      </c>
      <c r="AC54" s="100">
        <v>2343.6</v>
      </c>
      <c r="AD54" s="100">
        <v>8</v>
      </c>
      <c r="AE54" s="100">
        <v>2678.4</v>
      </c>
      <c r="AF54" s="100">
        <v>6</v>
      </c>
      <c r="AG54" s="100">
        <v>2008.8000000000002</v>
      </c>
      <c r="AH54" s="100">
        <v>11</v>
      </c>
      <c r="AI54" s="100">
        <v>3682.8</v>
      </c>
      <c r="AJ54" s="100">
        <v>10</v>
      </c>
      <c r="AK54" s="100">
        <v>3348</v>
      </c>
      <c r="AL54" s="100">
        <v>7</v>
      </c>
      <c r="AM54" s="100">
        <v>2343.6</v>
      </c>
      <c r="AN54" s="100">
        <v>8</v>
      </c>
      <c r="AO54" s="100">
        <v>2678.4</v>
      </c>
      <c r="AP54" s="100">
        <v>7</v>
      </c>
      <c r="AQ54" s="100">
        <v>2343.6</v>
      </c>
      <c r="AR54" s="100">
        <v>8</v>
      </c>
      <c r="AS54" s="100">
        <v>2678.4</v>
      </c>
      <c r="AT54" s="100">
        <v>7</v>
      </c>
      <c r="AU54" s="100">
        <v>2343.6</v>
      </c>
      <c r="AV54" s="100">
        <v>9</v>
      </c>
      <c r="AW54" s="100">
        <v>3013.2000000000003</v>
      </c>
      <c r="AX54" s="100">
        <v>5</v>
      </c>
      <c r="AY54" s="100">
        <v>1674</v>
      </c>
      <c r="AZ54" s="100">
        <v>9</v>
      </c>
      <c r="BA54" s="100">
        <v>3013.2000000000003</v>
      </c>
      <c r="BB54" s="100">
        <v>6</v>
      </c>
      <c r="BC54" s="100">
        <v>2008.8000000000002</v>
      </c>
      <c r="BD54" s="100">
        <v>9</v>
      </c>
      <c r="BE54" s="100">
        <v>3013.2000000000003</v>
      </c>
      <c r="BF54" s="100">
        <v>7</v>
      </c>
      <c r="BG54" s="100">
        <v>2343.6</v>
      </c>
      <c r="BH54" s="100">
        <v>9</v>
      </c>
      <c r="BI54" s="100">
        <v>3013.2000000000003</v>
      </c>
      <c r="BJ54" s="100">
        <v>7</v>
      </c>
      <c r="BK54" s="100">
        <v>2343.6</v>
      </c>
      <c r="BL54" s="100">
        <v>5</v>
      </c>
      <c r="BM54" s="100">
        <v>1674</v>
      </c>
      <c r="BN54" s="100">
        <v>10</v>
      </c>
      <c r="BO54" s="100">
        <v>3348</v>
      </c>
      <c r="BP54" s="100">
        <v>9</v>
      </c>
      <c r="BQ54" s="100">
        <v>3013.2000000000003</v>
      </c>
      <c r="BR54" s="100">
        <v>10</v>
      </c>
      <c r="BS54" s="100">
        <v>3348</v>
      </c>
      <c r="BT54" s="100">
        <v>8</v>
      </c>
      <c r="BU54" s="100">
        <v>2678.4</v>
      </c>
      <c r="BV54" s="100">
        <v>10</v>
      </c>
      <c r="BW54" s="100">
        <v>3348</v>
      </c>
      <c r="BX54" s="100">
        <v>8</v>
      </c>
      <c r="BY54" s="100">
        <v>2678.4</v>
      </c>
      <c r="BZ54" s="100">
        <v>10</v>
      </c>
      <c r="CA54" s="100">
        <v>3348</v>
      </c>
      <c r="CB54" s="100">
        <v>9</v>
      </c>
      <c r="CC54" s="100">
        <v>3013.2000000000003</v>
      </c>
      <c r="CD54" s="100">
        <v>10</v>
      </c>
      <c r="CE54" s="100">
        <v>3348</v>
      </c>
      <c r="CF54" s="100">
        <v>6</v>
      </c>
      <c r="CG54" s="100">
        <v>2008.8000000000002</v>
      </c>
      <c r="CH54" s="100">
        <v>7</v>
      </c>
      <c r="CI54" s="100">
        <v>2343.6</v>
      </c>
      <c r="CJ54" s="100">
        <v>11</v>
      </c>
      <c r="CK54" s="100">
        <v>3682.8</v>
      </c>
      <c r="CL54" s="100">
        <v>8</v>
      </c>
      <c r="CM54" s="100">
        <v>2678.4</v>
      </c>
      <c r="CN54" s="100">
        <v>6</v>
      </c>
      <c r="CO54" s="100">
        <v>2008.8000000000002</v>
      </c>
      <c r="CP54" s="100">
        <v>9</v>
      </c>
      <c r="CQ54" s="100">
        <v>3013.2000000000003</v>
      </c>
      <c r="CR54" s="100">
        <v>8</v>
      </c>
      <c r="CS54" s="100">
        <v>2678.4</v>
      </c>
      <c r="CT54" s="100">
        <v>8</v>
      </c>
      <c r="CU54" s="100">
        <v>2678.4</v>
      </c>
    </row>
    <row r="55" spans="2:99">
      <c r="C55" s="99" t="s">
        <v>221</v>
      </c>
      <c r="D55" s="100">
        <v>8</v>
      </c>
      <c r="E55" s="100">
        <v>5308.8</v>
      </c>
      <c r="F55" s="100">
        <v>5.1289087100723982</v>
      </c>
      <c r="G55" s="100">
        <v>3403.5438200040435</v>
      </c>
      <c r="H55" s="100">
        <v>0</v>
      </c>
      <c r="I55" s="100">
        <v>0</v>
      </c>
      <c r="J55" s="100">
        <v>7</v>
      </c>
      <c r="K55" s="100">
        <v>4645.2</v>
      </c>
      <c r="L55" s="100">
        <v>10</v>
      </c>
      <c r="M55" s="100">
        <v>6636</v>
      </c>
      <c r="N55" s="100">
        <v>10</v>
      </c>
      <c r="O55" s="100">
        <v>6636</v>
      </c>
      <c r="P55" s="100">
        <v>6</v>
      </c>
      <c r="Q55" s="100">
        <v>3981.6000000000004</v>
      </c>
      <c r="R55" s="100">
        <v>6</v>
      </c>
      <c r="S55" s="100">
        <v>3981.6000000000004</v>
      </c>
      <c r="T55" s="100">
        <v>6</v>
      </c>
      <c r="U55" s="100">
        <v>3981.6000000000004</v>
      </c>
      <c r="V55" s="100">
        <v>9.8659961897165331</v>
      </c>
      <c r="W55" s="100">
        <v>6547.0750714958913</v>
      </c>
      <c r="X55" s="100">
        <v>8.8845834150590797</v>
      </c>
      <c r="Y55" s="100">
        <v>5895.8095542332057</v>
      </c>
      <c r="Z55" s="100">
        <v>8</v>
      </c>
      <c r="AA55" s="100">
        <v>5308.8</v>
      </c>
      <c r="AB55" s="100">
        <v>6</v>
      </c>
      <c r="AC55" s="100">
        <v>3981.6000000000004</v>
      </c>
      <c r="AD55" s="100">
        <v>9</v>
      </c>
      <c r="AE55" s="100">
        <v>5972.4000000000005</v>
      </c>
      <c r="AF55" s="100">
        <v>6</v>
      </c>
      <c r="AG55" s="100">
        <v>3981.6000000000004</v>
      </c>
      <c r="AH55" s="100">
        <v>10</v>
      </c>
      <c r="AI55" s="100">
        <v>6636</v>
      </c>
      <c r="AJ55" s="100">
        <v>10</v>
      </c>
      <c r="AK55" s="100">
        <v>6636</v>
      </c>
      <c r="AL55" s="100">
        <v>7</v>
      </c>
      <c r="AM55" s="100">
        <v>4645.2</v>
      </c>
      <c r="AN55" s="100">
        <v>8</v>
      </c>
      <c r="AO55" s="100">
        <v>5308.8</v>
      </c>
      <c r="AP55" s="100">
        <v>6</v>
      </c>
      <c r="AQ55" s="100">
        <v>3981.6000000000004</v>
      </c>
      <c r="AR55" s="100">
        <v>8</v>
      </c>
      <c r="AS55" s="100">
        <v>5308.8</v>
      </c>
      <c r="AT55" s="100">
        <v>8</v>
      </c>
      <c r="AU55" s="100">
        <v>5308.8</v>
      </c>
      <c r="AV55" s="100">
        <v>8</v>
      </c>
      <c r="AW55" s="100">
        <v>5308.8</v>
      </c>
      <c r="AX55" s="100">
        <v>5</v>
      </c>
      <c r="AY55" s="100">
        <v>3318</v>
      </c>
      <c r="AZ55" s="100">
        <v>8</v>
      </c>
      <c r="BA55" s="100">
        <v>5308.8</v>
      </c>
      <c r="BB55" s="100">
        <v>6</v>
      </c>
      <c r="BC55" s="100">
        <v>3981.6000000000004</v>
      </c>
      <c r="BD55" s="100">
        <v>10</v>
      </c>
      <c r="BE55" s="100">
        <v>6636</v>
      </c>
      <c r="BF55" s="100">
        <v>6</v>
      </c>
      <c r="BG55" s="100">
        <v>3981.6000000000004</v>
      </c>
      <c r="BH55" s="100">
        <v>10</v>
      </c>
      <c r="BI55" s="100">
        <v>6636</v>
      </c>
      <c r="BJ55" s="100">
        <v>6</v>
      </c>
      <c r="BK55" s="100">
        <v>3981.6000000000004</v>
      </c>
      <c r="BL55" s="100">
        <v>5</v>
      </c>
      <c r="BM55" s="100">
        <v>3318</v>
      </c>
      <c r="BN55" s="100">
        <v>10</v>
      </c>
      <c r="BO55" s="100">
        <v>6636</v>
      </c>
      <c r="BP55" s="100">
        <v>10</v>
      </c>
      <c r="BQ55" s="100">
        <v>6636</v>
      </c>
      <c r="BR55" s="100">
        <v>9</v>
      </c>
      <c r="BS55" s="100">
        <v>5972.4000000000005</v>
      </c>
      <c r="BT55" s="100">
        <v>7</v>
      </c>
      <c r="BU55" s="100">
        <v>4645.2</v>
      </c>
      <c r="BV55" s="100">
        <v>9</v>
      </c>
      <c r="BW55" s="100">
        <v>5972.4000000000005</v>
      </c>
      <c r="BX55" s="100">
        <v>7</v>
      </c>
      <c r="BY55" s="100">
        <v>4645.2</v>
      </c>
      <c r="BZ55" s="100">
        <v>10</v>
      </c>
      <c r="CA55" s="100">
        <v>6636</v>
      </c>
      <c r="CB55" s="100">
        <v>9</v>
      </c>
      <c r="CC55" s="100">
        <v>5972.4000000000005</v>
      </c>
      <c r="CD55" s="100">
        <v>10</v>
      </c>
      <c r="CE55" s="100">
        <v>6636</v>
      </c>
      <c r="CF55" s="100">
        <v>6</v>
      </c>
      <c r="CG55" s="100">
        <v>3981.6000000000004</v>
      </c>
      <c r="CH55" s="100">
        <v>6</v>
      </c>
      <c r="CI55" s="100">
        <v>3981.6000000000004</v>
      </c>
      <c r="CJ55" s="100">
        <v>10</v>
      </c>
      <c r="CK55" s="100">
        <v>6636</v>
      </c>
      <c r="CL55" s="100">
        <v>7</v>
      </c>
      <c r="CM55" s="100">
        <v>4645.2</v>
      </c>
      <c r="CN55" s="100">
        <v>6</v>
      </c>
      <c r="CO55" s="100">
        <v>3981.6000000000004</v>
      </c>
      <c r="CP55" s="100">
        <v>9</v>
      </c>
      <c r="CQ55" s="100">
        <v>5972.4000000000005</v>
      </c>
      <c r="CR55" s="100">
        <v>8</v>
      </c>
      <c r="CS55" s="100">
        <v>5308.8</v>
      </c>
      <c r="CT55" s="100">
        <v>9</v>
      </c>
      <c r="CU55" s="100">
        <v>5972.4000000000005</v>
      </c>
    </row>
    <row r="56" spans="2:99">
      <c r="C56" s="99" t="s">
        <v>222</v>
      </c>
      <c r="D56" s="100">
        <v>4.6293635972957929</v>
      </c>
      <c r="E56" s="100">
        <v>4544.1833071055498</v>
      </c>
      <c r="F56" s="100">
        <v>8</v>
      </c>
      <c r="G56" s="100">
        <v>7852.7999999999993</v>
      </c>
      <c r="H56" s="100">
        <v>6</v>
      </c>
      <c r="I56" s="100">
        <v>5889.5999999999995</v>
      </c>
      <c r="J56" s="100">
        <v>5.0778811928690466</v>
      </c>
      <c r="K56" s="100">
        <v>4984.4481789202555</v>
      </c>
      <c r="L56" s="100">
        <v>5.980666259657359</v>
      </c>
      <c r="M56" s="100">
        <v>5870.6220004796633</v>
      </c>
      <c r="N56" s="100">
        <v>10.258652203442752</v>
      </c>
      <c r="O56" s="100">
        <v>10069.893002899404</v>
      </c>
      <c r="P56" s="100">
        <v>6</v>
      </c>
      <c r="Q56" s="100">
        <v>5889.5999999999995</v>
      </c>
      <c r="R56" s="100">
        <v>5.0977144232326603</v>
      </c>
      <c r="S56" s="100">
        <v>5003.9164778451786</v>
      </c>
      <c r="T56" s="100">
        <v>5</v>
      </c>
      <c r="U56" s="100">
        <v>4908</v>
      </c>
      <c r="V56" s="100">
        <v>10</v>
      </c>
      <c r="W56" s="100">
        <v>9816</v>
      </c>
      <c r="X56" s="100">
        <v>5.5379773382843664</v>
      </c>
      <c r="Y56" s="100">
        <v>5436.0785552599336</v>
      </c>
      <c r="Z56" s="100">
        <v>5.9483963566998099</v>
      </c>
      <c r="AA56" s="100">
        <v>5838.9458637365333</v>
      </c>
      <c r="AB56" s="100">
        <v>1.9167262726082173</v>
      </c>
      <c r="AC56" s="100">
        <v>1881.4585091922258</v>
      </c>
      <c r="AD56" s="100">
        <v>4.9322037795692779</v>
      </c>
      <c r="AE56" s="100">
        <v>4841.4512300252027</v>
      </c>
      <c r="AF56" s="100">
        <v>4.4158818289922843</v>
      </c>
      <c r="AG56" s="100">
        <v>4334.6296033388262</v>
      </c>
      <c r="AH56" s="100">
        <v>7.136834439441607</v>
      </c>
      <c r="AI56" s="100">
        <v>7005.5166857558806</v>
      </c>
      <c r="AJ56" s="100">
        <v>8.2616616065275128</v>
      </c>
      <c r="AK56" s="100">
        <v>8109.6470329674057</v>
      </c>
      <c r="AL56" s="100">
        <v>0</v>
      </c>
      <c r="AM56" s="100">
        <v>0</v>
      </c>
      <c r="AN56" s="100">
        <v>6.3339405650044469</v>
      </c>
      <c r="AO56" s="100">
        <v>6217.3960586083649</v>
      </c>
      <c r="AP56" s="100">
        <v>0.39593378964432285</v>
      </c>
      <c r="AQ56" s="100">
        <v>388.64860791486728</v>
      </c>
      <c r="AR56" s="100">
        <v>6.6819592773673078</v>
      </c>
      <c r="AS56" s="100">
        <v>6559.0112266637489</v>
      </c>
      <c r="AT56" s="100">
        <v>7</v>
      </c>
      <c r="AU56" s="100">
        <v>6871.1999999999989</v>
      </c>
      <c r="AV56" s="100">
        <v>8</v>
      </c>
      <c r="AW56" s="100">
        <v>7852.7999999999993</v>
      </c>
      <c r="AX56" s="100">
        <v>4.7350795654714783</v>
      </c>
      <c r="AY56" s="100">
        <v>4647.954101466803</v>
      </c>
      <c r="AZ56" s="100">
        <v>5.7971659408515093</v>
      </c>
      <c r="BA56" s="100">
        <v>5690.4980875398405</v>
      </c>
      <c r="BB56" s="100">
        <v>4.30229925170112</v>
      </c>
      <c r="BC56" s="100">
        <v>4223.1369454698188</v>
      </c>
      <c r="BD56" s="100">
        <v>6.6093292852220102</v>
      </c>
      <c r="BE56" s="100">
        <v>6487.7176263739248</v>
      </c>
      <c r="BF56" s="100">
        <v>0.38135596233783081</v>
      </c>
      <c r="BG56" s="100">
        <v>374.33901263081469</v>
      </c>
      <c r="BH56" s="100">
        <v>10</v>
      </c>
      <c r="BI56" s="100">
        <v>9816</v>
      </c>
      <c r="BJ56" s="100">
        <v>7</v>
      </c>
      <c r="BK56" s="100">
        <v>6871.1999999999989</v>
      </c>
      <c r="BL56" s="100">
        <v>4.3981717668734621</v>
      </c>
      <c r="BM56" s="100">
        <v>4317.2454063629903</v>
      </c>
      <c r="BN56" s="100">
        <v>0.64221403379808317</v>
      </c>
      <c r="BO56" s="100">
        <v>630.39729557619842</v>
      </c>
      <c r="BP56" s="100">
        <v>9</v>
      </c>
      <c r="BQ56" s="100">
        <v>8834.4</v>
      </c>
      <c r="BR56" s="100">
        <v>7.5691430875790537</v>
      </c>
      <c r="BS56" s="100">
        <v>7429.8708547675988</v>
      </c>
      <c r="BT56" s="100">
        <v>6</v>
      </c>
      <c r="BU56" s="100">
        <v>5889.5999999999995</v>
      </c>
      <c r="BV56" s="100">
        <v>8</v>
      </c>
      <c r="BW56" s="100">
        <v>7852.7999999999993</v>
      </c>
      <c r="BX56" s="100">
        <v>7</v>
      </c>
      <c r="BY56" s="100">
        <v>6871.1999999999989</v>
      </c>
      <c r="BZ56" s="100">
        <v>1.6363852728803561</v>
      </c>
      <c r="CA56" s="100">
        <v>1606.2757838593573</v>
      </c>
      <c r="CB56" s="100">
        <v>5.8971170777627613</v>
      </c>
      <c r="CC56" s="100">
        <v>5788.6101235319256</v>
      </c>
      <c r="CD56" s="100">
        <v>0.54319424885124212</v>
      </c>
      <c r="CE56" s="100">
        <v>533.19947467237921</v>
      </c>
      <c r="CF56" s="100">
        <v>6</v>
      </c>
      <c r="CG56" s="100">
        <v>5889.5999999999995</v>
      </c>
      <c r="CH56" s="100">
        <v>5.9082756622715031</v>
      </c>
      <c r="CI56" s="100">
        <v>5799.5633900857065</v>
      </c>
      <c r="CJ56" s="100">
        <v>8.1728265354895839</v>
      </c>
      <c r="CK56" s="100">
        <v>8022.4465272365751</v>
      </c>
      <c r="CL56" s="100">
        <v>0.42104178606079212</v>
      </c>
      <c r="CM56" s="100">
        <v>413.29461719727351</v>
      </c>
      <c r="CN56" s="100">
        <v>6</v>
      </c>
      <c r="CO56" s="100">
        <v>5889.5999999999995</v>
      </c>
      <c r="CP56" s="100">
        <v>7.9512118002424845</v>
      </c>
      <c r="CQ56" s="100">
        <v>7804.9095031180223</v>
      </c>
      <c r="CR56" s="100">
        <v>5.0045950143244857</v>
      </c>
      <c r="CS56" s="100">
        <v>4912.510466060915</v>
      </c>
      <c r="CT56" s="100">
        <v>5.046126923157054</v>
      </c>
      <c r="CU56" s="100">
        <v>4953.278187770964</v>
      </c>
    </row>
    <row r="57" spans="2:99">
      <c r="C57" s="99" t="s">
        <v>223</v>
      </c>
      <c r="D57" s="100">
        <v>8</v>
      </c>
      <c r="E57" s="100">
        <v>11289.6</v>
      </c>
      <c r="F57" s="100">
        <v>3.9891512189451985</v>
      </c>
      <c r="G57" s="100">
        <v>5629.4902001754645</v>
      </c>
      <c r="H57" s="100">
        <v>0</v>
      </c>
      <c r="I57" s="100">
        <v>0</v>
      </c>
      <c r="J57" s="100">
        <v>6</v>
      </c>
      <c r="K57" s="100">
        <v>8467.2000000000007</v>
      </c>
      <c r="L57" s="100">
        <v>9</v>
      </c>
      <c r="M57" s="100">
        <v>12700.800000000001</v>
      </c>
      <c r="N57" s="100">
        <v>10</v>
      </c>
      <c r="O57" s="100">
        <v>14112</v>
      </c>
      <c r="P57" s="100">
        <v>6</v>
      </c>
      <c r="Q57" s="100">
        <v>8467.2000000000007</v>
      </c>
      <c r="R57" s="100">
        <v>6</v>
      </c>
      <c r="S57" s="100">
        <v>8467.2000000000007</v>
      </c>
      <c r="T57" s="100">
        <v>5</v>
      </c>
      <c r="U57" s="100">
        <v>7056</v>
      </c>
      <c r="V57" s="100">
        <v>8.8793965707448805</v>
      </c>
      <c r="W57" s="100">
        <v>12530.604440635176</v>
      </c>
      <c r="X57" s="100">
        <v>8.8845834150590797</v>
      </c>
      <c r="Y57" s="100">
        <v>12537.924115331374</v>
      </c>
      <c r="Z57" s="100">
        <v>9</v>
      </c>
      <c r="AA57" s="100">
        <v>12700.800000000001</v>
      </c>
      <c r="AB57" s="100">
        <v>6</v>
      </c>
      <c r="AC57" s="100">
        <v>8467.2000000000007</v>
      </c>
      <c r="AD57" s="100">
        <v>7</v>
      </c>
      <c r="AE57" s="100">
        <v>9878.4</v>
      </c>
      <c r="AF57" s="100">
        <v>5</v>
      </c>
      <c r="AG57" s="100">
        <v>7056</v>
      </c>
      <c r="AH57" s="100">
        <v>9</v>
      </c>
      <c r="AI57" s="100">
        <v>12700.800000000001</v>
      </c>
      <c r="AJ57" s="100">
        <v>9</v>
      </c>
      <c r="AK57" s="100">
        <v>12700.800000000001</v>
      </c>
      <c r="AL57" s="100">
        <v>7</v>
      </c>
      <c r="AM57" s="100">
        <v>9878.4</v>
      </c>
      <c r="AN57" s="100">
        <v>8</v>
      </c>
      <c r="AO57" s="100">
        <v>11289.6</v>
      </c>
      <c r="AP57" s="100">
        <v>7</v>
      </c>
      <c r="AQ57" s="100">
        <v>9878.4</v>
      </c>
      <c r="AR57" s="100">
        <v>8</v>
      </c>
      <c r="AS57" s="100">
        <v>11289.6</v>
      </c>
      <c r="AT57" s="100">
        <v>7</v>
      </c>
      <c r="AU57" s="100">
        <v>9878.4</v>
      </c>
      <c r="AV57" s="100">
        <v>8</v>
      </c>
      <c r="AW57" s="100">
        <v>11289.6</v>
      </c>
      <c r="AX57" s="100">
        <v>5</v>
      </c>
      <c r="AY57" s="100">
        <v>7056</v>
      </c>
      <c r="AZ57" s="100">
        <v>7</v>
      </c>
      <c r="BA57" s="100">
        <v>9878.4</v>
      </c>
      <c r="BB57" s="100">
        <v>5</v>
      </c>
      <c r="BC57" s="100">
        <v>7056</v>
      </c>
      <c r="BD57" s="100">
        <v>10</v>
      </c>
      <c r="BE57" s="100">
        <v>14112</v>
      </c>
      <c r="BF57" s="100">
        <v>6</v>
      </c>
      <c r="BG57" s="100">
        <v>8467.2000000000007</v>
      </c>
      <c r="BH57" s="100">
        <v>9</v>
      </c>
      <c r="BI57" s="100">
        <v>12700.800000000001</v>
      </c>
      <c r="BJ57" s="100">
        <v>6</v>
      </c>
      <c r="BK57" s="100">
        <v>8467.2000000000007</v>
      </c>
      <c r="BL57" s="100">
        <v>5</v>
      </c>
      <c r="BM57" s="100">
        <v>7056</v>
      </c>
      <c r="BN57" s="100">
        <v>9</v>
      </c>
      <c r="BO57" s="100">
        <v>12700.800000000001</v>
      </c>
      <c r="BP57" s="100">
        <v>9</v>
      </c>
      <c r="BQ57" s="100">
        <v>12700.800000000001</v>
      </c>
      <c r="BR57" s="100">
        <v>9</v>
      </c>
      <c r="BS57" s="100">
        <v>12700.800000000001</v>
      </c>
      <c r="BT57" s="100">
        <v>6</v>
      </c>
      <c r="BU57" s="100">
        <v>8467.2000000000007</v>
      </c>
      <c r="BV57" s="100">
        <v>9</v>
      </c>
      <c r="BW57" s="100">
        <v>12700.800000000001</v>
      </c>
      <c r="BX57" s="100">
        <v>7</v>
      </c>
      <c r="BY57" s="100">
        <v>9878.4</v>
      </c>
      <c r="BZ57" s="100">
        <v>9</v>
      </c>
      <c r="CA57" s="100">
        <v>12700.800000000001</v>
      </c>
      <c r="CB57" s="100">
        <v>7</v>
      </c>
      <c r="CC57" s="100">
        <v>9878.4</v>
      </c>
      <c r="CD57" s="100">
        <v>10</v>
      </c>
      <c r="CE57" s="100">
        <v>14112</v>
      </c>
      <c r="CF57" s="100">
        <v>5</v>
      </c>
      <c r="CG57" s="100">
        <v>7056</v>
      </c>
      <c r="CH57" s="100">
        <v>6</v>
      </c>
      <c r="CI57" s="100">
        <v>8467.2000000000007</v>
      </c>
      <c r="CJ57" s="100">
        <v>9</v>
      </c>
      <c r="CK57" s="100">
        <v>12700.800000000001</v>
      </c>
      <c r="CL57" s="100">
        <v>7</v>
      </c>
      <c r="CM57" s="100">
        <v>9878.4</v>
      </c>
      <c r="CN57" s="100">
        <v>6</v>
      </c>
      <c r="CO57" s="100">
        <v>8467.2000000000007</v>
      </c>
      <c r="CP57" s="100">
        <v>8</v>
      </c>
      <c r="CQ57" s="100">
        <v>11289.6</v>
      </c>
      <c r="CR57" s="100">
        <v>8</v>
      </c>
      <c r="CS57" s="100">
        <v>11289.6</v>
      </c>
      <c r="CT57" s="100">
        <v>8</v>
      </c>
      <c r="CU57" s="100">
        <v>11289.6</v>
      </c>
    </row>
    <row r="58" spans="2:99">
      <c r="C58" s="99" t="s">
        <v>224</v>
      </c>
      <c r="D58" s="100">
        <v>7</v>
      </c>
      <c r="E58" s="100">
        <v>8240.4</v>
      </c>
      <c r="F58" s="100">
        <v>4.8362434061831765</v>
      </c>
      <c r="G58" s="100">
        <v>5693.2257377588357</v>
      </c>
      <c r="H58" s="100">
        <v>6</v>
      </c>
      <c r="I58" s="100">
        <v>7063.2000000000007</v>
      </c>
      <c r="J58" s="100">
        <v>3.3915894042312678</v>
      </c>
      <c r="K58" s="100">
        <v>3992.5790466610488</v>
      </c>
      <c r="L58" s="100">
        <v>10</v>
      </c>
      <c r="M58" s="100">
        <v>11772</v>
      </c>
      <c r="N58" s="100">
        <v>10</v>
      </c>
      <c r="O58" s="100">
        <v>11772</v>
      </c>
      <c r="P58" s="100">
        <v>4.6952174688878801</v>
      </c>
      <c r="Q58" s="100">
        <v>5527.2100043748123</v>
      </c>
      <c r="R58" s="100">
        <v>6</v>
      </c>
      <c r="S58" s="100">
        <v>7063.2000000000007</v>
      </c>
      <c r="T58" s="100">
        <v>4.9442645949862918</v>
      </c>
      <c r="U58" s="100">
        <v>5820.3882812178626</v>
      </c>
      <c r="V58" s="100">
        <v>11</v>
      </c>
      <c r="W58" s="100">
        <v>12949.2</v>
      </c>
      <c r="X58" s="100">
        <v>7.9455652706730842</v>
      </c>
      <c r="Y58" s="100">
        <v>9353.5194366363557</v>
      </c>
      <c r="Z58" s="100">
        <v>2.5878910459168303</v>
      </c>
      <c r="AA58" s="100">
        <v>3046.4653392532928</v>
      </c>
      <c r="AB58" s="100">
        <v>6</v>
      </c>
      <c r="AC58" s="100">
        <v>7063.2000000000007</v>
      </c>
      <c r="AD58" s="100">
        <v>8</v>
      </c>
      <c r="AE58" s="100">
        <v>9417.6</v>
      </c>
      <c r="AF58" s="100">
        <v>4.5009647023729062</v>
      </c>
      <c r="AG58" s="100">
        <v>5298.5356476333855</v>
      </c>
      <c r="AH58" s="100">
        <v>11</v>
      </c>
      <c r="AI58" s="100">
        <v>12949.2</v>
      </c>
      <c r="AJ58" s="100">
        <v>9</v>
      </c>
      <c r="AK58" s="100">
        <v>10594.800000000001</v>
      </c>
      <c r="AL58" s="100">
        <v>7</v>
      </c>
      <c r="AM58" s="100">
        <v>8240.4</v>
      </c>
      <c r="AN58" s="100">
        <v>8</v>
      </c>
      <c r="AO58" s="100">
        <v>9417.6</v>
      </c>
      <c r="AP58" s="100">
        <v>2.1976302296499464</v>
      </c>
      <c r="AQ58" s="100">
        <v>2587.0503063439169</v>
      </c>
      <c r="AR58" s="100">
        <v>5.3244166503262589</v>
      </c>
      <c r="AS58" s="100">
        <v>6267.9032807640724</v>
      </c>
      <c r="AT58" s="100">
        <v>7</v>
      </c>
      <c r="AU58" s="100">
        <v>8240.4</v>
      </c>
      <c r="AV58" s="100">
        <v>8</v>
      </c>
      <c r="AW58" s="100">
        <v>9417.6</v>
      </c>
      <c r="AX58" s="100">
        <v>5</v>
      </c>
      <c r="AY58" s="100">
        <v>5886</v>
      </c>
      <c r="AZ58" s="100">
        <v>8</v>
      </c>
      <c r="BA58" s="100">
        <v>9417.6</v>
      </c>
      <c r="BB58" s="100">
        <v>5</v>
      </c>
      <c r="BC58" s="100">
        <v>5886</v>
      </c>
      <c r="BD58" s="100">
        <v>10</v>
      </c>
      <c r="BE58" s="100">
        <v>11772</v>
      </c>
      <c r="BF58" s="100">
        <v>1.6954707605140686</v>
      </c>
      <c r="BG58" s="100">
        <v>1995.9081792771617</v>
      </c>
      <c r="BH58" s="100">
        <v>9</v>
      </c>
      <c r="BI58" s="100">
        <v>10594.800000000001</v>
      </c>
      <c r="BJ58" s="100">
        <v>6.2204178962197938</v>
      </c>
      <c r="BK58" s="100">
        <v>7322.6759474299415</v>
      </c>
      <c r="BL58" s="100">
        <v>6</v>
      </c>
      <c r="BM58" s="100">
        <v>7063.2000000000007</v>
      </c>
      <c r="BN58" s="100">
        <v>11</v>
      </c>
      <c r="BO58" s="100">
        <v>12949.2</v>
      </c>
      <c r="BP58" s="100">
        <v>9</v>
      </c>
      <c r="BQ58" s="100">
        <v>10594.800000000001</v>
      </c>
      <c r="BR58" s="100">
        <v>10</v>
      </c>
      <c r="BS58" s="100">
        <v>11772</v>
      </c>
      <c r="BT58" s="100">
        <v>7</v>
      </c>
      <c r="BU58" s="100">
        <v>8240.4</v>
      </c>
      <c r="BV58" s="100">
        <v>8.7366195692389415</v>
      </c>
      <c r="BW58" s="100">
        <v>10284.748556908082</v>
      </c>
      <c r="BX58" s="100">
        <v>7</v>
      </c>
      <c r="BY58" s="100">
        <v>8240.4</v>
      </c>
      <c r="BZ58" s="100">
        <v>0.6639906896502239</v>
      </c>
      <c r="CA58" s="100">
        <v>781.6498398562436</v>
      </c>
      <c r="CB58" s="100">
        <v>8</v>
      </c>
      <c r="CC58" s="100">
        <v>9417.6</v>
      </c>
      <c r="CD58" s="100">
        <v>1.6685310135354319</v>
      </c>
      <c r="CE58" s="100">
        <v>1964.1947091339105</v>
      </c>
      <c r="CF58" s="100">
        <v>5</v>
      </c>
      <c r="CG58" s="100">
        <v>5886</v>
      </c>
      <c r="CH58" s="100">
        <v>4.6227700766270905</v>
      </c>
      <c r="CI58" s="100">
        <v>5441.9249342054109</v>
      </c>
      <c r="CJ58" s="100">
        <v>10</v>
      </c>
      <c r="CK58" s="100">
        <v>11772</v>
      </c>
      <c r="CL58" s="100">
        <v>7</v>
      </c>
      <c r="CM58" s="100">
        <v>8240.4</v>
      </c>
      <c r="CN58" s="100">
        <v>6</v>
      </c>
      <c r="CO58" s="100">
        <v>7063.2000000000007</v>
      </c>
      <c r="CP58" s="100">
        <v>7</v>
      </c>
      <c r="CQ58" s="100">
        <v>8240.4</v>
      </c>
      <c r="CR58" s="100">
        <v>8</v>
      </c>
      <c r="CS58" s="100">
        <v>9417.6</v>
      </c>
      <c r="CT58" s="100">
        <v>9</v>
      </c>
      <c r="CU58" s="100">
        <v>10594.800000000001</v>
      </c>
    </row>
    <row r="59" spans="2:99">
      <c r="C59" s="99" t="s">
        <v>225</v>
      </c>
      <c r="D59" s="100">
        <v>8</v>
      </c>
      <c r="E59" s="100">
        <v>2428.7999999999997</v>
      </c>
      <c r="F59" s="100">
        <v>4.5590299645087979</v>
      </c>
      <c r="G59" s="100">
        <v>1384.1214972248708</v>
      </c>
      <c r="H59" s="100">
        <v>0</v>
      </c>
      <c r="I59" s="100">
        <v>0</v>
      </c>
      <c r="J59" s="100">
        <v>6</v>
      </c>
      <c r="K59" s="100">
        <v>1821.6</v>
      </c>
      <c r="L59" s="100">
        <v>10</v>
      </c>
      <c r="M59" s="100">
        <v>3035.9999999999995</v>
      </c>
      <c r="N59" s="100">
        <v>9</v>
      </c>
      <c r="O59" s="100">
        <v>2732.3999999999996</v>
      </c>
      <c r="P59" s="100">
        <v>6</v>
      </c>
      <c r="Q59" s="100">
        <v>1821.6</v>
      </c>
      <c r="R59" s="100">
        <v>6</v>
      </c>
      <c r="S59" s="100">
        <v>1821.6</v>
      </c>
      <c r="T59" s="100">
        <v>6</v>
      </c>
      <c r="U59" s="100">
        <v>1821.6</v>
      </c>
      <c r="V59" s="100">
        <v>10.852595808688186</v>
      </c>
      <c r="W59" s="100">
        <v>3294.8480875177329</v>
      </c>
      <c r="X59" s="100">
        <v>9.8717593500656431</v>
      </c>
      <c r="Y59" s="100">
        <v>2997.0661386799288</v>
      </c>
      <c r="Z59" s="100">
        <v>9</v>
      </c>
      <c r="AA59" s="100">
        <v>2732.3999999999996</v>
      </c>
      <c r="AB59" s="100">
        <v>6</v>
      </c>
      <c r="AC59" s="100">
        <v>1821.6</v>
      </c>
      <c r="AD59" s="100">
        <v>9</v>
      </c>
      <c r="AE59" s="100">
        <v>2732.3999999999996</v>
      </c>
      <c r="AF59" s="100">
        <v>6</v>
      </c>
      <c r="AG59" s="100">
        <v>1821.6</v>
      </c>
      <c r="AH59" s="100">
        <v>12</v>
      </c>
      <c r="AI59" s="100">
        <v>3643.2</v>
      </c>
      <c r="AJ59" s="100">
        <v>10</v>
      </c>
      <c r="AK59" s="100">
        <v>3035.9999999999995</v>
      </c>
      <c r="AL59" s="100">
        <v>7</v>
      </c>
      <c r="AM59" s="100">
        <v>2125.1999999999998</v>
      </c>
      <c r="AN59" s="100">
        <v>8</v>
      </c>
      <c r="AO59" s="100">
        <v>2428.7999999999997</v>
      </c>
      <c r="AP59" s="100">
        <v>7</v>
      </c>
      <c r="AQ59" s="100">
        <v>2125.1999999999998</v>
      </c>
      <c r="AR59" s="100">
        <v>9</v>
      </c>
      <c r="AS59" s="100">
        <v>2732.3999999999996</v>
      </c>
      <c r="AT59" s="100">
        <v>7</v>
      </c>
      <c r="AU59" s="100">
        <v>2125.1999999999998</v>
      </c>
      <c r="AV59" s="100">
        <v>8</v>
      </c>
      <c r="AW59" s="100">
        <v>2428.7999999999997</v>
      </c>
      <c r="AX59" s="100">
        <v>6</v>
      </c>
      <c r="AY59" s="100">
        <v>1821.6</v>
      </c>
      <c r="AZ59" s="100">
        <v>9</v>
      </c>
      <c r="BA59" s="100">
        <v>2732.3999999999996</v>
      </c>
      <c r="BB59" s="100">
        <v>6</v>
      </c>
      <c r="BC59" s="100">
        <v>1821.6</v>
      </c>
      <c r="BD59" s="100">
        <v>10</v>
      </c>
      <c r="BE59" s="100">
        <v>3035.9999999999995</v>
      </c>
      <c r="BF59" s="100">
        <v>6</v>
      </c>
      <c r="BG59" s="100">
        <v>1821.6</v>
      </c>
      <c r="BH59" s="100">
        <v>10</v>
      </c>
      <c r="BI59" s="100">
        <v>3035.9999999999995</v>
      </c>
      <c r="BJ59" s="100">
        <v>7</v>
      </c>
      <c r="BK59" s="100">
        <v>2125.1999999999998</v>
      </c>
      <c r="BL59" s="100">
        <v>6</v>
      </c>
      <c r="BM59" s="100">
        <v>1821.6</v>
      </c>
      <c r="BN59" s="100">
        <v>11</v>
      </c>
      <c r="BO59" s="100">
        <v>3339.5999999999995</v>
      </c>
      <c r="BP59" s="100">
        <v>11</v>
      </c>
      <c r="BQ59" s="100">
        <v>3339.5999999999995</v>
      </c>
      <c r="BR59" s="100">
        <v>10</v>
      </c>
      <c r="BS59" s="100">
        <v>3035.9999999999995</v>
      </c>
      <c r="BT59" s="100">
        <v>7</v>
      </c>
      <c r="BU59" s="100">
        <v>2125.1999999999998</v>
      </c>
      <c r="BV59" s="100">
        <v>9</v>
      </c>
      <c r="BW59" s="100">
        <v>2732.3999999999996</v>
      </c>
      <c r="BX59" s="100">
        <v>7</v>
      </c>
      <c r="BY59" s="100">
        <v>2125.1999999999998</v>
      </c>
      <c r="BZ59" s="100">
        <v>10</v>
      </c>
      <c r="CA59" s="100">
        <v>3035.9999999999995</v>
      </c>
      <c r="CB59" s="100">
        <v>8</v>
      </c>
      <c r="CC59" s="100">
        <v>2428.7999999999997</v>
      </c>
      <c r="CD59" s="100">
        <v>11</v>
      </c>
      <c r="CE59" s="100">
        <v>3339.5999999999995</v>
      </c>
      <c r="CF59" s="100">
        <v>6</v>
      </c>
      <c r="CG59" s="100">
        <v>1821.6</v>
      </c>
      <c r="CH59" s="100">
        <v>6</v>
      </c>
      <c r="CI59" s="100">
        <v>1821.6</v>
      </c>
      <c r="CJ59" s="100">
        <v>10</v>
      </c>
      <c r="CK59" s="100">
        <v>3035.9999999999995</v>
      </c>
      <c r="CL59" s="100">
        <v>7</v>
      </c>
      <c r="CM59" s="100">
        <v>2125.1999999999998</v>
      </c>
      <c r="CN59" s="100">
        <v>6</v>
      </c>
      <c r="CO59" s="100">
        <v>1821.6</v>
      </c>
      <c r="CP59" s="100">
        <v>9</v>
      </c>
      <c r="CQ59" s="100">
        <v>2732.3999999999996</v>
      </c>
      <c r="CR59" s="100">
        <v>7</v>
      </c>
      <c r="CS59" s="100">
        <v>2125.1999999999998</v>
      </c>
      <c r="CT59" s="100">
        <v>10</v>
      </c>
      <c r="CU59" s="100">
        <v>3035.9999999999995</v>
      </c>
    </row>
    <row r="60" spans="2:99">
      <c r="C60" s="99" t="s">
        <v>226</v>
      </c>
      <c r="D60" s="100">
        <v>8</v>
      </c>
      <c r="E60" s="100">
        <v>5212.8</v>
      </c>
      <c r="F60" s="100">
        <v>4.5590299645087979</v>
      </c>
      <c r="G60" s="100">
        <v>2970.663924873933</v>
      </c>
      <c r="H60" s="100">
        <v>0</v>
      </c>
      <c r="I60" s="100">
        <v>0</v>
      </c>
      <c r="J60" s="100">
        <v>7</v>
      </c>
      <c r="K60" s="100">
        <v>4561.2</v>
      </c>
      <c r="L60" s="100">
        <v>9</v>
      </c>
      <c r="M60" s="100">
        <v>5864.4000000000005</v>
      </c>
      <c r="N60" s="100">
        <v>11</v>
      </c>
      <c r="O60" s="100">
        <v>7167.6</v>
      </c>
      <c r="P60" s="100">
        <v>6</v>
      </c>
      <c r="Q60" s="100">
        <v>3909.6000000000004</v>
      </c>
      <c r="R60" s="100">
        <v>7</v>
      </c>
      <c r="S60" s="100">
        <v>4561.2</v>
      </c>
      <c r="T60" s="100">
        <v>5</v>
      </c>
      <c r="U60" s="100">
        <v>3258</v>
      </c>
      <c r="V60" s="100">
        <v>8.8793965707448805</v>
      </c>
      <c r="W60" s="100">
        <v>5785.8148054973644</v>
      </c>
      <c r="X60" s="100">
        <v>9.8717593500656431</v>
      </c>
      <c r="Y60" s="100">
        <v>6432.4383925027732</v>
      </c>
      <c r="Z60" s="100">
        <v>9</v>
      </c>
      <c r="AA60" s="100">
        <v>5864.4000000000005</v>
      </c>
      <c r="AB60" s="100">
        <v>6</v>
      </c>
      <c r="AC60" s="100">
        <v>3909.6000000000004</v>
      </c>
      <c r="AD60" s="100">
        <v>8</v>
      </c>
      <c r="AE60" s="100">
        <v>5212.8</v>
      </c>
      <c r="AF60" s="100">
        <v>6</v>
      </c>
      <c r="AG60" s="100">
        <v>3909.6000000000004</v>
      </c>
      <c r="AH60" s="100">
        <v>10</v>
      </c>
      <c r="AI60" s="100">
        <v>6516</v>
      </c>
      <c r="AJ60" s="100">
        <v>10</v>
      </c>
      <c r="AK60" s="100">
        <v>6516</v>
      </c>
      <c r="AL60" s="100">
        <v>8</v>
      </c>
      <c r="AM60" s="100">
        <v>5212.8</v>
      </c>
      <c r="AN60" s="100">
        <v>9</v>
      </c>
      <c r="AO60" s="100">
        <v>5864.4000000000005</v>
      </c>
      <c r="AP60" s="100">
        <v>6</v>
      </c>
      <c r="AQ60" s="100">
        <v>3909.6000000000004</v>
      </c>
      <c r="AR60" s="100">
        <v>8</v>
      </c>
      <c r="AS60" s="100">
        <v>5212.8</v>
      </c>
      <c r="AT60" s="100">
        <v>8</v>
      </c>
      <c r="AU60" s="100">
        <v>5212.8</v>
      </c>
      <c r="AV60" s="100">
        <v>8</v>
      </c>
      <c r="AW60" s="100">
        <v>5212.8</v>
      </c>
      <c r="AX60" s="100">
        <v>5</v>
      </c>
      <c r="AY60" s="100">
        <v>3258</v>
      </c>
      <c r="AZ60" s="100">
        <v>8</v>
      </c>
      <c r="BA60" s="100">
        <v>5212.8</v>
      </c>
      <c r="BB60" s="100">
        <v>6</v>
      </c>
      <c r="BC60" s="100">
        <v>3909.6000000000004</v>
      </c>
      <c r="BD60" s="100">
        <v>10</v>
      </c>
      <c r="BE60" s="100">
        <v>6516</v>
      </c>
      <c r="BF60" s="100">
        <v>6</v>
      </c>
      <c r="BG60" s="100">
        <v>3909.6000000000004</v>
      </c>
      <c r="BH60" s="100">
        <v>9</v>
      </c>
      <c r="BI60" s="100">
        <v>5864.4000000000005</v>
      </c>
      <c r="BJ60" s="100">
        <v>7</v>
      </c>
      <c r="BK60" s="100">
        <v>4561.2</v>
      </c>
      <c r="BL60" s="100">
        <v>6</v>
      </c>
      <c r="BM60" s="100">
        <v>3909.6000000000004</v>
      </c>
      <c r="BN60" s="100">
        <v>10</v>
      </c>
      <c r="BO60" s="100">
        <v>6516</v>
      </c>
      <c r="BP60" s="100">
        <v>9</v>
      </c>
      <c r="BQ60" s="100">
        <v>5864.4000000000005</v>
      </c>
      <c r="BR60" s="100">
        <v>10</v>
      </c>
      <c r="BS60" s="100">
        <v>6516</v>
      </c>
      <c r="BT60" s="100">
        <v>7</v>
      </c>
      <c r="BU60" s="100">
        <v>4561.2</v>
      </c>
      <c r="BV60" s="100">
        <v>9</v>
      </c>
      <c r="BW60" s="100">
        <v>5864.4000000000005</v>
      </c>
      <c r="BX60" s="100">
        <v>6</v>
      </c>
      <c r="BY60" s="100">
        <v>3909.6000000000004</v>
      </c>
      <c r="BZ60" s="100">
        <v>9</v>
      </c>
      <c r="CA60" s="100">
        <v>5864.4000000000005</v>
      </c>
      <c r="CB60" s="100">
        <v>8</v>
      </c>
      <c r="CC60" s="100">
        <v>5212.8</v>
      </c>
      <c r="CD60" s="100">
        <v>11</v>
      </c>
      <c r="CE60" s="100">
        <v>7167.6</v>
      </c>
      <c r="CF60" s="100">
        <v>6</v>
      </c>
      <c r="CG60" s="100">
        <v>3909.6000000000004</v>
      </c>
      <c r="CH60" s="100">
        <v>6</v>
      </c>
      <c r="CI60" s="100">
        <v>3909.6000000000004</v>
      </c>
      <c r="CJ60" s="100">
        <v>10</v>
      </c>
      <c r="CK60" s="100">
        <v>6516</v>
      </c>
      <c r="CL60" s="100">
        <v>8</v>
      </c>
      <c r="CM60" s="100">
        <v>5212.8</v>
      </c>
      <c r="CN60" s="100">
        <v>5</v>
      </c>
      <c r="CO60" s="100">
        <v>3258</v>
      </c>
      <c r="CP60" s="100">
        <v>9</v>
      </c>
      <c r="CQ60" s="100">
        <v>5864.4000000000005</v>
      </c>
      <c r="CR60" s="100">
        <v>8</v>
      </c>
      <c r="CS60" s="100">
        <v>5212.8</v>
      </c>
      <c r="CT60" s="100">
        <v>8</v>
      </c>
      <c r="CU60" s="100">
        <v>5212.8</v>
      </c>
    </row>
    <row r="61" spans="2:99">
      <c r="C61" s="99" t="s">
        <v>227</v>
      </c>
      <c r="D61" s="100">
        <v>8</v>
      </c>
      <c r="E61" s="100">
        <v>7612.7999999999993</v>
      </c>
      <c r="F61" s="100">
        <v>5.1289087100723982</v>
      </c>
      <c r="G61" s="100">
        <v>4880.6695285048936</v>
      </c>
      <c r="H61" s="100">
        <v>0</v>
      </c>
      <c r="I61" s="100">
        <v>0</v>
      </c>
      <c r="J61" s="100">
        <v>6</v>
      </c>
      <c r="K61" s="100">
        <v>5709.5999999999995</v>
      </c>
      <c r="L61" s="100">
        <v>11</v>
      </c>
      <c r="M61" s="100">
        <v>10467.599999999999</v>
      </c>
      <c r="N61" s="100">
        <v>9</v>
      </c>
      <c r="O61" s="100">
        <v>8564.4</v>
      </c>
      <c r="P61" s="100">
        <v>6</v>
      </c>
      <c r="Q61" s="100">
        <v>5709.5999999999995</v>
      </c>
      <c r="R61" s="100">
        <v>7</v>
      </c>
      <c r="S61" s="100">
        <v>6661.1999999999989</v>
      </c>
      <c r="T61" s="100">
        <v>5</v>
      </c>
      <c r="U61" s="100">
        <v>4758</v>
      </c>
      <c r="V61" s="100">
        <v>8.8793965707448805</v>
      </c>
      <c r="W61" s="100">
        <v>8449.6337767208279</v>
      </c>
      <c r="X61" s="100">
        <v>8.8845834150590797</v>
      </c>
      <c r="Y61" s="100">
        <v>8454.5695777702185</v>
      </c>
      <c r="Z61" s="100">
        <v>8</v>
      </c>
      <c r="AA61" s="100">
        <v>7612.7999999999993</v>
      </c>
      <c r="AB61" s="100">
        <v>6</v>
      </c>
      <c r="AC61" s="100">
        <v>5709.5999999999995</v>
      </c>
      <c r="AD61" s="100">
        <v>9</v>
      </c>
      <c r="AE61" s="100">
        <v>8564.4</v>
      </c>
      <c r="AF61" s="100">
        <v>6</v>
      </c>
      <c r="AG61" s="100">
        <v>5709.5999999999995</v>
      </c>
      <c r="AH61" s="100">
        <v>11</v>
      </c>
      <c r="AI61" s="100">
        <v>10467.599999999999</v>
      </c>
      <c r="AJ61" s="100">
        <v>10</v>
      </c>
      <c r="AK61" s="100">
        <v>9516</v>
      </c>
      <c r="AL61" s="100">
        <v>7</v>
      </c>
      <c r="AM61" s="100">
        <v>6661.1999999999989</v>
      </c>
      <c r="AN61" s="100">
        <v>8</v>
      </c>
      <c r="AO61" s="100">
        <v>7612.7999999999993</v>
      </c>
      <c r="AP61" s="100">
        <v>6</v>
      </c>
      <c r="AQ61" s="100">
        <v>5709.5999999999995</v>
      </c>
      <c r="AR61" s="100">
        <v>8</v>
      </c>
      <c r="AS61" s="100">
        <v>7612.7999999999993</v>
      </c>
      <c r="AT61" s="100">
        <v>7</v>
      </c>
      <c r="AU61" s="100">
        <v>6661.1999999999989</v>
      </c>
      <c r="AV61" s="100">
        <v>8</v>
      </c>
      <c r="AW61" s="100">
        <v>7612.7999999999993</v>
      </c>
      <c r="AX61" s="100">
        <v>5</v>
      </c>
      <c r="AY61" s="100">
        <v>4758</v>
      </c>
      <c r="AZ61" s="100">
        <v>8</v>
      </c>
      <c r="BA61" s="100">
        <v>7612.7999999999993</v>
      </c>
      <c r="BB61" s="100">
        <v>5</v>
      </c>
      <c r="BC61" s="100">
        <v>4758</v>
      </c>
      <c r="BD61" s="100">
        <v>9</v>
      </c>
      <c r="BE61" s="100">
        <v>8564.4</v>
      </c>
      <c r="BF61" s="100">
        <v>6</v>
      </c>
      <c r="BG61" s="100">
        <v>5709.5999999999995</v>
      </c>
      <c r="BH61" s="100">
        <v>9</v>
      </c>
      <c r="BI61" s="100">
        <v>8564.4</v>
      </c>
      <c r="BJ61" s="100">
        <v>7</v>
      </c>
      <c r="BK61" s="100">
        <v>6661.1999999999989</v>
      </c>
      <c r="BL61" s="100">
        <v>6</v>
      </c>
      <c r="BM61" s="100">
        <v>5709.5999999999995</v>
      </c>
      <c r="BN61" s="100">
        <v>10</v>
      </c>
      <c r="BO61" s="100">
        <v>9516</v>
      </c>
      <c r="BP61" s="100">
        <v>9</v>
      </c>
      <c r="BQ61" s="100">
        <v>8564.4</v>
      </c>
      <c r="BR61" s="100">
        <v>10</v>
      </c>
      <c r="BS61" s="100">
        <v>9516</v>
      </c>
      <c r="BT61" s="100">
        <v>7</v>
      </c>
      <c r="BU61" s="100">
        <v>6661.1999999999989</v>
      </c>
      <c r="BV61" s="100">
        <v>9</v>
      </c>
      <c r="BW61" s="100">
        <v>8564.4</v>
      </c>
      <c r="BX61" s="100">
        <v>7</v>
      </c>
      <c r="BY61" s="100">
        <v>6661.1999999999989</v>
      </c>
      <c r="BZ61" s="100">
        <v>9</v>
      </c>
      <c r="CA61" s="100">
        <v>8564.4</v>
      </c>
      <c r="CB61" s="100">
        <v>9</v>
      </c>
      <c r="CC61" s="100">
        <v>8564.4</v>
      </c>
      <c r="CD61" s="100">
        <v>10</v>
      </c>
      <c r="CE61" s="100">
        <v>9516</v>
      </c>
      <c r="CF61" s="100">
        <v>6</v>
      </c>
      <c r="CG61" s="100">
        <v>5709.5999999999995</v>
      </c>
      <c r="CH61" s="100">
        <v>6</v>
      </c>
      <c r="CI61" s="100">
        <v>5709.5999999999995</v>
      </c>
      <c r="CJ61" s="100">
        <v>9</v>
      </c>
      <c r="CK61" s="100">
        <v>8564.4</v>
      </c>
      <c r="CL61" s="100">
        <v>6</v>
      </c>
      <c r="CM61" s="100">
        <v>5709.5999999999995</v>
      </c>
      <c r="CN61" s="100">
        <v>5</v>
      </c>
      <c r="CO61" s="100">
        <v>4758</v>
      </c>
      <c r="CP61" s="100">
        <v>8</v>
      </c>
      <c r="CQ61" s="100">
        <v>7612.7999999999993</v>
      </c>
      <c r="CR61" s="100">
        <v>8</v>
      </c>
      <c r="CS61" s="100">
        <v>7612.7999999999993</v>
      </c>
      <c r="CT61" s="100">
        <v>9</v>
      </c>
      <c r="CU61" s="100">
        <v>8564.4</v>
      </c>
    </row>
    <row r="62" spans="2:99">
      <c r="C62" s="99" t="s">
        <v>228</v>
      </c>
      <c r="D62" s="100">
        <v>5.290701254052335</v>
      </c>
      <c r="E62" s="100">
        <v>8831.238533264157</v>
      </c>
      <c r="F62" s="100">
        <v>7</v>
      </c>
      <c r="G62" s="100">
        <v>11684.4</v>
      </c>
      <c r="H62" s="100">
        <v>7</v>
      </c>
      <c r="I62" s="100">
        <v>11684.4</v>
      </c>
      <c r="J62" s="100">
        <v>5.0778811928690466</v>
      </c>
      <c r="K62" s="100">
        <v>8475.9992871370123</v>
      </c>
      <c r="L62" s="100">
        <v>6.6451847329526208</v>
      </c>
      <c r="M62" s="100">
        <v>11092.142356244514</v>
      </c>
      <c r="N62" s="100">
        <v>9.3260474576752301</v>
      </c>
      <c r="O62" s="100">
        <v>15567.038416351495</v>
      </c>
      <c r="P62" s="100">
        <v>5</v>
      </c>
      <c r="Q62" s="100">
        <v>8346</v>
      </c>
      <c r="R62" s="100">
        <v>5.0977144232326603</v>
      </c>
      <c r="S62" s="100">
        <v>8509.1049152599571</v>
      </c>
      <c r="T62" s="100">
        <v>5</v>
      </c>
      <c r="U62" s="100">
        <v>8346</v>
      </c>
      <c r="V62" s="100">
        <v>9</v>
      </c>
      <c r="W62" s="100">
        <v>15022.800000000001</v>
      </c>
      <c r="X62" s="100">
        <v>6.153308153649296</v>
      </c>
      <c r="Y62" s="100">
        <v>10271.101970071406</v>
      </c>
      <c r="Z62" s="100">
        <v>5.2874634281776087</v>
      </c>
      <c r="AA62" s="100">
        <v>8825.8339543140646</v>
      </c>
      <c r="AB62" s="100">
        <v>1.9167262726082173</v>
      </c>
      <c r="AC62" s="100">
        <v>3199.3994942376362</v>
      </c>
      <c r="AD62" s="100">
        <v>4.9322037795692779</v>
      </c>
      <c r="AE62" s="100">
        <v>8232.8345488570394</v>
      </c>
      <c r="AF62" s="100">
        <v>4.4158818289922843</v>
      </c>
      <c r="AG62" s="100">
        <v>7370.9899489539212</v>
      </c>
      <c r="AH62" s="100">
        <v>7.136834439441607</v>
      </c>
      <c r="AI62" s="100">
        <v>11912.80404631593</v>
      </c>
      <c r="AJ62" s="100">
        <v>7.4354954458747624</v>
      </c>
      <c r="AK62" s="100">
        <v>12411.328998254154</v>
      </c>
      <c r="AL62" s="100">
        <v>0</v>
      </c>
      <c r="AM62" s="100">
        <v>0</v>
      </c>
      <c r="AN62" s="100">
        <v>5.542197994378891</v>
      </c>
      <c r="AO62" s="100">
        <v>9251.0368922172456</v>
      </c>
      <c r="AP62" s="100">
        <v>0.39593378964432285</v>
      </c>
      <c r="AQ62" s="100">
        <v>660.89268167430373</v>
      </c>
      <c r="AR62" s="100">
        <v>5.8467143676963946</v>
      </c>
      <c r="AS62" s="100">
        <v>9759.3356225588213</v>
      </c>
      <c r="AT62" s="100">
        <v>6</v>
      </c>
      <c r="AU62" s="100">
        <v>10015.200000000001</v>
      </c>
      <c r="AV62" s="100">
        <v>7</v>
      </c>
      <c r="AW62" s="100">
        <v>11684.4</v>
      </c>
      <c r="AX62" s="100">
        <v>5.6820954785657749</v>
      </c>
      <c r="AY62" s="100">
        <v>9484.5537728219915</v>
      </c>
      <c r="AZ62" s="100">
        <v>4.5089068428845076</v>
      </c>
      <c r="BA62" s="100">
        <v>7526.26730214282</v>
      </c>
      <c r="BB62" s="100">
        <v>3.5852493764176003</v>
      </c>
      <c r="BC62" s="100">
        <v>5984.4982591162589</v>
      </c>
      <c r="BD62" s="100">
        <v>5.8749593646417866</v>
      </c>
      <c r="BE62" s="100">
        <v>9806.4821714600712</v>
      </c>
      <c r="BF62" s="100">
        <v>0.31779663528152569</v>
      </c>
      <c r="BG62" s="100">
        <v>530.46614361192269</v>
      </c>
      <c r="BH62" s="100">
        <v>9</v>
      </c>
      <c r="BI62" s="100">
        <v>15022.800000000001</v>
      </c>
      <c r="BJ62" s="100">
        <v>6</v>
      </c>
      <c r="BK62" s="100">
        <v>10015.200000000001</v>
      </c>
      <c r="BL62" s="100">
        <v>4.3981717668734621</v>
      </c>
      <c r="BM62" s="100">
        <v>7341.4283132651835</v>
      </c>
      <c r="BN62" s="100">
        <v>0.64221403379808317</v>
      </c>
      <c r="BO62" s="100">
        <v>1071.9836652157605</v>
      </c>
      <c r="BP62" s="100">
        <v>8</v>
      </c>
      <c r="BQ62" s="100">
        <v>13353.6</v>
      </c>
      <c r="BR62" s="100">
        <v>6.8122287788211482</v>
      </c>
      <c r="BS62" s="100">
        <v>11370.972277608262</v>
      </c>
      <c r="BT62" s="100">
        <v>7</v>
      </c>
      <c r="BU62" s="100">
        <v>11684.4</v>
      </c>
      <c r="BV62" s="100">
        <v>8</v>
      </c>
      <c r="BW62" s="100">
        <v>13353.6</v>
      </c>
      <c r="BX62" s="100">
        <v>7</v>
      </c>
      <c r="BY62" s="100">
        <v>11684.4</v>
      </c>
      <c r="BZ62" s="100">
        <v>1.6363852728803561</v>
      </c>
      <c r="CA62" s="100">
        <v>2731.4542974918904</v>
      </c>
      <c r="CB62" s="100">
        <v>5.8971170777627613</v>
      </c>
      <c r="CC62" s="100">
        <v>9843.4678262016023</v>
      </c>
      <c r="CD62" s="100">
        <v>0.54319424885124212</v>
      </c>
      <c r="CE62" s="100">
        <v>906.6998401824934</v>
      </c>
      <c r="CF62" s="100">
        <v>5</v>
      </c>
      <c r="CG62" s="100">
        <v>8346</v>
      </c>
      <c r="CH62" s="100">
        <v>4.923563051892919</v>
      </c>
      <c r="CI62" s="100">
        <v>8218.4114462196612</v>
      </c>
      <c r="CJ62" s="100">
        <v>7.3555438819406245</v>
      </c>
      <c r="CK62" s="100">
        <v>12277.873847735291</v>
      </c>
      <c r="CL62" s="100">
        <v>0.42104178606079212</v>
      </c>
      <c r="CM62" s="100">
        <v>702.80294929267427</v>
      </c>
      <c r="CN62" s="100">
        <v>6</v>
      </c>
      <c r="CO62" s="100">
        <v>10015.200000000001</v>
      </c>
      <c r="CP62" s="100">
        <v>6.9573103252121742</v>
      </c>
      <c r="CQ62" s="100">
        <v>11613.142394844161</v>
      </c>
      <c r="CR62" s="100">
        <v>4.3790206375339249</v>
      </c>
      <c r="CS62" s="100">
        <v>7309.4612481716276</v>
      </c>
      <c r="CT62" s="100">
        <v>5.046126923157054</v>
      </c>
      <c r="CU62" s="100">
        <v>8422.995060133755</v>
      </c>
    </row>
    <row r="63" spans="2:99">
      <c r="C63" s="99" t="s">
        <v>229</v>
      </c>
      <c r="D63" s="100">
        <v>8</v>
      </c>
      <c r="E63" s="100">
        <v>6364.8</v>
      </c>
      <c r="F63" s="100">
        <v>4.5590299645087979</v>
      </c>
      <c r="G63" s="100">
        <v>3627.1642397631999</v>
      </c>
      <c r="H63" s="100">
        <v>0</v>
      </c>
      <c r="I63" s="100">
        <v>0</v>
      </c>
      <c r="J63" s="100">
        <v>7</v>
      </c>
      <c r="K63" s="100">
        <v>5569.2</v>
      </c>
      <c r="L63" s="100">
        <v>11</v>
      </c>
      <c r="M63" s="100">
        <v>8751.6</v>
      </c>
      <c r="N63" s="100">
        <v>10</v>
      </c>
      <c r="O63" s="100">
        <v>7956</v>
      </c>
      <c r="P63" s="100">
        <v>6</v>
      </c>
      <c r="Q63" s="100">
        <v>4773.6000000000004</v>
      </c>
      <c r="R63" s="100">
        <v>6</v>
      </c>
      <c r="S63" s="100">
        <v>4773.6000000000004</v>
      </c>
      <c r="T63" s="100">
        <v>6</v>
      </c>
      <c r="U63" s="100">
        <v>4773.6000000000004</v>
      </c>
      <c r="V63" s="100">
        <v>9.8659961897165331</v>
      </c>
      <c r="W63" s="100">
        <v>7849.3865685384744</v>
      </c>
      <c r="X63" s="100">
        <v>8.8845834150590797</v>
      </c>
      <c r="Y63" s="100">
        <v>7068.5745650210038</v>
      </c>
      <c r="Z63" s="100">
        <v>9</v>
      </c>
      <c r="AA63" s="100">
        <v>7160.4000000000005</v>
      </c>
      <c r="AB63" s="100">
        <v>6</v>
      </c>
      <c r="AC63" s="100">
        <v>4773.6000000000004</v>
      </c>
      <c r="AD63" s="100">
        <v>8</v>
      </c>
      <c r="AE63" s="100">
        <v>6364.8</v>
      </c>
      <c r="AF63" s="100">
        <v>6</v>
      </c>
      <c r="AG63" s="100">
        <v>4773.6000000000004</v>
      </c>
      <c r="AH63" s="100">
        <v>10</v>
      </c>
      <c r="AI63" s="100">
        <v>7956</v>
      </c>
      <c r="AJ63" s="100">
        <v>9</v>
      </c>
      <c r="AK63" s="100">
        <v>7160.4000000000005</v>
      </c>
      <c r="AL63" s="100">
        <v>7</v>
      </c>
      <c r="AM63" s="100">
        <v>5569.2</v>
      </c>
      <c r="AN63" s="100">
        <v>8</v>
      </c>
      <c r="AO63" s="100">
        <v>6364.8</v>
      </c>
      <c r="AP63" s="100">
        <v>6</v>
      </c>
      <c r="AQ63" s="100">
        <v>4773.6000000000004</v>
      </c>
      <c r="AR63" s="100">
        <v>7</v>
      </c>
      <c r="AS63" s="100">
        <v>5569.2</v>
      </c>
      <c r="AT63" s="100">
        <v>8</v>
      </c>
      <c r="AU63" s="100">
        <v>6364.8</v>
      </c>
      <c r="AV63" s="100">
        <v>8</v>
      </c>
      <c r="AW63" s="100">
        <v>6364.8</v>
      </c>
      <c r="AX63" s="100">
        <v>6</v>
      </c>
      <c r="AY63" s="100">
        <v>4773.6000000000004</v>
      </c>
      <c r="AZ63" s="100">
        <v>8</v>
      </c>
      <c r="BA63" s="100">
        <v>6364.8</v>
      </c>
      <c r="BB63" s="100">
        <v>6</v>
      </c>
      <c r="BC63" s="100">
        <v>4773.6000000000004</v>
      </c>
      <c r="BD63" s="100">
        <v>10</v>
      </c>
      <c r="BE63" s="100">
        <v>7956</v>
      </c>
      <c r="BF63" s="100">
        <v>7</v>
      </c>
      <c r="BG63" s="100">
        <v>5569.2</v>
      </c>
      <c r="BH63" s="100">
        <v>9</v>
      </c>
      <c r="BI63" s="100">
        <v>7160.4000000000005</v>
      </c>
      <c r="BJ63" s="100">
        <v>6</v>
      </c>
      <c r="BK63" s="100">
        <v>4773.6000000000004</v>
      </c>
      <c r="BL63" s="100">
        <v>6</v>
      </c>
      <c r="BM63" s="100">
        <v>4773.6000000000004</v>
      </c>
      <c r="BN63" s="100">
        <v>11</v>
      </c>
      <c r="BO63" s="100">
        <v>8751.6</v>
      </c>
      <c r="BP63" s="100">
        <v>9</v>
      </c>
      <c r="BQ63" s="100">
        <v>7160.4000000000005</v>
      </c>
      <c r="BR63" s="100">
        <v>9</v>
      </c>
      <c r="BS63" s="100">
        <v>7160.4000000000005</v>
      </c>
      <c r="BT63" s="100">
        <v>7</v>
      </c>
      <c r="BU63" s="100">
        <v>5569.2</v>
      </c>
      <c r="BV63" s="100">
        <v>8</v>
      </c>
      <c r="BW63" s="100">
        <v>6364.8</v>
      </c>
      <c r="BX63" s="100">
        <v>7</v>
      </c>
      <c r="BY63" s="100">
        <v>5569.2</v>
      </c>
      <c r="BZ63" s="100">
        <v>9</v>
      </c>
      <c r="CA63" s="100">
        <v>7160.4000000000005</v>
      </c>
      <c r="CB63" s="100">
        <v>8</v>
      </c>
      <c r="CC63" s="100">
        <v>6364.8</v>
      </c>
      <c r="CD63" s="100">
        <v>12</v>
      </c>
      <c r="CE63" s="100">
        <v>9547.2000000000007</v>
      </c>
      <c r="CF63" s="100">
        <v>7</v>
      </c>
      <c r="CG63" s="100">
        <v>5569.2</v>
      </c>
      <c r="CH63" s="100">
        <v>7</v>
      </c>
      <c r="CI63" s="100">
        <v>5569.2</v>
      </c>
      <c r="CJ63" s="100">
        <v>10</v>
      </c>
      <c r="CK63" s="100">
        <v>7956</v>
      </c>
      <c r="CL63" s="100">
        <v>7</v>
      </c>
      <c r="CM63" s="100">
        <v>5569.2</v>
      </c>
      <c r="CN63" s="100">
        <v>6</v>
      </c>
      <c r="CO63" s="100">
        <v>4773.6000000000004</v>
      </c>
      <c r="CP63" s="100">
        <v>8</v>
      </c>
      <c r="CQ63" s="100">
        <v>6364.8</v>
      </c>
      <c r="CR63" s="100">
        <v>8</v>
      </c>
      <c r="CS63" s="100">
        <v>6364.8</v>
      </c>
      <c r="CT63" s="100">
        <v>9</v>
      </c>
      <c r="CU63" s="100">
        <v>7160.4000000000005</v>
      </c>
    </row>
    <row r="64" spans="2:99">
      <c r="C64" s="99" t="s">
        <v>230</v>
      </c>
      <c r="D64" s="100">
        <v>7</v>
      </c>
      <c r="E64" s="100">
        <v>7064.3999999999987</v>
      </c>
      <c r="F64" s="100">
        <v>4.5590299645087979</v>
      </c>
      <c r="G64" s="100">
        <v>4600.9730401822781</v>
      </c>
      <c r="H64" s="100">
        <v>0</v>
      </c>
      <c r="I64" s="100">
        <v>0</v>
      </c>
      <c r="J64" s="100">
        <v>6</v>
      </c>
      <c r="K64" s="100">
        <v>6055.1999999999989</v>
      </c>
      <c r="L64" s="100">
        <v>9</v>
      </c>
      <c r="M64" s="100">
        <v>9082.7999999999993</v>
      </c>
      <c r="N64" s="100">
        <v>9</v>
      </c>
      <c r="O64" s="100">
        <v>9082.7999999999993</v>
      </c>
      <c r="P64" s="100">
        <v>6</v>
      </c>
      <c r="Q64" s="100">
        <v>6055.1999999999989</v>
      </c>
      <c r="R64" s="100">
        <v>6</v>
      </c>
      <c r="S64" s="100">
        <v>6055.1999999999989</v>
      </c>
      <c r="T64" s="100">
        <v>5</v>
      </c>
      <c r="U64" s="100">
        <v>5045.9999999999991</v>
      </c>
      <c r="V64" s="100">
        <v>9.8659961897165331</v>
      </c>
      <c r="W64" s="100">
        <v>9956.7633546619236</v>
      </c>
      <c r="X64" s="100">
        <v>8.8845834150590797</v>
      </c>
      <c r="Y64" s="100">
        <v>8966.3215824776216</v>
      </c>
      <c r="Z64" s="100">
        <v>9</v>
      </c>
      <c r="AA64" s="100">
        <v>9082.7999999999993</v>
      </c>
      <c r="AB64" s="100">
        <v>7</v>
      </c>
      <c r="AC64" s="100">
        <v>7064.3999999999987</v>
      </c>
      <c r="AD64" s="100">
        <v>8</v>
      </c>
      <c r="AE64" s="100">
        <v>8073.5999999999985</v>
      </c>
      <c r="AF64" s="100">
        <v>6</v>
      </c>
      <c r="AG64" s="100">
        <v>6055.1999999999989</v>
      </c>
      <c r="AH64" s="100">
        <v>10</v>
      </c>
      <c r="AI64" s="100">
        <v>10091.999999999998</v>
      </c>
      <c r="AJ64" s="100">
        <v>9</v>
      </c>
      <c r="AK64" s="100">
        <v>9082.7999999999993</v>
      </c>
      <c r="AL64" s="100">
        <v>8</v>
      </c>
      <c r="AM64" s="100">
        <v>8073.5999999999985</v>
      </c>
      <c r="AN64" s="100">
        <v>8</v>
      </c>
      <c r="AO64" s="100">
        <v>8073.5999999999985</v>
      </c>
      <c r="AP64" s="100">
        <v>6</v>
      </c>
      <c r="AQ64" s="100">
        <v>6055.1999999999989</v>
      </c>
      <c r="AR64" s="100">
        <v>9</v>
      </c>
      <c r="AS64" s="100">
        <v>9082.7999999999993</v>
      </c>
      <c r="AT64" s="100">
        <v>7</v>
      </c>
      <c r="AU64" s="100">
        <v>7064.3999999999987</v>
      </c>
      <c r="AV64" s="100">
        <v>7</v>
      </c>
      <c r="AW64" s="100">
        <v>7064.3999999999987</v>
      </c>
      <c r="AX64" s="100">
        <v>5</v>
      </c>
      <c r="AY64" s="100">
        <v>5045.9999999999991</v>
      </c>
      <c r="AZ64" s="100">
        <v>8</v>
      </c>
      <c r="BA64" s="100">
        <v>8073.5999999999985</v>
      </c>
      <c r="BB64" s="100">
        <v>6</v>
      </c>
      <c r="BC64" s="100">
        <v>6055.1999999999989</v>
      </c>
      <c r="BD64" s="100">
        <v>9</v>
      </c>
      <c r="BE64" s="100">
        <v>9082.7999999999993</v>
      </c>
      <c r="BF64" s="100">
        <v>6</v>
      </c>
      <c r="BG64" s="100">
        <v>6055.1999999999989</v>
      </c>
      <c r="BH64" s="100">
        <v>10</v>
      </c>
      <c r="BI64" s="100">
        <v>10091.999999999998</v>
      </c>
      <c r="BJ64" s="100">
        <v>7</v>
      </c>
      <c r="BK64" s="100">
        <v>7064.3999999999987</v>
      </c>
      <c r="BL64" s="100">
        <v>6</v>
      </c>
      <c r="BM64" s="100">
        <v>6055.1999999999989</v>
      </c>
      <c r="BN64" s="100">
        <v>11</v>
      </c>
      <c r="BO64" s="100">
        <v>11101.199999999997</v>
      </c>
      <c r="BP64" s="100">
        <v>10</v>
      </c>
      <c r="BQ64" s="100">
        <v>10091.999999999998</v>
      </c>
      <c r="BR64" s="100">
        <v>9</v>
      </c>
      <c r="BS64" s="100">
        <v>9082.7999999999993</v>
      </c>
      <c r="BT64" s="100">
        <v>7</v>
      </c>
      <c r="BU64" s="100">
        <v>7064.3999999999987</v>
      </c>
      <c r="BV64" s="100">
        <v>9</v>
      </c>
      <c r="BW64" s="100">
        <v>9082.7999999999993</v>
      </c>
      <c r="BX64" s="100">
        <v>7</v>
      </c>
      <c r="BY64" s="100">
        <v>7064.3999999999987</v>
      </c>
      <c r="BZ64" s="100">
        <v>9</v>
      </c>
      <c r="CA64" s="100">
        <v>9082.7999999999993</v>
      </c>
      <c r="CB64" s="100">
        <v>8</v>
      </c>
      <c r="CC64" s="100">
        <v>8073.5999999999985</v>
      </c>
      <c r="CD64" s="100">
        <v>11</v>
      </c>
      <c r="CE64" s="100">
        <v>11101.199999999997</v>
      </c>
      <c r="CF64" s="100">
        <v>7</v>
      </c>
      <c r="CG64" s="100">
        <v>7064.3999999999987</v>
      </c>
      <c r="CH64" s="100">
        <v>6</v>
      </c>
      <c r="CI64" s="100">
        <v>6055.1999999999989</v>
      </c>
      <c r="CJ64" s="100">
        <v>9</v>
      </c>
      <c r="CK64" s="100">
        <v>9082.7999999999993</v>
      </c>
      <c r="CL64" s="100">
        <v>7</v>
      </c>
      <c r="CM64" s="100">
        <v>7064.3999999999987</v>
      </c>
      <c r="CN64" s="100">
        <v>6</v>
      </c>
      <c r="CO64" s="100">
        <v>6055.1999999999989</v>
      </c>
      <c r="CP64" s="100">
        <v>7</v>
      </c>
      <c r="CQ64" s="100">
        <v>7064.3999999999987</v>
      </c>
      <c r="CR64" s="100">
        <v>8</v>
      </c>
      <c r="CS64" s="100">
        <v>8073.5999999999985</v>
      </c>
      <c r="CT64" s="100">
        <v>8</v>
      </c>
      <c r="CU64" s="100">
        <v>8073.5999999999985</v>
      </c>
    </row>
    <row r="65" spans="2:99">
      <c r="C65" s="99" t="s">
        <v>231</v>
      </c>
      <c r="D65" s="100">
        <v>8</v>
      </c>
      <c r="E65" s="100">
        <v>8208</v>
      </c>
      <c r="F65" s="100">
        <v>4.5590299645087979</v>
      </c>
      <c r="G65" s="100">
        <v>4677.5647435860265</v>
      </c>
      <c r="H65" s="100">
        <v>0</v>
      </c>
      <c r="I65" s="100">
        <v>0</v>
      </c>
      <c r="J65" s="100">
        <v>6</v>
      </c>
      <c r="K65" s="100">
        <v>6156</v>
      </c>
      <c r="L65" s="100">
        <v>10</v>
      </c>
      <c r="M65" s="100">
        <v>10260</v>
      </c>
      <c r="N65" s="100">
        <v>9</v>
      </c>
      <c r="O65" s="100">
        <v>9234</v>
      </c>
      <c r="P65" s="100">
        <v>6</v>
      </c>
      <c r="Q65" s="100">
        <v>6156</v>
      </c>
      <c r="R65" s="100">
        <v>6</v>
      </c>
      <c r="S65" s="100">
        <v>6156</v>
      </c>
      <c r="T65" s="100">
        <v>5</v>
      </c>
      <c r="U65" s="100">
        <v>5130</v>
      </c>
      <c r="V65" s="100">
        <v>8.8793965707448805</v>
      </c>
      <c r="W65" s="100">
        <v>9110.2608815842468</v>
      </c>
      <c r="X65" s="100">
        <v>9.8717593500656431</v>
      </c>
      <c r="Y65" s="100">
        <v>10128.42509316735</v>
      </c>
      <c r="Z65" s="100">
        <v>8</v>
      </c>
      <c r="AA65" s="100">
        <v>8208</v>
      </c>
      <c r="AB65" s="100">
        <v>6</v>
      </c>
      <c r="AC65" s="100">
        <v>6156</v>
      </c>
      <c r="AD65" s="100">
        <v>8</v>
      </c>
      <c r="AE65" s="100">
        <v>8208</v>
      </c>
      <c r="AF65" s="100">
        <v>5</v>
      </c>
      <c r="AG65" s="100">
        <v>5130</v>
      </c>
      <c r="AH65" s="100">
        <v>10</v>
      </c>
      <c r="AI65" s="100">
        <v>10260</v>
      </c>
      <c r="AJ65" s="100">
        <v>10</v>
      </c>
      <c r="AK65" s="100">
        <v>10260</v>
      </c>
      <c r="AL65" s="100">
        <v>8</v>
      </c>
      <c r="AM65" s="100">
        <v>8208</v>
      </c>
      <c r="AN65" s="100">
        <v>9</v>
      </c>
      <c r="AO65" s="100">
        <v>9234</v>
      </c>
      <c r="AP65" s="100">
        <v>6</v>
      </c>
      <c r="AQ65" s="100">
        <v>6156</v>
      </c>
      <c r="AR65" s="100">
        <v>9</v>
      </c>
      <c r="AS65" s="100">
        <v>9234</v>
      </c>
      <c r="AT65" s="100">
        <v>7</v>
      </c>
      <c r="AU65" s="100">
        <v>7182</v>
      </c>
      <c r="AV65" s="100">
        <v>9</v>
      </c>
      <c r="AW65" s="100">
        <v>9234</v>
      </c>
      <c r="AX65" s="100">
        <v>6</v>
      </c>
      <c r="AY65" s="100">
        <v>6156</v>
      </c>
      <c r="AZ65" s="100">
        <v>8</v>
      </c>
      <c r="BA65" s="100">
        <v>8208</v>
      </c>
      <c r="BB65" s="100">
        <v>5</v>
      </c>
      <c r="BC65" s="100">
        <v>5130</v>
      </c>
      <c r="BD65" s="100">
        <v>9</v>
      </c>
      <c r="BE65" s="100">
        <v>9234</v>
      </c>
      <c r="BF65" s="100">
        <v>6</v>
      </c>
      <c r="BG65" s="100">
        <v>6156</v>
      </c>
      <c r="BH65" s="100">
        <v>9</v>
      </c>
      <c r="BI65" s="100">
        <v>9234</v>
      </c>
      <c r="BJ65" s="100">
        <v>7</v>
      </c>
      <c r="BK65" s="100">
        <v>7182</v>
      </c>
      <c r="BL65" s="100">
        <v>6</v>
      </c>
      <c r="BM65" s="100">
        <v>6156</v>
      </c>
      <c r="BN65" s="100">
        <v>11</v>
      </c>
      <c r="BO65" s="100">
        <v>11286</v>
      </c>
      <c r="BP65" s="100">
        <v>9</v>
      </c>
      <c r="BQ65" s="100">
        <v>9234</v>
      </c>
      <c r="BR65" s="100">
        <v>9</v>
      </c>
      <c r="BS65" s="100">
        <v>9234</v>
      </c>
      <c r="BT65" s="100">
        <v>7</v>
      </c>
      <c r="BU65" s="100">
        <v>7182</v>
      </c>
      <c r="BV65" s="100">
        <v>9</v>
      </c>
      <c r="BW65" s="100">
        <v>9234</v>
      </c>
      <c r="BX65" s="100">
        <v>7</v>
      </c>
      <c r="BY65" s="100">
        <v>7182</v>
      </c>
      <c r="BZ65" s="100">
        <v>9</v>
      </c>
      <c r="CA65" s="100">
        <v>9234</v>
      </c>
      <c r="CB65" s="100">
        <v>9</v>
      </c>
      <c r="CC65" s="100">
        <v>9234</v>
      </c>
      <c r="CD65" s="100">
        <v>12</v>
      </c>
      <c r="CE65" s="100">
        <v>12312</v>
      </c>
      <c r="CF65" s="100">
        <v>6</v>
      </c>
      <c r="CG65" s="100">
        <v>6156</v>
      </c>
      <c r="CH65" s="100">
        <v>7</v>
      </c>
      <c r="CI65" s="100">
        <v>7182</v>
      </c>
      <c r="CJ65" s="100">
        <v>9</v>
      </c>
      <c r="CK65" s="100">
        <v>9234</v>
      </c>
      <c r="CL65" s="100">
        <v>7</v>
      </c>
      <c r="CM65" s="100">
        <v>7182</v>
      </c>
      <c r="CN65" s="100">
        <v>6</v>
      </c>
      <c r="CO65" s="100">
        <v>6156</v>
      </c>
      <c r="CP65" s="100">
        <v>8</v>
      </c>
      <c r="CQ65" s="100">
        <v>8208</v>
      </c>
      <c r="CR65" s="100">
        <v>7</v>
      </c>
      <c r="CS65" s="100">
        <v>7182</v>
      </c>
      <c r="CT65" s="100">
        <v>8</v>
      </c>
      <c r="CU65" s="100">
        <v>8208</v>
      </c>
    </row>
    <row r="66" spans="2:99">
      <c r="C66" s="99" t="s">
        <v>232</v>
      </c>
      <c r="D66" s="100">
        <v>8</v>
      </c>
      <c r="E66" s="100">
        <v>9523.1999999999989</v>
      </c>
      <c r="F66" s="100">
        <v>4.5590299645087979</v>
      </c>
      <c r="G66" s="100">
        <v>5427.0692697512723</v>
      </c>
      <c r="H66" s="100">
        <v>0</v>
      </c>
      <c r="I66" s="100">
        <v>0</v>
      </c>
      <c r="J66" s="100">
        <v>6</v>
      </c>
      <c r="K66" s="100">
        <v>7142.4</v>
      </c>
      <c r="L66" s="100">
        <v>10</v>
      </c>
      <c r="M66" s="100">
        <v>11903.999999999998</v>
      </c>
      <c r="N66" s="100">
        <v>10</v>
      </c>
      <c r="O66" s="100">
        <v>11903.999999999998</v>
      </c>
      <c r="P66" s="100">
        <v>6</v>
      </c>
      <c r="Q66" s="100">
        <v>7142.4</v>
      </c>
      <c r="R66" s="100">
        <v>7</v>
      </c>
      <c r="S66" s="100">
        <v>8332.7999999999993</v>
      </c>
      <c r="T66" s="100">
        <v>5</v>
      </c>
      <c r="U66" s="100">
        <v>5951.9999999999991</v>
      </c>
      <c r="V66" s="100">
        <v>8.8793965707448805</v>
      </c>
      <c r="W66" s="100">
        <v>10570.033677814705</v>
      </c>
      <c r="X66" s="100">
        <v>8.8845834150590797</v>
      </c>
      <c r="Y66" s="100">
        <v>10576.208097286328</v>
      </c>
      <c r="Z66" s="100">
        <v>9</v>
      </c>
      <c r="AA66" s="100">
        <v>10713.599999999999</v>
      </c>
      <c r="AB66" s="100">
        <v>6</v>
      </c>
      <c r="AC66" s="100">
        <v>7142.4</v>
      </c>
      <c r="AD66" s="100">
        <v>8</v>
      </c>
      <c r="AE66" s="100">
        <v>9523.1999999999989</v>
      </c>
      <c r="AF66" s="100">
        <v>6</v>
      </c>
      <c r="AG66" s="100">
        <v>7142.4</v>
      </c>
      <c r="AH66" s="100">
        <v>11</v>
      </c>
      <c r="AI66" s="100">
        <v>13094.399999999998</v>
      </c>
      <c r="AJ66" s="100">
        <v>10</v>
      </c>
      <c r="AK66" s="100">
        <v>11903.999999999998</v>
      </c>
      <c r="AL66" s="100">
        <v>8</v>
      </c>
      <c r="AM66" s="100">
        <v>9523.1999999999989</v>
      </c>
      <c r="AN66" s="100">
        <v>8</v>
      </c>
      <c r="AO66" s="100">
        <v>9523.1999999999989</v>
      </c>
      <c r="AP66" s="100">
        <v>6</v>
      </c>
      <c r="AQ66" s="100">
        <v>7142.4</v>
      </c>
      <c r="AR66" s="100">
        <v>9</v>
      </c>
      <c r="AS66" s="100">
        <v>10713.599999999999</v>
      </c>
      <c r="AT66" s="100">
        <v>8</v>
      </c>
      <c r="AU66" s="100">
        <v>9523.1999999999989</v>
      </c>
      <c r="AV66" s="100">
        <v>7</v>
      </c>
      <c r="AW66" s="100">
        <v>8332.7999999999993</v>
      </c>
      <c r="AX66" s="100">
        <v>5</v>
      </c>
      <c r="AY66" s="100">
        <v>5951.9999999999991</v>
      </c>
      <c r="AZ66" s="100">
        <v>7</v>
      </c>
      <c r="BA66" s="100">
        <v>8332.7999999999993</v>
      </c>
      <c r="BB66" s="100">
        <v>6</v>
      </c>
      <c r="BC66" s="100">
        <v>7142.4</v>
      </c>
      <c r="BD66" s="100">
        <v>9</v>
      </c>
      <c r="BE66" s="100">
        <v>10713.599999999999</v>
      </c>
      <c r="BF66" s="100">
        <v>6</v>
      </c>
      <c r="BG66" s="100">
        <v>7142.4</v>
      </c>
      <c r="BH66" s="100">
        <v>9</v>
      </c>
      <c r="BI66" s="100">
        <v>10713.599999999999</v>
      </c>
      <c r="BJ66" s="100">
        <v>7</v>
      </c>
      <c r="BK66" s="100">
        <v>8332.7999999999993</v>
      </c>
      <c r="BL66" s="100">
        <v>6</v>
      </c>
      <c r="BM66" s="100">
        <v>7142.4</v>
      </c>
      <c r="BN66" s="100">
        <v>10</v>
      </c>
      <c r="BO66" s="100">
        <v>11903.999999999998</v>
      </c>
      <c r="BP66" s="100">
        <v>9</v>
      </c>
      <c r="BQ66" s="100">
        <v>10713.599999999999</v>
      </c>
      <c r="BR66" s="100">
        <v>10</v>
      </c>
      <c r="BS66" s="100">
        <v>11903.999999999998</v>
      </c>
      <c r="BT66" s="100">
        <v>7</v>
      </c>
      <c r="BU66" s="100">
        <v>8332.7999999999993</v>
      </c>
      <c r="BV66" s="100">
        <v>8</v>
      </c>
      <c r="BW66" s="100">
        <v>9523.1999999999989</v>
      </c>
      <c r="BX66" s="100">
        <v>6</v>
      </c>
      <c r="BY66" s="100">
        <v>7142.4</v>
      </c>
      <c r="BZ66" s="100">
        <v>10</v>
      </c>
      <c r="CA66" s="100">
        <v>11903.999999999998</v>
      </c>
      <c r="CB66" s="100">
        <v>8</v>
      </c>
      <c r="CC66" s="100">
        <v>9523.1999999999989</v>
      </c>
      <c r="CD66" s="100">
        <v>12</v>
      </c>
      <c r="CE66" s="100">
        <v>14284.8</v>
      </c>
      <c r="CF66" s="100">
        <v>6</v>
      </c>
      <c r="CG66" s="100">
        <v>7142.4</v>
      </c>
      <c r="CH66" s="100">
        <v>6</v>
      </c>
      <c r="CI66" s="100">
        <v>7142.4</v>
      </c>
      <c r="CJ66" s="100">
        <v>10</v>
      </c>
      <c r="CK66" s="100">
        <v>11903.999999999998</v>
      </c>
      <c r="CL66" s="100">
        <v>6</v>
      </c>
      <c r="CM66" s="100">
        <v>7142.4</v>
      </c>
      <c r="CN66" s="100">
        <v>6</v>
      </c>
      <c r="CO66" s="100">
        <v>7142.4</v>
      </c>
      <c r="CP66" s="100">
        <v>8</v>
      </c>
      <c r="CQ66" s="100">
        <v>9523.1999999999989</v>
      </c>
      <c r="CR66" s="100">
        <v>7</v>
      </c>
      <c r="CS66" s="100">
        <v>8332.7999999999993</v>
      </c>
      <c r="CT66" s="100">
        <v>8</v>
      </c>
      <c r="CU66" s="100">
        <v>9523.1999999999989</v>
      </c>
    </row>
    <row r="67" spans="2:99">
      <c r="C67" s="99" t="s">
        <v>233</v>
      </c>
      <c r="D67" s="100">
        <v>8</v>
      </c>
      <c r="E67" s="100">
        <v>8985.6</v>
      </c>
      <c r="F67" s="100">
        <v>4.5590299645087979</v>
      </c>
      <c r="G67" s="100">
        <v>5120.7024561362823</v>
      </c>
      <c r="H67" s="100">
        <v>0</v>
      </c>
      <c r="I67" s="100">
        <v>0</v>
      </c>
      <c r="J67" s="100">
        <v>6</v>
      </c>
      <c r="K67" s="100">
        <v>6739.2000000000007</v>
      </c>
      <c r="L67" s="100">
        <v>11</v>
      </c>
      <c r="M67" s="100">
        <v>12355.2</v>
      </c>
      <c r="N67" s="100">
        <v>11</v>
      </c>
      <c r="O67" s="100">
        <v>12355.2</v>
      </c>
      <c r="P67" s="100">
        <v>6</v>
      </c>
      <c r="Q67" s="100">
        <v>6739.2000000000007</v>
      </c>
      <c r="R67" s="100">
        <v>6</v>
      </c>
      <c r="S67" s="100">
        <v>6739.2000000000007</v>
      </c>
      <c r="T67" s="100">
        <v>6</v>
      </c>
      <c r="U67" s="100">
        <v>6739.2000000000007</v>
      </c>
      <c r="V67" s="100">
        <v>8.8793965707448805</v>
      </c>
      <c r="W67" s="100">
        <v>9973.3382282606508</v>
      </c>
      <c r="X67" s="100">
        <v>9.8717593500656431</v>
      </c>
      <c r="Y67" s="100">
        <v>11087.960101993731</v>
      </c>
      <c r="Z67" s="100">
        <v>8</v>
      </c>
      <c r="AA67" s="100">
        <v>8985.6</v>
      </c>
      <c r="AB67" s="100">
        <v>5</v>
      </c>
      <c r="AC67" s="100">
        <v>5616</v>
      </c>
      <c r="AD67" s="100">
        <v>8</v>
      </c>
      <c r="AE67" s="100">
        <v>8985.6</v>
      </c>
      <c r="AF67" s="100">
        <v>6</v>
      </c>
      <c r="AG67" s="100">
        <v>6739.2000000000007</v>
      </c>
      <c r="AH67" s="100">
        <v>10</v>
      </c>
      <c r="AI67" s="100">
        <v>11232</v>
      </c>
      <c r="AJ67" s="100">
        <v>9</v>
      </c>
      <c r="AK67" s="100">
        <v>10108.800000000001</v>
      </c>
      <c r="AL67" s="100">
        <v>8</v>
      </c>
      <c r="AM67" s="100">
        <v>8985.6</v>
      </c>
      <c r="AN67" s="100">
        <v>8</v>
      </c>
      <c r="AO67" s="100">
        <v>8985.6</v>
      </c>
      <c r="AP67" s="100">
        <v>6</v>
      </c>
      <c r="AQ67" s="100">
        <v>6739.2000000000007</v>
      </c>
      <c r="AR67" s="100">
        <v>8</v>
      </c>
      <c r="AS67" s="100">
        <v>8985.6</v>
      </c>
      <c r="AT67" s="100">
        <v>7</v>
      </c>
      <c r="AU67" s="100">
        <v>7862.4000000000005</v>
      </c>
      <c r="AV67" s="100">
        <v>8</v>
      </c>
      <c r="AW67" s="100">
        <v>8985.6</v>
      </c>
      <c r="AX67" s="100">
        <v>6</v>
      </c>
      <c r="AY67" s="100">
        <v>6739.2000000000007</v>
      </c>
      <c r="AZ67" s="100">
        <v>7</v>
      </c>
      <c r="BA67" s="100">
        <v>7862.4000000000005</v>
      </c>
      <c r="BB67" s="100">
        <v>6</v>
      </c>
      <c r="BC67" s="100">
        <v>6739.2000000000007</v>
      </c>
      <c r="BD67" s="100">
        <v>10</v>
      </c>
      <c r="BE67" s="100">
        <v>11232</v>
      </c>
      <c r="BF67" s="100">
        <v>7</v>
      </c>
      <c r="BG67" s="100">
        <v>7862.4000000000005</v>
      </c>
      <c r="BH67" s="100">
        <v>9</v>
      </c>
      <c r="BI67" s="100">
        <v>10108.800000000001</v>
      </c>
      <c r="BJ67" s="100">
        <v>6</v>
      </c>
      <c r="BK67" s="100">
        <v>6739.2000000000007</v>
      </c>
      <c r="BL67" s="100">
        <v>6</v>
      </c>
      <c r="BM67" s="100">
        <v>6739.2000000000007</v>
      </c>
      <c r="BN67" s="100">
        <v>11</v>
      </c>
      <c r="BO67" s="100">
        <v>12355.2</v>
      </c>
      <c r="BP67" s="100">
        <v>9</v>
      </c>
      <c r="BQ67" s="100">
        <v>10108.800000000001</v>
      </c>
      <c r="BR67" s="100">
        <v>9</v>
      </c>
      <c r="BS67" s="100">
        <v>10108.800000000001</v>
      </c>
      <c r="BT67" s="100">
        <v>7</v>
      </c>
      <c r="BU67" s="100">
        <v>7862.4000000000005</v>
      </c>
      <c r="BV67" s="100">
        <v>9</v>
      </c>
      <c r="BW67" s="100">
        <v>10108.800000000001</v>
      </c>
      <c r="BX67" s="100">
        <v>7</v>
      </c>
      <c r="BY67" s="100">
        <v>7862.4000000000005</v>
      </c>
      <c r="BZ67" s="100">
        <v>9</v>
      </c>
      <c r="CA67" s="100">
        <v>10108.800000000001</v>
      </c>
      <c r="CB67" s="100">
        <v>9</v>
      </c>
      <c r="CC67" s="100">
        <v>10108.800000000001</v>
      </c>
      <c r="CD67" s="100">
        <v>11</v>
      </c>
      <c r="CE67" s="100">
        <v>12355.2</v>
      </c>
      <c r="CF67" s="100">
        <v>6</v>
      </c>
      <c r="CG67" s="100">
        <v>6739.2000000000007</v>
      </c>
      <c r="CH67" s="100">
        <v>6</v>
      </c>
      <c r="CI67" s="100">
        <v>6739.2000000000007</v>
      </c>
      <c r="CJ67" s="100">
        <v>10</v>
      </c>
      <c r="CK67" s="100">
        <v>11232</v>
      </c>
      <c r="CL67" s="100">
        <v>6</v>
      </c>
      <c r="CM67" s="100">
        <v>6739.2000000000007</v>
      </c>
      <c r="CN67" s="100">
        <v>6</v>
      </c>
      <c r="CO67" s="100">
        <v>6739.2000000000007</v>
      </c>
      <c r="CP67" s="100">
        <v>8</v>
      </c>
      <c r="CQ67" s="100">
        <v>8985.6</v>
      </c>
      <c r="CR67" s="100">
        <v>7</v>
      </c>
      <c r="CS67" s="100">
        <v>7862.4000000000005</v>
      </c>
      <c r="CT67" s="100">
        <v>8</v>
      </c>
      <c r="CU67" s="100">
        <v>8985.6</v>
      </c>
    </row>
    <row r="68" spans="2:99">
      <c r="C68" s="99" t="s">
        <v>234</v>
      </c>
      <c r="D68" s="100">
        <v>7</v>
      </c>
      <c r="E68" s="100">
        <v>7232.4000000000005</v>
      </c>
      <c r="F68" s="100">
        <v>4.5590299645087979</v>
      </c>
      <c r="G68" s="100">
        <v>4710.3897593304901</v>
      </c>
      <c r="H68" s="100">
        <v>0</v>
      </c>
      <c r="I68" s="100">
        <v>0</v>
      </c>
      <c r="J68" s="100">
        <v>6</v>
      </c>
      <c r="K68" s="100">
        <v>6199.2000000000007</v>
      </c>
      <c r="L68" s="100">
        <v>10</v>
      </c>
      <c r="M68" s="100">
        <v>10332</v>
      </c>
      <c r="N68" s="100">
        <v>9</v>
      </c>
      <c r="O68" s="100">
        <v>9298.8000000000011</v>
      </c>
      <c r="P68" s="100">
        <v>5</v>
      </c>
      <c r="Q68" s="100">
        <v>5166</v>
      </c>
      <c r="R68" s="100">
        <v>6</v>
      </c>
      <c r="S68" s="100">
        <v>6199.2000000000007</v>
      </c>
      <c r="T68" s="100">
        <v>6</v>
      </c>
      <c r="U68" s="100">
        <v>6199.2000000000007</v>
      </c>
      <c r="V68" s="100">
        <v>9.8659961897165331</v>
      </c>
      <c r="W68" s="100">
        <v>10193.547263215123</v>
      </c>
      <c r="X68" s="100">
        <v>8.8845834150590797</v>
      </c>
      <c r="Y68" s="100">
        <v>9179.5515844390411</v>
      </c>
      <c r="Z68" s="100">
        <v>9</v>
      </c>
      <c r="AA68" s="100">
        <v>9298.8000000000011</v>
      </c>
      <c r="AB68" s="100">
        <v>6</v>
      </c>
      <c r="AC68" s="100">
        <v>6199.2000000000007</v>
      </c>
      <c r="AD68" s="100">
        <v>8</v>
      </c>
      <c r="AE68" s="100">
        <v>8265.6</v>
      </c>
      <c r="AF68" s="100">
        <v>6</v>
      </c>
      <c r="AG68" s="100">
        <v>6199.2000000000007</v>
      </c>
      <c r="AH68" s="100">
        <v>10</v>
      </c>
      <c r="AI68" s="100">
        <v>10332</v>
      </c>
      <c r="AJ68" s="100">
        <v>10</v>
      </c>
      <c r="AK68" s="100">
        <v>10332</v>
      </c>
      <c r="AL68" s="100">
        <v>7</v>
      </c>
      <c r="AM68" s="100">
        <v>7232.4000000000005</v>
      </c>
      <c r="AN68" s="100">
        <v>7</v>
      </c>
      <c r="AO68" s="100">
        <v>7232.4000000000005</v>
      </c>
      <c r="AP68" s="100">
        <v>6</v>
      </c>
      <c r="AQ68" s="100">
        <v>6199.2000000000007</v>
      </c>
      <c r="AR68" s="100">
        <v>8</v>
      </c>
      <c r="AS68" s="100">
        <v>8265.6</v>
      </c>
      <c r="AT68" s="100">
        <v>7</v>
      </c>
      <c r="AU68" s="100">
        <v>7232.4000000000005</v>
      </c>
      <c r="AV68" s="100">
        <v>8</v>
      </c>
      <c r="AW68" s="100">
        <v>8265.6</v>
      </c>
      <c r="AX68" s="100">
        <v>5</v>
      </c>
      <c r="AY68" s="100">
        <v>5166</v>
      </c>
      <c r="AZ68" s="100">
        <v>8</v>
      </c>
      <c r="BA68" s="100">
        <v>8265.6</v>
      </c>
      <c r="BB68" s="100">
        <v>6</v>
      </c>
      <c r="BC68" s="100">
        <v>6199.2000000000007</v>
      </c>
      <c r="BD68" s="100">
        <v>9</v>
      </c>
      <c r="BE68" s="100">
        <v>9298.8000000000011</v>
      </c>
      <c r="BF68" s="100">
        <v>7</v>
      </c>
      <c r="BG68" s="100">
        <v>7232.4000000000005</v>
      </c>
      <c r="BH68" s="100">
        <v>9</v>
      </c>
      <c r="BI68" s="100">
        <v>9298.8000000000011</v>
      </c>
      <c r="BJ68" s="100">
        <v>7</v>
      </c>
      <c r="BK68" s="100">
        <v>7232.4000000000005</v>
      </c>
      <c r="BL68" s="100">
        <v>5</v>
      </c>
      <c r="BM68" s="100">
        <v>5166</v>
      </c>
      <c r="BN68" s="100">
        <v>10</v>
      </c>
      <c r="BO68" s="100">
        <v>10332</v>
      </c>
      <c r="BP68" s="100">
        <v>9</v>
      </c>
      <c r="BQ68" s="100">
        <v>9298.8000000000011</v>
      </c>
      <c r="BR68" s="100">
        <v>10</v>
      </c>
      <c r="BS68" s="100">
        <v>10332</v>
      </c>
      <c r="BT68" s="100">
        <v>7</v>
      </c>
      <c r="BU68" s="100">
        <v>7232.4000000000005</v>
      </c>
      <c r="BV68" s="100">
        <v>9</v>
      </c>
      <c r="BW68" s="100">
        <v>9298.8000000000011</v>
      </c>
      <c r="BX68" s="100">
        <v>7</v>
      </c>
      <c r="BY68" s="100">
        <v>7232.4000000000005</v>
      </c>
      <c r="BZ68" s="100">
        <v>8</v>
      </c>
      <c r="CA68" s="100">
        <v>8265.6</v>
      </c>
      <c r="CB68" s="100">
        <v>8</v>
      </c>
      <c r="CC68" s="100">
        <v>8265.6</v>
      </c>
      <c r="CD68" s="100">
        <v>11</v>
      </c>
      <c r="CE68" s="100">
        <v>11365.2</v>
      </c>
      <c r="CF68" s="100">
        <v>6</v>
      </c>
      <c r="CG68" s="100">
        <v>6199.2000000000007</v>
      </c>
      <c r="CH68" s="100">
        <v>7</v>
      </c>
      <c r="CI68" s="100">
        <v>7232.4000000000005</v>
      </c>
      <c r="CJ68" s="100">
        <v>9</v>
      </c>
      <c r="CK68" s="100">
        <v>9298.8000000000011</v>
      </c>
      <c r="CL68" s="100">
        <v>7</v>
      </c>
      <c r="CM68" s="100">
        <v>7232.4000000000005</v>
      </c>
      <c r="CN68" s="100">
        <v>5</v>
      </c>
      <c r="CO68" s="100">
        <v>5166</v>
      </c>
      <c r="CP68" s="100">
        <v>9</v>
      </c>
      <c r="CQ68" s="100">
        <v>9298.8000000000011</v>
      </c>
      <c r="CR68" s="100">
        <v>8</v>
      </c>
      <c r="CS68" s="100">
        <v>8265.6</v>
      </c>
      <c r="CT68" s="100">
        <v>8</v>
      </c>
      <c r="CU68" s="100">
        <v>8265.6</v>
      </c>
    </row>
    <row r="69" spans="2:99">
      <c r="C69" s="99" t="s">
        <v>235</v>
      </c>
      <c r="D69" s="100">
        <v>8</v>
      </c>
      <c r="E69" s="100">
        <v>6067.2</v>
      </c>
      <c r="F69" s="100">
        <v>4.5590299645087979</v>
      </c>
      <c r="G69" s="100">
        <v>3457.5683250834722</v>
      </c>
      <c r="H69" s="100">
        <v>0</v>
      </c>
      <c r="I69" s="100">
        <v>0</v>
      </c>
      <c r="J69" s="100">
        <v>6</v>
      </c>
      <c r="K69" s="100">
        <v>4550.3999999999996</v>
      </c>
      <c r="L69" s="100">
        <v>9</v>
      </c>
      <c r="M69" s="100">
        <v>6825.5999999999995</v>
      </c>
      <c r="N69" s="100">
        <v>11</v>
      </c>
      <c r="O69" s="100">
        <v>8342.4</v>
      </c>
      <c r="P69" s="100">
        <v>6</v>
      </c>
      <c r="Q69" s="100">
        <v>4550.3999999999996</v>
      </c>
      <c r="R69" s="100">
        <v>6</v>
      </c>
      <c r="S69" s="100">
        <v>4550.3999999999996</v>
      </c>
      <c r="T69" s="100">
        <v>6</v>
      </c>
      <c r="U69" s="100">
        <v>4550.3999999999996</v>
      </c>
      <c r="V69" s="100">
        <v>9.8659961897165331</v>
      </c>
      <c r="W69" s="100">
        <v>7482.3715102810183</v>
      </c>
      <c r="X69" s="100">
        <v>9.8717593500656431</v>
      </c>
      <c r="Y69" s="100">
        <v>7486.7422910897831</v>
      </c>
      <c r="Z69" s="100">
        <v>10</v>
      </c>
      <c r="AA69" s="100">
        <v>7584</v>
      </c>
      <c r="AB69" s="100">
        <v>6</v>
      </c>
      <c r="AC69" s="100">
        <v>4550.3999999999996</v>
      </c>
      <c r="AD69" s="100">
        <v>8</v>
      </c>
      <c r="AE69" s="100">
        <v>6067.2</v>
      </c>
      <c r="AF69" s="100">
        <v>5</v>
      </c>
      <c r="AG69" s="100">
        <v>3792</v>
      </c>
      <c r="AH69" s="100">
        <v>10</v>
      </c>
      <c r="AI69" s="100">
        <v>7584</v>
      </c>
      <c r="AJ69" s="100">
        <v>9</v>
      </c>
      <c r="AK69" s="100">
        <v>6825.5999999999995</v>
      </c>
      <c r="AL69" s="100">
        <v>8</v>
      </c>
      <c r="AM69" s="100">
        <v>6067.2</v>
      </c>
      <c r="AN69" s="100">
        <v>7</v>
      </c>
      <c r="AO69" s="100">
        <v>5308.8</v>
      </c>
      <c r="AP69" s="100">
        <v>6</v>
      </c>
      <c r="AQ69" s="100">
        <v>4550.3999999999996</v>
      </c>
      <c r="AR69" s="100">
        <v>8</v>
      </c>
      <c r="AS69" s="100">
        <v>6067.2</v>
      </c>
      <c r="AT69" s="100">
        <v>7</v>
      </c>
      <c r="AU69" s="100">
        <v>5308.8</v>
      </c>
      <c r="AV69" s="100">
        <v>8</v>
      </c>
      <c r="AW69" s="100">
        <v>6067.2</v>
      </c>
      <c r="AX69" s="100">
        <v>6</v>
      </c>
      <c r="AY69" s="100">
        <v>4550.3999999999996</v>
      </c>
      <c r="AZ69" s="100">
        <v>8</v>
      </c>
      <c r="BA69" s="100">
        <v>6067.2</v>
      </c>
      <c r="BB69" s="100">
        <v>6</v>
      </c>
      <c r="BC69" s="100">
        <v>4550.3999999999996</v>
      </c>
      <c r="BD69" s="100">
        <v>9</v>
      </c>
      <c r="BE69" s="100">
        <v>6825.5999999999995</v>
      </c>
      <c r="BF69" s="100">
        <v>6</v>
      </c>
      <c r="BG69" s="100">
        <v>4550.3999999999996</v>
      </c>
      <c r="BH69" s="100">
        <v>9</v>
      </c>
      <c r="BI69" s="100">
        <v>6825.5999999999995</v>
      </c>
      <c r="BJ69" s="100">
        <v>7</v>
      </c>
      <c r="BK69" s="100">
        <v>5308.8</v>
      </c>
      <c r="BL69" s="100">
        <v>5</v>
      </c>
      <c r="BM69" s="100">
        <v>3792</v>
      </c>
      <c r="BN69" s="100">
        <v>10</v>
      </c>
      <c r="BO69" s="100">
        <v>7584</v>
      </c>
      <c r="BP69" s="100">
        <v>9</v>
      </c>
      <c r="BQ69" s="100">
        <v>6825.5999999999995</v>
      </c>
      <c r="BR69" s="100">
        <v>9</v>
      </c>
      <c r="BS69" s="100">
        <v>6825.5999999999995</v>
      </c>
      <c r="BT69" s="100">
        <v>7</v>
      </c>
      <c r="BU69" s="100">
        <v>5308.8</v>
      </c>
      <c r="BV69" s="100">
        <v>9</v>
      </c>
      <c r="BW69" s="100">
        <v>6825.5999999999995</v>
      </c>
      <c r="BX69" s="100">
        <v>7</v>
      </c>
      <c r="BY69" s="100">
        <v>5308.8</v>
      </c>
      <c r="BZ69" s="100">
        <v>9</v>
      </c>
      <c r="CA69" s="100">
        <v>6825.5999999999995</v>
      </c>
      <c r="CB69" s="100">
        <v>8</v>
      </c>
      <c r="CC69" s="100">
        <v>6067.2</v>
      </c>
      <c r="CD69" s="100">
        <v>12</v>
      </c>
      <c r="CE69" s="100">
        <v>9100.7999999999993</v>
      </c>
      <c r="CF69" s="100">
        <v>6</v>
      </c>
      <c r="CG69" s="100">
        <v>4550.3999999999996</v>
      </c>
      <c r="CH69" s="100">
        <v>6</v>
      </c>
      <c r="CI69" s="100">
        <v>4550.3999999999996</v>
      </c>
      <c r="CJ69" s="100">
        <v>9</v>
      </c>
      <c r="CK69" s="100">
        <v>6825.5999999999995</v>
      </c>
      <c r="CL69" s="100">
        <v>6</v>
      </c>
      <c r="CM69" s="100">
        <v>4550.3999999999996</v>
      </c>
      <c r="CN69" s="100">
        <v>6</v>
      </c>
      <c r="CO69" s="100">
        <v>4550.3999999999996</v>
      </c>
      <c r="CP69" s="100">
        <v>7</v>
      </c>
      <c r="CQ69" s="100">
        <v>5308.8</v>
      </c>
      <c r="CR69" s="100">
        <v>8</v>
      </c>
      <c r="CS69" s="100">
        <v>6067.2</v>
      </c>
      <c r="CT69" s="100">
        <v>8</v>
      </c>
      <c r="CU69" s="100">
        <v>6067.2</v>
      </c>
    </row>
    <row r="70" spans="2:99">
      <c r="C70" s="99" t="s">
        <v>236</v>
      </c>
      <c r="D70" s="100">
        <v>8</v>
      </c>
      <c r="E70" s="100">
        <v>4281.5999999999995</v>
      </c>
      <c r="F70" s="100">
        <v>5.1289087100723982</v>
      </c>
      <c r="G70" s="100">
        <v>2744.9919416307471</v>
      </c>
      <c r="H70" s="100">
        <v>0</v>
      </c>
      <c r="I70" s="100">
        <v>0</v>
      </c>
      <c r="J70" s="100">
        <v>6</v>
      </c>
      <c r="K70" s="100">
        <v>3211.2</v>
      </c>
      <c r="L70" s="100">
        <v>11</v>
      </c>
      <c r="M70" s="100">
        <v>5887.1999999999989</v>
      </c>
      <c r="N70" s="100">
        <v>10</v>
      </c>
      <c r="O70" s="100">
        <v>5351.9999999999991</v>
      </c>
      <c r="P70" s="100">
        <v>6</v>
      </c>
      <c r="Q70" s="100">
        <v>3211.2</v>
      </c>
      <c r="R70" s="100">
        <v>6</v>
      </c>
      <c r="S70" s="100">
        <v>3211.2</v>
      </c>
      <c r="T70" s="100">
        <v>6</v>
      </c>
      <c r="U70" s="100">
        <v>3211.2</v>
      </c>
      <c r="V70" s="100">
        <v>8.8793965707448805</v>
      </c>
      <c r="W70" s="100">
        <v>4752.2530446626597</v>
      </c>
      <c r="X70" s="100">
        <v>9.8717593500656431</v>
      </c>
      <c r="Y70" s="100">
        <v>5283.3656041551312</v>
      </c>
      <c r="Z70" s="100">
        <v>9</v>
      </c>
      <c r="AA70" s="100">
        <v>4816.7999999999993</v>
      </c>
      <c r="AB70" s="100">
        <v>6</v>
      </c>
      <c r="AC70" s="100">
        <v>3211.2</v>
      </c>
      <c r="AD70" s="100">
        <v>8</v>
      </c>
      <c r="AE70" s="100">
        <v>4281.5999999999995</v>
      </c>
      <c r="AF70" s="100">
        <v>6</v>
      </c>
      <c r="AG70" s="100">
        <v>3211.2</v>
      </c>
      <c r="AH70" s="100">
        <v>10</v>
      </c>
      <c r="AI70" s="100">
        <v>5351.9999999999991</v>
      </c>
      <c r="AJ70" s="100">
        <v>10</v>
      </c>
      <c r="AK70" s="100">
        <v>5351.9999999999991</v>
      </c>
      <c r="AL70" s="100">
        <v>8</v>
      </c>
      <c r="AM70" s="100">
        <v>4281.5999999999995</v>
      </c>
      <c r="AN70" s="100">
        <v>9</v>
      </c>
      <c r="AO70" s="100">
        <v>4816.7999999999993</v>
      </c>
      <c r="AP70" s="100">
        <v>6</v>
      </c>
      <c r="AQ70" s="100">
        <v>3211.2</v>
      </c>
      <c r="AR70" s="100">
        <v>9</v>
      </c>
      <c r="AS70" s="100">
        <v>4816.7999999999993</v>
      </c>
      <c r="AT70" s="100">
        <v>7</v>
      </c>
      <c r="AU70" s="100">
        <v>3746.3999999999996</v>
      </c>
      <c r="AV70" s="100">
        <v>9</v>
      </c>
      <c r="AW70" s="100">
        <v>4816.7999999999993</v>
      </c>
      <c r="AX70" s="100">
        <v>6</v>
      </c>
      <c r="AY70" s="100">
        <v>3211.2</v>
      </c>
      <c r="AZ70" s="100">
        <v>8</v>
      </c>
      <c r="BA70" s="100">
        <v>4281.5999999999995</v>
      </c>
      <c r="BB70" s="100">
        <v>6</v>
      </c>
      <c r="BC70" s="100">
        <v>3211.2</v>
      </c>
      <c r="BD70" s="100">
        <v>9</v>
      </c>
      <c r="BE70" s="100">
        <v>4816.7999999999993</v>
      </c>
      <c r="BF70" s="100">
        <v>7</v>
      </c>
      <c r="BG70" s="100">
        <v>3746.3999999999996</v>
      </c>
      <c r="BH70" s="100">
        <v>9</v>
      </c>
      <c r="BI70" s="100">
        <v>4816.7999999999993</v>
      </c>
      <c r="BJ70" s="100">
        <v>7</v>
      </c>
      <c r="BK70" s="100">
        <v>3746.3999999999996</v>
      </c>
      <c r="BL70" s="100">
        <v>5</v>
      </c>
      <c r="BM70" s="100">
        <v>2675.9999999999995</v>
      </c>
      <c r="BN70" s="100">
        <v>12</v>
      </c>
      <c r="BO70" s="100">
        <v>6422.4</v>
      </c>
      <c r="BP70" s="100">
        <v>10</v>
      </c>
      <c r="BQ70" s="100">
        <v>5351.9999999999991</v>
      </c>
      <c r="BR70" s="100">
        <v>10</v>
      </c>
      <c r="BS70" s="100">
        <v>5351.9999999999991</v>
      </c>
      <c r="BT70" s="100">
        <v>7</v>
      </c>
      <c r="BU70" s="100">
        <v>3746.3999999999996</v>
      </c>
      <c r="BV70" s="100">
        <v>9</v>
      </c>
      <c r="BW70" s="100">
        <v>4816.7999999999993</v>
      </c>
      <c r="BX70" s="100">
        <v>7</v>
      </c>
      <c r="BY70" s="100">
        <v>3746.3999999999996</v>
      </c>
      <c r="BZ70" s="100">
        <v>10</v>
      </c>
      <c r="CA70" s="100">
        <v>5351.9999999999991</v>
      </c>
      <c r="CB70" s="100">
        <v>9</v>
      </c>
      <c r="CC70" s="100">
        <v>4816.7999999999993</v>
      </c>
      <c r="CD70" s="100">
        <v>11</v>
      </c>
      <c r="CE70" s="100">
        <v>5887.1999999999989</v>
      </c>
      <c r="CF70" s="100">
        <v>7</v>
      </c>
      <c r="CG70" s="100">
        <v>3746.3999999999996</v>
      </c>
      <c r="CH70" s="100">
        <v>6</v>
      </c>
      <c r="CI70" s="100">
        <v>3211.2</v>
      </c>
      <c r="CJ70" s="100">
        <v>9</v>
      </c>
      <c r="CK70" s="100">
        <v>4816.7999999999993</v>
      </c>
      <c r="CL70" s="100">
        <v>7</v>
      </c>
      <c r="CM70" s="100">
        <v>3746.3999999999996</v>
      </c>
      <c r="CN70" s="100">
        <v>6</v>
      </c>
      <c r="CO70" s="100">
        <v>3211.2</v>
      </c>
      <c r="CP70" s="100">
        <v>9</v>
      </c>
      <c r="CQ70" s="100">
        <v>4816.7999999999993</v>
      </c>
      <c r="CR70" s="100">
        <v>7</v>
      </c>
      <c r="CS70" s="100">
        <v>3746.3999999999996</v>
      </c>
      <c r="CT70" s="100">
        <v>9</v>
      </c>
      <c r="CU70" s="100">
        <v>4816.7999999999993</v>
      </c>
    </row>
    <row r="71" spans="2:99">
      <c r="B71" s="99" t="s">
        <v>130</v>
      </c>
      <c r="C71" s="99" t="s">
        <v>237</v>
      </c>
      <c r="D71" s="100">
        <v>15</v>
      </c>
      <c r="E71" s="100">
        <v>8460</v>
      </c>
      <c r="F71" s="100">
        <v>7.5998110668592762</v>
      </c>
      <c r="G71" s="100">
        <v>4286.2934417086317</v>
      </c>
      <c r="H71" s="100">
        <v>9</v>
      </c>
      <c r="I71" s="100">
        <v>5076</v>
      </c>
      <c r="J71" s="100">
        <v>7.3484437091677464</v>
      </c>
      <c r="K71" s="100">
        <v>4144.5222519706085</v>
      </c>
      <c r="L71" s="100">
        <v>12</v>
      </c>
      <c r="M71" s="100">
        <v>6768</v>
      </c>
      <c r="N71" s="100">
        <v>12</v>
      </c>
      <c r="O71" s="100">
        <v>6768</v>
      </c>
      <c r="P71" s="100">
        <v>9.3904349377757601</v>
      </c>
      <c r="Q71" s="100">
        <v>5296.2053049055285</v>
      </c>
      <c r="R71" s="100">
        <v>13</v>
      </c>
      <c r="S71" s="100">
        <v>7332</v>
      </c>
      <c r="T71" s="100">
        <v>9.8885291899725836</v>
      </c>
      <c r="U71" s="100">
        <v>5577.1304631445373</v>
      </c>
      <c r="V71" s="100">
        <v>9</v>
      </c>
      <c r="W71" s="100">
        <v>5076</v>
      </c>
      <c r="X71" s="100">
        <v>5.5618956894711582</v>
      </c>
      <c r="Y71" s="100">
        <v>3136.9091688617332</v>
      </c>
      <c r="Z71" s="100">
        <v>2.5878910459168303</v>
      </c>
      <c r="AA71" s="100">
        <v>1459.5705498970922</v>
      </c>
      <c r="AB71" s="100">
        <v>7</v>
      </c>
      <c r="AC71" s="100">
        <v>3948</v>
      </c>
      <c r="AD71" s="100">
        <v>10</v>
      </c>
      <c r="AE71" s="100">
        <v>5640</v>
      </c>
      <c r="AF71" s="100">
        <v>9.0019294047458125</v>
      </c>
      <c r="AG71" s="100">
        <v>5077.0881842766385</v>
      </c>
      <c r="AH71" s="100">
        <v>9</v>
      </c>
      <c r="AI71" s="100">
        <v>5076</v>
      </c>
      <c r="AJ71" s="100">
        <v>9</v>
      </c>
      <c r="AK71" s="100">
        <v>5076</v>
      </c>
      <c r="AL71" s="100">
        <v>9</v>
      </c>
      <c r="AM71" s="100">
        <v>5076</v>
      </c>
      <c r="AN71" s="100">
        <v>11</v>
      </c>
      <c r="AO71" s="100">
        <v>6204</v>
      </c>
      <c r="AP71" s="100">
        <v>4.3952604592998927</v>
      </c>
      <c r="AQ71" s="100">
        <v>2478.9268990451396</v>
      </c>
      <c r="AR71" s="100">
        <v>9.8882023506059085</v>
      </c>
      <c r="AS71" s="100">
        <v>5576.9461257417324</v>
      </c>
      <c r="AT71" s="100">
        <v>9</v>
      </c>
      <c r="AU71" s="100">
        <v>5076</v>
      </c>
      <c r="AV71" s="100">
        <v>16</v>
      </c>
      <c r="AW71" s="100">
        <v>9024</v>
      </c>
      <c r="AX71" s="100">
        <v>7</v>
      </c>
      <c r="AY71" s="100">
        <v>3948</v>
      </c>
      <c r="AZ71" s="100">
        <v>15</v>
      </c>
      <c r="BA71" s="100">
        <v>8460</v>
      </c>
      <c r="BB71" s="100">
        <v>11</v>
      </c>
      <c r="BC71" s="100">
        <v>6204</v>
      </c>
      <c r="BD71" s="100">
        <v>15</v>
      </c>
      <c r="BE71" s="100">
        <v>8460</v>
      </c>
      <c r="BF71" s="100">
        <v>3.3909415210281373</v>
      </c>
      <c r="BG71" s="100">
        <v>1912.4910178598693</v>
      </c>
      <c r="BH71" s="100">
        <v>10</v>
      </c>
      <c r="BI71" s="100">
        <v>5640</v>
      </c>
      <c r="BJ71" s="100">
        <v>10.66357353637679</v>
      </c>
      <c r="BK71" s="100">
        <v>6014.2554745165089</v>
      </c>
      <c r="BL71" s="100">
        <v>11</v>
      </c>
      <c r="BM71" s="100">
        <v>6204</v>
      </c>
      <c r="BN71" s="100">
        <v>13</v>
      </c>
      <c r="BO71" s="100">
        <v>7332</v>
      </c>
      <c r="BP71" s="100">
        <v>8</v>
      </c>
      <c r="BQ71" s="100">
        <v>4512</v>
      </c>
      <c r="BR71" s="100">
        <v>9</v>
      </c>
      <c r="BS71" s="100">
        <v>5076</v>
      </c>
      <c r="BT71" s="100">
        <v>12</v>
      </c>
      <c r="BU71" s="100">
        <v>6768</v>
      </c>
      <c r="BV71" s="100">
        <v>14.561032615398235</v>
      </c>
      <c r="BW71" s="100">
        <v>8212.4223950846044</v>
      </c>
      <c r="BX71" s="100">
        <v>15</v>
      </c>
      <c r="BY71" s="100">
        <v>8460</v>
      </c>
      <c r="BZ71" s="100">
        <v>0.59759162068520155</v>
      </c>
      <c r="CA71" s="100">
        <v>337.04167406645365</v>
      </c>
      <c r="CB71" s="100">
        <v>14</v>
      </c>
      <c r="CC71" s="100">
        <v>7896</v>
      </c>
      <c r="CD71" s="100">
        <v>1.3904425112795267</v>
      </c>
      <c r="CE71" s="100">
        <v>784.20957636165303</v>
      </c>
      <c r="CF71" s="100">
        <v>13</v>
      </c>
      <c r="CG71" s="100">
        <v>7332</v>
      </c>
      <c r="CH71" s="100">
        <v>8.4750784738163336</v>
      </c>
      <c r="CI71" s="100">
        <v>4779.9442592324122</v>
      </c>
      <c r="CJ71" s="100">
        <v>8</v>
      </c>
      <c r="CK71" s="100">
        <v>4512</v>
      </c>
      <c r="CL71" s="100">
        <v>10</v>
      </c>
      <c r="CM71" s="100">
        <v>5640</v>
      </c>
      <c r="CN71" s="100">
        <v>7</v>
      </c>
      <c r="CO71" s="100">
        <v>3948</v>
      </c>
      <c r="CP71" s="100">
        <v>8</v>
      </c>
      <c r="CQ71" s="100">
        <v>4512</v>
      </c>
      <c r="CR71" s="100">
        <v>12</v>
      </c>
      <c r="CS71" s="100">
        <v>6768</v>
      </c>
      <c r="CT71" s="100">
        <v>11</v>
      </c>
      <c r="CU71" s="100">
        <v>6204</v>
      </c>
    </row>
    <row r="72" spans="2:99">
      <c r="C72" s="99" t="s">
        <v>238</v>
      </c>
      <c r="D72" s="100">
        <v>15</v>
      </c>
      <c r="E72" s="100">
        <v>1115.9999999999998</v>
      </c>
      <c r="F72" s="100">
        <v>6.9089191516902515</v>
      </c>
      <c r="G72" s="100">
        <v>514.02358488575464</v>
      </c>
      <c r="H72" s="100">
        <v>10</v>
      </c>
      <c r="I72" s="100">
        <v>743.99999999999989</v>
      </c>
      <c r="J72" s="100">
        <v>7.9137086098729581</v>
      </c>
      <c r="K72" s="100">
        <v>588.77992057454799</v>
      </c>
      <c r="L72" s="100">
        <v>13</v>
      </c>
      <c r="M72" s="100">
        <v>967.19999999999993</v>
      </c>
      <c r="N72" s="100">
        <v>12</v>
      </c>
      <c r="O72" s="100">
        <v>892.8</v>
      </c>
      <c r="P72" s="100">
        <v>8.607898692961113</v>
      </c>
      <c r="Q72" s="100">
        <v>640.42766275630674</v>
      </c>
      <c r="R72" s="100">
        <v>15</v>
      </c>
      <c r="S72" s="100">
        <v>1115.9999999999998</v>
      </c>
      <c r="T72" s="100">
        <v>11.866235027967099</v>
      </c>
      <c r="U72" s="100">
        <v>882.84788608075201</v>
      </c>
      <c r="V72" s="100">
        <v>9</v>
      </c>
      <c r="W72" s="100">
        <v>669.59999999999991</v>
      </c>
      <c r="X72" s="100">
        <v>6.3564522165384663</v>
      </c>
      <c r="Y72" s="100">
        <v>472.92004491046185</v>
      </c>
      <c r="Z72" s="100">
        <v>2.300347596370516</v>
      </c>
      <c r="AA72" s="100">
        <v>171.14586116996637</v>
      </c>
      <c r="AB72" s="100">
        <v>8</v>
      </c>
      <c r="AC72" s="100">
        <v>595.19999999999993</v>
      </c>
      <c r="AD72" s="100">
        <v>11</v>
      </c>
      <c r="AE72" s="100">
        <v>818.39999999999986</v>
      </c>
      <c r="AF72" s="100">
        <v>9.0019294047458125</v>
      </c>
      <c r="AG72" s="100">
        <v>669.74354771308833</v>
      </c>
      <c r="AH72" s="100">
        <v>10</v>
      </c>
      <c r="AI72" s="100">
        <v>743.99999999999989</v>
      </c>
      <c r="AJ72" s="100">
        <v>10</v>
      </c>
      <c r="AK72" s="100">
        <v>743.99999999999989</v>
      </c>
      <c r="AL72" s="100">
        <v>11</v>
      </c>
      <c r="AM72" s="100">
        <v>818.39999999999986</v>
      </c>
      <c r="AN72" s="100">
        <v>11</v>
      </c>
      <c r="AO72" s="100">
        <v>818.39999999999986</v>
      </c>
      <c r="AP72" s="100">
        <v>4.76153216424155</v>
      </c>
      <c r="AQ72" s="100">
        <v>354.2579930195713</v>
      </c>
      <c r="AR72" s="100">
        <v>12.170095200745735</v>
      </c>
      <c r="AS72" s="100">
        <v>905.45508293548255</v>
      </c>
      <c r="AT72" s="100">
        <v>9</v>
      </c>
      <c r="AU72" s="100">
        <v>669.59999999999991</v>
      </c>
      <c r="AV72" s="100">
        <v>14</v>
      </c>
      <c r="AW72" s="100">
        <v>1041.5999999999999</v>
      </c>
      <c r="AX72" s="100">
        <v>8</v>
      </c>
      <c r="AY72" s="100">
        <v>595.19999999999993</v>
      </c>
      <c r="AZ72" s="100">
        <v>16</v>
      </c>
      <c r="BA72" s="100">
        <v>1190.3999999999999</v>
      </c>
      <c r="BB72" s="100">
        <v>11</v>
      </c>
      <c r="BC72" s="100">
        <v>818.39999999999986</v>
      </c>
      <c r="BD72" s="100">
        <v>16</v>
      </c>
      <c r="BE72" s="100">
        <v>1190.3999999999999</v>
      </c>
      <c r="BF72" s="100">
        <v>3.6735199811138153</v>
      </c>
      <c r="BG72" s="100">
        <v>273.30988659486781</v>
      </c>
      <c r="BH72" s="100">
        <v>11</v>
      </c>
      <c r="BI72" s="100">
        <v>818.39999999999986</v>
      </c>
      <c r="BJ72" s="100">
        <v>11.552204664408189</v>
      </c>
      <c r="BK72" s="100">
        <v>859.48402703196916</v>
      </c>
      <c r="BL72" s="100">
        <v>11</v>
      </c>
      <c r="BM72" s="100">
        <v>818.39999999999986</v>
      </c>
      <c r="BN72" s="100">
        <v>13</v>
      </c>
      <c r="BO72" s="100">
        <v>967.19999999999993</v>
      </c>
      <c r="BP72" s="100">
        <v>10</v>
      </c>
      <c r="BQ72" s="100">
        <v>743.99999999999989</v>
      </c>
      <c r="BR72" s="100">
        <v>10</v>
      </c>
      <c r="BS72" s="100">
        <v>743.99999999999989</v>
      </c>
      <c r="BT72" s="100">
        <v>12</v>
      </c>
      <c r="BU72" s="100">
        <v>892.8</v>
      </c>
      <c r="BV72" s="100">
        <v>15.531768123091451</v>
      </c>
      <c r="BW72" s="100">
        <v>1155.5635483580038</v>
      </c>
      <c r="BX72" s="100">
        <v>14</v>
      </c>
      <c r="BY72" s="100">
        <v>1041.5999999999999</v>
      </c>
      <c r="BZ72" s="100">
        <v>0.6639906896502239</v>
      </c>
      <c r="CA72" s="100">
        <v>49.400907309976652</v>
      </c>
      <c r="CB72" s="100">
        <v>12</v>
      </c>
      <c r="CC72" s="100">
        <v>892.8</v>
      </c>
      <c r="CD72" s="100">
        <v>1.5294867624074793</v>
      </c>
      <c r="CE72" s="100">
        <v>113.79381512311645</v>
      </c>
      <c r="CF72" s="100">
        <v>15</v>
      </c>
      <c r="CG72" s="100">
        <v>1115.9999999999998</v>
      </c>
      <c r="CH72" s="100">
        <v>7.7046167943784836</v>
      </c>
      <c r="CI72" s="100">
        <v>573.2234895017591</v>
      </c>
      <c r="CJ72" s="100">
        <v>8</v>
      </c>
      <c r="CK72" s="100">
        <v>595.19999999999993</v>
      </c>
      <c r="CL72" s="100">
        <v>8</v>
      </c>
      <c r="CM72" s="100">
        <v>595.19999999999993</v>
      </c>
      <c r="CN72" s="100">
        <v>9</v>
      </c>
      <c r="CO72" s="100">
        <v>669.59999999999991</v>
      </c>
      <c r="CP72" s="100">
        <v>9</v>
      </c>
      <c r="CQ72" s="100">
        <v>669.59999999999991</v>
      </c>
      <c r="CR72" s="100">
        <v>14</v>
      </c>
      <c r="CS72" s="100">
        <v>1041.5999999999999</v>
      </c>
      <c r="CT72" s="100">
        <v>11</v>
      </c>
      <c r="CU72" s="100">
        <v>818.39999999999986</v>
      </c>
    </row>
    <row r="73" spans="2:99">
      <c r="C73" s="99" t="s">
        <v>239</v>
      </c>
      <c r="D73" s="100">
        <v>13</v>
      </c>
      <c r="E73" s="100">
        <v>7269.5999999999995</v>
      </c>
      <c r="F73" s="100">
        <v>7.5998110668592762</v>
      </c>
      <c r="G73" s="100">
        <v>4249.8143485877072</v>
      </c>
      <c r="H73" s="100">
        <v>10</v>
      </c>
      <c r="I73" s="100">
        <v>5591.9999999999991</v>
      </c>
      <c r="J73" s="100">
        <v>7.3484437091677464</v>
      </c>
      <c r="K73" s="100">
        <v>4109.2497221666035</v>
      </c>
      <c r="L73" s="100">
        <v>13</v>
      </c>
      <c r="M73" s="100">
        <v>7269.5999999999995</v>
      </c>
      <c r="N73" s="100">
        <v>10</v>
      </c>
      <c r="O73" s="100">
        <v>5591.9999999999991</v>
      </c>
      <c r="P73" s="100">
        <v>8.607898692961113</v>
      </c>
      <c r="Q73" s="100">
        <v>4813.5369491038537</v>
      </c>
      <c r="R73" s="100">
        <v>14</v>
      </c>
      <c r="S73" s="100">
        <v>7828.7999999999993</v>
      </c>
      <c r="T73" s="100">
        <v>10.877382108969842</v>
      </c>
      <c r="U73" s="100">
        <v>6082.632075335935</v>
      </c>
      <c r="V73" s="100">
        <v>9</v>
      </c>
      <c r="W73" s="100">
        <v>5032.7999999999993</v>
      </c>
      <c r="X73" s="100">
        <v>6.3564522165384663</v>
      </c>
      <c r="Y73" s="100">
        <v>3554.5280794883097</v>
      </c>
      <c r="Z73" s="100">
        <v>2.5878910459168303</v>
      </c>
      <c r="AA73" s="100">
        <v>1447.1486728766913</v>
      </c>
      <c r="AB73" s="100">
        <v>7</v>
      </c>
      <c r="AC73" s="100">
        <v>3914.3999999999996</v>
      </c>
      <c r="AD73" s="100">
        <v>11</v>
      </c>
      <c r="AE73" s="100">
        <v>6151.1999999999989</v>
      </c>
      <c r="AF73" s="100">
        <v>9.7520901884746287</v>
      </c>
      <c r="AG73" s="100">
        <v>5453.3688333950113</v>
      </c>
      <c r="AH73" s="100">
        <v>10</v>
      </c>
      <c r="AI73" s="100">
        <v>5591.9999999999991</v>
      </c>
      <c r="AJ73" s="100">
        <v>9</v>
      </c>
      <c r="AK73" s="100">
        <v>5032.7999999999993</v>
      </c>
      <c r="AL73" s="100">
        <v>9</v>
      </c>
      <c r="AM73" s="100">
        <v>5032.7999999999993</v>
      </c>
      <c r="AN73" s="100">
        <v>10</v>
      </c>
      <c r="AO73" s="100">
        <v>5591.9999999999991</v>
      </c>
      <c r="AP73" s="100">
        <v>4.0289887543582346</v>
      </c>
      <c r="AQ73" s="100">
        <v>2253.0105114371245</v>
      </c>
      <c r="AR73" s="100">
        <v>9.8882023506059085</v>
      </c>
      <c r="AS73" s="100">
        <v>5529.4827544588234</v>
      </c>
      <c r="AT73" s="100">
        <v>9</v>
      </c>
      <c r="AU73" s="100">
        <v>5032.7999999999993</v>
      </c>
      <c r="AV73" s="100">
        <v>15</v>
      </c>
      <c r="AW73" s="100">
        <v>8387.9999999999982</v>
      </c>
      <c r="AX73" s="100">
        <v>8</v>
      </c>
      <c r="AY73" s="100">
        <v>4473.5999999999995</v>
      </c>
      <c r="AZ73" s="100">
        <v>15</v>
      </c>
      <c r="BA73" s="100">
        <v>8387.9999999999982</v>
      </c>
      <c r="BB73" s="100">
        <v>11</v>
      </c>
      <c r="BC73" s="100">
        <v>6151.1999999999989</v>
      </c>
      <c r="BD73" s="100">
        <v>13</v>
      </c>
      <c r="BE73" s="100">
        <v>7269.5999999999995</v>
      </c>
      <c r="BF73" s="100">
        <v>3.3909415210281373</v>
      </c>
      <c r="BG73" s="100">
        <v>1896.2144985589341</v>
      </c>
      <c r="BH73" s="100">
        <v>10</v>
      </c>
      <c r="BI73" s="100">
        <v>5591.9999999999991</v>
      </c>
      <c r="BJ73" s="100">
        <v>10.66357353637679</v>
      </c>
      <c r="BK73" s="100">
        <v>5963.0703215418998</v>
      </c>
      <c r="BL73" s="100">
        <v>11</v>
      </c>
      <c r="BM73" s="100">
        <v>6151.1999999999989</v>
      </c>
      <c r="BN73" s="100">
        <v>14</v>
      </c>
      <c r="BO73" s="100">
        <v>7828.7999999999993</v>
      </c>
      <c r="BP73" s="100">
        <v>9</v>
      </c>
      <c r="BQ73" s="100">
        <v>5032.7999999999993</v>
      </c>
      <c r="BR73" s="100">
        <v>9</v>
      </c>
      <c r="BS73" s="100">
        <v>5032.7999999999993</v>
      </c>
      <c r="BT73" s="100">
        <v>11</v>
      </c>
      <c r="BU73" s="100">
        <v>6151.1999999999989</v>
      </c>
      <c r="BV73" s="100">
        <v>12.619561600011803</v>
      </c>
      <c r="BW73" s="100">
        <v>7056.858846726599</v>
      </c>
      <c r="BX73" s="100">
        <v>15</v>
      </c>
      <c r="BY73" s="100">
        <v>8387.9999999999982</v>
      </c>
      <c r="BZ73" s="100">
        <v>0.59759162068520155</v>
      </c>
      <c r="CA73" s="100">
        <v>334.17323428716469</v>
      </c>
      <c r="CB73" s="100">
        <v>13</v>
      </c>
      <c r="CC73" s="100">
        <v>7269.5999999999995</v>
      </c>
      <c r="CD73" s="100">
        <v>1.5294867624074793</v>
      </c>
      <c r="CE73" s="100">
        <v>855.28899753826227</v>
      </c>
      <c r="CF73" s="100">
        <v>14</v>
      </c>
      <c r="CG73" s="100">
        <v>7828.7999999999993</v>
      </c>
      <c r="CH73" s="100">
        <v>8.4750784738163336</v>
      </c>
      <c r="CI73" s="100">
        <v>4739.2638825580934</v>
      </c>
      <c r="CJ73" s="100">
        <v>8</v>
      </c>
      <c r="CK73" s="100">
        <v>4473.5999999999995</v>
      </c>
      <c r="CL73" s="100">
        <v>10</v>
      </c>
      <c r="CM73" s="100">
        <v>5591.9999999999991</v>
      </c>
      <c r="CN73" s="100">
        <v>8</v>
      </c>
      <c r="CO73" s="100">
        <v>4473.5999999999995</v>
      </c>
      <c r="CP73" s="100">
        <v>8</v>
      </c>
      <c r="CQ73" s="100">
        <v>4473.5999999999995</v>
      </c>
      <c r="CR73" s="100">
        <v>12</v>
      </c>
      <c r="CS73" s="100">
        <v>6710.4</v>
      </c>
      <c r="CT73" s="100">
        <v>9</v>
      </c>
      <c r="CU73" s="100">
        <v>5032.7999999999993</v>
      </c>
    </row>
    <row r="74" spans="2:99">
      <c r="C74" s="99" t="s">
        <v>240</v>
      </c>
      <c r="D74" s="100">
        <v>14</v>
      </c>
      <c r="E74" s="100">
        <v>5644.8</v>
      </c>
      <c r="F74" s="100">
        <v>6.9089191516902515</v>
      </c>
      <c r="G74" s="100">
        <v>2785.6762019615094</v>
      </c>
      <c r="H74" s="100">
        <v>9</v>
      </c>
      <c r="I74" s="100">
        <v>3628.7999999999997</v>
      </c>
      <c r="J74" s="100">
        <v>8.4789735105781698</v>
      </c>
      <c r="K74" s="100">
        <v>3418.7221194651179</v>
      </c>
      <c r="L74" s="100">
        <v>12</v>
      </c>
      <c r="M74" s="100">
        <v>4838.3999999999996</v>
      </c>
      <c r="N74" s="100">
        <v>10</v>
      </c>
      <c r="O74" s="100">
        <v>4032</v>
      </c>
      <c r="P74" s="100">
        <v>8.607898692961113</v>
      </c>
      <c r="Q74" s="100">
        <v>3470.7047530019208</v>
      </c>
      <c r="R74" s="100">
        <v>15</v>
      </c>
      <c r="S74" s="100">
        <v>6048</v>
      </c>
      <c r="T74" s="100">
        <v>10.877382108969842</v>
      </c>
      <c r="U74" s="100">
        <v>4385.7604663366401</v>
      </c>
      <c r="V74" s="100">
        <v>9</v>
      </c>
      <c r="W74" s="100">
        <v>3628.7999999999997</v>
      </c>
      <c r="X74" s="100">
        <v>6.3564522165384663</v>
      </c>
      <c r="Y74" s="100">
        <v>2562.9215337083097</v>
      </c>
      <c r="Z74" s="100">
        <v>2.300347596370516</v>
      </c>
      <c r="AA74" s="100">
        <v>927.50015085659197</v>
      </c>
      <c r="AB74" s="100">
        <v>8</v>
      </c>
      <c r="AC74" s="100">
        <v>3225.6</v>
      </c>
      <c r="AD74" s="100">
        <v>10</v>
      </c>
      <c r="AE74" s="100">
        <v>4032</v>
      </c>
      <c r="AF74" s="100">
        <v>9.7520901884746287</v>
      </c>
      <c r="AG74" s="100">
        <v>3932.0427639929703</v>
      </c>
      <c r="AH74" s="100">
        <v>8</v>
      </c>
      <c r="AI74" s="100">
        <v>3225.6</v>
      </c>
      <c r="AJ74" s="100">
        <v>8</v>
      </c>
      <c r="AK74" s="100">
        <v>3225.6</v>
      </c>
      <c r="AL74" s="100">
        <v>10</v>
      </c>
      <c r="AM74" s="100">
        <v>4032</v>
      </c>
      <c r="AN74" s="100">
        <v>11</v>
      </c>
      <c r="AO74" s="100">
        <v>4435.2</v>
      </c>
      <c r="AP74" s="100">
        <v>4.76153216424155</v>
      </c>
      <c r="AQ74" s="100">
        <v>1919.8497686221929</v>
      </c>
      <c r="AR74" s="100">
        <v>11.409464250699125</v>
      </c>
      <c r="AS74" s="100">
        <v>4600.2959858818867</v>
      </c>
      <c r="AT74" s="100">
        <v>9</v>
      </c>
      <c r="AU74" s="100">
        <v>3628.7999999999997</v>
      </c>
      <c r="AV74" s="100">
        <v>14</v>
      </c>
      <c r="AW74" s="100">
        <v>5644.8</v>
      </c>
      <c r="AX74" s="100">
        <v>8</v>
      </c>
      <c r="AY74" s="100">
        <v>3225.6</v>
      </c>
      <c r="AZ74" s="100">
        <v>15</v>
      </c>
      <c r="BA74" s="100">
        <v>6048</v>
      </c>
      <c r="BB74" s="100">
        <v>11</v>
      </c>
      <c r="BC74" s="100">
        <v>4435.2</v>
      </c>
      <c r="BD74" s="100">
        <v>15</v>
      </c>
      <c r="BE74" s="100">
        <v>6048</v>
      </c>
      <c r="BF74" s="100">
        <v>3.6735199811138153</v>
      </c>
      <c r="BG74" s="100">
        <v>1481.1632563850903</v>
      </c>
      <c r="BH74" s="100">
        <v>11</v>
      </c>
      <c r="BI74" s="100">
        <v>4435.2</v>
      </c>
      <c r="BJ74" s="100">
        <v>9.7749424083453906</v>
      </c>
      <c r="BK74" s="100">
        <v>3941.2567790448616</v>
      </c>
      <c r="BL74" s="100">
        <v>10</v>
      </c>
      <c r="BM74" s="100">
        <v>4032</v>
      </c>
      <c r="BN74" s="100">
        <v>13</v>
      </c>
      <c r="BO74" s="100">
        <v>5241.5999999999995</v>
      </c>
      <c r="BP74" s="100">
        <v>9</v>
      </c>
      <c r="BQ74" s="100">
        <v>3628.7999999999997</v>
      </c>
      <c r="BR74" s="100">
        <v>10</v>
      </c>
      <c r="BS74" s="100">
        <v>4032</v>
      </c>
      <c r="BT74" s="100">
        <v>12</v>
      </c>
      <c r="BU74" s="100">
        <v>4838.3999999999996</v>
      </c>
      <c r="BV74" s="100">
        <v>14.561032615398235</v>
      </c>
      <c r="BW74" s="100">
        <v>5871.0083505285684</v>
      </c>
      <c r="BX74" s="100">
        <v>14</v>
      </c>
      <c r="BY74" s="100">
        <v>5644.8</v>
      </c>
      <c r="BZ74" s="100">
        <v>0.59759162068520155</v>
      </c>
      <c r="CA74" s="100">
        <v>240.94894146027326</v>
      </c>
      <c r="CB74" s="100">
        <v>13</v>
      </c>
      <c r="CC74" s="100">
        <v>5241.5999999999995</v>
      </c>
      <c r="CD74" s="100">
        <v>1.6685310135354319</v>
      </c>
      <c r="CE74" s="100">
        <v>672.75170465748613</v>
      </c>
      <c r="CF74" s="100">
        <v>14</v>
      </c>
      <c r="CG74" s="100">
        <v>5644.8</v>
      </c>
      <c r="CH74" s="100">
        <v>6.9341551149406353</v>
      </c>
      <c r="CI74" s="100">
        <v>2795.8513423440641</v>
      </c>
      <c r="CJ74" s="100">
        <v>9</v>
      </c>
      <c r="CK74" s="100">
        <v>3628.7999999999997</v>
      </c>
      <c r="CL74" s="100">
        <v>9</v>
      </c>
      <c r="CM74" s="100">
        <v>3628.7999999999997</v>
      </c>
      <c r="CN74" s="100">
        <v>8</v>
      </c>
      <c r="CO74" s="100">
        <v>3225.6</v>
      </c>
      <c r="CP74" s="100">
        <v>10</v>
      </c>
      <c r="CQ74" s="100">
        <v>4032</v>
      </c>
      <c r="CR74" s="100">
        <v>11</v>
      </c>
      <c r="CS74" s="100">
        <v>4435.2</v>
      </c>
      <c r="CT74" s="100">
        <v>10</v>
      </c>
      <c r="CU74" s="100">
        <v>4032</v>
      </c>
    </row>
    <row r="75" spans="2:99">
      <c r="C75" s="99" t="s">
        <v>241</v>
      </c>
      <c r="D75" s="100">
        <v>14</v>
      </c>
      <c r="E75" s="100">
        <v>9004.7999999999993</v>
      </c>
      <c r="F75" s="100">
        <v>6.9089191516902515</v>
      </c>
      <c r="G75" s="100">
        <v>4443.8167983671692</v>
      </c>
      <c r="H75" s="100">
        <v>9</v>
      </c>
      <c r="I75" s="100">
        <v>5788.7999999999993</v>
      </c>
      <c r="J75" s="100">
        <v>8.4789735105781698</v>
      </c>
      <c r="K75" s="100">
        <v>5453.6757620038779</v>
      </c>
      <c r="L75" s="100">
        <v>11</v>
      </c>
      <c r="M75" s="100">
        <v>7075.1999999999989</v>
      </c>
      <c r="N75" s="100">
        <v>11</v>
      </c>
      <c r="O75" s="100">
        <v>7075.1999999999989</v>
      </c>
      <c r="P75" s="100">
        <v>9.3904349377757601</v>
      </c>
      <c r="Q75" s="100">
        <v>6039.9277519773686</v>
      </c>
      <c r="R75" s="100">
        <v>13</v>
      </c>
      <c r="S75" s="100">
        <v>8361.5999999999985</v>
      </c>
      <c r="T75" s="100">
        <v>9.8885291899725836</v>
      </c>
      <c r="U75" s="100">
        <v>6360.3019749903651</v>
      </c>
      <c r="V75" s="100">
        <v>8</v>
      </c>
      <c r="W75" s="100">
        <v>5145.5999999999995</v>
      </c>
      <c r="X75" s="100">
        <v>5.5618956894711582</v>
      </c>
      <c r="Y75" s="100">
        <v>3577.4113074678485</v>
      </c>
      <c r="Z75" s="100">
        <v>2.5878910459168303</v>
      </c>
      <c r="AA75" s="100">
        <v>1664.5315207337051</v>
      </c>
      <c r="AB75" s="100">
        <v>7</v>
      </c>
      <c r="AC75" s="100">
        <v>4502.3999999999996</v>
      </c>
      <c r="AD75" s="100">
        <v>11</v>
      </c>
      <c r="AE75" s="100">
        <v>7075.1999999999989</v>
      </c>
      <c r="AF75" s="100">
        <v>9.7520901884746287</v>
      </c>
      <c r="AG75" s="100">
        <v>6272.5444092268808</v>
      </c>
      <c r="AH75" s="100">
        <v>9</v>
      </c>
      <c r="AI75" s="100">
        <v>5788.7999999999993</v>
      </c>
      <c r="AJ75" s="100">
        <v>8</v>
      </c>
      <c r="AK75" s="100">
        <v>5145.5999999999995</v>
      </c>
      <c r="AL75" s="100">
        <v>9</v>
      </c>
      <c r="AM75" s="100">
        <v>5788.7999999999993</v>
      </c>
      <c r="AN75" s="100">
        <v>10</v>
      </c>
      <c r="AO75" s="100">
        <v>6431.9999999999991</v>
      </c>
      <c r="AP75" s="100">
        <v>4.76153216424155</v>
      </c>
      <c r="AQ75" s="100">
        <v>3062.6174880401645</v>
      </c>
      <c r="AR75" s="100">
        <v>9.8882023506059085</v>
      </c>
      <c r="AS75" s="100">
        <v>6360.0917519097193</v>
      </c>
      <c r="AT75" s="100">
        <v>9</v>
      </c>
      <c r="AU75" s="100">
        <v>5788.7999999999993</v>
      </c>
      <c r="AV75" s="100">
        <v>15</v>
      </c>
      <c r="AW75" s="100">
        <v>9647.9999999999982</v>
      </c>
      <c r="AX75" s="100">
        <v>9</v>
      </c>
      <c r="AY75" s="100">
        <v>5788.7999999999993</v>
      </c>
      <c r="AZ75" s="100">
        <v>15</v>
      </c>
      <c r="BA75" s="100">
        <v>9647.9999999999982</v>
      </c>
      <c r="BB75" s="100">
        <v>10</v>
      </c>
      <c r="BC75" s="100">
        <v>6431.9999999999991</v>
      </c>
      <c r="BD75" s="100">
        <v>13</v>
      </c>
      <c r="BE75" s="100">
        <v>8361.5999999999985</v>
      </c>
      <c r="BF75" s="100">
        <v>3.3909415210281373</v>
      </c>
      <c r="BG75" s="100">
        <v>2181.0535863252976</v>
      </c>
      <c r="BH75" s="100">
        <v>10</v>
      </c>
      <c r="BI75" s="100">
        <v>6431.9999999999991</v>
      </c>
      <c r="BJ75" s="100">
        <v>10.66357353637679</v>
      </c>
      <c r="BK75" s="100">
        <v>6858.8104985975506</v>
      </c>
      <c r="BL75" s="100">
        <v>10</v>
      </c>
      <c r="BM75" s="100">
        <v>6431.9999999999991</v>
      </c>
      <c r="BN75" s="100">
        <v>13</v>
      </c>
      <c r="BO75" s="100">
        <v>8361.5999999999985</v>
      </c>
      <c r="BP75" s="100">
        <v>10</v>
      </c>
      <c r="BQ75" s="100">
        <v>6431.9999999999991</v>
      </c>
      <c r="BR75" s="100">
        <v>9</v>
      </c>
      <c r="BS75" s="100">
        <v>5788.7999999999993</v>
      </c>
      <c r="BT75" s="100">
        <v>13</v>
      </c>
      <c r="BU75" s="100">
        <v>8361.5999999999985</v>
      </c>
      <c r="BV75" s="100">
        <v>15.531768123091451</v>
      </c>
      <c r="BW75" s="100">
        <v>9990.0332567724199</v>
      </c>
      <c r="BX75" s="100">
        <v>14</v>
      </c>
      <c r="BY75" s="100">
        <v>9004.7999999999993</v>
      </c>
      <c r="BZ75" s="100">
        <v>0.5311925517201791</v>
      </c>
      <c r="CA75" s="100">
        <v>341.66304926641914</v>
      </c>
      <c r="CB75" s="100">
        <v>12</v>
      </c>
      <c r="CC75" s="100">
        <v>7718.4</v>
      </c>
      <c r="CD75" s="100">
        <v>1.3904425112795267</v>
      </c>
      <c r="CE75" s="100">
        <v>894.3326232549914</v>
      </c>
      <c r="CF75" s="100">
        <v>14</v>
      </c>
      <c r="CG75" s="100">
        <v>9004.7999999999993</v>
      </c>
      <c r="CH75" s="100">
        <v>7.7046167943784836</v>
      </c>
      <c r="CI75" s="100">
        <v>4955.6095221442401</v>
      </c>
      <c r="CJ75" s="100">
        <v>9</v>
      </c>
      <c r="CK75" s="100">
        <v>5788.7999999999993</v>
      </c>
      <c r="CL75" s="100">
        <v>8</v>
      </c>
      <c r="CM75" s="100">
        <v>5145.5999999999995</v>
      </c>
      <c r="CN75" s="100">
        <v>8</v>
      </c>
      <c r="CO75" s="100">
        <v>5145.5999999999995</v>
      </c>
      <c r="CP75" s="100">
        <v>8</v>
      </c>
      <c r="CQ75" s="100">
        <v>5145.5999999999995</v>
      </c>
      <c r="CR75" s="100">
        <v>13</v>
      </c>
      <c r="CS75" s="100">
        <v>8361.5999999999985</v>
      </c>
      <c r="CT75" s="100">
        <v>9</v>
      </c>
      <c r="CU75" s="100">
        <v>5788.7999999999993</v>
      </c>
    </row>
    <row r="76" spans="2:99">
      <c r="C76" s="99" t="s">
        <v>242</v>
      </c>
      <c r="D76" s="100">
        <v>13</v>
      </c>
      <c r="E76" s="100">
        <v>10124.4</v>
      </c>
      <c r="F76" s="100">
        <v>7.5998110668592762</v>
      </c>
      <c r="G76" s="100">
        <v>5918.7328588700038</v>
      </c>
      <c r="H76" s="100">
        <v>10</v>
      </c>
      <c r="I76" s="100">
        <v>7788</v>
      </c>
      <c r="J76" s="100">
        <v>7.3484437091677464</v>
      </c>
      <c r="K76" s="100">
        <v>5722.9679606998407</v>
      </c>
      <c r="L76" s="100">
        <v>11</v>
      </c>
      <c r="M76" s="100">
        <v>8566.7999999999993</v>
      </c>
      <c r="N76" s="100">
        <v>10</v>
      </c>
      <c r="O76" s="100">
        <v>7788</v>
      </c>
      <c r="P76" s="100">
        <v>10.172971182590407</v>
      </c>
      <c r="Q76" s="100">
        <v>7922.7099570014088</v>
      </c>
      <c r="R76" s="100">
        <v>14</v>
      </c>
      <c r="S76" s="100">
        <v>10903.199999999999</v>
      </c>
      <c r="T76" s="100">
        <v>11.866235027967099</v>
      </c>
      <c r="U76" s="100">
        <v>9241.4238397807749</v>
      </c>
      <c r="V76" s="100">
        <v>9</v>
      </c>
      <c r="W76" s="100">
        <v>7009.2</v>
      </c>
      <c r="X76" s="100">
        <v>6.3564522165384663</v>
      </c>
      <c r="Y76" s="100">
        <v>4950.4049862401571</v>
      </c>
      <c r="Z76" s="100">
        <v>2.5878910459168303</v>
      </c>
      <c r="AA76" s="100">
        <v>2015.4495465600273</v>
      </c>
      <c r="AB76" s="100">
        <v>7</v>
      </c>
      <c r="AC76" s="100">
        <v>5451.5999999999995</v>
      </c>
      <c r="AD76" s="100">
        <v>10</v>
      </c>
      <c r="AE76" s="100">
        <v>7788</v>
      </c>
      <c r="AF76" s="100">
        <v>10.502250972203447</v>
      </c>
      <c r="AG76" s="100">
        <v>8179.1530571520434</v>
      </c>
      <c r="AH76" s="100">
        <v>10</v>
      </c>
      <c r="AI76" s="100">
        <v>7788</v>
      </c>
      <c r="AJ76" s="100">
        <v>9</v>
      </c>
      <c r="AK76" s="100">
        <v>7009.2</v>
      </c>
      <c r="AL76" s="100">
        <v>9</v>
      </c>
      <c r="AM76" s="100">
        <v>7009.2</v>
      </c>
      <c r="AN76" s="100">
        <v>9</v>
      </c>
      <c r="AO76" s="100">
        <v>7009.2</v>
      </c>
      <c r="AP76" s="100">
        <v>4.3952604592998927</v>
      </c>
      <c r="AQ76" s="100">
        <v>3423.0288457027564</v>
      </c>
      <c r="AR76" s="100">
        <v>10.648833300652518</v>
      </c>
      <c r="AS76" s="100">
        <v>8293.3113745481805</v>
      </c>
      <c r="AT76" s="100">
        <v>8</v>
      </c>
      <c r="AU76" s="100">
        <v>6230.4</v>
      </c>
      <c r="AV76" s="100">
        <v>14</v>
      </c>
      <c r="AW76" s="100">
        <v>10903.199999999999</v>
      </c>
      <c r="AX76" s="100">
        <v>8</v>
      </c>
      <c r="AY76" s="100">
        <v>6230.4</v>
      </c>
      <c r="AZ76" s="100">
        <v>15</v>
      </c>
      <c r="BA76" s="100">
        <v>11682</v>
      </c>
      <c r="BB76" s="100">
        <v>11</v>
      </c>
      <c r="BC76" s="100">
        <v>8566.7999999999993</v>
      </c>
      <c r="BD76" s="100">
        <v>15</v>
      </c>
      <c r="BE76" s="100">
        <v>11682</v>
      </c>
      <c r="BF76" s="100">
        <v>3.6735199811138153</v>
      </c>
      <c r="BG76" s="100">
        <v>2860.9373612914392</v>
      </c>
      <c r="BH76" s="100">
        <v>11</v>
      </c>
      <c r="BI76" s="100">
        <v>8566.7999999999993</v>
      </c>
      <c r="BJ76" s="100">
        <v>10.66357353637679</v>
      </c>
      <c r="BK76" s="100">
        <v>8304.7910701302426</v>
      </c>
      <c r="BL76" s="100">
        <v>11</v>
      </c>
      <c r="BM76" s="100">
        <v>8566.7999999999993</v>
      </c>
      <c r="BN76" s="100">
        <v>15</v>
      </c>
      <c r="BO76" s="100">
        <v>11682</v>
      </c>
      <c r="BP76" s="100">
        <v>9</v>
      </c>
      <c r="BQ76" s="100">
        <v>7009.2</v>
      </c>
      <c r="BR76" s="100">
        <v>9</v>
      </c>
      <c r="BS76" s="100">
        <v>7009.2</v>
      </c>
      <c r="BT76" s="100">
        <v>12</v>
      </c>
      <c r="BU76" s="100">
        <v>9345.5999999999985</v>
      </c>
      <c r="BV76" s="100">
        <v>13.59029710770502</v>
      </c>
      <c r="BW76" s="100">
        <v>10584.123387480669</v>
      </c>
      <c r="BX76" s="100">
        <v>13</v>
      </c>
      <c r="BY76" s="100">
        <v>10124.4</v>
      </c>
      <c r="BZ76" s="100">
        <v>0.59759162068520155</v>
      </c>
      <c r="CA76" s="100">
        <v>465.40435418963494</v>
      </c>
      <c r="CB76" s="100">
        <v>14</v>
      </c>
      <c r="CC76" s="100">
        <v>10903.199999999999</v>
      </c>
      <c r="CD76" s="100">
        <v>1.3904425112795267</v>
      </c>
      <c r="CE76" s="100">
        <v>1082.8766277844952</v>
      </c>
      <c r="CF76" s="100">
        <v>13</v>
      </c>
      <c r="CG76" s="100">
        <v>10124.4</v>
      </c>
      <c r="CH76" s="100">
        <v>7.7046167943784836</v>
      </c>
      <c r="CI76" s="100">
        <v>6000.3555594619629</v>
      </c>
      <c r="CJ76" s="100">
        <v>8</v>
      </c>
      <c r="CK76" s="100">
        <v>6230.4</v>
      </c>
      <c r="CL76" s="100">
        <v>10</v>
      </c>
      <c r="CM76" s="100">
        <v>7788</v>
      </c>
      <c r="CN76" s="100">
        <v>7</v>
      </c>
      <c r="CO76" s="100">
        <v>5451.5999999999995</v>
      </c>
      <c r="CP76" s="100">
        <v>8</v>
      </c>
      <c r="CQ76" s="100">
        <v>6230.4</v>
      </c>
      <c r="CR76" s="100">
        <v>12</v>
      </c>
      <c r="CS76" s="100">
        <v>9345.5999999999985</v>
      </c>
      <c r="CT76" s="100">
        <v>11</v>
      </c>
      <c r="CU76" s="100">
        <v>8566.7999999999993</v>
      </c>
    </row>
    <row r="77" spans="2:99">
      <c r="C77" s="99" t="s">
        <v>243</v>
      </c>
      <c r="D77" s="100">
        <v>13</v>
      </c>
      <c r="E77" s="100">
        <v>3619.2</v>
      </c>
      <c r="F77" s="100">
        <v>7.5998110668592762</v>
      </c>
      <c r="G77" s="100">
        <v>2115.7874010136225</v>
      </c>
      <c r="H77" s="100">
        <v>10</v>
      </c>
      <c r="I77" s="100">
        <v>2784</v>
      </c>
      <c r="J77" s="100">
        <v>7.9137086098729581</v>
      </c>
      <c r="K77" s="100">
        <v>2203.1764769886313</v>
      </c>
      <c r="L77" s="100">
        <v>13</v>
      </c>
      <c r="M77" s="100">
        <v>3619.2</v>
      </c>
      <c r="N77" s="100">
        <v>11</v>
      </c>
      <c r="O77" s="100">
        <v>3062.3999999999996</v>
      </c>
      <c r="P77" s="100">
        <v>9.3904349377757601</v>
      </c>
      <c r="Q77" s="100">
        <v>2614.2970866767714</v>
      </c>
      <c r="R77" s="100">
        <v>13</v>
      </c>
      <c r="S77" s="100">
        <v>3619.2</v>
      </c>
      <c r="T77" s="100">
        <v>10.877382108969842</v>
      </c>
      <c r="U77" s="100">
        <v>3028.2631791372037</v>
      </c>
      <c r="V77" s="100">
        <v>8</v>
      </c>
      <c r="W77" s="100">
        <v>2227.1999999999998</v>
      </c>
      <c r="X77" s="100">
        <v>7.1510087436057743</v>
      </c>
      <c r="Y77" s="100">
        <v>1990.8408342198475</v>
      </c>
      <c r="Z77" s="100">
        <v>2.5878910459168303</v>
      </c>
      <c r="AA77" s="100">
        <v>720.46886718324549</v>
      </c>
      <c r="AB77" s="100">
        <v>7</v>
      </c>
      <c r="AC77" s="100">
        <v>1948.7999999999997</v>
      </c>
      <c r="AD77" s="100">
        <v>10</v>
      </c>
      <c r="AE77" s="100">
        <v>2784</v>
      </c>
      <c r="AF77" s="100">
        <v>10.502250972203447</v>
      </c>
      <c r="AG77" s="100">
        <v>2923.8266706614395</v>
      </c>
      <c r="AH77" s="100">
        <v>10</v>
      </c>
      <c r="AI77" s="100">
        <v>2784</v>
      </c>
      <c r="AJ77" s="100">
        <v>8</v>
      </c>
      <c r="AK77" s="100">
        <v>2227.1999999999998</v>
      </c>
      <c r="AL77" s="100">
        <v>10</v>
      </c>
      <c r="AM77" s="100">
        <v>2784</v>
      </c>
      <c r="AN77" s="100">
        <v>11</v>
      </c>
      <c r="AO77" s="100">
        <v>3062.3999999999996</v>
      </c>
      <c r="AP77" s="100">
        <v>4.3952604592998927</v>
      </c>
      <c r="AQ77" s="100">
        <v>1223.64051186909</v>
      </c>
      <c r="AR77" s="100">
        <v>11.409464250699125</v>
      </c>
      <c r="AS77" s="100">
        <v>3176.3948473946361</v>
      </c>
      <c r="AT77" s="100">
        <v>8</v>
      </c>
      <c r="AU77" s="100">
        <v>2227.1999999999998</v>
      </c>
      <c r="AV77" s="100">
        <v>14</v>
      </c>
      <c r="AW77" s="100">
        <v>3897.5999999999995</v>
      </c>
      <c r="AX77" s="100">
        <v>7</v>
      </c>
      <c r="AY77" s="100">
        <v>1948.7999999999997</v>
      </c>
      <c r="AZ77" s="100">
        <v>14</v>
      </c>
      <c r="BA77" s="100">
        <v>3897.5999999999995</v>
      </c>
      <c r="BB77" s="100">
        <v>10</v>
      </c>
      <c r="BC77" s="100">
        <v>2784</v>
      </c>
      <c r="BD77" s="100">
        <v>14</v>
      </c>
      <c r="BE77" s="100">
        <v>3897.5999999999995</v>
      </c>
      <c r="BF77" s="100">
        <v>3.6735199811138153</v>
      </c>
      <c r="BG77" s="100">
        <v>1022.7079627420861</v>
      </c>
      <c r="BH77" s="100">
        <v>11</v>
      </c>
      <c r="BI77" s="100">
        <v>3062.3999999999996</v>
      </c>
      <c r="BJ77" s="100">
        <v>10.66357353637679</v>
      </c>
      <c r="BK77" s="100">
        <v>2968.7388725272981</v>
      </c>
      <c r="BL77" s="100">
        <v>11</v>
      </c>
      <c r="BM77" s="100">
        <v>3062.3999999999996</v>
      </c>
      <c r="BN77" s="100">
        <v>15</v>
      </c>
      <c r="BO77" s="100">
        <v>4176</v>
      </c>
      <c r="BP77" s="100">
        <v>10</v>
      </c>
      <c r="BQ77" s="100">
        <v>2784</v>
      </c>
      <c r="BR77" s="100">
        <v>10</v>
      </c>
      <c r="BS77" s="100">
        <v>2784</v>
      </c>
      <c r="BT77" s="100">
        <v>13</v>
      </c>
      <c r="BU77" s="100">
        <v>3619.2</v>
      </c>
      <c r="BV77" s="100">
        <v>14.561032615398235</v>
      </c>
      <c r="BW77" s="100">
        <v>4053.791480126868</v>
      </c>
      <c r="BX77" s="100">
        <v>14</v>
      </c>
      <c r="BY77" s="100">
        <v>3897.5999999999995</v>
      </c>
      <c r="BZ77" s="100">
        <v>0.59759162068520155</v>
      </c>
      <c r="CA77" s="100">
        <v>166.36950719876009</v>
      </c>
      <c r="CB77" s="100">
        <v>15</v>
      </c>
      <c r="CC77" s="100">
        <v>4176</v>
      </c>
      <c r="CD77" s="100">
        <v>1.5294867624074793</v>
      </c>
      <c r="CE77" s="100">
        <v>425.80911465424219</v>
      </c>
      <c r="CF77" s="100">
        <v>13</v>
      </c>
      <c r="CG77" s="100">
        <v>3619.2</v>
      </c>
      <c r="CH77" s="100">
        <v>7.7046167943784836</v>
      </c>
      <c r="CI77" s="100">
        <v>2144.9653155549695</v>
      </c>
      <c r="CJ77" s="100">
        <v>8</v>
      </c>
      <c r="CK77" s="100">
        <v>2227.1999999999998</v>
      </c>
      <c r="CL77" s="100">
        <v>10</v>
      </c>
      <c r="CM77" s="100">
        <v>2784</v>
      </c>
      <c r="CN77" s="100">
        <v>8</v>
      </c>
      <c r="CO77" s="100">
        <v>2227.1999999999998</v>
      </c>
      <c r="CP77" s="100">
        <v>9</v>
      </c>
      <c r="CQ77" s="100">
        <v>2505.6</v>
      </c>
      <c r="CR77" s="100">
        <v>13</v>
      </c>
      <c r="CS77" s="100">
        <v>3619.2</v>
      </c>
      <c r="CT77" s="100">
        <v>11</v>
      </c>
      <c r="CU77" s="100">
        <v>3062.3999999999996</v>
      </c>
    </row>
    <row r="78" spans="2:99">
      <c r="C78" s="99" t="s">
        <v>244</v>
      </c>
      <c r="D78" s="100">
        <v>15</v>
      </c>
      <c r="E78" s="100">
        <v>8280</v>
      </c>
      <c r="F78" s="100">
        <v>6.2180272365212268</v>
      </c>
      <c r="G78" s="100">
        <v>3432.3510345597174</v>
      </c>
      <c r="H78" s="100">
        <v>8</v>
      </c>
      <c r="I78" s="100">
        <v>4416</v>
      </c>
      <c r="J78" s="100">
        <v>8.4789735105781698</v>
      </c>
      <c r="K78" s="100">
        <v>4680.3933778391502</v>
      </c>
      <c r="L78" s="100">
        <v>12</v>
      </c>
      <c r="M78" s="100">
        <v>6624</v>
      </c>
      <c r="N78" s="100">
        <v>12</v>
      </c>
      <c r="O78" s="100">
        <v>6624</v>
      </c>
      <c r="P78" s="100">
        <v>10.172971182590407</v>
      </c>
      <c r="Q78" s="100">
        <v>5615.480092789905</v>
      </c>
      <c r="R78" s="100">
        <v>13</v>
      </c>
      <c r="S78" s="100">
        <v>7176</v>
      </c>
      <c r="T78" s="100">
        <v>11.866235027967099</v>
      </c>
      <c r="U78" s="100">
        <v>6550.1617354378386</v>
      </c>
      <c r="V78" s="100">
        <v>9</v>
      </c>
      <c r="W78" s="100">
        <v>4968</v>
      </c>
      <c r="X78" s="100">
        <v>6.3564522165384663</v>
      </c>
      <c r="Y78" s="100">
        <v>3508.7616235292335</v>
      </c>
      <c r="Z78" s="100">
        <v>2.300347596370516</v>
      </c>
      <c r="AA78" s="100">
        <v>1269.7918731965249</v>
      </c>
      <c r="AB78" s="100">
        <v>7</v>
      </c>
      <c r="AC78" s="100">
        <v>3864</v>
      </c>
      <c r="AD78" s="100">
        <v>10</v>
      </c>
      <c r="AE78" s="100">
        <v>5520</v>
      </c>
      <c r="AF78" s="100">
        <v>10.502250972203447</v>
      </c>
      <c r="AG78" s="100">
        <v>5797.2425366563029</v>
      </c>
      <c r="AH78" s="100">
        <v>9</v>
      </c>
      <c r="AI78" s="100">
        <v>4968</v>
      </c>
      <c r="AJ78" s="100">
        <v>9</v>
      </c>
      <c r="AK78" s="100">
        <v>4968</v>
      </c>
      <c r="AL78" s="100">
        <v>10</v>
      </c>
      <c r="AM78" s="100">
        <v>5520</v>
      </c>
      <c r="AN78" s="100">
        <v>10</v>
      </c>
      <c r="AO78" s="100">
        <v>5520</v>
      </c>
      <c r="AP78" s="100">
        <v>4.3952604592998927</v>
      </c>
      <c r="AQ78" s="100">
        <v>2426.1837735335407</v>
      </c>
      <c r="AR78" s="100">
        <v>11.409464250699125</v>
      </c>
      <c r="AS78" s="100">
        <v>6298.0242663859171</v>
      </c>
      <c r="AT78" s="100">
        <v>9</v>
      </c>
      <c r="AU78" s="100">
        <v>4968</v>
      </c>
      <c r="AV78" s="100">
        <v>15</v>
      </c>
      <c r="AW78" s="100">
        <v>8280</v>
      </c>
      <c r="AX78" s="100">
        <v>8</v>
      </c>
      <c r="AY78" s="100">
        <v>4416</v>
      </c>
      <c r="AZ78" s="100">
        <v>15</v>
      </c>
      <c r="BA78" s="100">
        <v>8280</v>
      </c>
      <c r="BB78" s="100">
        <v>11</v>
      </c>
      <c r="BC78" s="100">
        <v>6072</v>
      </c>
      <c r="BD78" s="100">
        <v>13</v>
      </c>
      <c r="BE78" s="100">
        <v>7176</v>
      </c>
      <c r="BF78" s="100">
        <v>3.3909415210281373</v>
      </c>
      <c r="BG78" s="100">
        <v>1871.7997196075319</v>
      </c>
      <c r="BH78" s="100">
        <v>10</v>
      </c>
      <c r="BI78" s="100">
        <v>5520</v>
      </c>
      <c r="BJ78" s="100">
        <v>9.7749424083453906</v>
      </c>
      <c r="BK78" s="100">
        <v>5395.7682094066558</v>
      </c>
      <c r="BL78" s="100">
        <v>11</v>
      </c>
      <c r="BM78" s="100">
        <v>6072</v>
      </c>
      <c r="BN78" s="100">
        <v>13</v>
      </c>
      <c r="BO78" s="100">
        <v>7176</v>
      </c>
      <c r="BP78" s="100">
        <v>8</v>
      </c>
      <c r="BQ78" s="100">
        <v>4416</v>
      </c>
      <c r="BR78" s="100">
        <v>9</v>
      </c>
      <c r="BS78" s="100">
        <v>4968</v>
      </c>
      <c r="BT78" s="100">
        <v>13</v>
      </c>
      <c r="BU78" s="100">
        <v>7176</v>
      </c>
      <c r="BV78" s="100">
        <v>12.619561600011803</v>
      </c>
      <c r="BW78" s="100">
        <v>6965.998003206515</v>
      </c>
      <c r="BX78" s="100">
        <v>13</v>
      </c>
      <c r="BY78" s="100">
        <v>7176</v>
      </c>
      <c r="BZ78" s="100">
        <v>0.5311925517201791</v>
      </c>
      <c r="CA78" s="100">
        <v>293.21828854953884</v>
      </c>
      <c r="CB78" s="100">
        <v>14</v>
      </c>
      <c r="CC78" s="100">
        <v>7728</v>
      </c>
      <c r="CD78" s="100">
        <v>1.3904425112795267</v>
      </c>
      <c r="CE78" s="100">
        <v>767.52426622629878</v>
      </c>
      <c r="CF78" s="100">
        <v>13</v>
      </c>
      <c r="CG78" s="100">
        <v>7176</v>
      </c>
      <c r="CH78" s="100">
        <v>8.4750784738163336</v>
      </c>
      <c r="CI78" s="100">
        <v>4678.2433175466158</v>
      </c>
      <c r="CJ78" s="100">
        <v>8</v>
      </c>
      <c r="CK78" s="100">
        <v>4416</v>
      </c>
      <c r="CL78" s="100">
        <v>10</v>
      </c>
      <c r="CM78" s="100">
        <v>5520</v>
      </c>
      <c r="CN78" s="100">
        <v>8</v>
      </c>
      <c r="CO78" s="100">
        <v>4416</v>
      </c>
      <c r="CP78" s="100">
        <v>9</v>
      </c>
      <c r="CQ78" s="100">
        <v>4968</v>
      </c>
      <c r="CR78" s="100">
        <v>13</v>
      </c>
      <c r="CS78" s="100">
        <v>7176</v>
      </c>
      <c r="CT78" s="100">
        <v>10</v>
      </c>
      <c r="CU78" s="100">
        <v>5520</v>
      </c>
    </row>
    <row r="79" spans="2:99">
      <c r="C79" s="99" t="s">
        <v>245</v>
      </c>
      <c r="D79" s="100">
        <v>14</v>
      </c>
      <c r="E79" s="100">
        <v>10600.8</v>
      </c>
      <c r="F79" s="100">
        <v>6.9089191516902515</v>
      </c>
      <c r="G79" s="100">
        <v>5231.4335816598577</v>
      </c>
      <c r="H79" s="100">
        <v>10</v>
      </c>
      <c r="I79" s="100">
        <v>7571.9999999999991</v>
      </c>
      <c r="J79" s="100">
        <v>7.9137086098729581</v>
      </c>
      <c r="K79" s="100">
        <v>5992.2601593958034</v>
      </c>
      <c r="L79" s="100">
        <v>11</v>
      </c>
      <c r="M79" s="100">
        <v>8329.1999999999989</v>
      </c>
      <c r="N79" s="100">
        <v>12</v>
      </c>
      <c r="O79" s="100">
        <v>9086.4</v>
      </c>
      <c r="P79" s="100">
        <v>10.172971182590407</v>
      </c>
      <c r="Q79" s="100">
        <v>7702.9737794574557</v>
      </c>
      <c r="R79" s="100">
        <v>13</v>
      </c>
      <c r="S79" s="100">
        <v>9843.5999999999985</v>
      </c>
      <c r="T79" s="100">
        <v>9.8885291899725836</v>
      </c>
      <c r="U79" s="100">
        <v>7487.5943026472396</v>
      </c>
      <c r="V79" s="100">
        <v>9</v>
      </c>
      <c r="W79" s="100">
        <v>6814.7999999999993</v>
      </c>
      <c r="X79" s="100">
        <v>5.5618956894711582</v>
      </c>
      <c r="Y79" s="100">
        <v>4211.4674160675604</v>
      </c>
      <c r="Z79" s="100">
        <v>2.300347596370516</v>
      </c>
      <c r="AA79" s="100">
        <v>1741.8231999717545</v>
      </c>
      <c r="AB79" s="100">
        <v>7</v>
      </c>
      <c r="AC79" s="100">
        <v>5300.4</v>
      </c>
      <c r="AD79" s="100">
        <v>11</v>
      </c>
      <c r="AE79" s="100">
        <v>8329.1999999999989</v>
      </c>
      <c r="AF79" s="100">
        <v>10.502250972203447</v>
      </c>
      <c r="AG79" s="100">
        <v>7952.3044361524489</v>
      </c>
      <c r="AH79" s="100">
        <v>9</v>
      </c>
      <c r="AI79" s="100">
        <v>6814.7999999999993</v>
      </c>
      <c r="AJ79" s="100">
        <v>10</v>
      </c>
      <c r="AK79" s="100">
        <v>7571.9999999999991</v>
      </c>
      <c r="AL79" s="100">
        <v>9</v>
      </c>
      <c r="AM79" s="100">
        <v>6814.7999999999993</v>
      </c>
      <c r="AN79" s="100">
        <v>11</v>
      </c>
      <c r="AO79" s="100">
        <v>8329.1999999999989</v>
      </c>
      <c r="AP79" s="100">
        <v>4.0289887543582346</v>
      </c>
      <c r="AQ79" s="100">
        <v>3050.7502848000549</v>
      </c>
      <c r="AR79" s="100">
        <v>9.8882023506059085</v>
      </c>
      <c r="AS79" s="100">
        <v>7487.3468198787932</v>
      </c>
      <c r="AT79" s="100">
        <v>8</v>
      </c>
      <c r="AU79" s="100">
        <v>6057.5999999999995</v>
      </c>
      <c r="AV79" s="100">
        <v>13</v>
      </c>
      <c r="AW79" s="100">
        <v>9843.5999999999985</v>
      </c>
      <c r="AX79" s="100">
        <v>7</v>
      </c>
      <c r="AY79" s="100">
        <v>5300.4</v>
      </c>
      <c r="AZ79" s="100">
        <v>15</v>
      </c>
      <c r="BA79" s="100">
        <v>11357.999999999998</v>
      </c>
      <c r="BB79" s="100">
        <v>10</v>
      </c>
      <c r="BC79" s="100">
        <v>7571.9999999999991</v>
      </c>
      <c r="BD79" s="100">
        <v>13</v>
      </c>
      <c r="BE79" s="100">
        <v>9843.5999999999985</v>
      </c>
      <c r="BF79" s="100">
        <v>3.1083630609424588</v>
      </c>
      <c r="BG79" s="100">
        <v>2353.6525097456297</v>
      </c>
      <c r="BH79" s="100">
        <v>11</v>
      </c>
      <c r="BI79" s="100">
        <v>8329.1999999999989</v>
      </c>
      <c r="BJ79" s="100">
        <v>10.66357353637679</v>
      </c>
      <c r="BK79" s="100">
        <v>8074.4578817445044</v>
      </c>
      <c r="BL79" s="100">
        <v>10</v>
      </c>
      <c r="BM79" s="100">
        <v>7571.9999999999991</v>
      </c>
      <c r="BN79" s="100">
        <v>14</v>
      </c>
      <c r="BO79" s="100">
        <v>10600.8</v>
      </c>
      <c r="BP79" s="100">
        <v>9</v>
      </c>
      <c r="BQ79" s="100">
        <v>6814.7999999999993</v>
      </c>
      <c r="BR79" s="100">
        <v>10</v>
      </c>
      <c r="BS79" s="100">
        <v>7571.9999999999991</v>
      </c>
      <c r="BT79" s="100">
        <v>12</v>
      </c>
      <c r="BU79" s="100">
        <v>9086.4</v>
      </c>
      <c r="BV79" s="100">
        <v>13.59029710770502</v>
      </c>
      <c r="BW79" s="100">
        <v>10290.572969954241</v>
      </c>
      <c r="BX79" s="100">
        <v>13</v>
      </c>
      <c r="BY79" s="100">
        <v>9843.5999999999985</v>
      </c>
      <c r="BZ79" s="100">
        <v>0.59759162068520155</v>
      </c>
      <c r="CA79" s="100">
        <v>452.49637518283458</v>
      </c>
      <c r="CB79" s="100">
        <v>13</v>
      </c>
      <c r="CC79" s="100">
        <v>9843.5999999999985</v>
      </c>
      <c r="CD79" s="100">
        <v>1.5294867624074793</v>
      </c>
      <c r="CE79" s="100">
        <v>1158.1273764949433</v>
      </c>
      <c r="CF79" s="100">
        <v>14</v>
      </c>
      <c r="CG79" s="100">
        <v>10600.8</v>
      </c>
      <c r="CH79" s="100">
        <v>7.7046167943784836</v>
      </c>
      <c r="CI79" s="100">
        <v>5833.9358367033874</v>
      </c>
      <c r="CJ79" s="100">
        <v>9</v>
      </c>
      <c r="CK79" s="100">
        <v>6814.7999999999993</v>
      </c>
      <c r="CL79" s="100">
        <v>10</v>
      </c>
      <c r="CM79" s="100">
        <v>7571.9999999999991</v>
      </c>
      <c r="CN79" s="100">
        <v>8</v>
      </c>
      <c r="CO79" s="100">
        <v>6057.5999999999995</v>
      </c>
      <c r="CP79" s="100">
        <v>10</v>
      </c>
      <c r="CQ79" s="100">
        <v>7571.9999999999991</v>
      </c>
      <c r="CR79" s="100">
        <v>13</v>
      </c>
      <c r="CS79" s="100">
        <v>9843.5999999999985</v>
      </c>
      <c r="CT79" s="100">
        <v>10</v>
      </c>
      <c r="CU79" s="100">
        <v>7571.9999999999991</v>
      </c>
    </row>
    <row r="80" spans="2:99">
      <c r="C80" s="99" t="s">
        <v>246</v>
      </c>
      <c r="D80" s="100">
        <v>15</v>
      </c>
      <c r="E80" s="100">
        <v>12077.999999999998</v>
      </c>
      <c r="F80" s="100">
        <v>6.2180272365212268</v>
      </c>
      <c r="G80" s="100">
        <v>5006.7555308468918</v>
      </c>
      <c r="H80" s="100">
        <v>8</v>
      </c>
      <c r="I80" s="100">
        <v>6441.5999999999995</v>
      </c>
      <c r="J80" s="100">
        <v>7.9137086098729581</v>
      </c>
      <c r="K80" s="100">
        <v>6372.118172669705</v>
      </c>
      <c r="L80" s="100">
        <v>13</v>
      </c>
      <c r="M80" s="100">
        <v>10467.599999999999</v>
      </c>
      <c r="N80" s="100">
        <v>11</v>
      </c>
      <c r="O80" s="100">
        <v>8857.1999999999989</v>
      </c>
      <c r="P80" s="100">
        <v>9.3904349377757601</v>
      </c>
      <c r="Q80" s="100">
        <v>7561.1782118970414</v>
      </c>
      <c r="R80" s="100">
        <v>13</v>
      </c>
      <c r="S80" s="100">
        <v>10467.599999999999</v>
      </c>
      <c r="T80" s="100">
        <v>10.877382108969842</v>
      </c>
      <c r="U80" s="100">
        <v>8758.4680741425163</v>
      </c>
      <c r="V80" s="100">
        <v>9</v>
      </c>
      <c r="W80" s="100">
        <v>7246.7999999999993</v>
      </c>
      <c r="X80" s="100">
        <v>6.3564522165384663</v>
      </c>
      <c r="Y80" s="100">
        <v>5118.215324756773</v>
      </c>
      <c r="Z80" s="100">
        <v>2.5878910459168303</v>
      </c>
      <c r="AA80" s="100">
        <v>2083.7698701722315</v>
      </c>
      <c r="AB80" s="100">
        <v>7</v>
      </c>
      <c r="AC80" s="100">
        <v>5636.4</v>
      </c>
      <c r="AD80" s="100">
        <v>10</v>
      </c>
      <c r="AE80" s="100">
        <v>8051.9999999999991</v>
      </c>
      <c r="AF80" s="100">
        <v>9.7520901884746287</v>
      </c>
      <c r="AG80" s="100">
        <v>7852.3830197597708</v>
      </c>
      <c r="AH80" s="100">
        <v>8</v>
      </c>
      <c r="AI80" s="100">
        <v>6441.5999999999995</v>
      </c>
      <c r="AJ80" s="100">
        <v>9</v>
      </c>
      <c r="AK80" s="100">
        <v>7246.7999999999993</v>
      </c>
      <c r="AL80" s="100">
        <v>10</v>
      </c>
      <c r="AM80" s="100">
        <v>8051.9999999999991</v>
      </c>
      <c r="AN80" s="100">
        <v>11</v>
      </c>
      <c r="AO80" s="100">
        <v>8857.1999999999989</v>
      </c>
      <c r="AP80" s="100">
        <v>4.3952604592998927</v>
      </c>
      <c r="AQ80" s="100">
        <v>3539.0637218282732</v>
      </c>
      <c r="AR80" s="100">
        <v>9.8882023506059085</v>
      </c>
      <c r="AS80" s="100">
        <v>7961.9805327078766</v>
      </c>
      <c r="AT80" s="100">
        <v>9</v>
      </c>
      <c r="AU80" s="100">
        <v>7246.7999999999993</v>
      </c>
      <c r="AV80" s="100">
        <v>14</v>
      </c>
      <c r="AW80" s="100">
        <v>11272.8</v>
      </c>
      <c r="AX80" s="100">
        <v>8</v>
      </c>
      <c r="AY80" s="100">
        <v>6441.5999999999995</v>
      </c>
      <c r="AZ80" s="100">
        <v>15</v>
      </c>
      <c r="BA80" s="100">
        <v>12077.999999999998</v>
      </c>
      <c r="BB80" s="100">
        <v>9</v>
      </c>
      <c r="BC80" s="100">
        <v>7246.7999999999993</v>
      </c>
      <c r="BD80" s="100">
        <v>14</v>
      </c>
      <c r="BE80" s="100">
        <v>11272.8</v>
      </c>
      <c r="BF80" s="100">
        <v>3.3909415210281373</v>
      </c>
      <c r="BG80" s="100">
        <v>2730.386112731856</v>
      </c>
      <c r="BH80" s="100">
        <v>10</v>
      </c>
      <c r="BI80" s="100">
        <v>8051.9999999999991</v>
      </c>
      <c r="BJ80" s="100">
        <v>8.8863112803139916</v>
      </c>
      <c r="BK80" s="100">
        <v>7155.2578429088253</v>
      </c>
      <c r="BL80" s="100">
        <v>10</v>
      </c>
      <c r="BM80" s="100">
        <v>8051.9999999999991</v>
      </c>
      <c r="BN80" s="100">
        <v>14</v>
      </c>
      <c r="BO80" s="100">
        <v>11272.8</v>
      </c>
      <c r="BP80" s="100">
        <v>8</v>
      </c>
      <c r="BQ80" s="100">
        <v>6441.5999999999995</v>
      </c>
      <c r="BR80" s="100">
        <v>10</v>
      </c>
      <c r="BS80" s="100">
        <v>8051.9999999999991</v>
      </c>
      <c r="BT80" s="100">
        <v>12</v>
      </c>
      <c r="BU80" s="100">
        <v>9662.4</v>
      </c>
      <c r="BV80" s="100">
        <v>13.59029710770502</v>
      </c>
      <c r="BW80" s="100">
        <v>10942.907231124082</v>
      </c>
      <c r="BX80" s="100">
        <v>14</v>
      </c>
      <c r="BY80" s="100">
        <v>11272.8</v>
      </c>
      <c r="BZ80" s="100">
        <v>0.59759162068520155</v>
      </c>
      <c r="CA80" s="100">
        <v>481.18077297572427</v>
      </c>
      <c r="CB80" s="100">
        <v>14</v>
      </c>
      <c r="CC80" s="100">
        <v>11272.8</v>
      </c>
      <c r="CD80" s="100">
        <v>1.5294867624074793</v>
      </c>
      <c r="CE80" s="100">
        <v>1231.5427410905022</v>
      </c>
      <c r="CF80" s="100">
        <v>13</v>
      </c>
      <c r="CG80" s="100">
        <v>10467.599999999999</v>
      </c>
      <c r="CH80" s="100">
        <v>7.7046167943784836</v>
      </c>
      <c r="CI80" s="100">
        <v>6203.7574428335547</v>
      </c>
      <c r="CJ80" s="100">
        <v>8</v>
      </c>
      <c r="CK80" s="100">
        <v>6441.5999999999995</v>
      </c>
      <c r="CL80" s="100">
        <v>9</v>
      </c>
      <c r="CM80" s="100">
        <v>7246.7999999999993</v>
      </c>
      <c r="CN80" s="100">
        <v>7</v>
      </c>
      <c r="CO80" s="100">
        <v>5636.4</v>
      </c>
      <c r="CP80" s="100">
        <v>9</v>
      </c>
      <c r="CQ80" s="100">
        <v>7246.7999999999993</v>
      </c>
      <c r="CR80" s="100">
        <v>13</v>
      </c>
      <c r="CS80" s="100">
        <v>10467.599999999999</v>
      </c>
      <c r="CT80" s="100">
        <v>11</v>
      </c>
      <c r="CU80" s="100">
        <v>8857.1999999999989</v>
      </c>
    </row>
    <row r="81" spans="2:99">
      <c r="C81" s="99" t="s">
        <v>247</v>
      </c>
      <c r="D81" s="100">
        <v>14</v>
      </c>
      <c r="E81" s="100">
        <v>10550.4</v>
      </c>
      <c r="F81" s="100">
        <v>7.5998110668592762</v>
      </c>
      <c r="G81" s="100">
        <v>5727.217619985151</v>
      </c>
      <c r="H81" s="100">
        <v>9</v>
      </c>
      <c r="I81" s="100">
        <v>6782.4000000000005</v>
      </c>
      <c r="J81" s="100">
        <v>8.4789735105781698</v>
      </c>
      <c r="K81" s="100">
        <v>6389.7544375717089</v>
      </c>
      <c r="L81" s="100">
        <v>11</v>
      </c>
      <c r="M81" s="100">
        <v>8289.6</v>
      </c>
      <c r="N81" s="100">
        <v>11</v>
      </c>
      <c r="O81" s="100">
        <v>8289.6</v>
      </c>
      <c r="P81" s="100">
        <v>10.172971182590407</v>
      </c>
      <c r="Q81" s="100">
        <v>7666.3510832001311</v>
      </c>
      <c r="R81" s="100">
        <v>15</v>
      </c>
      <c r="S81" s="100">
        <v>11304</v>
      </c>
      <c r="T81" s="100">
        <v>10.877382108969842</v>
      </c>
      <c r="U81" s="100">
        <v>8197.1951573196729</v>
      </c>
      <c r="V81" s="100">
        <v>8</v>
      </c>
      <c r="W81" s="100">
        <v>6028.8</v>
      </c>
      <c r="X81" s="100">
        <v>5.5618956894711582</v>
      </c>
      <c r="Y81" s="100">
        <v>4191.4445915854649</v>
      </c>
      <c r="Z81" s="100">
        <v>2.5878910459168303</v>
      </c>
      <c r="AA81" s="100">
        <v>1950.2346922029233</v>
      </c>
      <c r="AB81" s="100">
        <v>7</v>
      </c>
      <c r="AC81" s="100">
        <v>5275.2</v>
      </c>
      <c r="AD81" s="100">
        <v>10</v>
      </c>
      <c r="AE81" s="100">
        <v>7536</v>
      </c>
      <c r="AF81" s="100">
        <v>10.502250972203447</v>
      </c>
      <c r="AG81" s="100">
        <v>7914.4963326525176</v>
      </c>
      <c r="AH81" s="100">
        <v>8</v>
      </c>
      <c r="AI81" s="100">
        <v>6028.8</v>
      </c>
      <c r="AJ81" s="100">
        <v>9</v>
      </c>
      <c r="AK81" s="100">
        <v>6782.4000000000005</v>
      </c>
      <c r="AL81" s="100">
        <v>10</v>
      </c>
      <c r="AM81" s="100">
        <v>7536</v>
      </c>
      <c r="AN81" s="100">
        <v>11</v>
      </c>
      <c r="AO81" s="100">
        <v>8289.6</v>
      </c>
      <c r="AP81" s="100">
        <v>4.0289887543582346</v>
      </c>
      <c r="AQ81" s="100">
        <v>3036.2459252843655</v>
      </c>
      <c r="AR81" s="100">
        <v>9.8882023506059085</v>
      </c>
      <c r="AS81" s="100">
        <v>7451.7492914166132</v>
      </c>
      <c r="AT81" s="100">
        <v>9</v>
      </c>
      <c r="AU81" s="100">
        <v>6782.4000000000005</v>
      </c>
      <c r="AV81" s="100">
        <v>15</v>
      </c>
      <c r="AW81" s="100">
        <v>11304</v>
      </c>
      <c r="AX81" s="100">
        <v>7</v>
      </c>
      <c r="AY81" s="100">
        <v>5275.2</v>
      </c>
      <c r="AZ81" s="100">
        <v>15</v>
      </c>
      <c r="BA81" s="100">
        <v>11304</v>
      </c>
      <c r="BB81" s="100">
        <v>11</v>
      </c>
      <c r="BC81" s="100">
        <v>8289.6</v>
      </c>
      <c r="BD81" s="100">
        <v>13</v>
      </c>
      <c r="BE81" s="100">
        <v>9796.8000000000011</v>
      </c>
      <c r="BF81" s="100">
        <v>3.3909415210281373</v>
      </c>
      <c r="BG81" s="100">
        <v>2555.4135302468044</v>
      </c>
      <c r="BH81" s="100">
        <v>11</v>
      </c>
      <c r="BI81" s="100">
        <v>8289.6</v>
      </c>
      <c r="BJ81" s="100">
        <v>9.7749424083453906</v>
      </c>
      <c r="BK81" s="100">
        <v>7366.3965989290864</v>
      </c>
      <c r="BL81" s="100">
        <v>11</v>
      </c>
      <c r="BM81" s="100">
        <v>8289.6</v>
      </c>
      <c r="BN81" s="100">
        <v>14</v>
      </c>
      <c r="BO81" s="100">
        <v>10550.4</v>
      </c>
      <c r="BP81" s="100">
        <v>9</v>
      </c>
      <c r="BQ81" s="100">
        <v>6782.4000000000005</v>
      </c>
      <c r="BR81" s="100">
        <v>10</v>
      </c>
      <c r="BS81" s="100">
        <v>7536</v>
      </c>
      <c r="BT81" s="100">
        <v>12</v>
      </c>
      <c r="BU81" s="100">
        <v>9043.2000000000007</v>
      </c>
      <c r="BV81" s="100">
        <v>14.561032615398235</v>
      </c>
      <c r="BW81" s="100">
        <v>10973.19417896411</v>
      </c>
      <c r="BX81" s="100">
        <v>14</v>
      </c>
      <c r="BY81" s="100">
        <v>10550.4</v>
      </c>
      <c r="BZ81" s="100">
        <v>0.59759162068520155</v>
      </c>
      <c r="CA81" s="100">
        <v>450.34504534836788</v>
      </c>
      <c r="CB81" s="100">
        <v>12</v>
      </c>
      <c r="CC81" s="100">
        <v>9043.2000000000007</v>
      </c>
      <c r="CD81" s="100">
        <v>1.3904425112795267</v>
      </c>
      <c r="CE81" s="100">
        <v>1047.8374765002513</v>
      </c>
      <c r="CF81" s="100">
        <v>12</v>
      </c>
      <c r="CG81" s="100">
        <v>9043.2000000000007</v>
      </c>
      <c r="CH81" s="100">
        <v>7.7046167943784836</v>
      </c>
      <c r="CI81" s="100">
        <v>5806.1992162436254</v>
      </c>
      <c r="CJ81" s="100">
        <v>9</v>
      </c>
      <c r="CK81" s="100">
        <v>6782.4000000000005</v>
      </c>
      <c r="CL81" s="100">
        <v>9</v>
      </c>
      <c r="CM81" s="100">
        <v>6782.4000000000005</v>
      </c>
      <c r="CN81" s="100">
        <v>8</v>
      </c>
      <c r="CO81" s="100">
        <v>6028.8</v>
      </c>
      <c r="CP81" s="100">
        <v>9</v>
      </c>
      <c r="CQ81" s="100">
        <v>6782.4000000000005</v>
      </c>
      <c r="CR81" s="100">
        <v>13</v>
      </c>
      <c r="CS81" s="100">
        <v>9796.8000000000011</v>
      </c>
      <c r="CT81" s="100">
        <v>11</v>
      </c>
      <c r="CU81" s="100">
        <v>8289.6</v>
      </c>
    </row>
    <row r="82" spans="2:99">
      <c r="C82" s="99" t="s">
        <v>248</v>
      </c>
      <c r="D82" s="100">
        <v>14</v>
      </c>
      <c r="E82" s="100">
        <v>7123.1999999999989</v>
      </c>
      <c r="F82" s="100">
        <v>6.9089191516902515</v>
      </c>
      <c r="G82" s="100">
        <v>3515.2580643799993</v>
      </c>
      <c r="H82" s="100">
        <v>10</v>
      </c>
      <c r="I82" s="100">
        <v>5087.9999999999991</v>
      </c>
      <c r="J82" s="100">
        <v>7.3484437091677464</v>
      </c>
      <c r="K82" s="100">
        <v>3738.8881592245484</v>
      </c>
      <c r="L82" s="100">
        <v>13</v>
      </c>
      <c r="M82" s="100">
        <v>6614.3999999999987</v>
      </c>
      <c r="N82" s="100">
        <v>11</v>
      </c>
      <c r="O82" s="100">
        <v>5596.7999999999993</v>
      </c>
      <c r="P82" s="100">
        <v>10.172971182590407</v>
      </c>
      <c r="Q82" s="100">
        <v>5176.0077377019979</v>
      </c>
      <c r="R82" s="100">
        <v>13</v>
      </c>
      <c r="S82" s="100">
        <v>6614.3999999999987</v>
      </c>
      <c r="T82" s="100">
        <v>10.877382108969842</v>
      </c>
      <c r="U82" s="100">
        <v>5534.4120170438546</v>
      </c>
      <c r="V82" s="100">
        <v>8</v>
      </c>
      <c r="W82" s="100">
        <v>4070.3999999999992</v>
      </c>
      <c r="X82" s="100">
        <v>6.3564522165384663</v>
      </c>
      <c r="Y82" s="100">
        <v>3234.1628877747712</v>
      </c>
      <c r="Z82" s="100">
        <v>2.300347596370516</v>
      </c>
      <c r="AA82" s="100">
        <v>1170.4168570333184</v>
      </c>
      <c r="AB82" s="100">
        <v>7</v>
      </c>
      <c r="AC82" s="100">
        <v>3561.5999999999995</v>
      </c>
      <c r="AD82" s="100">
        <v>11</v>
      </c>
      <c r="AE82" s="100">
        <v>5596.7999999999993</v>
      </c>
      <c r="AF82" s="100">
        <v>9.7520901884746287</v>
      </c>
      <c r="AG82" s="100">
        <v>4961.8634878958901</v>
      </c>
      <c r="AH82" s="100">
        <v>9</v>
      </c>
      <c r="AI82" s="100">
        <v>4579.1999999999989</v>
      </c>
      <c r="AJ82" s="100">
        <v>9</v>
      </c>
      <c r="AK82" s="100">
        <v>4579.1999999999989</v>
      </c>
      <c r="AL82" s="100">
        <v>10</v>
      </c>
      <c r="AM82" s="100">
        <v>5087.9999999999991</v>
      </c>
      <c r="AN82" s="100">
        <v>10</v>
      </c>
      <c r="AO82" s="100">
        <v>5087.9999999999991</v>
      </c>
      <c r="AP82" s="100">
        <v>4.76153216424155</v>
      </c>
      <c r="AQ82" s="100">
        <v>2422.6675651661003</v>
      </c>
      <c r="AR82" s="100">
        <v>9.8882023506059085</v>
      </c>
      <c r="AS82" s="100">
        <v>5031.1173559882855</v>
      </c>
      <c r="AT82" s="100">
        <v>8</v>
      </c>
      <c r="AU82" s="100">
        <v>4070.3999999999992</v>
      </c>
      <c r="AV82" s="100">
        <v>13</v>
      </c>
      <c r="AW82" s="100">
        <v>6614.3999999999987</v>
      </c>
      <c r="AX82" s="100">
        <v>8</v>
      </c>
      <c r="AY82" s="100">
        <v>4070.3999999999992</v>
      </c>
      <c r="AZ82" s="100">
        <v>15</v>
      </c>
      <c r="BA82" s="100">
        <v>7631.9999999999982</v>
      </c>
      <c r="BB82" s="100">
        <v>11</v>
      </c>
      <c r="BC82" s="100">
        <v>5596.7999999999993</v>
      </c>
      <c r="BD82" s="100">
        <v>14</v>
      </c>
      <c r="BE82" s="100">
        <v>7123.1999999999989</v>
      </c>
      <c r="BF82" s="100">
        <v>3.3909415210281373</v>
      </c>
      <c r="BG82" s="100">
        <v>1725.3110458991159</v>
      </c>
      <c r="BH82" s="100">
        <v>11</v>
      </c>
      <c r="BI82" s="100">
        <v>5596.7999999999993</v>
      </c>
      <c r="BJ82" s="100">
        <v>9.7749424083453906</v>
      </c>
      <c r="BK82" s="100">
        <v>4973.4906973661336</v>
      </c>
      <c r="BL82" s="100">
        <v>10</v>
      </c>
      <c r="BM82" s="100">
        <v>5087.9999999999991</v>
      </c>
      <c r="BN82" s="100">
        <v>14</v>
      </c>
      <c r="BO82" s="100">
        <v>7123.1999999999989</v>
      </c>
      <c r="BP82" s="100">
        <v>9</v>
      </c>
      <c r="BQ82" s="100">
        <v>4579.1999999999989</v>
      </c>
      <c r="BR82" s="100">
        <v>9</v>
      </c>
      <c r="BS82" s="100">
        <v>4579.1999999999989</v>
      </c>
      <c r="BT82" s="100">
        <v>12</v>
      </c>
      <c r="BU82" s="100">
        <v>6105.5999999999985</v>
      </c>
      <c r="BV82" s="100">
        <v>14.561032615398235</v>
      </c>
      <c r="BW82" s="100">
        <v>7408.6533947146199</v>
      </c>
      <c r="BX82" s="100">
        <v>15</v>
      </c>
      <c r="BY82" s="100">
        <v>7631.9999999999982</v>
      </c>
      <c r="BZ82" s="100">
        <v>0.59759162068520155</v>
      </c>
      <c r="CA82" s="100">
        <v>304.0546166046305</v>
      </c>
      <c r="CB82" s="100">
        <v>12</v>
      </c>
      <c r="CC82" s="100">
        <v>6105.5999999999985</v>
      </c>
      <c r="CD82" s="100">
        <v>1.5294867624074793</v>
      </c>
      <c r="CE82" s="100">
        <v>778.20286471292525</v>
      </c>
      <c r="CF82" s="100">
        <v>14</v>
      </c>
      <c r="CG82" s="100">
        <v>7123.1999999999989</v>
      </c>
      <c r="CH82" s="100">
        <v>7.7046167943784836</v>
      </c>
      <c r="CI82" s="100">
        <v>3920.1090249797717</v>
      </c>
      <c r="CJ82" s="100">
        <v>8</v>
      </c>
      <c r="CK82" s="100">
        <v>4070.3999999999992</v>
      </c>
      <c r="CL82" s="100">
        <v>9</v>
      </c>
      <c r="CM82" s="100">
        <v>4579.1999999999989</v>
      </c>
      <c r="CN82" s="100">
        <v>8</v>
      </c>
      <c r="CO82" s="100">
        <v>4070.3999999999992</v>
      </c>
      <c r="CP82" s="100">
        <v>9</v>
      </c>
      <c r="CQ82" s="100">
        <v>4579.1999999999989</v>
      </c>
      <c r="CR82" s="100">
        <v>14</v>
      </c>
      <c r="CS82" s="100">
        <v>7123.1999999999989</v>
      </c>
      <c r="CT82" s="100">
        <v>10</v>
      </c>
      <c r="CU82" s="100">
        <v>5087.9999999999991</v>
      </c>
    </row>
    <row r="83" spans="2:99">
      <c r="C83" s="99" t="s">
        <v>249</v>
      </c>
      <c r="D83" s="100">
        <v>14</v>
      </c>
      <c r="E83" s="100">
        <v>12045.6</v>
      </c>
      <c r="F83" s="100">
        <v>6.9089191516902515</v>
      </c>
      <c r="G83" s="100">
        <v>5944.434038114292</v>
      </c>
      <c r="H83" s="100">
        <v>9</v>
      </c>
      <c r="I83" s="100">
        <v>7743.5999999999995</v>
      </c>
      <c r="J83" s="100">
        <v>7.3484437091677464</v>
      </c>
      <c r="K83" s="100">
        <v>6322.6009673679291</v>
      </c>
      <c r="L83" s="100">
        <v>13</v>
      </c>
      <c r="M83" s="100">
        <v>11185.199999999999</v>
      </c>
      <c r="N83" s="100">
        <v>10</v>
      </c>
      <c r="O83" s="100">
        <v>8604</v>
      </c>
      <c r="P83" s="100">
        <v>9.3904349377757601</v>
      </c>
      <c r="Q83" s="100">
        <v>8079.530220462264</v>
      </c>
      <c r="R83" s="100">
        <v>13</v>
      </c>
      <c r="S83" s="100">
        <v>11185.199999999999</v>
      </c>
      <c r="T83" s="100">
        <v>10.877382108969842</v>
      </c>
      <c r="U83" s="100">
        <v>9358.8995665576513</v>
      </c>
      <c r="V83" s="100">
        <v>8</v>
      </c>
      <c r="W83" s="100">
        <v>6883.2</v>
      </c>
      <c r="X83" s="100">
        <v>5.5618956894711582</v>
      </c>
      <c r="Y83" s="100">
        <v>4785.4550512209844</v>
      </c>
      <c r="Z83" s="100">
        <v>2.5878910459168303</v>
      </c>
      <c r="AA83" s="100">
        <v>2226.6214559068408</v>
      </c>
      <c r="AB83" s="100">
        <v>8</v>
      </c>
      <c r="AC83" s="100">
        <v>6883.2</v>
      </c>
      <c r="AD83" s="100">
        <v>11</v>
      </c>
      <c r="AE83" s="100">
        <v>9464.4</v>
      </c>
      <c r="AF83" s="100">
        <v>9.7520901884746287</v>
      </c>
      <c r="AG83" s="100">
        <v>8390.6983981635694</v>
      </c>
      <c r="AH83" s="100">
        <v>10</v>
      </c>
      <c r="AI83" s="100">
        <v>8604</v>
      </c>
      <c r="AJ83" s="100">
        <v>10</v>
      </c>
      <c r="AK83" s="100">
        <v>8604</v>
      </c>
      <c r="AL83" s="100">
        <v>10</v>
      </c>
      <c r="AM83" s="100">
        <v>8604</v>
      </c>
      <c r="AN83" s="100">
        <v>11</v>
      </c>
      <c r="AO83" s="100">
        <v>9464.4</v>
      </c>
      <c r="AP83" s="100">
        <v>4.3952604592998927</v>
      </c>
      <c r="AQ83" s="100">
        <v>3781.6820991816276</v>
      </c>
      <c r="AR83" s="100">
        <v>11.409464250699125</v>
      </c>
      <c r="AS83" s="100">
        <v>9816.7030413015273</v>
      </c>
      <c r="AT83" s="100">
        <v>8</v>
      </c>
      <c r="AU83" s="100">
        <v>6883.2</v>
      </c>
      <c r="AV83" s="100">
        <v>16</v>
      </c>
      <c r="AW83" s="100">
        <v>13766.4</v>
      </c>
      <c r="AX83" s="100">
        <v>8</v>
      </c>
      <c r="AY83" s="100">
        <v>6883.2</v>
      </c>
      <c r="AZ83" s="100">
        <v>15</v>
      </c>
      <c r="BA83" s="100">
        <v>12906</v>
      </c>
      <c r="BB83" s="100">
        <v>9</v>
      </c>
      <c r="BC83" s="100">
        <v>7743.5999999999995</v>
      </c>
      <c r="BD83" s="100">
        <v>14</v>
      </c>
      <c r="BE83" s="100">
        <v>12045.6</v>
      </c>
      <c r="BF83" s="100">
        <v>3.3909415210281373</v>
      </c>
      <c r="BG83" s="100">
        <v>2917.5660846926094</v>
      </c>
      <c r="BH83" s="100">
        <v>11</v>
      </c>
      <c r="BI83" s="100">
        <v>9464.4</v>
      </c>
      <c r="BJ83" s="100">
        <v>8.8863112803139916</v>
      </c>
      <c r="BK83" s="100">
        <v>7645.7822255821584</v>
      </c>
      <c r="BL83" s="100">
        <v>10</v>
      </c>
      <c r="BM83" s="100">
        <v>8604</v>
      </c>
      <c r="BN83" s="100">
        <v>13</v>
      </c>
      <c r="BO83" s="100">
        <v>11185.199999999999</v>
      </c>
      <c r="BP83" s="100">
        <v>8</v>
      </c>
      <c r="BQ83" s="100">
        <v>6883.2</v>
      </c>
      <c r="BR83" s="100">
        <v>10</v>
      </c>
      <c r="BS83" s="100">
        <v>8604</v>
      </c>
      <c r="BT83" s="100">
        <v>12</v>
      </c>
      <c r="BU83" s="100">
        <v>10324.799999999999</v>
      </c>
      <c r="BV83" s="100">
        <v>12.619561600011803</v>
      </c>
      <c r="BW83" s="100">
        <v>10857.870800650155</v>
      </c>
      <c r="BX83" s="100">
        <v>13</v>
      </c>
      <c r="BY83" s="100">
        <v>11185.199999999999</v>
      </c>
      <c r="BZ83" s="100">
        <v>0.5311925517201791</v>
      </c>
      <c r="CA83" s="100">
        <v>457.03807150004207</v>
      </c>
      <c r="CB83" s="100">
        <v>12</v>
      </c>
      <c r="CC83" s="100">
        <v>10324.799999999999</v>
      </c>
      <c r="CD83" s="100">
        <v>1.3904425112795267</v>
      </c>
      <c r="CE83" s="100">
        <v>1196.3367367049048</v>
      </c>
      <c r="CF83" s="100">
        <v>13</v>
      </c>
      <c r="CG83" s="100">
        <v>11185.199999999999</v>
      </c>
      <c r="CH83" s="100">
        <v>6.9341551149406353</v>
      </c>
      <c r="CI83" s="100">
        <v>5966.1470608949221</v>
      </c>
      <c r="CJ83" s="100">
        <v>7</v>
      </c>
      <c r="CK83" s="100">
        <v>6022.8</v>
      </c>
      <c r="CL83" s="100">
        <v>8</v>
      </c>
      <c r="CM83" s="100">
        <v>6883.2</v>
      </c>
      <c r="CN83" s="100">
        <v>8</v>
      </c>
      <c r="CO83" s="100">
        <v>6883.2</v>
      </c>
      <c r="CP83" s="100">
        <v>9</v>
      </c>
      <c r="CQ83" s="100">
        <v>7743.5999999999995</v>
      </c>
      <c r="CR83" s="100">
        <v>13</v>
      </c>
      <c r="CS83" s="100">
        <v>11185.199999999999</v>
      </c>
      <c r="CT83" s="100">
        <v>10</v>
      </c>
      <c r="CU83" s="100">
        <v>8604</v>
      </c>
    </row>
    <row r="84" spans="2:99">
      <c r="C84" s="99" t="s">
        <v>250</v>
      </c>
      <c r="D84" s="100">
        <v>15</v>
      </c>
      <c r="E84" s="100">
        <v>11717.999999999998</v>
      </c>
      <c r="F84" s="100">
        <v>6.9089191516902515</v>
      </c>
      <c r="G84" s="100">
        <v>5397.2476413004242</v>
      </c>
      <c r="H84" s="100">
        <v>9</v>
      </c>
      <c r="I84" s="100">
        <v>7030.7999999999993</v>
      </c>
      <c r="J84" s="100">
        <v>8.4789735105781698</v>
      </c>
      <c r="K84" s="100">
        <v>6623.7741064636657</v>
      </c>
      <c r="L84" s="100">
        <v>11</v>
      </c>
      <c r="M84" s="100">
        <v>8593.1999999999989</v>
      </c>
      <c r="N84" s="100">
        <v>12</v>
      </c>
      <c r="O84" s="100">
        <v>9374.4</v>
      </c>
      <c r="P84" s="100">
        <v>10.172971182590407</v>
      </c>
      <c r="Q84" s="100">
        <v>7947.1250878396258</v>
      </c>
      <c r="R84" s="100">
        <v>14</v>
      </c>
      <c r="S84" s="100">
        <v>10936.8</v>
      </c>
      <c r="T84" s="100">
        <v>11.866235027967099</v>
      </c>
      <c r="U84" s="100">
        <v>9269.9028038478973</v>
      </c>
      <c r="V84" s="100">
        <v>9</v>
      </c>
      <c r="W84" s="100">
        <v>7030.7999999999993</v>
      </c>
      <c r="X84" s="100">
        <v>5.5618956894711582</v>
      </c>
      <c r="Y84" s="100">
        <v>4344.9529126148682</v>
      </c>
      <c r="Z84" s="100">
        <v>2.300347596370516</v>
      </c>
      <c r="AA84" s="100">
        <v>1797.031542284647</v>
      </c>
      <c r="AB84" s="100">
        <v>7</v>
      </c>
      <c r="AC84" s="100">
        <v>5468.4</v>
      </c>
      <c r="AD84" s="100">
        <v>10</v>
      </c>
      <c r="AE84" s="100">
        <v>7811.9999999999991</v>
      </c>
      <c r="AF84" s="100">
        <v>9.0019294047458125</v>
      </c>
      <c r="AG84" s="100">
        <v>7032.3072509874282</v>
      </c>
      <c r="AH84" s="100">
        <v>10</v>
      </c>
      <c r="AI84" s="100">
        <v>7811.9999999999991</v>
      </c>
      <c r="AJ84" s="100">
        <v>8</v>
      </c>
      <c r="AK84" s="100">
        <v>6249.5999999999995</v>
      </c>
      <c r="AL84" s="100">
        <v>9</v>
      </c>
      <c r="AM84" s="100">
        <v>7030.7999999999993</v>
      </c>
      <c r="AN84" s="100">
        <v>11</v>
      </c>
      <c r="AO84" s="100">
        <v>8593.1999999999989</v>
      </c>
      <c r="AP84" s="100">
        <v>4.3952604592998927</v>
      </c>
      <c r="AQ84" s="100">
        <v>3433.5774708050758</v>
      </c>
      <c r="AR84" s="100">
        <v>10.648833300652518</v>
      </c>
      <c r="AS84" s="100">
        <v>8318.8685744697468</v>
      </c>
      <c r="AT84" s="100">
        <v>9</v>
      </c>
      <c r="AU84" s="100">
        <v>7030.7999999999993</v>
      </c>
      <c r="AV84" s="100">
        <v>14</v>
      </c>
      <c r="AW84" s="100">
        <v>10936.8</v>
      </c>
      <c r="AX84" s="100">
        <v>8</v>
      </c>
      <c r="AY84" s="100">
        <v>6249.5999999999995</v>
      </c>
      <c r="AZ84" s="100">
        <v>13</v>
      </c>
      <c r="BA84" s="100">
        <v>10155.599999999999</v>
      </c>
      <c r="BB84" s="100">
        <v>9</v>
      </c>
      <c r="BC84" s="100">
        <v>7030.7999999999993</v>
      </c>
      <c r="BD84" s="100">
        <v>14</v>
      </c>
      <c r="BE84" s="100">
        <v>10936.8</v>
      </c>
      <c r="BF84" s="100">
        <v>3.3909415210281373</v>
      </c>
      <c r="BG84" s="100">
        <v>2649.0035162271806</v>
      </c>
      <c r="BH84" s="100">
        <v>10</v>
      </c>
      <c r="BI84" s="100">
        <v>7811.9999999999991</v>
      </c>
      <c r="BJ84" s="100">
        <v>9.7749424083453906</v>
      </c>
      <c r="BK84" s="100">
        <v>7636.185009399418</v>
      </c>
      <c r="BL84" s="100">
        <v>11</v>
      </c>
      <c r="BM84" s="100">
        <v>8593.1999999999989</v>
      </c>
      <c r="BN84" s="100">
        <v>14</v>
      </c>
      <c r="BO84" s="100">
        <v>10936.8</v>
      </c>
      <c r="BP84" s="100">
        <v>8</v>
      </c>
      <c r="BQ84" s="100">
        <v>6249.5999999999995</v>
      </c>
      <c r="BR84" s="100">
        <v>9</v>
      </c>
      <c r="BS84" s="100">
        <v>7030.7999999999993</v>
      </c>
      <c r="BT84" s="100">
        <v>12</v>
      </c>
      <c r="BU84" s="100">
        <v>9374.4</v>
      </c>
      <c r="BV84" s="100">
        <v>13.59029710770502</v>
      </c>
      <c r="BW84" s="100">
        <v>10616.74010053916</v>
      </c>
      <c r="BX84" s="100">
        <v>15</v>
      </c>
      <c r="BY84" s="100">
        <v>11717.999999999998</v>
      </c>
      <c r="BZ84" s="100">
        <v>0.59759162068520155</v>
      </c>
      <c r="CA84" s="100">
        <v>466.8385740792794</v>
      </c>
      <c r="CB84" s="100">
        <v>12</v>
      </c>
      <c r="CC84" s="100">
        <v>9374.4</v>
      </c>
      <c r="CD84" s="100">
        <v>1.3904425112795267</v>
      </c>
      <c r="CE84" s="100">
        <v>1086.2136898115662</v>
      </c>
      <c r="CF84" s="100">
        <v>14</v>
      </c>
      <c r="CG84" s="100">
        <v>10936.8</v>
      </c>
      <c r="CH84" s="100">
        <v>8.4750784738163336</v>
      </c>
      <c r="CI84" s="100">
        <v>6620.7313037453196</v>
      </c>
      <c r="CJ84" s="100">
        <v>8</v>
      </c>
      <c r="CK84" s="100">
        <v>6249.5999999999995</v>
      </c>
      <c r="CL84" s="100">
        <v>9</v>
      </c>
      <c r="CM84" s="100">
        <v>7030.7999999999993</v>
      </c>
      <c r="CN84" s="100">
        <v>7</v>
      </c>
      <c r="CO84" s="100">
        <v>5468.4</v>
      </c>
      <c r="CP84" s="100">
        <v>10</v>
      </c>
      <c r="CQ84" s="100">
        <v>7811.9999999999991</v>
      </c>
      <c r="CR84" s="100">
        <v>12</v>
      </c>
      <c r="CS84" s="100">
        <v>9374.4</v>
      </c>
      <c r="CT84" s="100">
        <v>9</v>
      </c>
      <c r="CU84" s="100">
        <v>7030.7999999999993</v>
      </c>
    </row>
    <row r="85" spans="2:99">
      <c r="C85" s="99" t="s">
        <v>251</v>
      </c>
      <c r="D85" s="100">
        <v>15</v>
      </c>
      <c r="E85" s="100">
        <v>2250</v>
      </c>
      <c r="F85" s="100">
        <v>7.5998110668592762</v>
      </c>
      <c r="G85" s="100">
        <v>1139.9716600288914</v>
      </c>
      <c r="H85" s="100">
        <v>9</v>
      </c>
      <c r="I85" s="100">
        <v>1350</v>
      </c>
      <c r="J85" s="100">
        <v>8.4789735105781698</v>
      </c>
      <c r="K85" s="100">
        <v>1271.8460265867254</v>
      </c>
      <c r="L85" s="100">
        <v>13</v>
      </c>
      <c r="M85" s="100">
        <v>1950</v>
      </c>
      <c r="N85" s="100">
        <v>12</v>
      </c>
      <c r="O85" s="100">
        <v>1800</v>
      </c>
      <c r="P85" s="100">
        <v>8.607898692961113</v>
      </c>
      <c r="Q85" s="100">
        <v>1291.184803944167</v>
      </c>
      <c r="R85" s="100">
        <v>14</v>
      </c>
      <c r="S85" s="100">
        <v>2100</v>
      </c>
      <c r="T85" s="100">
        <v>11.866235027967099</v>
      </c>
      <c r="U85" s="100">
        <v>1779.9352541950648</v>
      </c>
      <c r="V85" s="100">
        <v>9</v>
      </c>
      <c r="W85" s="100">
        <v>1350</v>
      </c>
      <c r="X85" s="100">
        <v>6.3564522165384663</v>
      </c>
      <c r="Y85" s="100">
        <v>953.46783248076997</v>
      </c>
      <c r="Z85" s="100">
        <v>2.300347596370516</v>
      </c>
      <c r="AA85" s="100">
        <v>345.05213945557739</v>
      </c>
      <c r="AB85" s="100">
        <v>7</v>
      </c>
      <c r="AC85" s="100">
        <v>1050</v>
      </c>
      <c r="AD85" s="100">
        <v>10</v>
      </c>
      <c r="AE85" s="100">
        <v>1500</v>
      </c>
      <c r="AF85" s="100">
        <v>9.7520901884746287</v>
      </c>
      <c r="AG85" s="100">
        <v>1462.8135282711944</v>
      </c>
      <c r="AH85" s="100">
        <v>9</v>
      </c>
      <c r="AI85" s="100">
        <v>1350</v>
      </c>
      <c r="AJ85" s="100">
        <v>9</v>
      </c>
      <c r="AK85" s="100">
        <v>1350</v>
      </c>
      <c r="AL85" s="100">
        <v>9</v>
      </c>
      <c r="AM85" s="100">
        <v>1350</v>
      </c>
      <c r="AN85" s="100">
        <v>10</v>
      </c>
      <c r="AO85" s="100">
        <v>1500</v>
      </c>
      <c r="AP85" s="100">
        <v>4.3952604592998927</v>
      </c>
      <c r="AQ85" s="100">
        <v>659.28906889498387</v>
      </c>
      <c r="AR85" s="100">
        <v>11.409464250699125</v>
      </c>
      <c r="AS85" s="100">
        <v>1711.4196376048687</v>
      </c>
      <c r="AT85" s="100">
        <v>9</v>
      </c>
      <c r="AU85" s="100">
        <v>1350</v>
      </c>
      <c r="AV85" s="100">
        <v>15</v>
      </c>
      <c r="AW85" s="100">
        <v>2250</v>
      </c>
      <c r="AX85" s="100">
        <v>9</v>
      </c>
      <c r="AY85" s="100">
        <v>1350</v>
      </c>
      <c r="AZ85" s="100">
        <v>16</v>
      </c>
      <c r="BA85" s="100">
        <v>2400</v>
      </c>
      <c r="BB85" s="100">
        <v>10</v>
      </c>
      <c r="BC85" s="100">
        <v>1500</v>
      </c>
      <c r="BD85" s="100">
        <v>13</v>
      </c>
      <c r="BE85" s="100">
        <v>1950</v>
      </c>
      <c r="BF85" s="100">
        <v>3.3909415210281373</v>
      </c>
      <c r="BG85" s="100">
        <v>508.64122815422058</v>
      </c>
      <c r="BH85" s="100">
        <v>11</v>
      </c>
      <c r="BI85" s="100">
        <v>1650</v>
      </c>
      <c r="BJ85" s="100">
        <v>9.7749424083453906</v>
      </c>
      <c r="BK85" s="100">
        <v>1466.2413612518085</v>
      </c>
      <c r="BL85" s="100">
        <v>11</v>
      </c>
      <c r="BM85" s="100">
        <v>1650</v>
      </c>
      <c r="BN85" s="100">
        <v>13</v>
      </c>
      <c r="BO85" s="100">
        <v>1950</v>
      </c>
      <c r="BP85" s="100">
        <v>8</v>
      </c>
      <c r="BQ85" s="100">
        <v>1200</v>
      </c>
      <c r="BR85" s="100">
        <v>9</v>
      </c>
      <c r="BS85" s="100">
        <v>1350</v>
      </c>
      <c r="BT85" s="100">
        <v>12</v>
      </c>
      <c r="BU85" s="100">
        <v>1800</v>
      </c>
      <c r="BV85" s="100">
        <v>14.561032615398235</v>
      </c>
      <c r="BW85" s="100">
        <v>2184.1548923097353</v>
      </c>
      <c r="BX85" s="100">
        <v>14</v>
      </c>
      <c r="BY85" s="100">
        <v>2100</v>
      </c>
      <c r="BZ85" s="100">
        <v>0.59759162068520155</v>
      </c>
      <c r="CA85" s="100">
        <v>89.638743102780239</v>
      </c>
      <c r="CB85" s="100">
        <v>13</v>
      </c>
      <c r="CC85" s="100">
        <v>1950</v>
      </c>
      <c r="CD85" s="100">
        <v>1.3904425112795267</v>
      </c>
      <c r="CE85" s="100">
        <v>208.56637669192901</v>
      </c>
      <c r="CF85" s="100">
        <v>15</v>
      </c>
      <c r="CG85" s="100">
        <v>2250</v>
      </c>
      <c r="CH85" s="100">
        <v>7.7046167943784836</v>
      </c>
      <c r="CI85" s="100">
        <v>1155.6925191567725</v>
      </c>
      <c r="CJ85" s="100">
        <v>9</v>
      </c>
      <c r="CK85" s="100">
        <v>1350</v>
      </c>
      <c r="CL85" s="100">
        <v>10</v>
      </c>
      <c r="CM85" s="100">
        <v>1500</v>
      </c>
      <c r="CN85" s="100">
        <v>8</v>
      </c>
      <c r="CO85" s="100">
        <v>1200</v>
      </c>
      <c r="CP85" s="100">
        <v>9</v>
      </c>
      <c r="CQ85" s="100">
        <v>1350</v>
      </c>
      <c r="CR85" s="100">
        <v>12</v>
      </c>
      <c r="CS85" s="100">
        <v>1800</v>
      </c>
      <c r="CT85" s="100">
        <v>11</v>
      </c>
      <c r="CU85" s="100">
        <v>1650</v>
      </c>
    </row>
    <row r="86" spans="2:99">
      <c r="C86" s="99" t="s">
        <v>252</v>
      </c>
      <c r="D86" s="100">
        <v>14</v>
      </c>
      <c r="E86" s="100">
        <v>7560</v>
      </c>
      <c r="F86" s="100">
        <v>6.9089191516902515</v>
      </c>
      <c r="G86" s="100">
        <v>3730.8163419127359</v>
      </c>
      <c r="H86" s="100">
        <v>8</v>
      </c>
      <c r="I86" s="100">
        <v>4320</v>
      </c>
      <c r="J86" s="100">
        <v>8.4789735105781698</v>
      </c>
      <c r="K86" s="100">
        <v>4578.6456957122118</v>
      </c>
      <c r="L86" s="100">
        <v>11</v>
      </c>
      <c r="M86" s="100">
        <v>5940</v>
      </c>
      <c r="N86" s="100">
        <v>11</v>
      </c>
      <c r="O86" s="100">
        <v>5940</v>
      </c>
      <c r="P86" s="100">
        <v>8.607898692961113</v>
      </c>
      <c r="Q86" s="100">
        <v>4648.2652941990009</v>
      </c>
      <c r="R86" s="100">
        <v>13</v>
      </c>
      <c r="S86" s="100">
        <v>7020</v>
      </c>
      <c r="T86" s="100">
        <v>9.8885291899725836</v>
      </c>
      <c r="U86" s="100">
        <v>5339.8057625851952</v>
      </c>
      <c r="V86" s="100">
        <v>9</v>
      </c>
      <c r="W86" s="100">
        <v>4860</v>
      </c>
      <c r="X86" s="100">
        <v>5.5618956894711582</v>
      </c>
      <c r="Y86" s="100">
        <v>3003.4236723144254</v>
      </c>
      <c r="Z86" s="100">
        <v>2.300347596370516</v>
      </c>
      <c r="AA86" s="100">
        <v>1242.1877020400786</v>
      </c>
      <c r="AB86" s="100">
        <v>8</v>
      </c>
      <c r="AC86" s="100">
        <v>4320</v>
      </c>
      <c r="AD86" s="100">
        <v>10</v>
      </c>
      <c r="AE86" s="100">
        <v>5400</v>
      </c>
      <c r="AF86" s="100">
        <v>9.7520901884746287</v>
      </c>
      <c r="AG86" s="100">
        <v>5266.1287017762997</v>
      </c>
      <c r="AH86" s="100">
        <v>10</v>
      </c>
      <c r="AI86" s="100">
        <v>5400</v>
      </c>
      <c r="AJ86" s="100">
        <v>9</v>
      </c>
      <c r="AK86" s="100">
        <v>4860</v>
      </c>
      <c r="AL86" s="100">
        <v>9</v>
      </c>
      <c r="AM86" s="100">
        <v>4860</v>
      </c>
      <c r="AN86" s="100">
        <v>11</v>
      </c>
      <c r="AO86" s="100">
        <v>5940</v>
      </c>
      <c r="AP86" s="100">
        <v>4.0289887543582346</v>
      </c>
      <c r="AQ86" s="100">
        <v>2175.6539273534468</v>
      </c>
      <c r="AR86" s="100">
        <v>9.8882023506059085</v>
      </c>
      <c r="AS86" s="100">
        <v>5339.6292693271907</v>
      </c>
      <c r="AT86" s="100">
        <v>9</v>
      </c>
      <c r="AU86" s="100">
        <v>4860</v>
      </c>
      <c r="AV86" s="100">
        <v>13</v>
      </c>
      <c r="AW86" s="100">
        <v>7020</v>
      </c>
      <c r="AX86" s="100">
        <v>8</v>
      </c>
      <c r="AY86" s="100">
        <v>4320</v>
      </c>
      <c r="AZ86" s="100">
        <v>16</v>
      </c>
      <c r="BA86" s="100">
        <v>8640</v>
      </c>
      <c r="BB86" s="100">
        <v>11</v>
      </c>
      <c r="BC86" s="100">
        <v>5940</v>
      </c>
      <c r="BD86" s="100">
        <v>13</v>
      </c>
      <c r="BE86" s="100">
        <v>7020</v>
      </c>
      <c r="BF86" s="100">
        <v>3.1083630609424588</v>
      </c>
      <c r="BG86" s="100">
        <v>1678.5160529089278</v>
      </c>
      <c r="BH86" s="100">
        <v>11</v>
      </c>
      <c r="BI86" s="100">
        <v>5940</v>
      </c>
      <c r="BJ86" s="100">
        <v>10.66357353637679</v>
      </c>
      <c r="BK86" s="100">
        <v>5758.3297096434662</v>
      </c>
      <c r="BL86" s="100">
        <v>10</v>
      </c>
      <c r="BM86" s="100">
        <v>5400</v>
      </c>
      <c r="BN86" s="100">
        <v>13</v>
      </c>
      <c r="BO86" s="100">
        <v>7020</v>
      </c>
      <c r="BP86" s="100">
        <v>8</v>
      </c>
      <c r="BQ86" s="100">
        <v>4320</v>
      </c>
      <c r="BR86" s="100">
        <v>10</v>
      </c>
      <c r="BS86" s="100">
        <v>5400</v>
      </c>
      <c r="BT86" s="100">
        <v>11</v>
      </c>
      <c r="BU86" s="100">
        <v>5940</v>
      </c>
      <c r="BV86" s="100">
        <v>14.561032615398235</v>
      </c>
      <c r="BW86" s="100">
        <v>7862.9576123150464</v>
      </c>
      <c r="BX86" s="100">
        <v>15</v>
      </c>
      <c r="BY86" s="100">
        <v>8100</v>
      </c>
      <c r="BZ86" s="100">
        <v>0.5311925517201791</v>
      </c>
      <c r="CA86" s="100">
        <v>286.84397792889672</v>
      </c>
      <c r="CB86" s="100">
        <v>12</v>
      </c>
      <c r="CC86" s="100">
        <v>6480</v>
      </c>
      <c r="CD86" s="100">
        <v>1.3904425112795267</v>
      </c>
      <c r="CE86" s="100">
        <v>750.83895609094441</v>
      </c>
      <c r="CF86" s="100">
        <v>13</v>
      </c>
      <c r="CG86" s="100">
        <v>7020</v>
      </c>
      <c r="CH86" s="100">
        <v>6.9341551149406353</v>
      </c>
      <c r="CI86" s="100">
        <v>3744.4437620679432</v>
      </c>
      <c r="CJ86" s="100">
        <v>7</v>
      </c>
      <c r="CK86" s="100">
        <v>3780</v>
      </c>
      <c r="CL86" s="100">
        <v>10</v>
      </c>
      <c r="CM86" s="100">
        <v>5400</v>
      </c>
      <c r="CN86" s="100">
        <v>7</v>
      </c>
      <c r="CO86" s="100">
        <v>3780</v>
      </c>
      <c r="CP86" s="100">
        <v>9</v>
      </c>
      <c r="CQ86" s="100">
        <v>4860</v>
      </c>
      <c r="CR86" s="100">
        <v>12</v>
      </c>
      <c r="CS86" s="100">
        <v>6480</v>
      </c>
      <c r="CT86" s="100">
        <v>10</v>
      </c>
      <c r="CU86" s="100">
        <v>5400</v>
      </c>
    </row>
    <row r="87" spans="2:99">
      <c r="B87" s="99" t="s">
        <v>131</v>
      </c>
      <c r="C87" s="99" t="s">
        <v>253</v>
      </c>
      <c r="D87" s="100">
        <v>3.3066882837827087</v>
      </c>
      <c r="E87" s="100">
        <v>3551.383216782629</v>
      </c>
      <c r="F87" s="100">
        <v>7</v>
      </c>
      <c r="G87" s="100">
        <v>7518</v>
      </c>
      <c r="H87" s="100">
        <v>8</v>
      </c>
      <c r="I87" s="100">
        <v>8592</v>
      </c>
      <c r="J87" s="100">
        <v>5.9241947250138871</v>
      </c>
      <c r="K87" s="100">
        <v>6362.5851346649151</v>
      </c>
      <c r="L87" s="100">
        <v>5.3161477863620972</v>
      </c>
      <c r="M87" s="100">
        <v>5709.542722552892</v>
      </c>
      <c r="N87" s="100">
        <v>6.5282332203726607</v>
      </c>
      <c r="O87" s="100">
        <v>7011.3224786802375</v>
      </c>
      <c r="P87" s="100">
        <v>6</v>
      </c>
      <c r="Q87" s="100">
        <v>6444</v>
      </c>
      <c r="R87" s="100">
        <v>5.9473334937714375</v>
      </c>
      <c r="S87" s="100">
        <v>6387.4361723105239</v>
      </c>
      <c r="T87" s="100">
        <v>7</v>
      </c>
      <c r="U87" s="100">
        <v>7518</v>
      </c>
      <c r="V87" s="100">
        <v>6</v>
      </c>
      <c r="W87" s="100">
        <v>6444</v>
      </c>
      <c r="X87" s="100">
        <v>4.9226465229194361</v>
      </c>
      <c r="Y87" s="100">
        <v>5286.9223656154745</v>
      </c>
      <c r="Z87" s="100">
        <v>6.6093292852220102</v>
      </c>
      <c r="AA87" s="100">
        <v>7098.419652328439</v>
      </c>
      <c r="AB87" s="100">
        <v>1.9167262726082173</v>
      </c>
      <c r="AC87" s="100">
        <v>2058.5640167812253</v>
      </c>
      <c r="AD87" s="100">
        <v>3.6991528346769584</v>
      </c>
      <c r="AE87" s="100">
        <v>3972.8901444430535</v>
      </c>
      <c r="AF87" s="100">
        <v>6.6238227434884269</v>
      </c>
      <c r="AG87" s="100">
        <v>7113.985626506571</v>
      </c>
      <c r="AH87" s="100">
        <v>4.9957841076091256</v>
      </c>
      <c r="AI87" s="100">
        <v>5365.4721315722009</v>
      </c>
      <c r="AJ87" s="100">
        <v>6.6093292852220102</v>
      </c>
      <c r="AK87" s="100">
        <v>7098.419652328439</v>
      </c>
      <c r="AL87" s="100">
        <v>0</v>
      </c>
      <c r="AM87" s="100">
        <v>0</v>
      </c>
      <c r="AN87" s="100">
        <v>6.3339405650044469</v>
      </c>
      <c r="AO87" s="100">
        <v>6802.6521668147761</v>
      </c>
      <c r="AP87" s="100">
        <v>0.56561969949188973</v>
      </c>
      <c r="AQ87" s="100">
        <v>607.47555725428958</v>
      </c>
      <c r="AR87" s="100">
        <v>6.6819592773673078</v>
      </c>
      <c r="AS87" s="100">
        <v>7176.4242638924889</v>
      </c>
      <c r="AT87" s="100">
        <v>9</v>
      </c>
      <c r="AU87" s="100">
        <v>9666</v>
      </c>
      <c r="AV87" s="100">
        <v>10</v>
      </c>
      <c r="AW87" s="100">
        <v>10740</v>
      </c>
      <c r="AX87" s="100">
        <v>6.6291113916600706</v>
      </c>
      <c r="AY87" s="100">
        <v>7119.6656346429154</v>
      </c>
      <c r="AZ87" s="100">
        <v>6.4412954898350101</v>
      </c>
      <c r="BA87" s="100">
        <v>6917.9513560828009</v>
      </c>
      <c r="BB87" s="100">
        <v>5.7363990022681595</v>
      </c>
      <c r="BC87" s="100">
        <v>6160.892528436003</v>
      </c>
      <c r="BD87" s="100">
        <v>4.4062195234813402</v>
      </c>
      <c r="BE87" s="100">
        <v>4732.2797682189594</v>
      </c>
      <c r="BF87" s="100">
        <v>0.69915259761935655</v>
      </c>
      <c r="BG87" s="100">
        <v>750.88988984318894</v>
      </c>
      <c r="BH87" s="100">
        <v>7</v>
      </c>
      <c r="BI87" s="100">
        <v>7518</v>
      </c>
      <c r="BJ87" s="100">
        <v>7</v>
      </c>
      <c r="BK87" s="100">
        <v>7518</v>
      </c>
      <c r="BL87" s="100">
        <v>8.063314905934682</v>
      </c>
      <c r="BM87" s="100">
        <v>8660.0002089738482</v>
      </c>
      <c r="BN87" s="100">
        <v>0.44954982365865825</v>
      </c>
      <c r="BO87" s="100">
        <v>482.81651060939896</v>
      </c>
      <c r="BP87" s="100">
        <v>8</v>
      </c>
      <c r="BQ87" s="100">
        <v>8592</v>
      </c>
      <c r="BR87" s="100">
        <v>6.0553144700632426</v>
      </c>
      <c r="BS87" s="100">
        <v>6503.4077408479225</v>
      </c>
      <c r="BT87" s="100">
        <v>6</v>
      </c>
      <c r="BU87" s="100">
        <v>6444</v>
      </c>
      <c r="BV87" s="100">
        <v>10</v>
      </c>
      <c r="BW87" s="100">
        <v>10740</v>
      </c>
      <c r="BX87" s="100">
        <v>6</v>
      </c>
      <c r="BY87" s="100">
        <v>6444</v>
      </c>
      <c r="BZ87" s="100">
        <v>1.6363852728803561</v>
      </c>
      <c r="CA87" s="100">
        <v>1757.4777830735025</v>
      </c>
      <c r="CB87" s="100">
        <v>5.8971170777627613</v>
      </c>
      <c r="CC87" s="100">
        <v>6333.5037415172055</v>
      </c>
      <c r="CD87" s="100">
        <v>0.48887482396611798</v>
      </c>
      <c r="CE87" s="100">
        <v>525.05156093961068</v>
      </c>
      <c r="CF87" s="100">
        <v>10</v>
      </c>
      <c r="CG87" s="100">
        <v>10740</v>
      </c>
      <c r="CH87" s="100">
        <v>11.816551324543006</v>
      </c>
      <c r="CI87" s="100">
        <v>12690.976122559188</v>
      </c>
      <c r="CJ87" s="100">
        <v>8.1728265354895839</v>
      </c>
      <c r="CK87" s="100">
        <v>8777.6156991158132</v>
      </c>
      <c r="CL87" s="100">
        <v>0.66163709238124468</v>
      </c>
      <c r="CM87" s="100">
        <v>710.59823721745681</v>
      </c>
      <c r="CN87" s="100">
        <v>12</v>
      </c>
      <c r="CO87" s="100">
        <v>12888</v>
      </c>
      <c r="CP87" s="100">
        <v>8.9451132752727958</v>
      </c>
      <c r="CQ87" s="100">
        <v>9607.0516576429818</v>
      </c>
      <c r="CR87" s="100">
        <v>6.2557437679056065</v>
      </c>
      <c r="CS87" s="100">
        <v>6718.6688067306213</v>
      </c>
      <c r="CT87" s="100">
        <v>6.9384245193409484</v>
      </c>
      <c r="CU87" s="100">
        <v>7451.8679337721787</v>
      </c>
    </row>
    <row r="88" spans="2:99">
      <c r="C88" s="99" t="s">
        <v>254</v>
      </c>
      <c r="D88" s="100">
        <v>3.9680259405392508</v>
      </c>
      <c r="E88" s="100">
        <v>3937.8689433911522</v>
      </c>
      <c r="F88" s="100">
        <v>7</v>
      </c>
      <c r="G88" s="100">
        <v>6946.8</v>
      </c>
      <c r="H88" s="100">
        <v>9</v>
      </c>
      <c r="I88" s="100">
        <v>8931.6</v>
      </c>
      <c r="J88" s="100">
        <v>5.9241947250138871</v>
      </c>
      <c r="K88" s="100">
        <v>5879.1708451037812</v>
      </c>
      <c r="L88" s="100">
        <v>5.980666259657359</v>
      </c>
      <c r="M88" s="100">
        <v>5935.2131960839633</v>
      </c>
      <c r="N88" s="100">
        <v>5.5956284746051379</v>
      </c>
      <c r="O88" s="100">
        <v>5553.1016981981384</v>
      </c>
      <c r="P88" s="100">
        <v>6</v>
      </c>
      <c r="Q88" s="100">
        <v>5954.4</v>
      </c>
      <c r="R88" s="100">
        <v>5.9473334937714375</v>
      </c>
      <c r="S88" s="100">
        <v>5902.1337592187747</v>
      </c>
      <c r="T88" s="100">
        <v>7</v>
      </c>
      <c r="U88" s="100">
        <v>6946.8</v>
      </c>
      <c r="V88" s="100">
        <v>6</v>
      </c>
      <c r="W88" s="100">
        <v>5954.4</v>
      </c>
      <c r="X88" s="100">
        <v>4.9226465229194361</v>
      </c>
      <c r="Y88" s="100">
        <v>4885.2344093452484</v>
      </c>
      <c r="Z88" s="100">
        <v>5.9483963566998099</v>
      </c>
      <c r="AA88" s="100">
        <v>5903.1885443888914</v>
      </c>
      <c r="AB88" s="100">
        <v>2.2361806513762534</v>
      </c>
      <c r="AC88" s="100">
        <v>2219.1856784257939</v>
      </c>
      <c r="AD88" s="100">
        <v>3.0826273622307987</v>
      </c>
      <c r="AE88" s="100">
        <v>3059.1993942778445</v>
      </c>
      <c r="AF88" s="100">
        <v>7.3598030483204742</v>
      </c>
      <c r="AG88" s="100">
        <v>7303.8685451532383</v>
      </c>
      <c r="AH88" s="100">
        <v>5.7094675515532867</v>
      </c>
      <c r="AI88" s="100">
        <v>5666.0755981614811</v>
      </c>
      <c r="AJ88" s="100">
        <v>5.7831631245692598</v>
      </c>
      <c r="AK88" s="100">
        <v>5739.2110848225329</v>
      </c>
      <c r="AL88" s="100">
        <v>0</v>
      </c>
      <c r="AM88" s="100">
        <v>0</v>
      </c>
      <c r="AN88" s="100">
        <v>6.3339405650044469</v>
      </c>
      <c r="AO88" s="100">
        <v>6285.8026167104126</v>
      </c>
      <c r="AP88" s="100">
        <v>0.50905772954270079</v>
      </c>
      <c r="AQ88" s="100">
        <v>505.18889079817626</v>
      </c>
      <c r="AR88" s="100">
        <v>7.51720418703822</v>
      </c>
      <c r="AS88" s="100">
        <v>7460.0734352167292</v>
      </c>
      <c r="AT88" s="100">
        <v>9</v>
      </c>
      <c r="AU88" s="100">
        <v>8931.6</v>
      </c>
      <c r="AV88" s="100">
        <v>10</v>
      </c>
      <c r="AW88" s="100">
        <v>9924</v>
      </c>
      <c r="AX88" s="100">
        <v>7.5761273047543662</v>
      </c>
      <c r="AY88" s="100">
        <v>7518.5487372382331</v>
      </c>
      <c r="AZ88" s="100">
        <v>7.0854250388185118</v>
      </c>
      <c r="BA88" s="100">
        <v>7031.5758085234911</v>
      </c>
      <c r="BB88" s="100">
        <v>5.0193491269846398</v>
      </c>
      <c r="BC88" s="100">
        <v>4981.2020736195564</v>
      </c>
      <c r="BD88" s="100">
        <v>4.4062195234813402</v>
      </c>
      <c r="BE88" s="100">
        <v>4372.7322551028819</v>
      </c>
      <c r="BF88" s="100">
        <v>0.69915259761935655</v>
      </c>
      <c r="BG88" s="100">
        <v>693.83903787744941</v>
      </c>
      <c r="BH88" s="100">
        <v>7</v>
      </c>
      <c r="BI88" s="100">
        <v>6946.8</v>
      </c>
      <c r="BJ88" s="100">
        <v>8</v>
      </c>
      <c r="BK88" s="100">
        <v>7939.2</v>
      </c>
      <c r="BL88" s="100">
        <v>8.063314905934682</v>
      </c>
      <c r="BM88" s="100">
        <v>8002.0337126495779</v>
      </c>
      <c r="BN88" s="100">
        <v>0.51377122703846645</v>
      </c>
      <c r="BO88" s="100">
        <v>509.86656571297408</v>
      </c>
      <c r="BP88" s="100">
        <v>9</v>
      </c>
      <c r="BQ88" s="100">
        <v>8931.6</v>
      </c>
      <c r="BR88" s="100">
        <v>6.0553144700632426</v>
      </c>
      <c r="BS88" s="100">
        <v>6009.2940800907618</v>
      </c>
      <c r="BT88" s="100">
        <v>7</v>
      </c>
      <c r="BU88" s="100">
        <v>6946.8</v>
      </c>
      <c r="BV88" s="100">
        <v>10</v>
      </c>
      <c r="BW88" s="100">
        <v>9924</v>
      </c>
      <c r="BX88" s="100">
        <v>6</v>
      </c>
      <c r="BY88" s="100">
        <v>5954.4</v>
      </c>
      <c r="BZ88" s="100">
        <v>1.454564687004761</v>
      </c>
      <c r="CA88" s="100">
        <v>1443.5099953835249</v>
      </c>
      <c r="CB88" s="100">
        <v>5.241881846900232</v>
      </c>
      <c r="CC88" s="100">
        <v>5202.04354486379</v>
      </c>
      <c r="CD88" s="100">
        <v>0.54319424885124212</v>
      </c>
      <c r="CE88" s="100">
        <v>539.06597255997269</v>
      </c>
      <c r="CF88" s="100">
        <v>10</v>
      </c>
      <c r="CG88" s="100">
        <v>9924</v>
      </c>
      <c r="CH88" s="100">
        <v>10.831838714164421</v>
      </c>
      <c r="CI88" s="100">
        <v>10749.516739936771</v>
      </c>
      <c r="CJ88" s="100">
        <v>7.3555438819406245</v>
      </c>
      <c r="CK88" s="100">
        <v>7299.6417484378753</v>
      </c>
      <c r="CL88" s="100">
        <v>0.72178591896135791</v>
      </c>
      <c r="CM88" s="100">
        <v>716.3003459772516</v>
      </c>
      <c r="CN88" s="100">
        <v>11</v>
      </c>
      <c r="CO88" s="100">
        <v>10916.4</v>
      </c>
      <c r="CP88" s="100">
        <v>10.932916225333415</v>
      </c>
      <c r="CQ88" s="100">
        <v>10849.82606202088</v>
      </c>
      <c r="CR88" s="100">
        <v>6.8813181446961673</v>
      </c>
      <c r="CS88" s="100">
        <v>6829.0201267964767</v>
      </c>
      <c r="CT88" s="100">
        <v>6.9384245193409484</v>
      </c>
      <c r="CU88" s="100">
        <v>6885.6924929939569</v>
      </c>
    </row>
    <row r="89" spans="2:99">
      <c r="C89" s="99" t="s">
        <v>255</v>
      </c>
      <c r="D89" s="100">
        <v>3.9680259405392508</v>
      </c>
      <c r="E89" s="100">
        <v>4214.0435488526846</v>
      </c>
      <c r="F89" s="100">
        <v>7</v>
      </c>
      <c r="G89" s="100">
        <v>7434</v>
      </c>
      <c r="H89" s="100">
        <v>9</v>
      </c>
      <c r="I89" s="100">
        <v>9558</v>
      </c>
      <c r="J89" s="100">
        <v>5.9241947250138871</v>
      </c>
      <c r="K89" s="100">
        <v>6291.4947979647477</v>
      </c>
      <c r="L89" s="100">
        <v>5.980666259657359</v>
      </c>
      <c r="M89" s="100">
        <v>6351.4675677561154</v>
      </c>
      <c r="N89" s="100">
        <v>5.5956284746051379</v>
      </c>
      <c r="O89" s="100">
        <v>5942.5574400306568</v>
      </c>
      <c r="P89" s="100">
        <v>6</v>
      </c>
      <c r="Q89" s="100">
        <v>6372</v>
      </c>
      <c r="R89" s="100">
        <v>5.9473334937714375</v>
      </c>
      <c r="S89" s="100">
        <v>6316.068170385267</v>
      </c>
      <c r="T89" s="100">
        <v>8</v>
      </c>
      <c r="U89" s="100">
        <v>8496</v>
      </c>
      <c r="V89" s="100">
        <v>5</v>
      </c>
      <c r="W89" s="100">
        <v>5310</v>
      </c>
      <c r="X89" s="100">
        <v>4.9226465229194361</v>
      </c>
      <c r="Y89" s="100">
        <v>5227.8506073404415</v>
      </c>
      <c r="Z89" s="100">
        <v>6.6093292852220102</v>
      </c>
      <c r="AA89" s="100">
        <v>7019.1077009057744</v>
      </c>
      <c r="AB89" s="100">
        <v>1.9167262726082173</v>
      </c>
      <c r="AC89" s="100">
        <v>2035.5633015099268</v>
      </c>
      <c r="AD89" s="100">
        <v>3.6991528346769584</v>
      </c>
      <c r="AE89" s="100">
        <v>3928.5003104269299</v>
      </c>
      <c r="AF89" s="100">
        <v>7.3598030483204742</v>
      </c>
      <c r="AG89" s="100">
        <v>7816.1108373163433</v>
      </c>
      <c r="AH89" s="100">
        <v>5.7094675515532867</v>
      </c>
      <c r="AI89" s="100">
        <v>6063.4545397495904</v>
      </c>
      <c r="AJ89" s="100">
        <v>6.6093292852220102</v>
      </c>
      <c r="AK89" s="100">
        <v>7019.1077009057744</v>
      </c>
      <c r="AL89" s="100">
        <v>0</v>
      </c>
      <c r="AM89" s="100">
        <v>0</v>
      </c>
      <c r="AN89" s="100">
        <v>6.3339405650044469</v>
      </c>
      <c r="AO89" s="100">
        <v>6726.6448800347225</v>
      </c>
      <c r="AP89" s="100">
        <v>0.50905772954270079</v>
      </c>
      <c r="AQ89" s="100">
        <v>540.61930877434827</v>
      </c>
      <c r="AR89" s="100">
        <v>8.3524490967091349</v>
      </c>
      <c r="AS89" s="100">
        <v>8870.3009407051013</v>
      </c>
      <c r="AT89" s="100">
        <v>8</v>
      </c>
      <c r="AU89" s="100">
        <v>8496</v>
      </c>
      <c r="AV89" s="100">
        <v>11</v>
      </c>
      <c r="AW89" s="100">
        <v>11682</v>
      </c>
      <c r="AX89" s="100">
        <v>7.5761273047543662</v>
      </c>
      <c r="AY89" s="100">
        <v>8045.8471976491373</v>
      </c>
      <c r="AZ89" s="100">
        <v>7.0854250388185118</v>
      </c>
      <c r="BA89" s="100">
        <v>7524.7213912252591</v>
      </c>
      <c r="BB89" s="100">
        <v>5.7363990022681595</v>
      </c>
      <c r="BC89" s="100">
        <v>6092.0557404087849</v>
      </c>
      <c r="BD89" s="100">
        <v>4.4062195234813402</v>
      </c>
      <c r="BE89" s="100">
        <v>4679.4051339371836</v>
      </c>
      <c r="BF89" s="100">
        <v>0.63559327056305137</v>
      </c>
      <c r="BG89" s="100">
        <v>675.00005333796059</v>
      </c>
      <c r="BH89" s="100">
        <v>7</v>
      </c>
      <c r="BI89" s="100">
        <v>7434</v>
      </c>
      <c r="BJ89" s="100">
        <v>9</v>
      </c>
      <c r="BK89" s="100">
        <v>9558</v>
      </c>
      <c r="BL89" s="100">
        <v>8.063314905934682</v>
      </c>
      <c r="BM89" s="100">
        <v>8563.2404301026327</v>
      </c>
      <c r="BN89" s="100">
        <v>0.51377122703846645</v>
      </c>
      <c r="BO89" s="100">
        <v>545.62504311485134</v>
      </c>
      <c r="BP89" s="100">
        <v>8</v>
      </c>
      <c r="BQ89" s="100">
        <v>8496</v>
      </c>
      <c r="BR89" s="100">
        <v>5.298400161305338</v>
      </c>
      <c r="BS89" s="100">
        <v>5626.9009713062687</v>
      </c>
      <c r="BT89" s="100">
        <v>6</v>
      </c>
      <c r="BU89" s="100">
        <v>6372</v>
      </c>
      <c r="BV89" s="100">
        <v>10</v>
      </c>
      <c r="BW89" s="100">
        <v>10620</v>
      </c>
      <c r="BX89" s="100">
        <v>6</v>
      </c>
      <c r="BY89" s="100">
        <v>6372</v>
      </c>
      <c r="BZ89" s="100">
        <v>1.6363852728803561</v>
      </c>
      <c r="CA89" s="100">
        <v>1737.8411597989382</v>
      </c>
      <c r="CB89" s="100">
        <v>5.8971170777627613</v>
      </c>
      <c r="CC89" s="100">
        <v>6262.7383365840524</v>
      </c>
      <c r="CD89" s="100">
        <v>0.48887482396611798</v>
      </c>
      <c r="CE89" s="100">
        <v>519.18506305201731</v>
      </c>
      <c r="CF89" s="100">
        <v>10</v>
      </c>
      <c r="CG89" s="100">
        <v>10620</v>
      </c>
      <c r="CH89" s="100">
        <v>10.831838714164421</v>
      </c>
      <c r="CI89" s="100">
        <v>11503.412714442615</v>
      </c>
      <c r="CJ89" s="100">
        <v>7.3555438819406245</v>
      </c>
      <c r="CK89" s="100">
        <v>7811.5876026209435</v>
      </c>
      <c r="CL89" s="100">
        <v>0.60148826580113157</v>
      </c>
      <c r="CM89" s="100">
        <v>638.78053828080169</v>
      </c>
      <c r="CN89" s="100">
        <v>11</v>
      </c>
      <c r="CO89" s="100">
        <v>11682</v>
      </c>
      <c r="CP89" s="100">
        <v>10.932916225333415</v>
      </c>
      <c r="CQ89" s="100">
        <v>11610.757031304087</v>
      </c>
      <c r="CR89" s="100">
        <v>6.8813181446961673</v>
      </c>
      <c r="CS89" s="100">
        <v>7307.9598696673293</v>
      </c>
      <c r="CT89" s="100">
        <v>7.5691903847355801</v>
      </c>
      <c r="CU89" s="100">
        <v>8038.4801885891857</v>
      </c>
    </row>
    <row r="90" spans="2:99">
      <c r="C90" s="99" t="s">
        <v>256</v>
      </c>
      <c r="D90" s="100">
        <v>3.9680259405392508</v>
      </c>
      <c r="E90" s="100">
        <v>4399.7471628699213</v>
      </c>
      <c r="F90" s="100">
        <v>6</v>
      </c>
      <c r="G90" s="100">
        <v>6652.7999999999993</v>
      </c>
      <c r="H90" s="100">
        <v>8</v>
      </c>
      <c r="I90" s="100">
        <v>8870.4</v>
      </c>
      <c r="J90" s="100">
        <v>5.9241947250138871</v>
      </c>
      <c r="K90" s="100">
        <v>6568.7471110953975</v>
      </c>
      <c r="L90" s="100">
        <v>5.980666259657359</v>
      </c>
      <c r="M90" s="100">
        <v>6631.3627487080794</v>
      </c>
      <c r="N90" s="100">
        <v>5.5956284746051379</v>
      </c>
      <c r="O90" s="100">
        <v>6204.4328526421768</v>
      </c>
      <c r="P90" s="100">
        <v>6</v>
      </c>
      <c r="Q90" s="100">
        <v>6652.7999999999993</v>
      </c>
      <c r="R90" s="100">
        <v>6.7969525643102147</v>
      </c>
      <c r="S90" s="100">
        <v>7536.4610033071658</v>
      </c>
      <c r="T90" s="100">
        <v>8</v>
      </c>
      <c r="U90" s="100">
        <v>8870.4</v>
      </c>
      <c r="V90" s="100">
        <v>6</v>
      </c>
      <c r="W90" s="100">
        <v>6652.7999999999993</v>
      </c>
      <c r="X90" s="100">
        <v>4.9226465229194361</v>
      </c>
      <c r="Y90" s="100">
        <v>5458.2304646130706</v>
      </c>
      <c r="Z90" s="100">
        <v>6.6093292852220102</v>
      </c>
      <c r="AA90" s="100">
        <v>7328.424311454165</v>
      </c>
      <c r="AB90" s="100">
        <v>2.2361806513762534</v>
      </c>
      <c r="AC90" s="100">
        <v>2479.4771062459895</v>
      </c>
      <c r="AD90" s="100">
        <v>3.6991528346769584</v>
      </c>
      <c r="AE90" s="100">
        <v>4101.6206630898114</v>
      </c>
      <c r="AF90" s="100">
        <v>7.3598030483204742</v>
      </c>
      <c r="AG90" s="100">
        <v>8160.5496199777417</v>
      </c>
      <c r="AH90" s="100">
        <v>4.9957841076091256</v>
      </c>
      <c r="AI90" s="100">
        <v>5539.3254185169981</v>
      </c>
      <c r="AJ90" s="100">
        <v>5.7831631245692598</v>
      </c>
      <c r="AK90" s="100">
        <v>6412.371272522395</v>
      </c>
      <c r="AL90" s="100">
        <v>0</v>
      </c>
      <c r="AM90" s="100">
        <v>0</v>
      </c>
      <c r="AN90" s="100">
        <v>5.542197994378891</v>
      </c>
      <c r="AO90" s="100">
        <v>6145.1891361673142</v>
      </c>
      <c r="AP90" s="100">
        <v>0.50905772954270079</v>
      </c>
      <c r="AQ90" s="100">
        <v>564.44321051694658</v>
      </c>
      <c r="AR90" s="100">
        <v>6.6819592773673078</v>
      </c>
      <c r="AS90" s="100">
        <v>7408.9564467448708</v>
      </c>
      <c r="AT90" s="100">
        <v>9</v>
      </c>
      <c r="AU90" s="100">
        <v>9979.1999999999989</v>
      </c>
      <c r="AV90" s="100">
        <v>10</v>
      </c>
      <c r="AW90" s="100">
        <v>11088</v>
      </c>
      <c r="AX90" s="100">
        <v>8.523143217848661</v>
      </c>
      <c r="AY90" s="100">
        <v>9450.4611999505942</v>
      </c>
      <c r="AZ90" s="100">
        <v>7.0854250388185118</v>
      </c>
      <c r="BA90" s="100">
        <v>7856.3192830419657</v>
      </c>
      <c r="BB90" s="100">
        <v>5.7363990022681595</v>
      </c>
      <c r="BC90" s="100">
        <v>6360.5192137149352</v>
      </c>
      <c r="BD90" s="100">
        <v>4.4062195234813402</v>
      </c>
      <c r="BE90" s="100">
        <v>4885.6162076361097</v>
      </c>
      <c r="BF90" s="100">
        <v>0.63559327056305137</v>
      </c>
      <c r="BG90" s="100">
        <v>704.74581840031135</v>
      </c>
      <c r="BH90" s="100">
        <v>6</v>
      </c>
      <c r="BI90" s="100">
        <v>6652.7999999999993</v>
      </c>
      <c r="BJ90" s="100">
        <v>7</v>
      </c>
      <c r="BK90" s="100">
        <v>7761.5999999999995</v>
      </c>
      <c r="BL90" s="100">
        <v>7.3302862781224372</v>
      </c>
      <c r="BM90" s="100">
        <v>8127.8214251821582</v>
      </c>
      <c r="BN90" s="100">
        <v>0.51377122703846645</v>
      </c>
      <c r="BO90" s="100">
        <v>569.66953654025156</v>
      </c>
      <c r="BP90" s="100">
        <v>10</v>
      </c>
      <c r="BQ90" s="100">
        <v>11088</v>
      </c>
      <c r="BR90" s="100">
        <v>6.0553144700632426</v>
      </c>
      <c r="BS90" s="100">
        <v>6714.1326844061232</v>
      </c>
      <c r="BT90" s="100">
        <v>6</v>
      </c>
      <c r="BU90" s="100">
        <v>6652.7999999999993</v>
      </c>
      <c r="BV90" s="100">
        <v>10</v>
      </c>
      <c r="BW90" s="100">
        <v>11088</v>
      </c>
      <c r="BX90" s="100">
        <v>6</v>
      </c>
      <c r="BY90" s="100">
        <v>6652.7999999999993</v>
      </c>
      <c r="BZ90" s="100">
        <v>1.6363852728803561</v>
      </c>
      <c r="CA90" s="100">
        <v>1814.4239905697386</v>
      </c>
      <c r="CB90" s="100">
        <v>5.241881846900232</v>
      </c>
      <c r="CC90" s="100">
        <v>5812.1985918429773</v>
      </c>
      <c r="CD90" s="100">
        <v>0.54319424885124212</v>
      </c>
      <c r="CE90" s="100">
        <v>602.29378312625727</v>
      </c>
      <c r="CF90" s="100">
        <v>9</v>
      </c>
      <c r="CG90" s="100">
        <v>9979.1999999999989</v>
      </c>
      <c r="CH90" s="100">
        <v>10.831838714164421</v>
      </c>
      <c r="CI90" s="100">
        <v>12010.34276626551</v>
      </c>
      <c r="CJ90" s="100">
        <v>8.1728265354895839</v>
      </c>
      <c r="CK90" s="100">
        <v>9062.0300625508498</v>
      </c>
      <c r="CL90" s="100">
        <v>0.72178591896135791</v>
      </c>
      <c r="CM90" s="100">
        <v>800.31622694435362</v>
      </c>
      <c r="CN90" s="100">
        <v>12</v>
      </c>
      <c r="CO90" s="100">
        <v>13305.599999999999</v>
      </c>
      <c r="CP90" s="100">
        <v>9.9390147503031052</v>
      </c>
      <c r="CQ90" s="100">
        <v>11020.379555136082</v>
      </c>
      <c r="CR90" s="100">
        <v>6.8813181446961673</v>
      </c>
      <c r="CS90" s="100">
        <v>7630.0055588391097</v>
      </c>
      <c r="CT90" s="100">
        <v>7.5691903847355801</v>
      </c>
      <c r="CU90" s="100">
        <v>8392.7182985948111</v>
      </c>
    </row>
    <row r="91" spans="2:99">
      <c r="C91" s="99" t="s">
        <v>257</v>
      </c>
      <c r="D91" s="100">
        <v>3.3066882837827087</v>
      </c>
      <c r="E91" s="100">
        <v>3757.7205656906699</v>
      </c>
      <c r="F91" s="100">
        <v>7</v>
      </c>
      <c r="G91" s="100">
        <v>7954.7999999999993</v>
      </c>
      <c r="H91" s="100">
        <v>8</v>
      </c>
      <c r="I91" s="100">
        <v>9091.1999999999989</v>
      </c>
      <c r="J91" s="100">
        <v>5.9241947250138871</v>
      </c>
      <c r="K91" s="100">
        <v>6732.2548855057803</v>
      </c>
      <c r="L91" s="100">
        <v>5.980666259657359</v>
      </c>
      <c r="M91" s="100">
        <v>6796.4291374746217</v>
      </c>
      <c r="N91" s="100">
        <v>5.5956284746051379</v>
      </c>
      <c r="O91" s="100">
        <v>6358.8721985412776</v>
      </c>
      <c r="P91" s="100">
        <v>6</v>
      </c>
      <c r="Q91" s="100">
        <v>6818.4</v>
      </c>
      <c r="R91" s="100">
        <v>5.9473334937714375</v>
      </c>
      <c r="S91" s="100">
        <v>6758.5497823218611</v>
      </c>
      <c r="T91" s="100">
        <v>8</v>
      </c>
      <c r="U91" s="100">
        <v>9091.1999999999989</v>
      </c>
      <c r="V91" s="100">
        <v>7</v>
      </c>
      <c r="W91" s="100">
        <v>7954.7999999999993</v>
      </c>
      <c r="X91" s="100">
        <v>4.9226465229194361</v>
      </c>
      <c r="Y91" s="100">
        <v>5594.0955086456461</v>
      </c>
      <c r="Z91" s="100">
        <v>6.6093292852220102</v>
      </c>
      <c r="AA91" s="100">
        <v>7510.8417997262914</v>
      </c>
      <c r="AB91" s="100">
        <v>1.9167262726082173</v>
      </c>
      <c r="AC91" s="100">
        <v>2178.1677361919778</v>
      </c>
      <c r="AD91" s="100">
        <v>3.6991528346769584</v>
      </c>
      <c r="AE91" s="100">
        <v>4203.7172813268953</v>
      </c>
      <c r="AF91" s="100">
        <v>7.3598030483204742</v>
      </c>
      <c r="AG91" s="100">
        <v>8363.6801841113866</v>
      </c>
      <c r="AH91" s="100">
        <v>5.7094675515532867</v>
      </c>
      <c r="AI91" s="100">
        <v>6488.238925585154</v>
      </c>
      <c r="AJ91" s="100">
        <v>6.6093292852220102</v>
      </c>
      <c r="AK91" s="100">
        <v>7510.8417997262914</v>
      </c>
      <c r="AL91" s="100">
        <v>0</v>
      </c>
      <c r="AM91" s="100">
        <v>0</v>
      </c>
      <c r="AN91" s="100">
        <v>5.542197994378891</v>
      </c>
      <c r="AO91" s="100">
        <v>6298.1538008121706</v>
      </c>
      <c r="AP91" s="100">
        <v>0.50905772954270079</v>
      </c>
      <c r="AQ91" s="100">
        <v>578.49320385232511</v>
      </c>
      <c r="AR91" s="100">
        <v>7.51720418703822</v>
      </c>
      <c r="AS91" s="100">
        <v>8542.5508381502314</v>
      </c>
      <c r="AT91" s="100">
        <v>8</v>
      </c>
      <c r="AU91" s="100">
        <v>9091.1999999999989</v>
      </c>
      <c r="AV91" s="100">
        <v>11</v>
      </c>
      <c r="AW91" s="100">
        <v>12500.399999999998</v>
      </c>
      <c r="AX91" s="100">
        <v>7.5761273047543662</v>
      </c>
      <c r="AY91" s="100">
        <v>8609.5110691228601</v>
      </c>
      <c r="AZ91" s="100">
        <v>7.0854250388185118</v>
      </c>
      <c r="BA91" s="100">
        <v>8051.8770141133555</v>
      </c>
      <c r="BB91" s="100">
        <v>5.0193491269846398</v>
      </c>
      <c r="BC91" s="100">
        <v>5703.9883479053442</v>
      </c>
      <c r="BD91" s="100">
        <v>4.4062195234813402</v>
      </c>
      <c r="BE91" s="100">
        <v>5007.2278664841942</v>
      </c>
      <c r="BF91" s="100">
        <v>0.5720339435067463</v>
      </c>
      <c r="BG91" s="100">
        <v>650.05937340106641</v>
      </c>
      <c r="BH91" s="100">
        <v>7</v>
      </c>
      <c r="BI91" s="100">
        <v>7954.7999999999993</v>
      </c>
      <c r="BJ91" s="100">
        <v>8</v>
      </c>
      <c r="BK91" s="100">
        <v>9091.1999999999989</v>
      </c>
      <c r="BL91" s="100">
        <v>8.063314905934682</v>
      </c>
      <c r="BM91" s="100">
        <v>9163.1510591041715</v>
      </c>
      <c r="BN91" s="100">
        <v>0.44954982365865825</v>
      </c>
      <c r="BO91" s="100">
        <v>510.86841960569916</v>
      </c>
      <c r="BP91" s="100">
        <v>9</v>
      </c>
      <c r="BQ91" s="100">
        <v>10227.599999999999</v>
      </c>
      <c r="BR91" s="100">
        <v>6.0553144700632426</v>
      </c>
      <c r="BS91" s="100">
        <v>6881.2593637798682</v>
      </c>
      <c r="BT91" s="100">
        <v>7</v>
      </c>
      <c r="BU91" s="100">
        <v>7954.7999999999993</v>
      </c>
      <c r="BV91" s="100">
        <v>10</v>
      </c>
      <c r="BW91" s="100">
        <v>11363.999999999998</v>
      </c>
      <c r="BX91" s="100">
        <v>6</v>
      </c>
      <c r="BY91" s="100">
        <v>6818.4</v>
      </c>
      <c r="BZ91" s="100">
        <v>1.6363852728803561</v>
      </c>
      <c r="CA91" s="100">
        <v>1859.5882241012364</v>
      </c>
      <c r="CB91" s="100">
        <v>5.241881846900232</v>
      </c>
      <c r="CC91" s="100">
        <v>5956.874530817423</v>
      </c>
      <c r="CD91" s="100">
        <v>0.54319424885124212</v>
      </c>
      <c r="CE91" s="100">
        <v>617.28594439455151</v>
      </c>
      <c r="CF91" s="100">
        <v>9</v>
      </c>
      <c r="CG91" s="100">
        <v>10227.599999999999</v>
      </c>
      <c r="CH91" s="100">
        <v>10.831838714164421</v>
      </c>
      <c r="CI91" s="100">
        <v>12309.301514776447</v>
      </c>
      <c r="CJ91" s="100">
        <v>8.1728265354895839</v>
      </c>
      <c r="CK91" s="100">
        <v>9287.6000749303621</v>
      </c>
      <c r="CL91" s="100">
        <v>0.72178591896135791</v>
      </c>
      <c r="CM91" s="100">
        <v>820.23751830768708</v>
      </c>
      <c r="CN91" s="100">
        <v>11</v>
      </c>
      <c r="CO91" s="100">
        <v>12500.399999999998</v>
      </c>
      <c r="CP91" s="100">
        <v>10.932916225333415</v>
      </c>
      <c r="CQ91" s="100">
        <v>12424.16599846889</v>
      </c>
      <c r="CR91" s="100">
        <v>6.8813181446961673</v>
      </c>
      <c r="CS91" s="100">
        <v>7819.9299396327233</v>
      </c>
      <c r="CT91" s="100">
        <v>6.9384245193409484</v>
      </c>
      <c r="CU91" s="100">
        <v>7884.8256237790529</v>
      </c>
    </row>
    <row r="92" spans="2:99">
      <c r="C92" s="99" t="s">
        <v>258</v>
      </c>
      <c r="D92" s="100">
        <v>3.9680259405392508</v>
      </c>
      <c r="E92" s="100">
        <v>3114.106758135204</v>
      </c>
      <c r="F92" s="100">
        <v>6</v>
      </c>
      <c r="G92" s="100">
        <v>4708.7999999999993</v>
      </c>
      <c r="H92" s="100">
        <v>8</v>
      </c>
      <c r="I92" s="100">
        <v>6278.4</v>
      </c>
      <c r="J92" s="100">
        <v>5.9241947250138871</v>
      </c>
      <c r="K92" s="100">
        <v>4649.3080201908988</v>
      </c>
      <c r="L92" s="100">
        <v>5.3161477863620972</v>
      </c>
      <c r="M92" s="100">
        <v>4172.1127827369737</v>
      </c>
      <c r="N92" s="100">
        <v>6.5282332203726607</v>
      </c>
      <c r="O92" s="100">
        <v>5123.3574313484642</v>
      </c>
      <c r="P92" s="100">
        <v>5</v>
      </c>
      <c r="Q92" s="100">
        <v>3924</v>
      </c>
      <c r="R92" s="100">
        <v>5.9473334937714375</v>
      </c>
      <c r="S92" s="100">
        <v>4667.4673259118235</v>
      </c>
      <c r="T92" s="100">
        <v>8</v>
      </c>
      <c r="U92" s="100">
        <v>6278.4</v>
      </c>
      <c r="V92" s="100">
        <v>6</v>
      </c>
      <c r="W92" s="100">
        <v>4708.7999999999993</v>
      </c>
      <c r="X92" s="100">
        <v>4.9226465229194361</v>
      </c>
      <c r="Y92" s="100">
        <v>3863.2929911871734</v>
      </c>
      <c r="Z92" s="100">
        <v>7.2702622137442123</v>
      </c>
      <c r="AA92" s="100">
        <v>5705.7017853464577</v>
      </c>
      <c r="AB92" s="100">
        <v>2.2361806513762534</v>
      </c>
      <c r="AC92" s="100">
        <v>1754.9545752000836</v>
      </c>
      <c r="AD92" s="100">
        <v>3.0826273622307987</v>
      </c>
      <c r="AE92" s="100">
        <v>2419.2459538787307</v>
      </c>
      <c r="AF92" s="100">
        <v>6.6238227434884269</v>
      </c>
      <c r="AG92" s="100">
        <v>5198.3760890897174</v>
      </c>
      <c r="AH92" s="100">
        <v>5.7094675515532867</v>
      </c>
      <c r="AI92" s="100">
        <v>4480.7901344590191</v>
      </c>
      <c r="AJ92" s="100">
        <v>6.6093292852220102</v>
      </c>
      <c r="AK92" s="100">
        <v>5187.0016230422334</v>
      </c>
      <c r="AL92" s="100">
        <v>0</v>
      </c>
      <c r="AM92" s="100">
        <v>0</v>
      </c>
      <c r="AN92" s="100">
        <v>6.3339405650044469</v>
      </c>
      <c r="AO92" s="100">
        <v>4970.8765554154897</v>
      </c>
      <c r="AP92" s="100">
        <v>0.50905772954270079</v>
      </c>
      <c r="AQ92" s="100">
        <v>399.50850614511154</v>
      </c>
      <c r="AR92" s="100">
        <v>8.3524490967091349</v>
      </c>
      <c r="AS92" s="100">
        <v>6555.0020510973291</v>
      </c>
      <c r="AT92" s="100">
        <v>8</v>
      </c>
      <c r="AU92" s="100">
        <v>6278.4</v>
      </c>
      <c r="AV92" s="100">
        <v>10</v>
      </c>
      <c r="AW92" s="100">
        <v>7848</v>
      </c>
      <c r="AX92" s="100">
        <v>8.523143217848661</v>
      </c>
      <c r="AY92" s="100">
        <v>6688.9627973676288</v>
      </c>
      <c r="AZ92" s="100">
        <v>7.7295545878020127</v>
      </c>
      <c r="BA92" s="100">
        <v>6066.154440507019</v>
      </c>
      <c r="BB92" s="100">
        <v>5.7363990022681595</v>
      </c>
      <c r="BC92" s="100">
        <v>4501.9259369800511</v>
      </c>
      <c r="BD92" s="100">
        <v>5.1405894440615638</v>
      </c>
      <c r="BE92" s="100">
        <v>4034.3345956995149</v>
      </c>
      <c r="BF92" s="100">
        <v>0.63559327056305137</v>
      </c>
      <c r="BG92" s="100">
        <v>498.81359873788267</v>
      </c>
      <c r="BH92" s="100">
        <v>6</v>
      </c>
      <c r="BI92" s="100">
        <v>4708.7999999999993</v>
      </c>
      <c r="BJ92" s="100">
        <v>8</v>
      </c>
      <c r="BK92" s="100">
        <v>6278.4</v>
      </c>
      <c r="BL92" s="100">
        <v>7.3302862781224372</v>
      </c>
      <c r="BM92" s="100">
        <v>5752.8086710704883</v>
      </c>
      <c r="BN92" s="100">
        <v>0.44954982365865825</v>
      </c>
      <c r="BO92" s="100">
        <v>352.80670160731501</v>
      </c>
      <c r="BP92" s="100">
        <v>9</v>
      </c>
      <c r="BQ92" s="100">
        <v>7063.2</v>
      </c>
      <c r="BR92" s="100">
        <v>6.0553144700632426</v>
      </c>
      <c r="BS92" s="100">
        <v>4752.2107961056327</v>
      </c>
      <c r="BT92" s="100">
        <v>7</v>
      </c>
      <c r="BU92" s="100">
        <v>5493.5999999999995</v>
      </c>
      <c r="BV92" s="100">
        <v>11</v>
      </c>
      <c r="BW92" s="100">
        <v>8632.7999999999993</v>
      </c>
      <c r="BX92" s="100">
        <v>6</v>
      </c>
      <c r="BY92" s="100">
        <v>4708.7999999999993</v>
      </c>
      <c r="BZ92" s="100">
        <v>1.8182058587559511</v>
      </c>
      <c r="CA92" s="100">
        <v>1426.9279579516704</v>
      </c>
      <c r="CB92" s="100">
        <v>5.8971170777627613</v>
      </c>
      <c r="CC92" s="100">
        <v>4628.0574826282145</v>
      </c>
      <c r="CD92" s="100">
        <v>0.48887482396611798</v>
      </c>
      <c r="CE92" s="100">
        <v>383.66896184860934</v>
      </c>
      <c r="CF92" s="100">
        <v>9</v>
      </c>
      <c r="CG92" s="100">
        <v>7063.2</v>
      </c>
      <c r="CH92" s="100">
        <v>11.816551324543006</v>
      </c>
      <c r="CI92" s="100">
        <v>9273.6294795013509</v>
      </c>
      <c r="CJ92" s="100">
        <v>8.1728265354895839</v>
      </c>
      <c r="CK92" s="100">
        <v>6414.0342650522252</v>
      </c>
      <c r="CL92" s="100">
        <v>0.66163709238124468</v>
      </c>
      <c r="CM92" s="100">
        <v>519.25279010080078</v>
      </c>
      <c r="CN92" s="100">
        <v>11</v>
      </c>
      <c r="CO92" s="100">
        <v>8632.7999999999993</v>
      </c>
      <c r="CP92" s="100">
        <v>9.9390147503031052</v>
      </c>
      <c r="CQ92" s="100">
        <v>7800.1387760378766</v>
      </c>
      <c r="CR92" s="100">
        <v>6.2557437679056065</v>
      </c>
      <c r="CS92" s="100">
        <v>4909.50770905232</v>
      </c>
      <c r="CT92" s="100">
        <v>6.9384245193409484</v>
      </c>
      <c r="CU92" s="100">
        <v>5445.2755627787756</v>
      </c>
    </row>
    <row r="93" spans="2:99">
      <c r="C93" s="99" t="s">
        <v>259</v>
      </c>
      <c r="D93" s="100">
        <v>3.9680259405392508</v>
      </c>
      <c r="E93" s="100">
        <v>2752.2227923580244</v>
      </c>
      <c r="F93" s="100">
        <v>7</v>
      </c>
      <c r="G93" s="100">
        <v>4855.2</v>
      </c>
      <c r="H93" s="100">
        <v>8</v>
      </c>
      <c r="I93" s="100">
        <v>5548.8</v>
      </c>
      <c r="J93" s="100">
        <v>5.9241947250138871</v>
      </c>
      <c r="K93" s="100">
        <v>4109.0214612696318</v>
      </c>
      <c r="L93" s="100">
        <v>5.3161477863620972</v>
      </c>
      <c r="M93" s="100">
        <v>3687.2801046207505</v>
      </c>
      <c r="N93" s="100">
        <v>6.5282332203726607</v>
      </c>
      <c r="O93" s="100">
        <v>4527.9825616504777</v>
      </c>
      <c r="P93" s="100">
        <v>6</v>
      </c>
      <c r="Q93" s="100">
        <v>4161.6000000000004</v>
      </c>
      <c r="R93" s="100">
        <v>5.9473334937714375</v>
      </c>
      <c r="S93" s="100">
        <v>4125.0705112798696</v>
      </c>
      <c r="T93" s="100">
        <v>7</v>
      </c>
      <c r="U93" s="100">
        <v>4855.2</v>
      </c>
      <c r="V93" s="100">
        <v>6</v>
      </c>
      <c r="W93" s="100">
        <v>4161.6000000000004</v>
      </c>
      <c r="X93" s="100">
        <v>4.9226465229194361</v>
      </c>
      <c r="Y93" s="100">
        <v>3414.3476282969209</v>
      </c>
      <c r="Z93" s="100">
        <v>6.6093292852220102</v>
      </c>
      <c r="AA93" s="100">
        <v>4584.230792229986</v>
      </c>
      <c r="AB93" s="100">
        <v>2.2361806513762534</v>
      </c>
      <c r="AC93" s="100">
        <v>1551.0148997945694</v>
      </c>
      <c r="AD93" s="100">
        <v>3.0826273622307987</v>
      </c>
      <c r="AE93" s="100">
        <v>2138.1103384432822</v>
      </c>
      <c r="AF93" s="100">
        <v>7.3598030483204742</v>
      </c>
      <c r="AG93" s="100">
        <v>5104.7593943150814</v>
      </c>
      <c r="AH93" s="100">
        <v>5.7094675515532867</v>
      </c>
      <c r="AI93" s="100">
        <v>3960.0866937573596</v>
      </c>
      <c r="AJ93" s="100">
        <v>6.6093292852220102</v>
      </c>
      <c r="AK93" s="100">
        <v>4584.230792229986</v>
      </c>
      <c r="AL93" s="100">
        <v>0</v>
      </c>
      <c r="AM93" s="100">
        <v>0</v>
      </c>
      <c r="AN93" s="100">
        <v>5.542197994378891</v>
      </c>
      <c r="AO93" s="100">
        <v>3844.068528901199</v>
      </c>
      <c r="AP93" s="100">
        <v>0.50905772954270079</v>
      </c>
      <c r="AQ93" s="100">
        <v>353.08244121081725</v>
      </c>
      <c r="AR93" s="100">
        <v>7.51720418703822</v>
      </c>
      <c r="AS93" s="100">
        <v>5213.9328241297098</v>
      </c>
      <c r="AT93" s="100">
        <v>10</v>
      </c>
      <c r="AU93" s="100">
        <v>6936</v>
      </c>
      <c r="AV93" s="100">
        <v>10</v>
      </c>
      <c r="AW93" s="100">
        <v>6936</v>
      </c>
      <c r="AX93" s="100">
        <v>7.5761273047543662</v>
      </c>
      <c r="AY93" s="100">
        <v>5254.8018985776289</v>
      </c>
      <c r="AZ93" s="100">
        <v>7.7295545878020127</v>
      </c>
      <c r="BA93" s="100">
        <v>5361.2190620994761</v>
      </c>
      <c r="BB93" s="100">
        <v>5.7363990022681595</v>
      </c>
      <c r="BC93" s="100">
        <v>3978.7663479731955</v>
      </c>
      <c r="BD93" s="100">
        <v>4.4062195234813402</v>
      </c>
      <c r="BE93" s="100">
        <v>3056.1538614866577</v>
      </c>
      <c r="BF93" s="100">
        <v>0.63559327056305137</v>
      </c>
      <c r="BG93" s="100">
        <v>440.84749246253244</v>
      </c>
      <c r="BH93" s="100">
        <v>7</v>
      </c>
      <c r="BI93" s="100">
        <v>4855.2</v>
      </c>
      <c r="BJ93" s="100">
        <v>8</v>
      </c>
      <c r="BK93" s="100">
        <v>5548.8</v>
      </c>
      <c r="BL93" s="100">
        <v>7.3302862781224372</v>
      </c>
      <c r="BM93" s="100">
        <v>5084.2865625057229</v>
      </c>
      <c r="BN93" s="100">
        <v>0.44954982365865825</v>
      </c>
      <c r="BO93" s="100">
        <v>311.80775768964537</v>
      </c>
      <c r="BP93" s="100">
        <v>10</v>
      </c>
      <c r="BQ93" s="100">
        <v>6936</v>
      </c>
      <c r="BR93" s="100">
        <v>6.0553144700632426</v>
      </c>
      <c r="BS93" s="100">
        <v>4199.9661164358649</v>
      </c>
      <c r="BT93" s="100">
        <v>7</v>
      </c>
      <c r="BU93" s="100">
        <v>4855.2</v>
      </c>
      <c r="BV93" s="100">
        <v>10</v>
      </c>
      <c r="BW93" s="100">
        <v>6936</v>
      </c>
      <c r="BX93" s="100">
        <v>6</v>
      </c>
      <c r="BY93" s="100">
        <v>4161.6000000000004</v>
      </c>
      <c r="BZ93" s="100">
        <v>1.6363852728803561</v>
      </c>
      <c r="CA93" s="100">
        <v>1134.996825269815</v>
      </c>
      <c r="CB93" s="100">
        <v>5.8971170777627613</v>
      </c>
      <c r="CC93" s="100">
        <v>4090.2404051362514</v>
      </c>
      <c r="CD93" s="100">
        <v>0.54319424885124212</v>
      </c>
      <c r="CE93" s="100">
        <v>376.75953100322153</v>
      </c>
      <c r="CF93" s="100">
        <v>9</v>
      </c>
      <c r="CG93" s="100">
        <v>6242.4000000000005</v>
      </c>
      <c r="CH93" s="100">
        <v>11.816551324543006</v>
      </c>
      <c r="CI93" s="100">
        <v>8195.9599987030288</v>
      </c>
      <c r="CJ93" s="100">
        <v>7.3555438819406245</v>
      </c>
      <c r="CK93" s="100">
        <v>5101.8052365140175</v>
      </c>
      <c r="CL93" s="100">
        <v>0.66163709238124468</v>
      </c>
      <c r="CM93" s="100">
        <v>458.91148727563132</v>
      </c>
      <c r="CN93" s="100">
        <v>12</v>
      </c>
      <c r="CO93" s="100">
        <v>8323.2000000000007</v>
      </c>
      <c r="CP93" s="100">
        <v>9.9390147503031052</v>
      </c>
      <c r="CQ93" s="100">
        <v>6893.7006308102336</v>
      </c>
      <c r="CR93" s="100">
        <v>7.5068925214867273</v>
      </c>
      <c r="CS93" s="100">
        <v>5206.7806529031941</v>
      </c>
      <c r="CT93" s="100">
        <v>6.9384245193409484</v>
      </c>
      <c r="CU93" s="100">
        <v>4812.4912466148817</v>
      </c>
    </row>
    <row r="94" spans="2:99">
      <c r="C94" s="99" t="s">
        <v>260</v>
      </c>
      <c r="D94" s="100">
        <v>3.3066882837827087</v>
      </c>
      <c r="E94" s="100">
        <v>3944.217784896015</v>
      </c>
      <c r="F94" s="100">
        <v>6</v>
      </c>
      <c r="G94" s="100">
        <v>7156.7999999999993</v>
      </c>
      <c r="H94" s="100">
        <v>8</v>
      </c>
      <c r="I94" s="100">
        <v>9542.4</v>
      </c>
      <c r="J94" s="100">
        <v>5.9241947250138871</v>
      </c>
      <c r="K94" s="100">
        <v>7066.379467996564</v>
      </c>
      <c r="L94" s="100">
        <v>5.3161477863620972</v>
      </c>
      <c r="M94" s="100">
        <v>6341.1010795727088</v>
      </c>
      <c r="N94" s="100">
        <v>5.5956284746051379</v>
      </c>
      <c r="O94" s="100">
        <v>6674.4656445090086</v>
      </c>
      <c r="P94" s="100">
        <v>5</v>
      </c>
      <c r="Q94" s="100">
        <v>5964</v>
      </c>
      <c r="R94" s="100">
        <v>5.0977144232326603</v>
      </c>
      <c r="S94" s="100">
        <v>6080.5537640319171</v>
      </c>
      <c r="T94" s="100">
        <v>8</v>
      </c>
      <c r="U94" s="100">
        <v>9542.4</v>
      </c>
      <c r="V94" s="100">
        <v>6</v>
      </c>
      <c r="W94" s="100">
        <v>7156.7999999999993</v>
      </c>
      <c r="X94" s="100">
        <v>4.3073157075545065</v>
      </c>
      <c r="Y94" s="100">
        <v>5137.7661759710154</v>
      </c>
      <c r="Z94" s="100">
        <v>5.9483963566998099</v>
      </c>
      <c r="AA94" s="100">
        <v>7095.2471742715334</v>
      </c>
      <c r="AB94" s="100">
        <v>2.5556350301442898</v>
      </c>
      <c r="AC94" s="100">
        <v>3048.3614639561088</v>
      </c>
      <c r="AD94" s="100">
        <v>3.6991528346769584</v>
      </c>
      <c r="AE94" s="100">
        <v>4412.349501202676</v>
      </c>
      <c r="AF94" s="100">
        <v>7.3598030483204742</v>
      </c>
      <c r="AG94" s="100">
        <v>8778.7730760366612</v>
      </c>
      <c r="AH94" s="100">
        <v>4.9957841076091256</v>
      </c>
      <c r="AI94" s="100">
        <v>5958.971283556165</v>
      </c>
      <c r="AJ94" s="100">
        <v>5.7831631245692598</v>
      </c>
      <c r="AK94" s="100">
        <v>6898.1569749862128</v>
      </c>
      <c r="AL94" s="100">
        <v>0</v>
      </c>
      <c r="AM94" s="100">
        <v>0</v>
      </c>
      <c r="AN94" s="100">
        <v>5.542197994378891</v>
      </c>
      <c r="AO94" s="100">
        <v>6610.7337676951411</v>
      </c>
      <c r="AP94" s="100">
        <v>0.50905772954270079</v>
      </c>
      <c r="AQ94" s="100">
        <v>607.20405979853342</v>
      </c>
      <c r="AR94" s="100">
        <v>6.6819592773673078</v>
      </c>
      <c r="AS94" s="100">
        <v>7970.2410260437246</v>
      </c>
      <c r="AT94" s="100">
        <v>9</v>
      </c>
      <c r="AU94" s="100">
        <v>10735.199999999999</v>
      </c>
      <c r="AV94" s="100">
        <v>11</v>
      </c>
      <c r="AW94" s="100">
        <v>13120.8</v>
      </c>
      <c r="AX94" s="100">
        <v>7.5761273047543662</v>
      </c>
      <c r="AY94" s="100">
        <v>9036.8046491110072</v>
      </c>
      <c r="AZ94" s="100">
        <v>7.0854250388185118</v>
      </c>
      <c r="BA94" s="100">
        <v>8451.4949863027214</v>
      </c>
      <c r="BB94" s="100">
        <v>5.0193491269846398</v>
      </c>
      <c r="BC94" s="100">
        <v>5987.0796386672782</v>
      </c>
      <c r="BD94" s="100">
        <v>4.4062195234813402</v>
      </c>
      <c r="BE94" s="100">
        <v>5255.7386476085421</v>
      </c>
      <c r="BF94" s="100">
        <v>0.5720339435067463</v>
      </c>
      <c r="BG94" s="100">
        <v>682.32208781484701</v>
      </c>
      <c r="BH94" s="100">
        <v>7</v>
      </c>
      <c r="BI94" s="100">
        <v>8349.6</v>
      </c>
      <c r="BJ94" s="100">
        <v>8</v>
      </c>
      <c r="BK94" s="100">
        <v>9542.4</v>
      </c>
      <c r="BL94" s="100">
        <v>8.063314905934682</v>
      </c>
      <c r="BM94" s="100">
        <v>9617.9220197988889</v>
      </c>
      <c r="BN94" s="100">
        <v>0.44954982365865825</v>
      </c>
      <c r="BO94" s="100">
        <v>536.22302966004759</v>
      </c>
      <c r="BP94" s="100">
        <v>9</v>
      </c>
      <c r="BQ94" s="100">
        <v>10735.199999999999</v>
      </c>
      <c r="BR94" s="100">
        <v>6.0553144700632426</v>
      </c>
      <c r="BS94" s="100">
        <v>7222.7790998914352</v>
      </c>
      <c r="BT94" s="100">
        <v>6</v>
      </c>
      <c r="BU94" s="100">
        <v>7156.7999999999993</v>
      </c>
      <c r="BV94" s="100">
        <v>9</v>
      </c>
      <c r="BW94" s="100">
        <v>10735.199999999999</v>
      </c>
      <c r="BX94" s="100">
        <v>6</v>
      </c>
      <c r="BY94" s="100">
        <v>7156.7999999999993</v>
      </c>
      <c r="BZ94" s="100">
        <v>1.454564687004761</v>
      </c>
      <c r="CA94" s="100">
        <v>1735.0047586592789</v>
      </c>
      <c r="CB94" s="100">
        <v>5.241881846900232</v>
      </c>
      <c r="CC94" s="100">
        <v>6252.5166669825967</v>
      </c>
      <c r="CD94" s="100">
        <v>0.48887482396611798</v>
      </c>
      <c r="CE94" s="100">
        <v>583.12989002678546</v>
      </c>
      <c r="CF94" s="100">
        <v>10</v>
      </c>
      <c r="CG94" s="100">
        <v>11928</v>
      </c>
      <c r="CH94" s="100">
        <v>9.847126103785838</v>
      </c>
      <c r="CI94" s="100">
        <v>11745.652016595746</v>
      </c>
      <c r="CJ94" s="100">
        <v>8.1728265354895839</v>
      </c>
      <c r="CK94" s="100">
        <v>9748.5474915319755</v>
      </c>
      <c r="CL94" s="100">
        <v>0.72178591896135791</v>
      </c>
      <c r="CM94" s="100">
        <v>860.94624413710767</v>
      </c>
      <c r="CN94" s="100">
        <v>12</v>
      </c>
      <c r="CO94" s="100">
        <v>14313.599999999999</v>
      </c>
      <c r="CP94" s="100">
        <v>9.9390147503031052</v>
      </c>
      <c r="CQ94" s="100">
        <v>11855.256794161543</v>
      </c>
      <c r="CR94" s="100">
        <v>6.8813181446961673</v>
      </c>
      <c r="CS94" s="100">
        <v>8208.0362829935875</v>
      </c>
      <c r="CT94" s="100">
        <v>6.9384245193409484</v>
      </c>
      <c r="CU94" s="100">
        <v>8276.1527666698821</v>
      </c>
    </row>
    <row r="95" spans="2:99">
      <c r="B95" s="99" t="s">
        <v>132</v>
      </c>
      <c r="C95" s="99" t="s">
        <v>261</v>
      </c>
      <c r="D95" s="100">
        <v>5.9520389108088763</v>
      </c>
      <c r="E95" s="100">
        <v>1957.0303938739585</v>
      </c>
      <c r="F95" s="100">
        <v>7</v>
      </c>
      <c r="G95" s="100">
        <v>2301.6</v>
      </c>
      <c r="H95" s="100">
        <v>10</v>
      </c>
      <c r="I95" s="100">
        <v>3288</v>
      </c>
      <c r="J95" s="100">
        <v>9.3094488535932527</v>
      </c>
      <c r="K95" s="100">
        <v>3060.9467830614617</v>
      </c>
      <c r="L95" s="100">
        <v>4.6516293130668345</v>
      </c>
      <c r="M95" s="100">
        <v>1529.4557181363753</v>
      </c>
      <c r="N95" s="100">
        <v>7.4608379661401836</v>
      </c>
      <c r="O95" s="100">
        <v>2453.1235232668923</v>
      </c>
      <c r="P95" s="100">
        <v>8</v>
      </c>
      <c r="Q95" s="100">
        <v>2630.4</v>
      </c>
      <c r="R95" s="100">
        <v>8.4961907053877681</v>
      </c>
      <c r="S95" s="100">
        <v>2793.5475039314983</v>
      </c>
      <c r="T95" s="100">
        <v>9</v>
      </c>
      <c r="U95" s="100">
        <v>2959.2000000000003</v>
      </c>
      <c r="V95" s="100">
        <v>8</v>
      </c>
      <c r="W95" s="100">
        <v>2630.4</v>
      </c>
      <c r="X95" s="100">
        <v>7.9993005997440845</v>
      </c>
      <c r="Y95" s="100">
        <v>2630.170037195855</v>
      </c>
      <c r="Z95" s="100">
        <v>5.2874634281776087</v>
      </c>
      <c r="AA95" s="100">
        <v>1738.5179751847977</v>
      </c>
      <c r="AB95" s="100">
        <v>3.1945437876803622</v>
      </c>
      <c r="AC95" s="100">
        <v>1050.3659973893032</v>
      </c>
      <c r="AD95" s="100">
        <v>6.7817801969077571</v>
      </c>
      <c r="AE95" s="100">
        <v>2229.8493287432707</v>
      </c>
      <c r="AF95" s="100">
        <v>9.5677439628166159</v>
      </c>
      <c r="AG95" s="100">
        <v>3145.8742149741033</v>
      </c>
      <c r="AH95" s="100">
        <v>9.2778847712740902</v>
      </c>
      <c r="AI95" s="100">
        <v>3050.5685127949209</v>
      </c>
      <c r="AJ95" s="100">
        <v>7.4354954458747624</v>
      </c>
      <c r="AK95" s="100">
        <v>2444.7909026036218</v>
      </c>
      <c r="AL95" s="100">
        <v>0</v>
      </c>
      <c r="AM95" s="100">
        <v>0</v>
      </c>
      <c r="AN95" s="100">
        <v>8.7091682768811136</v>
      </c>
      <c r="AO95" s="100">
        <v>2863.5745294385101</v>
      </c>
      <c r="AP95" s="100">
        <v>0.67874363939026772</v>
      </c>
      <c r="AQ95" s="100">
        <v>223.17090863152004</v>
      </c>
      <c r="AR95" s="100">
        <v>7.51720418703822</v>
      </c>
      <c r="AS95" s="100">
        <v>2471.6567366981667</v>
      </c>
      <c r="AT95" s="100">
        <v>12</v>
      </c>
      <c r="AU95" s="100">
        <v>3945.6000000000004</v>
      </c>
      <c r="AV95" s="100">
        <v>10</v>
      </c>
      <c r="AW95" s="100">
        <v>3288</v>
      </c>
      <c r="AX95" s="100">
        <v>8.523143217848661</v>
      </c>
      <c r="AY95" s="100">
        <v>2802.40949002864</v>
      </c>
      <c r="AZ95" s="100">
        <v>7.7295545878020127</v>
      </c>
      <c r="BA95" s="100">
        <v>2541.4775484693018</v>
      </c>
      <c r="BB95" s="100">
        <v>9.3216483786857598</v>
      </c>
      <c r="BC95" s="100">
        <v>3064.9579869118779</v>
      </c>
      <c r="BD95" s="100">
        <v>10.281178888123128</v>
      </c>
      <c r="BE95" s="100">
        <v>3380.4516184148847</v>
      </c>
      <c r="BF95" s="100">
        <v>0.63559327056305137</v>
      </c>
      <c r="BG95" s="100">
        <v>208.9830673611313</v>
      </c>
      <c r="BH95" s="100">
        <v>11</v>
      </c>
      <c r="BI95" s="100">
        <v>3616.8</v>
      </c>
      <c r="BJ95" s="100">
        <v>13</v>
      </c>
      <c r="BK95" s="100">
        <v>4274.4000000000005</v>
      </c>
      <c r="BL95" s="100">
        <v>10.262400789371412</v>
      </c>
      <c r="BM95" s="100">
        <v>3374.2773795453204</v>
      </c>
      <c r="BN95" s="100">
        <v>0.70643543717789148</v>
      </c>
      <c r="BO95" s="100">
        <v>232.27597174409073</v>
      </c>
      <c r="BP95" s="100">
        <v>7</v>
      </c>
      <c r="BQ95" s="100">
        <v>2301.6</v>
      </c>
      <c r="BR95" s="100">
        <v>7.5691430875790537</v>
      </c>
      <c r="BS95" s="100">
        <v>2488.7342471959928</v>
      </c>
      <c r="BT95" s="100">
        <v>8</v>
      </c>
      <c r="BU95" s="100">
        <v>2630.4</v>
      </c>
      <c r="BV95" s="100">
        <v>12</v>
      </c>
      <c r="BW95" s="100">
        <v>3945.6000000000004</v>
      </c>
      <c r="BX95" s="100">
        <v>12</v>
      </c>
      <c r="BY95" s="100">
        <v>3945.6000000000004</v>
      </c>
      <c r="BZ95" s="100">
        <v>2.1818470305071416</v>
      </c>
      <c r="CA95" s="100">
        <v>717.39130363074821</v>
      </c>
      <c r="CB95" s="100">
        <v>9.173293232075407</v>
      </c>
      <c r="CC95" s="100">
        <v>3016.178814706394</v>
      </c>
      <c r="CD95" s="100">
        <v>0.70615252350661484</v>
      </c>
      <c r="CE95" s="100">
        <v>232.18294972897496</v>
      </c>
      <c r="CF95" s="100">
        <v>14</v>
      </c>
      <c r="CG95" s="100">
        <v>4603.2</v>
      </c>
      <c r="CH95" s="100">
        <v>10.831838714164421</v>
      </c>
      <c r="CI95" s="100">
        <v>3561.508569217262</v>
      </c>
      <c r="CJ95" s="100">
        <v>6.5382612283916668</v>
      </c>
      <c r="CK95" s="100">
        <v>2149.7802918951802</v>
      </c>
      <c r="CL95" s="100">
        <v>0.54133943922101835</v>
      </c>
      <c r="CM95" s="100">
        <v>177.99240761587083</v>
      </c>
      <c r="CN95" s="100">
        <v>12</v>
      </c>
      <c r="CO95" s="100">
        <v>3945.6000000000004</v>
      </c>
      <c r="CP95" s="100">
        <v>10.932916225333415</v>
      </c>
      <c r="CQ95" s="100">
        <v>3594.7428548896269</v>
      </c>
      <c r="CR95" s="100">
        <v>8.7580412750678498</v>
      </c>
      <c r="CS95" s="100">
        <v>2879.6439712423089</v>
      </c>
      <c r="CT95" s="100">
        <v>8.1999562501302119</v>
      </c>
      <c r="CU95" s="100">
        <v>2696.1456150428139</v>
      </c>
    </row>
    <row r="96" spans="2:99">
      <c r="C96" s="99" t="s">
        <v>262</v>
      </c>
      <c r="D96" s="100">
        <v>5.9520389108088763</v>
      </c>
      <c r="E96" s="100">
        <v>4135.4766352300067</v>
      </c>
      <c r="F96" s="100">
        <v>7</v>
      </c>
      <c r="G96" s="100">
        <v>4863.5999999999995</v>
      </c>
      <c r="H96" s="100">
        <v>11</v>
      </c>
      <c r="I96" s="100">
        <v>7642.7999999999993</v>
      </c>
      <c r="J96" s="100">
        <v>8.4631353214484104</v>
      </c>
      <c r="K96" s="100">
        <v>5880.1864213423551</v>
      </c>
      <c r="L96" s="100">
        <v>4.6516293130668345</v>
      </c>
      <c r="M96" s="100">
        <v>3231.9520467188363</v>
      </c>
      <c r="N96" s="100">
        <v>7.4608379661401836</v>
      </c>
      <c r="O96" s="100">
        <v>5183.7902188741991</v>
      </c>
      <c r="P96" s="100">
        <v>8</v>
      </c>
      <c r="Q96" s="100">
        <v>5558.4</v>
      </c>
      <c r="R96" s="100">
        <v>9.3458097759265453</v>
      </c>
      <c r="S96" s="100">
        <v>6493.468632313763</v>
      </c>
      <c r="T96" s="100">
        <v>10</v>
      </c>
      <c r="U96" s="100">
        <v>6948</v>
      </c>
      <c r="V96" s="100">
        <v>9</v>
      </c>
      <c r="W96" s="100">
        <v>6253.2</v>
      </c>
      <c r="X96" s="100">
        <v>6.7686389690142255</v>
      </c>
      <c r="Y96" s="100">
        <v>4702.8503556710839</v>
      </c>
      <c r="Z96" s="100">
        <v>5.9483963566998099</v>
      </c>
      <c r="AA96" s="100">
        <v>4132.9457886350274</v>
      </c>
      <c r="AB96" s="100">
        <v>3.5139981664483986</v>
      </c>
      <c r="AC96" s="100">
        <v>2441.5259260483472</v>
      </c>
      <c r="AD96" s="100">
        <v>6.1652547244615974</v>
      </c>
      <c r="AE96" s="100">
        <v>4283.6189825559177</v>
      </c>
      <c r="AF96" s="100">
        <v>8.8317636579845686</v>
      </c>
      <c r="AG96" s="100">
        <v>6136.3093895676775</v>
      </c>
      <c r="AH96" s="100">
        <v>9.2778847712740902</v>
      </c>
      <c r="AI96" s="100">
        <v>6446.2743390812375</v>
      </c>
      <c r="AJ96" s="100">
        <v>7.4354954458747624</v>
      </c>
      <c r="AK96" s="100">
        <v>5166.1822357937845</v>
      </c>
      <c r="AL96" s="100">
        <v>0</v>
      </c>
      <c r="AM96" s="100">
        <v>0</v>
      </c>
      <c r="AN96" s="100">
        <v>7.9174257062555586</v>
      </c>
      <c r="AO96" s="100">
        <v>5501.0273807063613</v>
      </c>
      <c r="AP96" s="100">
        <v>0.73530560933945677</v>
      </c>
      <c r="AQ96" s="100">
        <v>510.89033736905452</v>
      </c>
      <c r="AR96" s="100">
        <v>7.51720418703822</v>
      </c>
      <c r="AS96" s="100">
        <v>5222.9534691541548</v>
      </c>
      <c r="AT96" s="100">
        <v>13</v>
      </c>
      <c r="AU96" s="100">
        <v>9032.4</v>
      </c>
      <c r="AV96" s="100">
        <v>10</v>
      </c>
      <c r="AW96" s="100">
        <v>6948</v>
      </c>
      <c r="AX96" s="100">
        <v>9.4701591309429567</v>
      </c>
      <c r="AY96" s="100">
        <v>6579.8665641791658</v>
      </c>
      <c r="AZ96" s="100">
        <v>7.7295545878020127</v>
      </c>
      <c r="BA96" s="100">
        <v>5370.4945276048384</v>
      </c>
      <c r="BB96" s="100">
        <v>9.3216483786857598</v>
      </c>
      <c r="BC96" s="100">
        <v>6476.6812935108655</v>
      </c>
      <c r="BD96" s="100">
        <v>9.5468089675429049</v>
      </c>
      <c r="BE96" s="100">
        <v>6633.12287064881</v>
      </c>
      <c r="BF96" s="100">
        <v>0.5720339435067463</v>
      </c>
      <c r="BG96" s="100">
        <v>397.4491839484873</v>
      </c>
      <c r="BH96" s="100">
        <v>13</v>
      </c>
      <c r="BI96" s="100">
        <v>9032.4</v>
      </c>
      <c r="BJ96" s="100">
        <v>12</v>
      </c>
      <c r="BK96" s="100">
        <v>8337.5999999999985</v>
      </c>
      <c r="BL96" s="100">
        <v>9.5293721615591682</v>
      </c>
      <c r="BM96" s="100">
        <v>6621.0077778513096</v>
      </c>
      <c r="BN96" s="100">
        <v>0.70643543717789148</v>
      </c>
      <c r="BO96" s="100">
        <v>490.83134175119898</v>
      </c>
      <c r="BP96" s="100">
        <v>7</v>
      </c>
      <c r="BQ96" s="100">
        <v>4863.5999999999995</v>
      </c>
      <c r="BR96" s="100">
        <v>6.0553144700632426</v>
      </c>
      <c r="BS96" s="100">
        <v>4207.232493799941</v>
      </c>
      <c r="BT96" s="100">
        <v>7</v>
      </c>
      <c r="BU96" s="100">
        <v>4863.5999999999995</v>
      </c>
      <c r="BV96" s="100">
        <v>12</v>
      </c>
      <c r="BW96" s="100">
        <v>8337.5999999999985</v>
      </c>
      <c r="BX96" s="100">
        <v>13</v>
      </c>
      <c r="BY96" s="100">
        <v>9032.4</v>
      </c>
      <c r="BZ96" s="100">
        <v>2.1818470305071416</v>
      </c>
      <c r="CA96" s="100">
        <v>1515.947316796362</v>
      </c>
      <c r="CB96" s="100">
        <v>9.173293232075407</v>
      </c>
      <c r="CC96" s="100">
        <v>6373.6041376459925</v>
      </c>
      <c r="CD96" s="100">
        <v>0.59751367373636632</v>
      </c>
      <c r="CE96" s="100">
        <v>415.1525005120273</v>
      </c>
      <c r="CF96" s="100">
        <v>14</v>
      </c>
      <c r="CG96" s="100">
        <v>9727.1999999999989</v>
      </c>
      <c r="CH96" s="100">
        <v>10.831838714164421</v>
      </c>
      <c r="CI96" s="100">
        <v>7525.9615386014393</v>
      </c>
      <c r="CJ96" s="100">
        <v>7.3555438819406245</v>
      </c>
      <c r="CK96" s="100">
        <v>5110.6318891723458</v>
      </c>
      <c r="CL96" s="100">
        <v>0.54133943922101835</v>
      </c>
      <c r="CM96" s="100">
        <v>376.12264237076351</v>
      </c>
      <c r="CN96" s="100">
        <v>12</v>
      </c>
      <c r="CO96" s="100">
        <v>8337.5999999999985</v>
      </c>
      <c r="CP96" s="100">
        <v>9.9390147503031052</v>
      </c>
      <c r="CQ96" s="100">
        <v>6905.6274485105969</v>
      </c>
      <c r="CR96" s="100">
        <v>8.1324668982772881</v>
      </c>
      <c r="CS96" s="100">
        <v>5650.438000923059</v>
      </c>
      <c r="CT96" s="100">
        <v>7.5691903847355801</v>
      </c>
      <c r="CU96" s="100">
        <v>5259.073479314281</v>
      </c>
    </row>
    <row r="97" spans="2:99">
      <c r="C97" s="99" t="s">
        <v>263</v>
      </c>
      <c r="D97" s="100">
        <v>5.9520389108088763</v>
      </c>
      <c r="E97" s="100">
        <v>2335.5800686014031</v>
      </c>
      <c r="F97" s="100">
        <v>8</v>
      </c>
      <c r="G97" s="100">
        <v>3139.2</v>
      </c>
      <c r="H97" s="100">
        <v>11</v>
      </c>
      <c r="I97" s="100">
        <v>4316.3999999999996</v>
      </c>
      <c r="J97" s="100">
        <v>9.3094488535932527</v>
      </c>
      <c r="K97" s="100">
        <v>3653.0277301499923</v>
      </c>
      <c r="L97" s="100">
        <v>5.3161477863620972</v>
      </c>
      <c r="M97" s="100">
        <v>2086.0563913684869</v>
      </c>
      <c r="N97" s="100">
        <v>7.4608379661401836</v>
      </c>
      <c r="O97" s="100">
        <v>2927.632817913408</v>
      </c>
      <c r="P97" s="100">
        <v>8</v>
      </c>
      <c r="Q97" s="100">
        <v>3139.2</v>
      </c>
      <c r="R97" s="100">
        <v>9.3458097759265453</v>
      </c>
      <c r="S97" s="100">
        <v>3667.2957560735763</v>
      </c>
      <c r="T97" s="100">
        <v>10</v>
      </c>
      <c r="U97" s="100">
        <v>3924</v>
      </c>
      <c r="V97" s="100">
        <v>8</v>
      </c>
      <c r="W97" s="100">
        <v>3139.2</v>
      </c>
      <c r="X97" s="100">
        <v>7.383969784379155</v>
      </c>
      <c r="Y97" s="100">
        <v>2897.4697433903802</v>
      </c>
      <c r="Z97" s="100">
        <v>5.2874634281776087</v>
      </c>
      <c r="AA97" s="100">
        <v>2074.8006492168934</v>
      </c>
      <c r="AB97" s="100">
        <v>3.1945437876803622</v>
      </c>
      <c r="AC97" s="100">
        <v>1253.538982285774</v>
      </c>
      <c r="AD97" s="100">
        <v>6.7817801969077571</v>
      </c>
      <c r="AE97" s="100">
        <v>2661.1705492666038</v>
      </c>
      <c r="AF97" s="100">
        <v>8.8317636579845686</v>
      </c>
      <c r="AG97" s="100">
        <v>3465.5840593931443</v>
      </c>
      <c r="AH97" s="100">
        <v>8.5642013273299291</v>
      </c>
      <c r="AI97" s="100">
        <v>3360.5926008442639</v>
      </c>
      <c r="AJ97" s="100">
        <v>7.4354954458747624</v>
      </c>
      <c r="AK97" s="100">
        <v>2917.6884129612567</v>
      </c>
      <c r="AL97" s="100">
        <v>0</v>
      </c>
      <c r="AM97" s="100">
        <v>0</v>
      </c>
      <c r="AN97" s="100">
        <v>8.7091682768811136</v>
      </c>
      <c r="AO97" s="100">
        <v>3417.4776318481486</v>
      </c>
      <c r="AP97" s="100">
        <v>0.73530560933945677</v>
      </c>
      <c r="AQ97" s="100">
        <v>288.5339211048028</v>
      </c>
      <c r="AR97" s="100">
        <v>7.51720418703822</v>
      </c>
      <c r="AS97" s="100">
        <v>2949.7509229937973</v>
      </c>
      <c r="AT97" s="100">
        <v>13</v>
      </c>
      <c r="AU97" s="100">
        <v>5101.2</v>
      </c>
      <c r="AV97" s="100">
        <v>11</v>
      </c>
      <c r="AW97" s="100">
        <v>4316.3999999999996</v>
      </c>
      <c r="AX97" s="100">
        <v>9.4701591309429567</v>
      </c>
      <c r="AY97" s="100">
        <v>3716.0904429820162</v>
      </c>
      <c r="AZ97" s="100">
        <v>8.3736841367855135</v>
      </c>
      <c r="BA97" s="100">
        <v>3285.8336552746355</v>
      </c>
      <c r="BB97" s="100">
        <v>8.6045985034022401</v>
      </c>
      <c r="BC97" s="100">
        <v>3376.4444527350388</v>
      </c>
      <c r="BD97" s="100">
        <v>10.281178888123128</v>
      </c>
      <c r="BE97" s="100">
        <v>4034.3345956995149</v>
      </c>
      <c r="BF97" s="100">
        <v>0.5720339435067463</v>
      </c>
      <c r="BG97" s="100">
        <v>224.46611943204724</v>
      </c>
      <c r="BH97" s="100">
        <v>12</v>
      </c>
      <c r="BI97" s="100">
        <v>4708.7999999999993</v>
      </c>
      <c r="BJ97" s="100">
        <v>14</v>
      </c>
      <c r="BK97" s="100">
        <v>5493.5999999999995</v>
      </c>
      <c r="BL97" s="100">
        <v>9.5293721615591682</v>
      </c>
      <c r="BM97" s="100">
        <v>3739.3256361958174</v>
      </c>
      <c r="BN97" s="100">
        <v>0.70643543717789148</v>
      </c>
      <c r="BO97" s="100">
        <v>277.20526554860459</v>
      </c>
      <c r="BP97" s="100">
        <v>7</v>
      </c>
      <c r="BQ97" s="100">
        <v>2746.7999999999997</v>
      </c>
      <c r="BR97" s="100">
        <v>7.5691430875790537</v>
      </c>
      <c r="BS97" s="100">
        <v>2970.1317475660203</v>
      </c>
      <c r="BT97" s="100">
        <v>8</v>
      </c>
      <c r="BU97" s="100">
        <v>3139.2</v>
      </c>
      <c r="BV97" s="100">
        <v>10</v>
      </c>
      <c r="BW97" s="100">
        <v>3924</v>
      </c>
      <c r="BX97" s="100">
        <v>11</v>
      </c>
      <c r="BY97" s="100">
        <v>4316.3999999999996</v>
      </c>
      <c r="BZ97" s="100">
        <v>2.1818470305071416</v>
      </c>
      <c r="CA97" s="100">
        <v>856.15677477100235</v>
      </c>
      <c r="CB97" s="100">
        <v>9.173293232075407</v>
      </c>
      <c r="CC97" s="100">
        <v>3599.6002642663893</v>
      </c>
      <c r="CD97" s="100">
        <v>0.65183309862149064</v>
      </c>
      <c r="CE97" s="100">
        <v>255.7793078990729</v>
      </c>
      <c r="CF97" s="100">
        <v>13</v>
      </c>
      <c r="CG97" s="100">
        <v>5101.2</v>
      </c>
      <c r="CH97" s="100">
        <v>9.847126103785838</v>
      </c>
      <c r="CI97" s="100">
        <v>3864.0122831255626</v>
      </c>
      <c r="CJ97" s="100">
        <v>6.5382612283916668</v>
      </c>
      <c r="CK97" s="100">
        <v>2565.6137060208898</v>
      </c>
      <c r="CL97" s="100">
        <v>0.60148826580113157</v>
      </c>
      <c r="CM97" s="100">
        <v>236.02399550036401</v>
      </c>
      <c r="CN97" s="100">
        <v>11</v>
      </c>
      <c r="CO97" s="100">
        <v>4316.3999999999996</v>
      </c>
      <c r="CP97" s="100">
        <v>10.932916225333415</v>
      </c>
      <c r="CQ97" s="100">
        <v>4290.076326820832</v>
      </c>
      <c r="CR97" s="100">
        <v>8.1324668982772881</v>
      </c>
      <c r="CS97" s="100">
        <v>3191.1800108840075</v>
      </c>
      <c r="CT97" s="100">
        <v>7.5691903847355801</v>
      </c>
      <c r="CU97" s="100">
        <v>2970.1503069702417</v>
      </c>
    </row>
    <row r="98" spans="2:99">
      <c r="C98" s="99" t="s">
        <v>264</v>
      </c>
      <c r="D98" s="100">
        <v>5.290701254052335</v>
      </c>
      <c r="E98" s="100">
        <v>2780.7925791299076</v>
      </c>
      <c r="F98" s="100">
        <v>7</v>
      </c>
      <c r="G98" s="100">
        <v>3679.2000000000003</v>
      </c>
      <c r="H98" s="100">
        <v>12</v>
      </c>
      <c r="I98" s="100">
        <v>6307.2000000000007</v>
      </c>
      <c r="J98" s="100">
        <v>9.3094488535932527</v>
      </c>
      <c r="K98" s="100">
        <v>4893.046317448614</v>
      </c>
      <c r="L98" s="100">
        <v>5.3161477863620972</v>
      </c>
      <c r="M98" s="100">
        <v>2794.1672765119183</v>
      </c>
      <c r="N98" s="100">
        <v>7.4608379661401836</v>
      </c>
      <c r="O98" s="100">
        <v>3921.4164350032806</v>
      </c>
      <c r="P98" s="100">
        <v>8</v>
      </c>
      <c r="Q98" s="100">
        <v>4204.8</v>
      </c>
      <c r="R98" s="100">
        <v>8.4961907053877681</v>
      </c>
      <c r="S98" s="100">
        <v>4465.5978347518112</v>
      </c>
      <c r="T98" s="100">
        <v>9</v>
      </c>
      <c r="U98" s="100">
        <v>4730.4000000000005</v>
      </c>
      <c r="V98" s="100">
        <v>9</v>
      </c>
      <c r="W98" s="100">
        <v>4730.4000000000005</v>
      </c>
      <c r="X98" s="100">
        <v>7.9993005997440845</v>
      </c>
      <c r="Y98" s="100">
        <v>4204.4323952254908</v>
      </c>
      <c r="Z98" s="100">
        <v>5.2874634281776087</v>
      </c>
      <c r="AA98" s="100">
        <v>2779.0907778501514</v>
      </c>
      <c r="AB98" s="100">
        <v>3.1945437876803622</v>
      </c>
      <c r="AC98" s="100">
        <v>1679.0522148047985</v>
      </c>
      <c r="AD98" s="100">
        <v>6.1652547244615974</v>
      </c>
      <c r="AE98" s="100">
        <v>3240.4578831770159</v>
      </c>
      <c r="AF98" s="100">
        <v>8.0957833531525214</v>
      </c>
      <c r="AG98" s="100">
        <v>4255.1437304169658</v>
      </c>
      <c r="AH98" s="100">
        <v>7.8505178833857689</v>
      </c>
      <c r="AI98" s="100">
        <v>4126.2321995075599</v>
      </c>
      <c r="AJ98" s="100">
        <v>7.4354954458747624</v>
      </c>
      <c r="AK98" s="100">
        <v>3908.0964063517754</v>
      </c>
      <c r="AL98" s="100">
        <v>0</v>
      </c>
      <c r="AM98" s="100">
        <v>0</v>
      </c>
      <c r="AN98" s="100">
        <v>7.9174257062555586</v>
      </c>
      <c r="AO98" s="100">
        <v>4161.3989512079215</v>
      </c>
      <c r="AP98" s="100">
        <v>0.62218166944107878</v>
      </c>
      <c r="AQ98" s="100">
        <v>327.018685458231</v>
      </c>
      <c r="AR98" s="100">
        <v>7.51720418703822</v>
      </c>
      <c r="AS98" s="100">
        <v>3951.0425207072885</v>
      </c>
      <c r="AT98" s="100">
        <v>12</v>
      </c>
      <c r="AU98" s="100">
        <v>6307.2000000000007</v>
      </c>
      <c r="AV98" s="100">
        <v>11</v>
      </c>
      <c r="AW98" s="100">
        <v>5781.6</v>
      </c>
      <c r="AX98" s="100">
        <v>8.523143217848661</v>
      </c>
      <c r="AY98" s="100">
        <v>4479.7640753012565</v>
      </c>
      <c r="AZ98" s="100">
        <v>8.3736841367855135</v>
      </c>
      <c r="BA98" s="100">
        <v>4401.208382294466</v>
      </c>
      <c r="BB98" s="100">
        <v>8.6045985034022401</v>
      </c>
      <c r="BC98" s="100">
        <v>4522.576973388218</v>
      </c>
      <c r="BD98" s="100">
        <v>8.8124390469626803</v>
      </c>
      <c r="BE98" s="100">
        <v>4631.8179630835848</v>
      </c>
      <c r="BF98" s="100">
        <v>0.63559327056305137</v>
      </c>
      <c r="BG98" s="100">
        <v>334.06782300793981</v>
      </c>
      <c r="BH98" s="100">
        <v>12</v>
      </c>
      <c r="BI98" s="100">
        <v>6307.2000000000007</v>
      </c>
      <c r="BJ98" s="100">
        <v>14</v>
      </c>
      <c r="BK98" s="100">
        <v>7358.4000000000005</v>
      </c>
      <c r="BL98" s="100">
        <v>9.5293721615591682</v>
      </c>
      <c r="BM98" s="100">
        <v>5008.6380081154994</v>
      </c>
      <c r="BN98" s="100">
        <v>0.64221403379808317</v>
      </c>
      <c r="BO98" s="100">
        <v>337.54769616427251</v>
      </c>
      <c r="BP98" s="100">
        <v>6</v>
      </c>
      <c r="BQ98" s="100">
        <v>3153.6000000000004</v>
      </c>
      <c r="BR98" s="100">
        <v>7.5691430875790537</v>
      </c>
      <c r="BS98" s="100">
        <v>3978.341606831551</v>
      </c>
      <c r="BT98" s="100">
        <v>8</v>
      </c>
      <c r="BU98" s="100">
        <v>4204.8</v>
      </c>
      <c r="BV98" s="100">
        <v>12</v>
      </c>
      <c r="BW98" s="100">
        <v>6307.2000000000007</v>
      </c>
      <c r="BX98" s="100">
        <v>12</v>
      </c>
      <c r="BY98" s="100">
        <v>6307.2000000000007</v>
      </c>
      <c r="BZ98" s="100">
        <v>2.1818470305071416</v>
      </c>
      <c r="CA98" s="100">
        <v>1146.7787992345536</v>
      </c>
      <c r="CB98" s="100">
        <v>9.173293232075407</v>
      </c>
      <c r="CC98" s="100">
        <v>4821.4829227788341</v>
      </c>
      <c r="CD98" s="100">
        <v>0.70615252350661484</v>
      </c>
      <c r="CE98" s="100">
        <v>371.15376635507675</v>
      </c>
      <c r="CF98" s="100">
        <v>12</v>
      </c>
      <c r="CG98" s="100">
        <v>6307.2000000000007</v>
      </c>
      <c r="CH98" s="100">
        <v>9.847126103785838</v>
      </c>
      <c r="CI98" s="100">
        <v>5175.6494801498366</v>
      </c>
      <c r="CJ98" s="100">
        <v>6.5382612283916668</v>
      </c>
      <c r="CK98" s="100">
        <v>3436.5101016426602</v>
      </c>
      <c r="CL98" s="100">
        <v>0.60148826580113157</v>
      </c>
      <c r="CM98" s="100">
        <v>316.14223250507479</v>
      </c>
      <c r="CN98" s="100">
        <v>13</v>
      </c>
      <c r="CO98" s="100">
        <v>6832.8</v>
      </c>
      <c r="CP98" s="100">
        <v>9.9390147503031052</v>
      </c>
      <c r="CQ98" s="100">
        <v>5223.9461527593121</v>
      </c>
      <c r="CR98" s="100">
        <v>8.7580412750678498</v>
      </c>
      <c r="CS98" s="100">
        <v>4603.2264941756621</v>
      </c>
      <c r="CT98" s="100">
        <v>8.1999562501302119</v>
      </c>
      <c r="CU98" s="100">
        <v>4309.8970050684393</v>
      </c>
    </row>
    <row r="99" spans="2:99">
      <c r="C99" s="99" t="s">
        <v>265</v>
      </c>
      <c r="D99" s="100">
        <v>4.6293635972957929</v>
      </c>
      <c r="E99" s="100">
        <v>19482.213762859614</v>
      </c>
      <c r="F99" s="100">
        <v>6</v>
      </c>
      <c r="G99" s="100">
        <v>25250.399999999998</v>
      </c>
      <c r="H99" s="100">
        <v>10</v>
      </c>
      <c r="I99" s="100">
        <v>42084</v>
      </c>
      <c r="J99" s="100">
        <v>7.6168217893035699</v>
      </c>
      <c r="K99" s="100">
        <v>32054.632818105139</v>
      </c>
      <c r="L99" s="100">
        <v>3.9871108397715722</v>
      </c>
      <c r="M99" s="100">
        <v>16779.357258094682</v>
      </c>
      <c r="N99" s="100">
        <v>6.5282332203726607</v>
      </c>
      <c r="O99" s="100">
        <v>27473.416684616303</v>
      </c>
      <c r="P99" s="100">
        <v>7</v>
      </c>
      <c r="Q99" s="100">
        <v>29458.799999999996</v>
      </c>
      <c r="R99" s="100">
        <v>7.6465716348489909</v>
      </c>
      <c r="S99" s="100">
        <v>32179.832068098491</v>
      </c>
      <c r="T99" s="100">
        <v>9</v>
      </c>
      <c r="U99" s="100">
        <v>37875.599999999999</v>
      </c>
      <c r="V99" s="100">
        <v>7</v>
      </c>
      <c r="W99" s="100">
        <v>29458.799999999996</v>
      </c>
      <c r="X99" s="100">
        <v>6.153308153649296</v>
      </c>
      <c r="Y99" s="100">
        <v>25895.582033817696</v>
      </c>
      <c r="Z99" s="100">
        <v>4.6265304996554075</v>
      </c>
      <c r="AA99" s="100">
        <v>19470.290954749817</v>
      </c>
      <c r="AB99" s="100">
        <v>2.5556350301442898</v>
      </c>
      <c r="AC99" s="100">
        <v>10755.134460859228</v>
      </c>
      <c r="AD99" s="100">
        <v>5.5487292520154377</v>
      </c>
      <c r="AE99" s="100">
        <v>23351.272184181766</v>
      </c>
      <c r="AF99" s="100">
        <v>7.3598030483204742</v>
      </c>
      <c r="AG99" s="100">
        <v>30972.99514855188</v>
      </c>
      <c r="AH99" s="100">
        <v>6.4231509954974468</v>
      </c>
      <c r="AI99" s="100">
        <v>27031.188649451455</v>
      </c>
      <c r="AJ99" s="100">
        <v>7.4354954458747624</v>
      </c>
      <c r="AK99" s="100">
        <v>31291.539034419347</v>
      </c>
      <c r="AL99" s="100">
        <v>0</v>
      </c>
      <c r="AM99" s="100">
        <v>0</v>
      </c>
      <c r="AN99" s="100">
        <v>7.1256831356300028</v>
      </c>
      <c r="AO99" s="100">
        <v>29987.724907985303</v>
      </c>
      <c r="AP99" s="100">
        <v>0.56561969949188973</v>
      </c>
      <c r="AQ99" s="100">
        <v>2380.3539433416686</v>
      </c>
      <c r="AR99" s="100">
        <v>5.8467143676963946</v>
      </c>
      <c r="AS99" s="100">
        <v>24605.312745013503</v>
      </c>
      <c r="AT99" s="100">
        <v>11</v>
      </c>
      <c r="AU99" s="100">
        <v>46292.399999999994</v>
      </c>
      <c r="AV99" s="100">
        <v>8</v>
      </c>
      <c r="AW99" s="100">
        <v>33667.199999999997</v>
      </c>
      <c r="AX99" s="100">
        <v>7.5761273047543662</v>
      </c>
      <c r="AY99" s="100">
        <v>31883.374149328272</v>
      </c>
      <c r="AZ99" s="100">
        <v>6.4412954898350101</v>
      </c>
      <c r="BA99" s="100">
        <v>27107.547939421653</v>
      </c>
      <c r="BB99" s="100">
        <v>7.8875486281187204</v>
      </c>
      <c r="BC99" s="100">
        <v>33193.959646574818</v>
      </c>
      <c r="BD99" s="100">
        <v>7.3436992058022339</v>
      </c>
      <c r="BE99" s="100">
        <v>30905.223737698117</v>
      </c>
      <c r="BF99" s="100">
        <v>0.50847461645044112</v>
      </c>
      <c r="BG99" s="100">
        <v>2139.8645758700363</v>
      </c>
      <c r="BH99" s="100">
        <v>9</v>
      </c>
      <c r="BI99" s="100">
        <v>37875.599999999999</v>
      </c>
      <c r="BJ99" s="100">
        <v>11</v>
      </c>
      <c r="BK99" s="100">
        <v>46292.399999999994</v>
      </c>
      <c r="BL99" s="100">
        <v>7.3302862781224372</v>
      </c>
      <c r="BM99" s="100">
        <v>30848.776772850462</v>
      </c>
      <c r="BN99" s="100">
        <v>0.51377122703846645</v>
      </c>
      <c r="BO99" s="100">
        <v>2162.1548318686819</v>
      </c>
      <c r="BP99" s="100">
        <v>6</v>
      </c>
      <c r="BQ99" s="100">
        <v>25250.399999999998</v>
      </c>
      <c r="BR99" s="100">
        <v>6.0553144700632426</v>
      </c>
      <c r="BS99" s="100">
        <v>25483.185415814147</v>
      </c>
      <c r="BT99" s="100">
        <v>6</v>
      </c>
      <c r="BU99" s="100">
        <v>25250.399999999998</v>
      </c>
      <c r="BV99" s="100">
        <v>9</v>
      </c>
      <c r="BW99" s="100">
        <v>37875.599999999999</v>
      </c>
      <c r="BX99" s="100">
        <v>11</v>
      </c>
      <c r="BY99" s="100">
        <v>46292.399999999994</v>
      </c>
      <c r="BZ99" s="100">
        <v>1.8182058587559511</v>
      </c>
      <c r="CA99" s="100">
        <v>7651.7375359885436</v>
      </c>
      <c r="CB99" s="100">
        <v>7.2075875394878182</v>
      </c>
      <c r="CC99" s="100">
        <v>30332.411401180532</v>
      </c>
      <c r="CD99" s="100">
        <v>0.54319424885124212</v>
      </c>
      <c r="CE99" s="100">
        <v>2285.9786768655672</v>
      </c>
      <c r="CF99" s="100">
        <v>11</v>
      </c>
      <c r="CG99" s="100">
        <v>46292.399999999994</v>
      </c>
      <c r="CH99" s="100">
        <v>8.8624134934072547</v>
      </c>
      <c r="CI99" s="100">
        <v>37296.580945655085</v>
      </c>
      <c r="CJ99" s="100">
        <v>4.9036959212937496</v>
      </c>
      <c r="CK99" s="100">
        <v>20636.713915172615</v>
      </c>
      <c r="CL99" s="100">
        <v>0.42104178606079212</v>
      </c>
      <c r="CM99" s="100">
        <v>1771.9122524582374</v>
      </c>
      <c r="CN99" s="100">
        <v>10</v>
      </c>
      <c r="CO99" s="100">
        <v>42084</v>
      </c>
      <c r="CP99" s="100">
        <v>7.9512118002424845</v>
      </c>
      <c r="CQ99" s="100">
        <v>33461.879740140466</v>
      </c>
      <c r="CR99" s="100">
        <v>6.8813181446961673</v>
      </c>
      <c r="CS99" s="100">
        <v>28959.339280139349</v>
      </c>
      <c r="CT99" s="100">
        <v>6.3076586539463166</v>
      </c>
      <c r="CU99" s="100">
        <v>26545.150679267677</v>
      </c>
    </row>
    <row r="100" spans="2:99">
      <c r="C100" s="99" t="s">
        <v>266</v>
      </c>
      <c r="D100" s="100">
        <v>5.9520389108088763</v>
      </c>
      <c r="E100" s="100">
        <v>1928.460607102076</v>
      </c>
      <c r="F100" s="100">
        <v>7</v>
      </c>
      <c r="G100" s="100">
        <v>2268</v>
      </c>
      <c r="H100" s="100">
        <v>11</v>
      </c>
      <c r="I100" s="100">
        <v>3564</v>
      </c>
      <c r="J100" s="100">
        <v>9.3094488535932527</v>
      </c>
      <c r="K100" s="100">
        <v>3016.2614285642139</v>
      </c>
      <c r="L100" s="100">
        <v>5.3161477863620972</v>
      </c>
      <c r="M100" s="100">
        <v>1722.4318827813195</v>
      </c>
      <c r="N100" s="100">
        <v>7.4608379661401836</v>
      </c>
      <c r="O100" s="100">
        <v>2417.3115010294196</v>
      </c>
      <c r="P100" s="100">
        <v>8</v>
      </c>
      <c r="Q100" s="100">
        <v>2592</v>
      </c>
      <c r="R100" s="100">
        <v>9.3458097759265453</v>
      </c>
      <c r="S100" s="100">
        <v>3028.0423674002009</v>
      </c>
      <c r="T100" s="100">
        <v>10</v>
      </c>
      <c r="U100" s="100">
        <v>3240</v>
      </c>
      <c r="V100" s="100">
        <v>8</v>
      </c>
      <c r="W100" s="100">
        <v>2592</v>
      </c>
      <c r="X100" s="100">
        <v>7.383969784379155</v>
      </c>
      <c r="Y100" s="100">
        <v>2392.4062101388463</v>
      </c>
      <c r="Z100" s="100">
        <v>5.9483963566998099</v>
      </c>
      <c r="AA100" s="100">
        <v>1927.2804195707383</v>
      </c>
      <c r="AB100" s="100">
        <v>3.5139981664483986</v>
      </c>
      <c r="AC100" s="100">
        <v>1138.5354059292811</v>
      </c>
      <c r="AD100" s="100">
        <v>6.7817801969077571</v>
      </c>
      <c r="AE100" s="100">
        <v>2197.2967837981132</v>
      </c>
      <c r="AF100" s="100">
        <v>8.8317636579845686</v>
      </c>
      <c r="AG100" s="100">
        <v>2861.4914251870005</v>
      </c>
      <c r="AH100" s="100">
        <v>8.5642013273299291</v>
      </c>
      <c r="AI100" s="100">
        <v>2774.8012300548971</v>
      </c>
      <c r="AJ100" s="100">
        <v>7.4354954458747624</v>
      </c>
      <c r="AK100" s="100">
        <v>2409.100524463423</v>
      </c>
      <c r="AL100" s="100">
        <v>0</v>
      </c>
      <c r="AM100" s="100">
        <v>0</v>
      </c>
      <c r="AN100" s="100">
        <v>7.9174257062555586</v>
      </c>
      <c r="AO100" s="100">
        <v>2565.245928826801</v>
      </c>
      <c r="AP100" s="100">
        <v>0.67874363939026772</v>
      </c>
      <c r="AQ100" s="100">
        <v>219.91293916244675</v>
      </c>
      <c r="AR100" s="100">
        <v>8.3524490967091349</v>
      </c>
      <c r="AS100" s="100">
        <v>2706.1935073337595</v>
      </c>
      <c r="AT100" s="100">
        <v>12</v>
      </c>
      <c r="AU100" s="100">
        <v>3888</v>
      </c>
      <c r="AV100" s="100">
        <v>10</v>
      </c>
      <c r="AW100" s="100">
        <v>3240</v>
      </c>
      <c r="AX100" s="100">
        <v>9.4701591309429567</v>
      </c>
      <c r="AY100" s="100">
        <v>3068.3315584255179</v>
      </c>
      <c r="AZ100" s="100">
        <v>7.7295545878020127</v>
      </c>
      <c r="BA100" s="100">
        <v>2504.3756864478519</v>
      </c>
      <c r="BB100" s="100">
        <v>10.03869825396928</v>
      </c>
      <c r="BC100" s="100">
        <v>3252.5382342860466</v>
      </c>
      <c r="BD100" s="100">
        <v>9.5468089675429049</v>
      </c>
      <c r="BE100" s="100">
        <v>3093.166105483901</v>
      </c>
      <c r="BF100" s="100">
        <v>0.5720339435067463</v>
      </c>
      <c r="BG100" s="100">
        <v>185.3389976961858</v>
      </c>
      <c r="BH100" s="100">
        <v>12</v>
      </c>
      <c r="BI100" s="100">
        <v>3888</v>
      </c>
      <c r="BJ100" s="100">
        <v>13</v>
      </c>
      <c r="BK100" s="100">
        <v>4212</v>
      </c>
      <c r="BL100" s="100">
        <v>8.7963435337469242</v>
      </c>
      <c r="BM100" s="100">
        <v>2850.0153049340033</v>
      </c>
      <c r="BN100" s="100">
        <v>0.64221403379808317</v>
      </c>
      <c r="BO100" s="100">
        <v>208.07734695057894</v>
      </c>
      <c r="BP100" s="100">
        <v>7</v>
      </c>
      <c r="BQ100" s="100">
        <v>2268</v>
      </c>
      <c r="BR100" s="100">
        <v>7.5691430875790537</v>
      </c>
      <c r="BS100" s="100">
        <v>2452.4023603756136</v>
      </c>
      <c r="BT100" s="100">
        <v>7</v>
      </c>
      <c r="BU100" s="100">
        <v>2268</v>
      </c>
      <c r="BV100" s="100">
        <v>11</v>
      </c>
      <c r="BW100" s="100">
        <v>3564</v>
      </c>
      <c r="BX100" s="100">
        <v>14</v>
      </c>
      <c r="BY100" s="100">
        <v>4536</v>
      </c>
      <c r="BZ100" s="100">
        <v>2.0000264446315463</v>
      </c>
      <c r="CA100" s="100">
        <v>648.00856806062097</v>
      </c>
      <c r="CB100" s="100">
        <v>9.173293232075407</v>
      </c>
      <c r="CC100" s="100">
        <v>2972.1470071924318</v>
      </c>
      <c r="CD100" s="100">
        <v>0.59751367373636632</v>
      </c>
      <c r="CE100" s="100">
        <v>193.59443029058269</v>
      </c>
      <c r="CF100" s="100">
        <v>13</v>
      </c>
      <c r="CG100" s="100">
        <v>4212</v>
      </c>
      <c r="CH100" s="100">
        <v>10.831838714164421</v>
      </c>
      <c r="CI100" s="100">
        <v>3509.5157433892723</v>
      </c>
      <c r="CJ100" s="100">
        <v>6.5382612283916668</v>
      </c>
      <c r="CK100" s="100">
        <v>2118.3966379989001</v>
      </c>
      <c r="CL100" s="100">
        <v>0.54133943922101835</v>
      </c>
      <c r="CM100" s="100">
        <v>175.39397830760996</v>
      </c>
      <c r="CN100" s="100">
        <v>12</v>
      </c>
      <c r="CO100" s="100">
        <v>3888</v>
      </c>
      <c r="CP100" s="100">
        <v>9.9390147503031052</v>
      </c>
      <c r="CQ100" s="100">
        <v>3220.2407790982061</v>
      </c>
      <c r="CR100" s="100">
        <v>8.7580412750678498</v>
      </c>
      <c r="CS100" s="100">
        <v>2837.6053731219831</v>
      </c>
      <c r="CT100" s="100">
        <v>8.1999562501302119</v>
      </c>
      <c r="CU100" s="100">
        <v>2656.7858250421887</v>
      </c>
    </row>
    <row r="101" spans="2:99">
      <c r="C101" s="99" t="s">
        <v>267</v>
      </c>
      <c r="D101" s="100">
        <v>5.9520389108088763</v>
      </c>
      <c r="E101" s="100">
        <v>4306.895355861303</v>
      </c>
      <c r="F101" s="100">
        <v>7</v>
      </c>
      <c r="G101" s="100">
        <v>5065.2</v>
      </c>
      <c r="H101" s="100">
        <v>10</v>
      </c>
      <c r="I101" s="100">
        <v>7236</v>
      </c>
      <c r="J101" s="100">
        <v>9.3094488535932527</v>
      </c>
      <c r="K101" s="100">
        <v>6736.3171904600777</v>
      </c>
      <c r="L101" s="100">
        <v>4.6516293130668345</v>
      </c>
      <c r="M101" s="100">
        <v>3365.9189709351617</v>
      </c>
      <c r="N101" s="100">
        <v>8.3934427119077064</v>
      </c>
      <c r="O101" s="100">
        <v>6073.4951463364168</v>
      </c>
      <c r="P101" s="100">
        <v>8</v>
      </c>
      <c r="Q101" s="100">
        <v>5788.8</v>
      </c>
      <c r="R101" s="100">
        <v>10.195428846465321</v>
      </c>
      <c r="S101" s="100">
        <v>7377.4123133023058</v>
      </c>
      <c r="T101" s="100">
        <v>9</v>
      </c>
      <c r="U101" s="100">
        <v>6512.4000000000005</v>
      </c>
      <c r="V101" s="100">
        <v>8</v>
      </c>
      <c r="W101" s="100">
        <v>5788.8</v>
      </c>
      <c r="X101" s="100">
        <v>7.9993005997440845</v>
      </c>
      <c r="Y101" s="100">
        <v>5788.2939139748196</v>
      </c>
      <c r="Z101" s="100">
        <v>4.6265304996554075</v>
      </c>
      <c r="AA101" s="100">
        <v>3347.7574695506528</v>
      </c>
      <c r="AB101" s="100">
        <v>3.1945437876803622</v>
      </c>
      <c r="AC101" s="100">
        <v>2311.5718847655103</v>
      </c>
      <c r="AD101" s="100">
        <v>6.7817801969077571</v>
      </c>
      <c r="AE101" s="100">
        <v>4907.2961504824534</v>
      </c>
      <c r="AF101" s="100">
        <v>8.0957833531525214</v>
      </c>
      <c r="AG101" s="100">
        <v>5858.1088343411648</v>
      </c>
      <c r="AH101" s="100">
        <v>8.5642013273299291</v>
      </c>
      <c r="AI101" s="100">
        <v>6197.0560804559373</v>
      </c>
      <c r="AJ101" s="100">
        <v>9.087827767180265</v>
      </c>
      <c r="AK101" s="100">
        <v>6575.9521723316402</v>
      </c>
      <c r="AL101" s="100">
        <v>0</v>
      </c>
      <c r="AM101" s="100">
        <v>0</v>
      </c>
      <c r="AN101" s="100">
        <v>9.5009108475066704</v>
      </c>
      <c r="AO101" s="100">
        <v>6874.8590892558268</v>
      </c>
      <c r="AP101" s="100">
        <v>0.62218166944107878</v>
      </c>
      <c r="AQ101" s="100">
        <v>450.21065600756464</v>
      </c>
      <c r="AR101" s="100">
        <v>6.6819592773673078</v>
      </c>
      <c r="AS101" s="100">
        <v>4835.0657331029843</v>
      </c>
      <c r="AT101" s="100">
        <v>13</v>
      </c>
      <c r="AU101" s="100">
        <v>9406.8000000000011</v>
      </c>
      <c r="AV101" s="100">
        <v>11</v>
      </c>
      <c r="AW101" s="100">
        <v>7959.6</v>
      </c>
      <c r="AX101" s="100">
        <v>8.523143217848661</v>
      </c>
      <c r="AY101" s="100">
        <v>6167.3464324352917</v>
      </c>
      <c r="AZ101" s="100">
        <v>7.0854250388185118</v>
      </c>
      <c r="BA101" s="100">
        <v>5127.0135580890756</v>
      </c>
      <c r="BB101" s="100">
        <v>9.3216483786857598</v>
      </c>
      <c r="BC101" s="100">
        <v>6745.1447668170158</v>
      </c>
      <c r="BD101" s="100">
        <v>9.5468089675429049</v>
      </c>
      <c r="BE101" s="100">
        <v>6908.0709689140458</v>
      </c>
      <c r="BF101" s="100">
        <v>0.63559327056305137</v>
      </c>
      <c r="BG101" s="100">
        <v>459.91529057942398</v>
      </c>
      <c r="BH101" s="100">
        <v>13</v>
      </c>
      <c r="BI101" s="100">
        <v>9406.8000000000011</v>
      </c>
      <c r="BJ101" s="100">
        <v>12</v>
      </c>
      <c r="BK101" s="100">
        <v>8683.2000000000007</v>
      </c>
      <c r="BL101" s="100">
        <v>9.5293721615591682</v>
      </c>
      <c r="BM101" s="100">
        <v>6895.453696104214</v>
      </c>
      <c r="BN101" s="100">
        <v>0.70643543717789148</v>
      </c>
      <c r="BO101" s="100">
        <v>511.17668234192229</v>
      </c>
      <c r="BP101" s="100">
        <v>7</v>
      </c>
      <c r="BQ101" s="100">
        <v>5065.2</v>
      </c>
      <c r="BR101" s="100">
        <v>7.5691430875790537</v>
      </c>
      <c r="BS101" s="100">
        <v>5477.0319381722038</v>
      </c>
      <c r="BT101" s="100">
        <v>8</v>
      </c>
      <c r="BU101" s="100">
        <v>5788.8</v>
      </c>
      <c r="BV101" s="100">
        <v>10</v>
      </c>
      <c r="BW101" s="100">
        <v>7236</v>
      </c>
      <c r="BX101" s="100">
        <v>12</v>
      </c>
      <c r="BY101" s="100">
        <v>8683.2000000000007</v>
      </c>
      <c r="BZ101" s="100">
        <v>1.8182058587559511</v>
      </c>
      <c r="CA101" s="100">
        <v>1315.6537593958062</v>
      </c>
      <c r="CB101" s="100">
        <v>9.173293232075407</v>
      </c>
      <c r="CC101" s="100">
        <v>6637.7949827297643</v>
      </c>
      <c r="CD101" s="100">
        <v>0.65183309862149064</v>
      </c>
      <c r="CE101" s="100">
        <v>471.66643016251066</v>
      </c>
      <c r="CF101" s="100">
        <v>15</v>
      </c>
      <c r="CG101" s="100">
        <v>10854</v>
      </c>
      <c r="CH101" s="100">
        <v>9.847126103785838</v>
      </c>
      <c r="CI101" s="100">
        <v>7125.3804486994322</v>
      </c>
      <c r="CJ101" s="100">
        <v>6.5382612283916668</v>
      </c>
      <c r="CK101" s="100">
        <v>4731.0858248642098</v>
      </c>
      <c r="CL101" s="100">
        <v>0.54133943922101835</v>
      </c>
      <c r="CM101" s="100">
        <v>391.71321822032888</v>
      </c>
      <c r="CN101" s="100">
        <v>11</v>
      </c>
      <c r="CO101" s="100">
        <v>7959.6</v>
      </c>
      <c r="CP101" s="100">
        <v>9.9390147503031052</v>
      </c>
      <c r="CQ101" s="100">
        <v>7191.8710733193275</v>
      </c>
      <c r="CR101" s="100">
        <v>6.8813181446961673</v>
      </c>
      <c r="CS101" s="100">
        <v>4979.3218095021466</v>
      </c>
      <c r="CT101" s="100">
        <v>6.9384245193409484</v>
      </c>
      <c r="CU101" s="100">
        <v>5020.6439821951108</v>
      </c>
    </row>
    <row r="102" spans="2:99">
      <c r="C102" s="99" t="s">
        <v>268</v>
      </c>
      <c r="D102" s="100">
        <v>5.9520389108088763</v>
      </c>
      <c r="E102" s="100">
        <v>3164.1038849859988</v>
      </c>
      <c r="F102" s="100">
        <v>8</v>
      </c>
      <c r="G102" s="100">
        <v>4252.8</v>
      </c>
      <c r="H102" s="100">
        <v>11</v>
      </c>
      <c r="I102" s="100">
        <v>5847.6</v>
      </c>
      <c r="J102" s="100">
        <v>10.155762385738093</v>
      </c>
      <c r="K102" s="100">
        <v>5398.8032842583707</v>
      </c>
      <c r="L102" s="100">
        <v>4.6516293130668345</v>
      </c>
      <c r="M102" s="100">
        <v>2472.8061428263295</v>
      </c>
      <c r="N102" s="100">
        <v>8.3934427119077064</v>
      </c>
      <c r="O102" s="100">
        <v>4461.9541456501365</v>
      </c>
      <c r="P102" s="100">
        <v>9</v>
      </c>
      <c r="Q102" s="100">
        <v>4784.4000000000005</v>
      </c>
      <c r="R102" s="100">
        <v>9.3458097759265453</v>
      </c>
      <c r="S102" s="100">
        <v>4968.232476882552</v>
      </c>
      <c r="T102" s="100">
        <v>9</v>
      </c>
      <c r="U102" s="100">
        <v>4784.4000000000005</v>
      </c>
      <c r="V102" s="100">
        <v>9</v>
      </c>
      <c r="W102" s="100">
        <v>4784.4000000000005</v>
      </c>
      <c r="X102" s="100">
        <v>7.383969784379155</v>
      </c>
      <c r="Y102" s="100">
        <v>3925.3183373759589</v>
      </c>
      <c r="Z102" s="100">
        <v>5.2874634281776087</v>
      </c>
      <c r="AA102" s="100">
        <v>2810.8155584192168</v>
      </c>
      <c r="AB102" s="100">
        <v>3.1945437876803622</v>
      </c>
      <c r="AC102" s="100">
        <v>1698.2194775308806</v>
      </c>
      <c r="AD102" s="100">
        <v>7.3983056693539169</v>
      </c>
      <c r="AE102" s="100">
        <v>3932.9392938285423</v>
      </c>
      <c r="AF102" s="100">
        <v>8.8317636579845686</v>
      </c>
      <c r="AG102" s="100">
        <v>4694.9655605845965</v>
      </c>
      <c r="AH102" s="100">
        <v>8.5642013273299291</v>
      </c>
      <c r="AI102" s="100">
        <v>4552.7294256085906</v>
      </c>
      <c r="AJ102" s="100">
        <v>7.4354954458747624</v>
      </c>
      <c r="AK102" s="100">
        <v>3952.7093790270237</v>
      </c>
      <c r="AL102" s="100">
        <v>0</v>
      </c>
      <c r="AM102" s="100">
        <v>0</v>
      </c>
      <c r="AN102" s="100">
        <v>8.7091682768811136</v>
      </c>
      <c r="AO102" s="100">
        <v>4629.7938559900003</v>
      </c>
      <c r="AP102" s="100">
        <v>0.62218166944107878</v>
      </c>
      <c r="AQ102" s="100">
        <v>330.75177547487749</v>
      </c>
      <c r="AR102" s="100">
        <v>6.6819592773673078</v>
      </c>
      <c r="AS102" s="100">
        <v>3552.1295518484608</v>
      </c>
      <c r="AT102" s="100">
        <v>13</v>
      </c>
      <c r="AU102" s="100">
        <v>6910.8</v>
      </c>
      <c r="AV102" s="100">
        <v>10</v>
      </c>
      <c r="AW102" s="100">
        <v>5316</v>
      </c>
      <c r="AX102" s="100">
        <v>8.523143217848661</v>
      </c>
      <c r="AY102" s="100">
        <v>4530.902934608348</v>
      </c>
      <c r="AZ102" s="100">
        <v>7.0854250388185118</v>
      </c>
      <c r="BA102" s="100">
        <v>3766.6119506359209</v>
      </c>
      <c r="BB102" s="100">
        <v>9.3216483786857598</v>
      </c>
      <c r="BC102" s="100">
        <v>4955.3882781093498</v>
      </c>
      <c r="BD102" s="100">
        <v>9.5468089675429049</v>
      </c>
      <c r="BE102" s="100">
        <v>5075.0836471458088</v>
      </c>
      <c r="BF102" s="100">
        <v>0.63559327056305137</v>
      </c>
      <c r="BG102" s="100">
        <v>337.8813826313181</v>
      </c>
      <c r="BH102" s="100">
        <v>13</v>
      </c>
      <c r="BI102" s="100">
        <v>6910.8</v>
      </c>
      <c r="BJ102" s="100">
        <v>13</v>
      </c>
      <c r="BK102" s="100">
        <v>6910.8</v>
      </c>
      <c r="BL102" s="100">
        <v>9.5293721615591682</v>
      </c>
      <c r="BM102" s="100">
        <v>5065.8142410848541</v>
      </c>
      <c r="BN102" s="100">
        <v>0.70643543717789148</v>
      </c>
      <c r="BO102" s="100">
        <v>375.54107840376713</v>
      </c>
      <c r="BP102" s="100">
        <v>7</v>
      </c>
      <c r="BQ102" s="100">
        <v>3721.2000000000003</v>
      </c>
      <c r="BR102" s="100">
        <v>6.8122287788211482</v>
      </c>
      <c r="BS102" s="100">
        <v>3621.3808188213225</v>
      </c>
      <c r="BT102" s="100">
        <v>7</v>
      </c>
      <c r="BU102" s="100">
        <v>3721.2000000000003</v>
      </c>
      <c r="BV102" s="100">
        <v>11</v>
      </c>
      <c r="BW102" s="100">
        <v>5847.6</v>
      </c>
      <c r="BX102" s="100">
        <v>13</v>
      </c>
      <c r="BY102" s="100">
        <v>6910.8</v>
      </c>
      <c r="BZ102" s="100">
        <v>2.0000264446315463</v>
      </c>
      <c r="CA102" s="100">
        <v>1063.21405796613</v>
      </c>
      <c r="CB102" s="100">
        <v>9.173293232075407</v>
      </c>
      <c r="CC102" s="100">
        <v>4876.5226821712868</v>
      </c>
      <c r="CD102" s="100">
        <v>0.65183309862149064</v>
      </c>
      <c r="CE102" s="100">
        <v>346.51447522718445</v>
      </c>
      <c r="CF102" s="100">
        <v>13</v>
      </c>
      <c r="CG102" s="100">
        <v>6910.8</v>
      </c>
      <c r="CH102" s="100">
        <v>9.847126103785838</v>
      </c>
      <c r="CI102" s="100">
        <v>5234.7322367725519</v>
      </c>
      <c r="CJ102" s="100">
        <v>7.3555438819406245</v>
      </c>
      <c r="CK102" s="100">
        <v>3910.2071276396359</v>
      </c>
      <c r="CL102" s="100">
        <v>0.60148826580113157</v>
      </c>
      <c r="CM102" s="100">
        <v>319.75116209988158</v>
      </c>
      <c r="CN102" s="100">
        <v>12</v>
      </c>
      <c r="CO102" s="100">
        <v>6379.2000000000007</v>
      </c>
      <c r="CP102" s="100">
        <v>10.932916225333415</v>
      </c>
      <c r="CQ102" s="100">
        <v>5811.9382653872435</v>
      </c>
      <c r="CR102" s="100">
        <v>7.5068925214867273</v>
      </c>
      <c r="CS102" s="100">
        <v>3990.6640644223444</v>
      </c>
      <c r="CT102" s="100">
        <v>8.1999562501302119</v>
      </c>
      <c r="CU102" s="100">
        <v>4359.0967425692206</v>
      </c>
    </row>
    <row r="103" spans="2:99">
      <c r="C103" s="99" t="s">
        <v>269</v>
      </c>
      <c r="D103" s="100">
        <v>5.290701254052335</v>
      </c>
      <c r="E103" s="100">
        <v>3117.2811788876356</v>
      </c>
      <c r="F103" s="100">
        <v>7</v>
      </c>
      <c r="G103" s="100">
        <v>4124.3999999999996</v>
      </c>
      <c r="H103" s="100">
        <v>12</v>
      </c>
      <c r="I103" s="100">
        <v>7070.4</v>
      </c>
      <c r="J103" s="100">
        <v>10.155762385738093</v>
      </c>
      <c r="K103" s="100">
        <v>5983.7751976768841</v>
      </c>
      <c r="L103" s="100">
        <v>4.6516293130668345</v>
      </c>
      <c r="M103" s="100">
        <v>2740.7399912589785</v>
      </c>
      <c r="N103" s="100">
        <v>8.3934427119077064</v>
      </c>
      <c r="O103" s="100">
        <v>4945.4164458560199</v>
      </c>
      <c r="P103" s="100">
        <v>8</v>
      </c>
      <c r="Q103" s="100">
        <v>4713.5999999999995</v>
      </c>
      <c r="R103" s="100">
        <v>10.195428846465321</v>
      </c>
      <c r="S103" s="100">
        <v>6007.1466763373664</v>
      </c>
      <c r="T103" s="100">
        <v>10</v>
      </c>
      <c r="U103" s="100">
        <v>5891.9999999999991</v>
      </c>
      <c r="V103" s="100">
        <v>9</v>
      </c>
      <c r="W103" s="100">
        <v>5302.7999999999993</v>
      </c>
      <c r="X103" s="100">
        <v>6.7686389690142255</v>
      </c>
      <c r="Y103" s="100">
        <v>3988.0820805431813</v>
      </c>
      <c r="Z103" s="100">
        <v>5.2874634281776087</v>
      </c>
      <c r="AA103" s="100">
        <v>3115.3734518822466</v>
      </c>
      <c r="AB103" s="100">
        <v>3.5139981664483986</v>
      </c>
      <c r="AC103" s="100">
        <v>2070.447719671396</v>
      </c>
      <c r="AD103" s="100">
        <v>6.1652547244615974</v>
      </c>
      <c r="AE103" s="100">
        <v>3632.5680836527727</v>
      </c>
      <c r="AF103" s="100">
        <v>9.5677439628166159</v>
      </c>
      <c r="AG103" s="100">
        <v>5637.314742891549</v>
      </c>
      <c r="AH103" s="100">
        <v>8.5642013273299291</v>
      </c>
      <c r="AI103" s="100">
        <v>5046.0274220627934</v>
      </c>
      <c r="AJ103" s="100">
        <v>7.4354954458747624</v>
      </c>
      <c r="AK103" s="100">
        <v>4380.9939167094099</v>
      </c>
      <c r="AL103" s="100">
        <v>0</v>
      </c>
      <c r="AM103" s="100">
        <v>0</v>
      </c>
      <c r="AN103" s="100">
        <v>7.9174257062555586</v>
      </c>
      <c r="AO103" s="100">
        <v>4664.9472261257743</v>
      </c>
      <c r="AP103" s="100">
        <v>0.73530560933945677</v>
      </c>
      <c r="AQ103" s="100">
        <v>433.24206502280788</v>
      </c>
      <c r="AR103" s="100">
        <v>7.51720418703822</v>
      </c>
      <c r="AS103" s="100">
        <v>4429.1367070029191</v>
      </c>
      <c r="AT103" s="100">
        <v>13</v>
      </c>
      <c r="AU103" s="100">
        <v>7659.5999999999995</v>
      </c>
      <c r="AV103" s="100">
        <v>11</v>
      </c>
      <c r="AW103" s="100">
        <v>6481.1999999999989</v>
      </c>
      <c r="AX103" s="100">
        <v>8.523143217848661</v>
      </c>
      <c r="AY103" s="100">
        <v>5021.8359839564309</v>
      </c>
      <c r="AZ103" s="100">
        <v>8.3736841367855135</v>
      </c>
      <c r="BA103" s="100">
        <v>4933.7746933940243</v>
      </c>
      <c r="BB103" s="100">
        <v>9.3216483786857598</v>
      </c>
      <c r="BC103" s="100">
        <v>5492.3152247216494</v>
      </c>
      <c r="BD103" s="100">
        <v>8.8124390469626803</v>
      </c>
      <c r="BE103" s="100">
        <v>5192.2890864704104</v>
      </c>
      <c r="BF103" s="100">
        <v>0.5720339435067463</v>
      </c>
      <c r="BG103" s="100">
        <v>337.04239951417486</v>
      </c>
      <c r="BH103" s="100">
        <v>12</v>
      </c>
      <c r="BI103" s="100">
        <v>7070.4</v>
      </c>
      <c r="BJ103" s="100">
        <v>13</v>
      </c>
      <c r="BK103" s="100">
        <v>7659.5999999999995</v>
      </c>
      <c r="BL103" s="100">
        <v>9.5293721615591682</v>
      </c>
      <c r="BM103" s="100">
        <v>5614.7060775906612</v>
      </c>
      <c r="BN103" s="100">
        <v>0.64221403379808317</v>
      </c>
      <c r="BO103" s="100">
        <v>378.39250871383058</v>
      </c>
      <c r="BP103" s="100">
        <v>8</v>
      </c>
      <c r="BQ103" s="100">
        <v>4713.5999999999995</v>
      </c>
      <c r="BR103" s="100">
        <v>7.5691430875790537</v>
      </c>
      <c r="BS103" s="100">
        <v>4459.739107201578</v>
      </c>
      <c r="BT103" s="100">
        <v>7</v>
      </c>
      <c r="BU103" s="100">
        <v>4124.3999999999996</v>
      </c>
      <c r="BV103" s="100">
        <v>12</v>
      </c>
      <c r="BW103" s="100">
        <v>7070.4</v>
      </c>
      <c r="BX103" s="100">
        <v>12</v>
      </c>
      <c r="BY103" s="100">
        <v>7070.4</v>
      </c>
      <c r="BZ103" s="100">
        <v>2.0000264446315463</v>
      </c>
      <c r="CA103" s="100">
        <v>1178.4155811769069</v>
      </c>
      <c r="CB103" s="100">
        <v>7.8628227703503475</v>
      </c>
      <c r="CC103" s="100">
        <v>4632.7751762904245</v>
      </c>
      <c r="CD103" s="100">
        <v>0.65183309862149064</v>
      </c>
      <c r="CE103" s="100">
        <v>384.06006170778221</v>
      </c>
      <c r="CF103" s="100">
        <v>13</v>
      </c>
      <c r="CG103" s="100">
        <v>7659.5999999999995</v>
      </c>
      <c r="CH103" s="100">
        <v>9.847126103785838</v>
      </c>
      <c r="CI103" s="100">
        <v>5801.9267003506147</v>
      </c>
      <c r="CJ103" s="100">
        <v>6.5382612283916668</v>
      </c>
      <c r="CK103" s="100">
        <v>3852.3435157683698</v>
      </c>
      <c r="CL103" s="100">
        <v>0.54133943922101835</v>
      </c>
      <c r="CM103" s="100">
        <v>318.95719758902396</v>
      </c>
      <c r="CN103" s="100">
        <v>12</v>
      </c>
      <c r="CO103" s="100">
        <v>7070.4</v>
      </c>
      <c r="CP103" s="100">
        <v>10.932916225333415</v>
      </c>
      <c r="CQ103" s="100">
        <v>6441.6742399664472</v>
      </c>
      <c r="CR103" s="100">
        <v>8.7580412750678498</v>
      </c>
      <c r="CS103" s="100">
        <v>5160.2379192699764</v>
      </c>
      <c r="CT103" s="100">
        <v>8.1999562501302119</v>
      </c>
      <c r="CU103" s="100">
        <v>4831.41422257672</v>
      </c>
    </row>
    <row r="104" spans="2:99">
      <c r="C104" s="99" t="s">
        <v>270</v>
      </c>
      <c r="D104" s="100">
        <v>5.9520389108088763</v>
      </c>
      <c r="E104" s="100">
        <v>3764.0694071955331</v>
      </c>
      <c r="F104" s="100">
        <v>7</v>
      </c>
      <c r="G104" s="100">
        <v>4426.8</v>
      </c>
      <c r="H104" s="100">
        <v>11</v>
      </c>
      <c r="I104" s="100">
        <v>6956.4</v>
      </c>
      <c r="J104" s="100">
        <v>9.3094488535932527</v>
      </c>
      <c r="K104" s="100">
        <v>5887.2954550123732</v>
      </c>
      <c r="L104" s="100">
        <v>4.6516293130668345</v>
      </c>
      <c r="M104" s="100">
        <v>2941.6903775834662</v>
      </c>
      <c r="N104" s="100">
        <v>8.3934427119077064</v>
      </c>
      <c r="O104" s="100">
        <v>5308.0131710104333</v>
      </c>
      <c r="P104" s="100">
        <v>9</v>
      </c>
      <c r="Q104" s="100">
        <v>5691.5999999999995</v>
      </c>
      <c r="R104" s="100">
        <v>8.4961907053877681</v>
      </c>
      <c r="S104" s="100">
        <v>5372.9910020872239</v>
      </c>
      <c r="T104" s="100">
        <v>9</v>
      </c>
      <c r="U104" s="100">
        <v>5691.5999999999995</v>
      </c>
      <c r="V104" s="100">
        <v>8</v>
      </c>
      <c r="W104" s="100">
        <v>5059.2</v>
      </c>
      <c r="X104" s="100">
        <v>7.383969784379155</v>
      </c>
      <c r="Y104" s="100">
        <v>4669.6224916413776</v>
      </c>
      <c r="Z104" s="100">
        <v>5.2874634281776087</v>
      </c>
      <c r="AA104" s="100">
        <v>3343.7918719795198</v>
      </c>
      <c r="AB104" s="100">
        <v>3.5139981664483986</v>
      </c>
      <c r="AC104" s="100">
        <v>2222.2524404619671</v>
      </c>
      <c r="AD104" s="100">
        <v>7.3983056693539169</v>
      </c>
      <c r="AE104" s="100">
        <v>4678.6885052994166</v>
      </c>
      <c r="AF104" s="100">
        <v>9.5677439628166159</v>
      </c>
      <c r="AG104" s="100">
        <v>6050.6412820852274</v>
      </c>
      <c r="AH104" s="100">
        <v>9.2778847712740902</v>
      </c>
      <c r="AI104" s="100">
        <v>5867.3343293537346</v>
      </c>
      <c r="AJ104" s="100">
        <v>9.087827767180265</v>
      </c>
      <c r="AK104" s="100">
        <v>5747.1422799647989</v>
      </c>
      <c r="AL104" s="100">
        <v>0</v>
      </c>
      <c r="AM104" s="100">
        <v>0</v>
      </c>
      <c r="AN104" s="100">
        <v>9.5009108475066704</v>
      </c>
      <c r="AO104" s="100">
        <v>6008.3760199632179</v>
      </c>
      <c r="AP104" s="100">
        <v>0.73530560933945677</v>
      </c>
      <c r="AQ104" s="100">
        <v>465.00726734627244</v>
      </c>
      <c r="AR104" s="100">
        <v>7.51720418703822</v>
      </c>
      <c r="AS104" s="100">
        <v>4753.8799278829702</v>
      </c>
      <c r="AT104" s="100">
        <v>13</v>
      </c>
      <c r="AU104" s="100">
        <v>8221.1999999999989</v>
      </c>
      <c r="AV104" s="100">
        <v>10</v>
      </c>
      <c r="AW104" s="100">
        <v>6324</v>
      </c>
      <c r="AX104" s="100">
        <v>7.5761273047543662</v>
      </c>
      <c r="AY104" s="100">
        <v>4791.1429075266615</v>
      </c>
      <c r="AZ104" s="100">
        <v>7.7295545878020127</v>
      </c>
      <c r="BA104" s="100">
        <v>4888.1703213259925</v>
      </c>
      <c r="BB104" s="100">
        <v>10.03869825396928</v>
      </c>
      <c r="BC104" s="100">
        <v>6348.4727758101717</v>
      </c>
      <c r="BD104" s="100">
        <v>10.281178888123128</v>
      </c>
      <c r="BE104" s="100">
        <v>6501.8175288490656</v>
      </c>
      <c r="BF104" s="100">
        <v>0.5720339435067463</v>
      </c>
      <c r="BG104" s="100">
        <v>361.75426587366633</v>
      </c>
      <c r="BH104" s="100">
        <v>12</v>
      </c>
      <c r="BI104" s="100">
        <v>7588.7999999999993</v>
      </c>
      <c r="BJ104" s="100">
        <v>13</v>
      </c>
      <c r="BK104" s="100">
        <v>8221.1999999999989</v>
      </c>
      <c r="BL104" s="100">
        <v>8.7963435337469242</v>
      </c>
      <c r="BM104" s="100">
        <v>5562.8076507415544</v>
      </c>
      <c r="BN104" s="100">
        <v>0.64221403379808317</v>
      </c>
      <c r="BO104" s="100">
        <v>406.13615497390776</v>
      </c>
      <c r="BP104" s="100">
        <v>6</v>
      </c>
      <c r="BQ104" s="100">
        <v>3794.3999999999996</v>
      </c>
      <c r="BR104" s="100">
        <v>6.8122287788211482</v>
      </c>
      <c r="BS104" s="100">
        <v>4308.0534797264936</v>
      </c>
      <c r="BT104" s="100">
        <v>7</v>
      </c>
      <c r="BU104" s="100">
        <v>4426.8</v>
      </c>
      <c r="BV104" s="100">
        <v>10</v>
      </c>
      <c r="BW104" s="100">
        <v>6324</v>
      </c>
      <c r="BX104" s="100">
        <v>12</v>
      </c>
      <c r="BY104" s="100">
        <v>7588.7999999999993</v>
      </c>
      <c r="BZ104" s="100">
        <v>2.0000264446315463</v>
      </c>
      <c r="CA104" s="100">
        <v>1264.8167235849899</v>
      </c>
      <c r="CB104" s="100">
        <v>7.8628227703503475</v>
      </c>
      <c r="CC104" s="100">
        <v>4972.4491199695594</v>
      </c>
      <c r="CD104" s="100">
        <v>0.65183309862149064</v>
      </c>
      <c r="CE104" s="100">
        <v>412.21925156823067</v>
      </c>
      <c r="CF104" s="100">
        <v>13</v>
      </c>
      <c r="CG104" s="100">
        <v>8221.1999999999989</v>
      </c>
      <c r="CH104" s="100">
        <v>10.831838714164421</v>
      </c>
      <c r="CI104" s="100">
        <v>6850.0548028375797</v>
      </c>
      <c r="CJ104" s="100">
        <v>7.3555438819406245</v>
      </c>
      <c r="CK104" s="100">
        <v>4651.6459509392507</v>
      </c>
      <c r="CL104" s="100">
        <v>0.60148826580113157</v>
      </c>
      <c r="CM104" s="100">
        <v>380.38117929263558</v>
      </c>
      <c r="CN104" s="100">
        <v>12</v>
      </c>
      <c r="CO104" s="100">
        <v>7588.7999999999993</v>
      </c>
      <c r="CP104" s="100">
        <v>10.932916225333415</v>
      </c>
      <c r="CQ104" s="100">
        <v>6913.9762209008513</v>
      </c>
      <c r="CR104" s="100">
        <v>7.5068925214867273</v>
      </c>
      <c r="CS104" s="100">
        <v>4747.3588305882058</v>
      </c>
      <c r="CT104" s="100">
        <v>7.5691903847355801</v>
      </c>
      <c r="CU104" s="100">
        <v>4786.7559993067807</v>
      </c>
    </row>
    <row r="105" spans="2:99">
      <c r="C105" s="99" t="s">
        <v>271</v>
      </c>
      <c r="D105" s="100">
        <v>5.290701254052335</v>
      </c>
      <c r="E105" s="100">
        <v>2945.8624582563398</v>
      </c>
      <c r="F105" s="100">
        <v>7</v>
      </c>
      <c r="G105" s="100">
        <v>3897.5999999999995</v>
      </c>
      <c r="H105" s="100">
        <v>12</v>
      </c>
      <c r="I105" s="100">
        <v>6681.5999999999995</v>
      </c>
      <c r="J105" s="100">
        <v>9.3094488535932527</v>
      </c>
      <c r="K105" s="100">
        <v>5183.5011216807225</v>
      </c>
      <c r="L105" s="100">
        <v>5.3161477863620972</v>
      </c>
      <c r="M105" s="100">
        <v>2960.0310874464153</v>
      </c>
      <c r="N105" s="100">
        <v>7.4608379661401836</v>
      </c>
      <c r="O105" s="100">
        <v>4154.1945795468537</v>
      </c>
      <c r="P105" s="100">
        <v>8</v>
      </c>
      <c r="Q105" s="100">
        <v>4454.3999999999996</v>
      </c>
      <c r="R105" s="100">
        <v>9.3458097759265453</v>
      </c>
      <c r="S105" s="100">
        <v>5203.7468832359</v>
      </c>
      <c r="T105" s="100">
        <v>10</v>
      </c>
      <c r="U105" s="100">
        <v>5568</v>
      </c>
      <c r="V105" s="100">
        <v>10</v>
      </c>
      <c r="W105" s="100">
        <v>5568</v>
      </c>
      <c r="X105" s="100">
        <v>7.9993005997440845</v>
      </c>
      <c r="Y105" s="100">
        <v>4454.0105739375058</v>
      </c>
      <c r="Z105" s="100">
        <v>5.2874634281776087</v>
      </c>
      <c r="AA105" s="100">
        <v>2944.0596368092924</v>
      </c>
      <c r="AB105" s="100">
        <v>3.5139981664483986</v>
      </c>
      <c r="AC105" s="100">
        <v>1956.5941790784682</v>
      </c>
      <c r="AD105" s="100">
        <v>7.3983056693539169</v>
      </c>
      <c r="AE105" s="100">
        <v>4119.376596696261</v>
      </c>
      <c r="AF105" s="100">
        <v>8.8317636579845686</v>
      </c>
      <c r="AG105" s="100">
        <v>4917.5260047658076</v>
      </c>
      <c r="AH105" s="100">
        <v>9.2778847712740902</v>
      </c>
      <c r="AI105" s="100">
        <v>5165.9262406454127</v>
      </c>
      <c r="AJ105" s="100">
        <v>8.2616616065275128</v>
      </c>
      <c r="AK105" s="100">
        <v>4600.093182514519</v>
      </c>
      <c r="AL105" s="100">
        <v>0</v>
      </c>
      <c r="AM105" s="100">
        <v>0</v>
      </c>
      <c r="AN105" s="100">
        <v>8.7091682768811136</v>
      </c>
      <c r="AO105" s="100">
        <v>4849.2648965674034</v>
      </c>
      <c r="AP105" s="100">
        <v>0.67874363939026772</v>
      </c>
      <c r="AQ105" s="100">
        <v>377.92445841250105</v>
      </c>
      <c r="AR105" s="100">
        <v>7.51720418703822</v>
      </c>
      <c r="AS105" s="100">
        <v>4185.5792913428804</v>
      </c>
      <c r="AT105" s="100">
        <v>12</v>
      </c>
      <c r="AU105" s="100">
        <v>6681.5999999999995</v>
      </c>
      <c r="AV105" s="100">
        <v>10</v>
      </c>
      <c r="AW105" s="100">
        <v>5568</v>
      </c>
      <c r="AX105" s="100">
        <v>7.5761273047543662</v>
      </c>
      <c r="AY105" s="100">
        <v>4218.3876832872311</v>
      </c>
      <c r="AZ105" s="100">
        <v>7.7295545878020127</v>
      </c>
      <c r="BA105" s="100">
        <v>4303.81599448816</v>
      </c>
      <c r="BB105" s="100">
        <v>8.6045985034022401</v>
      </c>
      <c r="BC105" s="100">
        <v>4791.0404466943664</v>
      </c>
      <c r="BD105" s="100">
        <v>9.5468089675429049</v>
      </c>
      <c r="BE105" s="100">
        <v>5315.6632331278888</v>
      </c>
      <c r="BF105" s="100">
        <v>0.63559327056305137</v>
      </c>
      <c r="BG105" s="100">
        <v>353.89833304950696</v>
      </c>
      <c r="BH105" s="100">
        <v>12</v>
      </c>
      <c r="BI105" s="100">
        <v>6681.5999999999995</v>
      </c>
      <c r="BJ105" s="100">
        <v>14</v>
      </c>
      <c r="BK105" s="100">
        <v>7795.1999999999989</v>
      </c>
      <c r="BL105" s="100">
        <v>10.262400789371412</v>
      </c>
      <c r="BM105" s="100">
        <v>5714.1047595220016</v>
      </c>
      <c r="BN105" s="100">
        <v>0.64221403379808317</v>
      </c>
      <c r="BO105" s="100">
        <v>357.58477401877269</v>
      </c>
      <c r="BP105" s="100">
        <v>7</v>
      </c>
      <c r="BQ105" s="100">
        <v>3897.5999999999995</v>
      </c>
      <c r="BR105" s="100">
        <v>6.8122287788211482</v>
      </c>
      <c r="BS105" s="100">
        <v>3793.0489840476148</v>
      </c>
      <c r="BT105" s="100">
        <v>7</v>
      </c>
      <c r="BU105" s="100">
        <v>3897.5999999999995</v>
      </c>
      <c r="BV105" s="100">
        <v>10</v>
      </c>
      <c r="BW105" s="100">
        <v>5568</v>
      </c>
      <c r="BX105" s="100">
        <v>13</v>
      </c>
      <c r="BY105" s="100">
        <v>7238.4</v>
      </c>
      <c r="BZ105" s="100">
        <v>2.1818470305071416</v>
      </c>
      <c r="CA105" s="100">
        <v>1214.8524265863764</v>
      </c>
      <c r="CB105" s="100">
        <v>8.5180580012128768</v>
      </c>
      <c r="CC105" s="100">
        <v>4742.8546950753298</v>
      </c>
      <c r="CD105" s="100">
        <v>0.70615252350661484</v>
      </c>
      <c r="CE105" s="100">
        <v>393.18572508848308</v>
      </c>
      <c r="CF105" s="100">
        <v>14</v>
      </c>
      <c r="CG105" s="100">
        <v>7795.1999999999989</v>
      </c>
      <c r="CH105" s="100">
        <v>10.831838714164421</v>
      </c>
      <c r="CI105" s="100">
        <v>6031.1677960467496</v>
      </c>
      <c r="CJ105" s="100">
        <v>7.3555438819406245</v>
      </c>
      <c r="CK105" s="100">
        <v>4095.5668334645393</v>
      </c>
      <c r="CL105" s="100">
        <v>0.48119061264090524</v>
      </c>
      <c r="CM105" s="100">
        <v>267.92693311845602</v>
      </c>
      <c r="CN105" s="100">
        <v>13</v>
      </c>
      <c r="CO105" s="100">
        <v>7238.4</v>
      </c>
      <c r="CP105" s="100">
        <v>10.932916225333415</v>
      </c>
      <c r="CQ105" s="100">
        <v>6087.447754265645</v>
      </c>
      <c r="CR105" s="100">
        <v>8.1324668982772881</v>
      </c>
      <c r="CS105" s="100">
        <v>4528.1575689607935</v>
      </c>
      <c r="CT105" s="100">
        <v>8.1999562501302119</v>
      </c>
      <c r="CU105" s="100">
        <v>4565.7356400725021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340.67581323094117</v>
      </c>
      <c r="E109" s="100">
        <f>SUM(L$6:L$19)+SUM(N$6:N$19)+SUM(P$6:P$19)+SUM(R$6:R$19)</f>
        <v>418</v>
      </c>
      <c r="F109" s="100">
        <f>SUM(T$6:T$19)+SUM(V$6:V$19)+SUM(X$6:X$19)+SUM(Z$6:Z$19)</f>
        <v>449.99773420074871</v>
      </c>
      <c r="G109" s="100">
        <f>SUM(AB$6:AB$19)+SUM(AD$6:AD$19)+SUM(AF$6:AF$19)+SUM(AH$6:AH$19)</f>
        <v>538</v>
      </c>
      <c r="H109" s="100">
        <f>SUM(AJ$6:AJ$19)+SUM(AL$6:AL$19)+SUM(AN$6:AN$19)+SUM(AP$6:AP$19)</f>
        <v>541</v>
      </c>
      <c r="I109" s="100">
        <f>SUM(AR$6:AR$19)+SUM(AT$6:AT$19)+SUM(AV$6:AV$19)+SUM(AX$6:AX$19)</f>
        <v>485</v>
      </c>
      <c r="J109" s="100">
        <f>SUM(AZ$6:AZ$19)+SUM(BB$6:BB$19)+SUM(BD$6:BD$19)+SUM(BF$6:BF$19)</f>
        <v>535</v>
      </c>
      <c r="K109" s="100">
        <f>SUM(BH$6:BH$19)+SUM(BJ$6:BJ$19)+SUM(BL$6:BL$19)+SUM(BN$6:BN$19)</f>
        <v>543</v>
      </c>
      <c r="L109" s="100">
        <f>SUM(BP$6:BP$19)+SUM(BR$6:BR$19)+SUM(BT$6:BT$19)+SUM(BV$6:BV$19)</f>
        <v>493</v>
      </c>
      <c r="M109" s="100">
        <f>SUM(BX$6:BX$19)+SUM(BZ$6:BZ$19)+SUM(CB$6:CB$19)+SUM(CD$6:CD$19)</f>
        <v>476</v>
      </c>
      <c r="N109" s="100">
        <f>SUM(CF$6:CF$19)+SUM(CH$6:CH$19)+SUM(CJ$6:CJ$19)+SUM(CL$6:CL$19)</f>
        <v>468</v>
      </c>
      <c r="O109" s="100">
        <f>SUM(CN$6:CN$19)+SUM(CP$6:CP$19)+SUM(CR$6:CR$19)+SUM(CT$6:CT$19)</f>
        <v>645</v>
      </c>
    </row>
    <row r="110" spans="2:99">
      <c r="C110" s="99" t="s">
        <v>127</v>
      </c>
      <c r="D110" s="100">
        <f>SUM(D$20:D$36)+SUM(F$20:F$36)+SUM(H$20:H$36)+SUM(J$20:J$36)</f>
        <v>749.88768220169629</v>
      </c>
      <c r="E110" s="100">
        <f>SUM(L$20:L$36)+SUM(N$20:N$36)+SUM(P$20:P$36)+SUM(R$20:R$36)</f>
        <v>1201</v>
      </c>
      <c r="F110" s="100">
        <f>SUM(T$20:T$36)+SUM(V$20:V$36)+SUM(X$20:X$36)+SUM(Z$20:Z$36)</f>
        <v>1168.2649542106069</v>
      </c>
      <c r="G110" s="100">
        <f>SUM(AB$20:AB$36)+SUM(AD$20:AD$36)+SUM(AF$20:AF$36)+SUM(AH$20:AH$36)</f>
        <v>1043</v>
      </c>
      <c r="H110" s="100">
        <f>SUM(AJ$20:AJ$36)+SUM(AL$20:AL$36)+SUM(AN$20:AN$36)+SUM(AP$20:AP$36)</f>
        <v>953</v>
      </c>
      <c r="I110" s="100">
        <f>SUM(AR$20:AR$36)+SUM(AT$20:AT$36)+SUM(AV$20:AV$36)+SUM(AX$20:AX$36)</f>
        <v>989</v>
      </c>
      <c r="J110" s="100">
        <f>SUM(AZ$20:AZ$36)+SUM(BB$20:BB$36)+SUM(BD$20:BD$36)+SUM(BF$20:BF$36)</f>
        <v>1122</v>
      </c>
      <c r="K110" s="100">
        <f>SUM(BH$20:BH$36)+SUM(BJ$20:BJ$36)+SUM(BL$20:BL$36)+SUM(BN$20:BN$36)</f>
        <v>1109</v>
      </c>
      <c r="L110" s="100">
        <f>SUM(BP$20:BP$36)+SUM(BR$20:BR$36)+SUM(BT$20:BT$36)+SUM(BV$20:BV$36)</f>
        <v>1007</v>
      </c>
      <c r="M110" s="100">
        <f>SUM(BX$20:BX$36)+SUM(BZ$20:BZ$36)+SUM(CB$20:CB$36)+SUM(CD$20:CD$36)</f>
        <v>1142</v>
      </c>
      <c r="N110" s="100">
        <f>SUM(CF$20:CF$36)+SUM(CH$20:CH$36)+SUM(CJ$20:CJ$36)+SUM(CL$20:CL$36)</f>
        <v>1181</v>
      </c>
      <c r="O110" s="100">
        <f>SUM(CN$20:CN$36)+SUM(CP$20:CP$36)+SUM(CR$20:CR$36)+SUM(CT$20:CT$36)</f>
        <v>1108</v>
      </c>
    </row>
    <row r="111" spans="2:99">
      <c r="C111" s="99" t="s">
        <v>128</v>
      </c>
      <c r="D111" s="100">
        <f>SUM(D$37:D$48)+SUM(F$37:F$48)+SUM(H$37:H$48)+SUM(J$37:J$48)</f>
        <v>329.07338814221316</v>
      </c>
      <c r="E111" s="100">
        <f>SUM(L$37:L$48)+SUM(N$37:N$48)+SUM(P$37:P$48)+SUM(R$37:R$48)</f>
        <v>575</v>
      </c>
      <c r="F111" s="100">
        <f>SUM(T$37:T$48)+SUM(V$37:V$48)+SUM(X$37:X$48)+SUM(Z$37:Z$48)</f>
        <v>475.55926561460689</v>
      </c>
      <c r="G111" s="100">
        <f>SUM(AB$37:AB$48)+SUM(AD$37:AD$48)+SUM(AF$37:AF$48)+SUM(AH$37:AH$48)</f>
        <v>532</v>
      </c>
      <c r="H111" s="100">
        <f>SUM(AJ$37:AJ$48)+SUM(AL$37:AL$48)+SUM(AN$37:AN$48)+SUM(AP$37:AP$48)</f>
        <v>539</v>
      </c>
      <c r="I111" s="100">
        <f>SUM(AR$37:AR$48)+SUM(AT$37:AT$48)+SUM(AV$37:AV$48)+SUM(AX$37:AX$48)</f>
        <v>539</v>
      </c>
      <c r="J111" s="100">
        <f>SUM(AZ$37:AZ$48)+SUM(BB$37:BB$48)+SUM(BD$37:BD$48)+SUM(BF$37:BF$48)</f>
        <v>487</v>
      </c>
      <c r="K111" s="100">
        <f>SUM(BH$37:BH$48)+SUM(BJ$37:BJ$48)+SUM(BL$37:BL$48)+SUM(BN$37:BN$48)</f>
        <v>561</v>
      </c>
      <c r="L111" s="100">
        <f>SUM(BP$37:BP$48)+SUM(BR$37:BR$48)+SUM(BT$37:BT$48)+SUM(BV$37:BV$48)</f>
        <v>488</v>
      </c>
      <c r="M111" s="100">
        <f>SUM(BX$37:BX$48)+SUM(BZ$37:BZ$48)+SUM(CB$37:CB$48)+SUM(CD$37:CD$48)</f>
        <v>508</v>
      </c>
      <c r="N111" s="100">
        <f>SUM(CF$37:CF$48)+SUM(CH$37:CH$48)+SUM(CJ$37:CJ$48)+SUM(CL$37:CL$48)</f>
        <v>568</v>
      </c>
      <c r="O111" s="100">
        <f>SUM(CN$37:CN$48)+SUM(CP$37:CP$48)+SUM(CR$37:CR$48)+SUM(CT$37:CT$48)</f>
        <v>566</v>
      </c>
    </row>
    <row r="112" spans="2:99">
      <c r="C112" s="99" t="s">
        <v>129</v>
      </c>
      <c r="D112" s="100">
        <f>SUM(D$49:D$70)+SUM(F$49:F$70)+SUM(H$49:H$70)+SUM(J$49:J$70)</f>
        <v>428.13431786206047</v>
      </c>
      <c r="E112" s="100">
        <f>SUM(L$49:L$70)+SUM(N$49:N$70)+SUM(P$49:P$70)+SUM(R$49:R$70)</f>
        <v>697.79641443796913</v>
      </c>
      <c r="F112" s="100">
        <f>SUM(T$49:T$70)+SUM(V$49:V$70)+SUM(X$49:X$70)+SUM(Z$49:Z$70)</f>
        <v>707.25193456454383</v>
      </c>
      <c r="G112" s="100">
        <f>SUM(AB$49:AB$70)+SUM(AD$49:AD$70)+SUM(AF$49:AF$70)+SUM(AH$49:AH$70)</f>
        <v>645.80522204596855</v>
      </c>
      <c r="H112" s="100">
        <f>SUM(AJ$49:AJ$70)+SUM(AL$49:AL$70)+SUM(AN$49:AN$70)+SUM(AP$49:AP$70)</f>
        <v>646.12669535531586</v>
      </c>
      <c r="I112" s="100">
        <f>SUM(AR$49:AR$70)+SUM(AT$49:AT$70)+SUM(AV$49:AV$70)+SUM(AX$49:AX$70)</f>
        <v>627.3553129398</v>
      </c>
      <c r="J112" s="100">
        <f>SUM(AZ$49:AZ$70)+SUM(BB$49:BB$70)+SUM(BD$49:BD$70)+SUM(BF$49:BF$70)</f>
        <v>614.76800418036601</v>
      </c>
      <c r="K112" s="100">
        <f>SUM(BH$49:BH$70)+SUM(BJ$49:BJ$70)+SUM(BL$49:BL$70)+SUM(BN$49:BN$70)</f>
        <v>681.52160739378269</v>
      </c>
      <c r="L112" s="100">
        <f>SUM(BP$49:BP$70)+SUM(BR$49:BR$70)+SUM(BT$49:BT$70)+SUM(BV$49:BV$70)</f>
        <v>760.85461100487805</v>
      </c>
      <c r="M112" s="100">
        <f>SUM(BX$49:BX$70)+SUM(BZ$49:BZ$70)+SUM(CB$49:CB$70)+SUM(CD$49:CD$70)</f>
        <v>707.54659421630208</v>
      </c>
      <c r="N112" s="100">
        <f>SUM(CF$49:CF$70)+SUM(CH$49:CH$70)+SUM(CJ$49:CJ$70)+SUM(CL$49:CL$70)</f>
        <v>615.21829453640817</v>
      </c>
      <c r="O112" s="100">
        <f>SUM(CN$49:CN$70)+SUM(CP$49:CP$70)+SUM(CR$49:CR$70)+SUM(CT$49:CT$70)</f>
        <v>647.38439162362715</v>
      </c>
    </row>
    <row r="113" spans="2:15">
      <c r="C113" s="99" t="s">
        <v>130</v>
      </c>
      <c r="D113" s="100">
        <f>SUM(D$71:D$86)+SUM(F$71:F$86)+SUM(H$71:H$86)+SUM(J$71:J$86)</f>
        <v>615.05614164709789</v>
      </c>
      <c r="E113" s="100">
        <f>SUM(L$71:L$86)+SUM(N$71:N$86)+SUM(P$71:P$86)+SUM(R$71:R$86)</f>
        <v>740.02949524922678</v>
      </c>
      <c r="F113" s="100">
        <f>SUM(T$71:T$86)+SUM(V$71:V$86)+SUM(X$71:X$86)+SUM(Z$71:Z$86)</f>
        <v>450.06877210302514</v>
      </c>
      <c r="G113" s="100">
        <f>SUM(AB$71:AB$86)+SUM(AD$71:AD$86)+SUM(AF$71:AF$86)+SUM(AH$71:AH$86)</f>
        <v>587.53376458305172</v>
      </c>
      <c r="H113" s="100">
        <f>SUM(AJ$71:AJ$86)+SUM(AL$71:AL$86)+SUM(AN$71:AN$86)+SUM(AP$71:AP$86)</f>
        <v>535.32416734879826</v>
      </c>
      <c r="I113" s="100">
        <f>SUM(AR$71:AR$86)+SUM(AT$71:AT$86)+SUM(AV$71:AV$86)+SUM(AX$71:AX$86)</f>
        <v>664.62070186039364</v>
      </c>
      <c r="J113" s="100">
        <f>SUM(AZ$71:AZ$86)+SUM(BB$71:BB$86)+SUM(BD$71:BD$86)+SUM(BF$71:BF$86)</f>
        <v>682.82022125662161</v>
      </c>
      <c r="K113" s="100">
        <f>SUM(BH$71:BH$86)+SUM(BJ$71:BJ$86)+SUM(BL$71:BL$86)+SUM(BN$71:BN$86)</f>
        <v>719.61949642974605</v>
      </c>
      <c r="L113" s="100">
        <f>SUM(BP$71:BP$86)+SUM(BR$71:BR$86)+SUM(BT$71:BT$86)+SUM(BV$71:BV$86)</f>
        <v>710.21063778482608</v>
      </c>
      <c r="M113" s="100">
        <f>SUM(BX$71:BX$86)+SUM(BZ$71:BZ$86)+SUM(CB$71:CB$86)+SUM(CD$71:CD$86)</f>
        <v>464.72170291356417</v>
      </c>
      <c r="N113" s="100">
        <f>SUM(CF$71:CF$86)+SUM(CH$71:CH$86)+SUM(CJ$71:CJ$86)+SUM(CL$71:CL$86)</f>
        <v>621.04433038949355</v>
      </c>
      <c r="O113" s="100">
        <f>SUM(CN$71:CN$86)+SUM(CP$71:CP$86)+SUM(CR$71:CR$86)+SUM(CT$71:CT$86)</f>
        <v>633</v>
      </c>
    </row>
    <row r="114" spans="2:15">
      <c r="C114" s="99" t="s">
        <v>131</v>
      </c>
      <c r="D114" s="100">
        <f>SUM(D$87:D$94)+SUM(F$87:F$94)+SUM(H$87:H$94)+SUM(J$87:J$94)</f>
        <v>196.15375235415547</v>
      </c>
      <c r="E114" s="100">
        <f>SUM(L$87:L$94)+SUM(N$87:N$94)+SUM(P$87:P$94)+SUM(R$87:R$94)</f>
        <v>186.328766168393</v>
      </c>
      <c r="F114" s="100">
        <f>SUM(T$87:T$94)+SUM(V$87:V$94)+SUM(X$87:X$94)+SUM(Z$87:Z$94)</f>
        <v>199.97954272124446</v>
      </c>
      <c r="G114" s="100">
        <f>SUM(AB$87:AB$94)+SUM(AD$87:AD$94)+SUM(AF$87:AF$94)+SUM(AH$87:AH$94)</f>
        <v>145.93533657104464</v>
      </c>
      <c r="H114" s="100">
        <f>SUM(AJ$87:AJ$94)+SUM(AL$87:AL$94)+SUM(AN$87:AN$94)+SUM(AP$87:AP$94)</f>
        <v>102.02971384364197</v>
      </c>
      <c r="I114" s="100">
        <f>SUM(AR$87:AR$94)+SUM(AT$87:AT$94)+SUM(AV$87:AV$94)+SUM(AX$87:AX$94)</f>
        <v>273.85842293776403</v>
      </c>
      <c r="J114" s="100">
        <f>SUM(AZ$87:AZ$94)+SUM(BB$87:BB$94)+SUM(BD$87:BD$94)+SUM(BF$87:BF$94)</f>
        <v>142.13644452476169</v>
      </c>
      <c r="K114" s="100">
        <f>SUM(BH$87:BH$94)+SUM(BJ$87:BJ$94)+SUM(BL$87:BL$94)+SUM(BN$87:BN$94)</f>
        <v>183.09649616344942</v>
      </c>
      <c r="L114" s="100">
        <f>SUM(BP$87:BP$94)+SUM(BR$87:BR$94)+SUM(BT$87:BT$94)+SUM(BV$87:BV$94)</f>
        <v>251.68560145174803</v>
      </c>
      <c r="M114" s="100">
        <f>SUM(BX$87:BX$94)+SUM(BZ$87:BZ$94)+SUM(CB$87:CB$94)+SUM(CD$87:CD$94)</f>
        <v>109.59353358708867</v>
      </c>
      <c r="N114" s="100">
        <f>SUM(CF$87:CF$94)+SUM(CH$87:CH$94)+SUM(CJ$87:CJ$94)+SUM(CL$87:CL$94)</f>
        <v>233.0284424761326</v>
      </c>
      <c r="O114" s="100">
        <f>SUM(CN$87:CN$94)+SUM(CP$87:CP$94)+SUM(CR$87:CR$94)+SUM(CT$87:CT$94)</f>
        <v>284.69381961878111</v>
      </c>
    </row>
    <row r="115" spans="2:15">
      <c r="C115" s="99" t="s">
        <v>132</v>
      </c>
      <c r="D115" s="100">
        <f>SUM(D$95:D$105)+SUM(F$95:F$105)+SUM(H$95:H$105)+SUM(J$95:J$105)</f>
        <v>362.72336359249584</v>
      </c>
      <c r="E115" s="100">
        <f>SUM(L$95:L$105)+SUM(N$95:N$105)+SUM(P$95:P$105)+SUM(R$95:R$105)</f>
        <v>327.28356005204125</v>
      </c>
      <c r="F115" s="100">
        <f>SUM(T$95:T$105)+SUM(V$95:V$105)+SUM(X$95:X$105)+SUM(Z$95:Z$105)</f>
        <v>336.38576533812437</v>
      </c>
      <c r="G115" s="100">
        <f>SUM(AB$95:AB$105)+SUM(AD$95:AD$105)+SUM(AF$95:AF$105)+SUM(AH$95:AH$105)</f>
        <v>300.08451055550853</v>
      </c>
      <c r="H115" s="100">
        <f>SUM(AJ$95:AJ$105)+SUM(AL$95:AL$105)+SUM(AN$95:AN$105)+SUM(AP$95:AP$105)</f>
        <v>185.96477953441993</v>
      </c>
      <c r="I115" s="100">
        <f>SUM(AR$95:AR$105)+SUM(AT$95:AT$105)+SUM(AV$95:AV$105)+SUM(AX$95:AX$105)</f>
        <v>422.93808672474296</v>
      </c>
      <c r="J115" s="100">
        <f>SUM(AZ$95:AZ$105)+SUM(BB$95:BB$105)+SUM(BD$95:BD$105)+SUM(BF$95:BF$105)</f>
        <v>294.86072294514241</v>
      </c>
      <c r="K115" s="100">
        <f>SUM(BH$95:BH$105)+SUM(BJ$95:BJ$105)+SUM(BL$95:BL$105)+SUM(BN$95:BN$105)</f>
        <v>382.88102647563244</v>
      </c>
      <c r="L115" s="100">
        <f>SUM(BP$95:BP$105)+SUM(BR$95:BR$105)+SUM(BT$95:BT$105)+SUM(BV$95:BV$105)</f>
        <v>351.96217380206429</v>
      </c>
      <c r="M115" s="100">
        <f>SUM(BX$95:BX$105)+SUM(BZ$95:BZ$105)+SUM(CB$95:CB$105)+SUM(CD$95:CD$105)</f>
        <v>260.32594101445432</v>
      </c>
      <c r="N115" s="100">
        <f>SUM(CF$95:CF$105)+SUM(CH$95:CH$105)+SUM(CJ$95:CJ$105)+SUM(CL$95:CL$105)</f>
        <v>336.82755906057605</v>
      </c>
      <c r="O115" s="100">
        <f>SUM(CN$95:CN$105)+SUM(CP$95:CP$105)+SUM(CR$95:CR$105)+SUM(CT$95:CT$105)</f>
        <v>416.66414710919969</v>
      </c>
    </row>
    <row r="116" spans="2:15">
      <c r="C116" s="99" t="s">
        <v>278</v>
      </c>
      <c r="D116" s="100">
        <f t="shared" ref="D116:O116" si="0">SUM(D$109:D$115)</f>
        <v>3021.7044590306605</v>
      </c>
      <c r="E116" s="100">
        <f t="shared" si="0"/>
        <v>4145.4382359076308</v>
      </c>
      <c r="F116" s="100">
        <f t="shared" si="0"/>
        <v>3787.5079687528996</v>
      </c>
      <c r="G116" s="100">
        <f t="shared" si="0"/>
        <v>3792.3588337555734</v>
      </c>
      <c r="H116" s="100">
        <f t="shared" si="0"/>
        <v>3502.4453560821762</v>
      </c>
      <c r="I116" s="100">
        <f t="shared" si="0"/>
        <v>4001.7725244627004</v>
      </c>
      <c r="J116" s="100">
        <f t="shared" si="0"/>
        <v>3878.5853929068917</v>
      </c>
      <c r="K116" s="100">
        <f t="shared" si="0"/>
        <v>4180.1186264626103</v>
      </c>
      <c r="L116" s="100">
        <f t="shared" si="0"/>
        <v>4062.7130240435163</v>
      </c>
      <c r="M116" s="100">
        <f t="shared" si="0"/>
        <v>3668.1877717314087</v>
      </c>
      <c r="N116" s="100">
        <f t="shared" si="0"/>
        <v>4023.1186264626103</v>
      </c>
      <c r="O116" s="100">
        <f t="shared" si="0"/>
        <v>4300.7423583516083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2384730.6926165884</v>
      </c>
      <c r="E120" s="100">
        <f>E109*pricing!E15*2000</f>
        <v>2926000</v>
      </c>
      <c r="F120" s="100">
        <f>F109*pricing!F15*2000</f>
        <v>3149984.1394052408</v>
      </c>
      <c r="G120" s="100">
        <f>G109*pricing!G15*2000</f>
        <v>3766000</v>
      </c>
      <c r="H120" s="100">
        <f>H109*pricing!H15*2000</f>
        <v>3787000</v>
      </c>
      <c r="I120" s="100">
        <f>I109*pricing!I15*2000</f>
        <v>3395000</v>
      </c>
      <c r="J120" s="100">
        <f>J109*pricing!J15*2000</f>
        <v>3745000</v>
      </c>
      <c r="K120" s="100">
        <f>K109*pricing!K15*2000</f>
        <v>3801000</v>
      </c>
      <c r="L120" s="100">
        <f>L109*pricing!L15*2000</f>
        <v>3451000</v>
      </c>
      <c r="M120" s="100">
        <f>M109*pricing!M15*2000</f>
        <v>3332000</v>
      </c>
      <c r="N120" s="100">
        <f>N109*pricing!N15*2000</f>
        <v>3276000</v>
      </c>
      <c r="O120" s="100">
        <f>O109*pricing!O15*2000</f>
        <v>4515000</v>
      </c>
    </row>
    <row r="121" spans="2:15">
      <c r="C121" s="99" t="s">
        <v>127</v>
      </c>
      <c r="D121" s="100">
        <f>D110*pricing!D16*2000</f>
        <v>5249213.7754118741</v>
      </c>
      <c r="E121" s="100">
        <f>E110*pricing!E16*2000</f>
        <v>8407000</v>
      </c>
      <c r="F121" s="100">
        <f>F110*pricing!F16*2000</f>
        <v>8177854.6794742486</v>
      </c>
      <c r="G121" s="100">
        <f>G110*pricing!G16*2000</f>
        <v>7301000</v>
      </c>
      <c r="H121" s="100">
        <f>H110*pricing!H16*2000</f>
        <v>6671000</v>
      </c>
      <c r="I121" s="100">
        <f>I110*pricing!I16*2000</f>
        <v>6923000</v>
      </c>
      <c r="J121" s="100">
        <f>J110*pricing!J16*2000</f>
        <v>7854000</v>
      </c>
      <c r="K121" s="100">
        <f>K110*pricing!K16*2000</f>
        <v>7763000</v>
      </c>
      <c r="L121" s="100">
        <f>L110*pricing!L16*2000</f>
        <v>7049000</v>
      </c>
      <c r="M121" s="100">
        <f>M110*pricing!M16*2000</f>
        <v>7994000</v>
      </c>
      <c r="N121" s="100">
        <f>N110*pricing!N16*2000</f>
        <v>8267000</v>
      </c>
      <c r="O121" s="100">
        <f>O110*pricing!O16*2000</f>
        <v>7756000</v>
      </c>
    </row>
    <row r="122" spans="2:15">
      <c r="C122" s="99" t="s">
        <v>128</v>
      </c>
      <c r="D122" s="100">
        <f>D111*pricing!D17*2000</f>
        <v>2303513.7169954926</v>
      </c>
      <c r="E122" s="100">
        <f>E111*pricing!E17*2000</f>
        <v>4025000</v>
      </c>
      <c r="F122" s="100">
        <f>F111*pricing!F17*2000</f>
        <v>3328914.8593022483</v>
      </c>
      <c r="G122" s="100">
        <f>G111*pricing!G17*2000</f>
        <v>3724000</v>
      </c>
      <c r="H122" s="100">
        <f>H111*pricing!H17*2000</f>
        <v>3773000</v>
      </c>
      <c r="I122" s="100">
        <f>I111*pricing!I17*2000</f>
        <v>3773000</v>
      </c>
      <c r="J122" s="100">
        <f>J111*pricing!J17*2000</f>
        <v>3409000</v>
      </c>
      <c r="K122" s="100">
        <f>K111*pricing!K17*2000</f>
        <v>3927000</v>
      </c>
      <c r="L122" s="100">
        <f>L111*pricing!L17*2000</f>
        <v>3416000</v>
      </c>
      <c r="M122" s="100">
        <f>M111*pricing!M17*2000</f>
        <v>3556000</v>
      </c>
      <c r="N122" s="100">
        <f>N111*pricing!N17*2000</f>
        <v>3976000</v>
      </c>
      <c r="O122" s="100">
        <f>O111*pricing!O17*2000</f>
        <v>3962000</v>
      </c>
    </row>
    <row r="123" spans="2:15">
      <c r="C123" s="99" t="s">
        <v>129</v>
      </c>
      <c r="D123" s="100">
        <f>D112*pricing!D18*2000</f>
        <v>2996940.2250344232</v>
      </c>
      <c r="E123" s="100">
        <f>E112*pricing!E18*2000</f>
        <v>4884574.9010657836</v>
      </c>
      <c r="F123" s="100">
        <f>F112*pricing!F18*2000</f>
        <v>4950763.5419518063</v>
      </c>
      <c r="G123" s="100">
        <f>G112*pricing!G18*2000</f>
        <v>4520636.5543217799</v>
      </c>
      <c r="H123" s="100">
        <f>H112*pricing!H18*2000</f>
        <v>4522886.8674872108</v>
      </c>
      <c r="I123" s="100">
        <f>I112*pricing!I18*2000</f>
        <v>4391487.1905786004</v>
      </c>
      <c r="J123" s="100">
        <f>J112*pricing!J18*2000</f>
        <v>4303376.0292625623</v>
      </c>
      <c r="K123" s="100">
        <f>K112*pricing!K18*2000</f>
        <v>4770651.251756479</v>
      </c>
      <c r="L123" s="100">
        <f>L112*pricing!L18*2000</f>
        <v>5325982.2770341458</v>
      </c>
      <c r="M123" s="100">
        <f>M112*pricing!M18*2000</f>
        <v>4952826.1595141152</v>
      </c>
      <c r="N123" s="100">
        <f>N112*pricing!N18*2000</f>
        <v>4306528.0617548572</v>
      </c>
      <c r="O123" s="100">
        <f>O112*pricing!O18*2000</f>
        <v>4531690.7413653899</v>
      </c>
    </row>
    <row r="124" spans="2:15">
      <c r="C124" s="99" t="s">
        <v>130</v>
      </c>
      <c r="D124" s="100">
        <f>D113*pricing!D19*2000</f>
        <v>4305392.9915296845</v>
      </c>
      <c r="E124" s="100">
        <f>E113*pricing!E19*2000</f>
        <v>5180206.4667445878</v>
      </c>
      <c r="F124" s="100">
        <f>F113*pricing!F19*2000</f>
        <v>3150481.4047211758</v>
      </c>
      <c r="G124" s="100">
        <f>G113*pricing!G19*2000</f>
        <v>4112736.3520813622</v>
      </c>
      <c r="H124" s="100">
        <f>H113*pricing!H19*2000</f>
        <v>3747269.1714415876</v>
      </c>
      <c r="I124" s="100">
        <f>I113*pricing!I19*2000</f>
        <v>4652344.9130227556</v>
      </c>
      <c r="J124" s="100">
        <f>J113*pricing!J19*2000</f>
        <v>4779741.548796352</v>
      </c>
      <c r="K124" s="100">
        <f>K113*pricing!K19*2000</f>
        <v>5037336.4750082223</v>
      </c>
      <c r="L124" s="100">
        <f>L113*pricing!L19*2000</f>
        <v>4971474.4644937832</v>
      </c>
      <c r="M124" s="100">
        <f>M113*pricing!M19*2000</f>
        <v>3253051.9203949491</v>
      </c>
      <c r="N124" s="100">
        <f>N113*pricing!N19*2000</f>
        <v>4347310.3127264548</v>
      </c>
      <c r="O124" s="100">
        <f>O113*pricing!O19*2000</f>
        <v>4431000</v>
      </c>
    </row>
    <row r="125" spans="2:15">
      <c r="C125" s="99" t="s">
        <v>131</v>
      </c>
      <c r="D125" s="100">
        <f>D114*pricing!D20*2000</f>
        <v>1373076.2664790882</v>
      </c>
      <c r="E125" s="100">
        <f>E114*pricing!E20*2000</f>
        <v>1304301.363178751</v>
      </c>
      <c r="F125" s="100">
        <f>F114*pricing!F20*2000</f>
        <v>1399856.7990487113</v>
      </c>
      <c r="G125" s="100">
        <f>G114*pricing!G20*2000</f>
        <v>1021547.3559973125</v>
      </c>
      <c r="H125" s="100">
        <f>H114*pricing!H20*2000</f>
        <v>714207.99690549378</v>
      </c>
      <c r="I125" s="100">
        <f>I114*pricing!I20*2000</f>
        <v>1917008.9605643481</v>
      </c>
      <c r="J125" s="100">
        <f>J114*pricing!J20*2000</f>
        <v>994955.11167333182</v>
      </c>
      <c r="K125" s="100">
        <f>K114*pricing!K20*2000</f>
        <v>1281675.4731441459</v>
      </c>
      <c r="L125" s="100">
        <f>L114*pricing!L20*2000</f>
        <v>1761799.2101622364</v>
      </c>
      <c r="M125" s="100">
        <f>M114*pricing!M20*2000</f>
        <v>767154.73510962073</v>
      </c>
      <c r="N125" s="100">
        <f>N114*pricing!N20*2000</f>
        <v>1631199.0973329281</v>
      </c>
      <c r="O125" s="100">
        <f>O114*pricing!O20*2000</f>
        <v>1992856.7373314677</v>
      </c>
    </row>
    <row r="126" spans="2:15">
      <c r="C126" s="99" t="s">
        <v>132</v>
      </c>
      <c r="D126" s="100">
        <f>D115*pricing!D21*2000</f>
        <v>2539063.5451474711</v>
      </c>
      <c r="E126" s="100">
        <f>E115*pricing!E21*2000</f>
        <v>2290984.9203642891</v>
      </c>
      <c r="F126" s="100">
        <f>F115*pricing!F21*2000</f>
        <v>2354700.3573668706</v>
      </c>
      <c r="G126" s="100">
        <f>G115*pricing!G21*2000</f>
        <v>2100591.5738885598</v>
      </c>
      <c r="H126" s="100">
        <f>H115*pricing!H21*2000</f>
        <v>1301753.4567409395</v>
      </c>
      <c r="I126" s="100">
        <f>I115*pricing!I21*2000</f>
        <v>2960566.6070732009</v>
      </c>
      <c r="J126" s="100">
        <f>J115*pricing!J21*2000</f>
        <v>2064025.0606159971</v>
      </c>
      <c r="K126" s="100">
        <f>K115*pricing!K21*2000</f>
        <v>2680167.185329427</v>
      </c>
      <c r="L126" s="100">
        <f>L115*pricing!L21*2000</f>
        <v>2463735.2166144503</v>
      </c>
      <c r="M126" s="100">
        <f>M115*pricing!M21*2000</f>
        <v>1822281.5871011803</v>
      </c>
      <c r="N126" s="100">
        <f>N115*pricing!N21*2000</f>
        <v>2357792.9134240323</v>
      </c>
      <c r="O126" s="100">
        <f>O115*pricing!O21*2000</f>
        <v>2916649.0297643975</v>
      </c>
    </row>
    <row r="127" spans="2:15">
      <c r="C127" s="99" t="s">
        <v>278</v>
      </c>
      <c r="D127" s="100">
        <f t="shared" ref="D127:O127" si="1">SUM(D$120:D$126)</f>
        <v>21151931.213214625</v>
      </c>
      <c r="E127" s="100">
        <f t="shared" si="1"/>
        <v>29018067.651353411</v>
      </c>
      <c r="F127" s="100">
        <f t="shared" si="1"/>
        <v>26512555.781270299</v>
      </c>
      <c r="G127" s="100">
        <f t="shared" si="1"/>
        <v>26546511.836289015</v>
      </c>
      <c r="H127" s="100">
        <f t="shared" si="1"/>
        <v>24517117.492575232</v>
      </c>
      <c r="I127" s="100">
        <f t="shared" si="1"/>
        <v>28012407.671238907</v>
      </c>
      <c r="J127" s="100">
        <f t="shared" si="1"/>
        <v>27150097.750348244</v>
      </c>
      <c r="K127" s="100">
        <f t="shared" si="1"/>
        <v>29260830.385238275</v>
      </c>
      <c r="L127" s="100">
        <f t="shared" si="1"/>
        <v>28438991.168304618</v>
      </c>
      <c r="M127" s="100">
        <f t="shared" si="1"/>
        <v>25677314.402119864</v>
      </c>
      <c r="N127" s="100">
        <f t="shared" si="1"/>
        <v>28161830.385238275</v>
      </c>
      <c r="O127" s="100">
        <f t="shared" si="1"/>
        <v>30105196.508461256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173348.86691639584</v>
      </c>
      <c r="E131" s="106">
        <f>SUM(M$6:M$19)+SUM(O$6:O$19)+SUM(Q$6:Q$19)+SUM(S$6:S$19)</f>
        <v>210046.8</v>
      </c>
      <c r="F131" s="106">
        <f>SUM(U$6:U$19)+SUM(W$6:W$19)+SUM(Y$6:Y$19)+SUM(AA$6:AA$19)</f>
        <v>227776.095846513</v>
      </c>
      <c r="G131" s="106">
        <f>SUM(AC$6:AC$19)+SUM(AE$6:AE$19)+SUM(AG$6:AG$19)+SUM(AI$6:AI$19)</f>
        <v>271650</v>
      </c>
      <c r="H131" s="106">
        <f>SUM(AK$6:AK$19)+SUM(AM$6:AM$19)+SUM(AO$6:AO$19)+SUM(AQ$6:AQ$19)</f>
        <v>274506</v>
      </c>
      <c r="I131" s="106">
        <f>SUM(AS$6:AS$19)+SUM(AU$6:AU$19)+SUM(AW$6:AW$19)+SUM(AY$6:AY$19)</f>
        <v>244410</v>
      </c>
      <c r="J131" s="106">
        <f>SUM(BA$6:BA$19)+SUM(BC$6:BC$19)+SUM(BE$6:BE$19)+SUM(BG$6:BG$19)</f>
        <v>269065.19999999995</v>
      </c>
      <c r="K131" s="106">
        <f>SUM(BI$6:BI$19)+SUM(BK$6:BK$19)+SUM(BM$6:BM$19)+SUM(BO$6:BO$19)</f>
        <v>275140.79999999993</v>
      </c>
      <c r="L131" s="106">
        <f>SUM(BQ$6:BQ$19)+SUM(BS$6:BS$19)+SUM(BU$6:BU$19)+SUM(BW$6:BW$19)</f>
        <v>251256</v>
      </c>
      <c r="M131" s="106">
        <f>SUM(BY$6:BY$19)+SUM(CA$6:CA$19)+SUM(CC$6:CC$19)+SUM(CE$6:CE$19)</f>
        <v>240621.59999999998</v>
      </c>
      <c r="N131" s="106">
        <f>SUM(CG$6:CG$19)+SUM(CI$6:CI$19)+SUM(CK$6:CK$19)+SUM(CM$6:CM$19)</f>
        <v>237236.39999999997</v>
      </c>
      <c r="O131" s="106">
        <f>SUM(CO$6:CO$19)+SUM(CQ$6:CQ$19)+SUM(CS$6:CS$19)+SUM(CU$6:CU$19)</f>
        <v>326361.60000000003</v>
      </c>
    </row>
    <row r="132" spans="2:15">
      <c r="C132" s="105" t="s">
        <v>127</v>
      </c>
      <c r="D132" s="106">
        <f>SUM(E$20:E$36)+SUM(G$20:G$36)+SUM(I$20:I$36)+SUM(K$20:K$36)</f>
        <v>319625.7926948645</v>
      </c>
      <c r="E132" s="106">
        <f>SUM(M$20:M$36)+SUM(O$20:O$36)+SUM(Q$20:Q$36)+SUM(S$20:S$36)</f>
        <v>512077.19999999995</v>
      </c>
      <c r="F132" s="106">
        <f>SUM(U$20:U$36)+SUM(W$20:W$36)+SUM(Y$20:Y$36)+SUM(AA$20:AA$36)</f>
        <v>502047.77465005079</v>
      </c>
      <c r="G132" s="106">
        <f>SUM(AC$20:AC$36)+SUM(AE$20:AE$36)+SUM(AG$20:AG$36)+SUM(AI$20:AI$36)</f>
        <v>446007.6</v>
      </c>
      <c r="H132" s="106">
        <f>SUM(AK$20:AK$36)+SUM(AM$20:AM$36)+SUM(AO$20:AO$36)+SUM(AQ$20:AQ$36)</f>
        <v>407947.19999999995</v>
      </c>
      <c r="I132" s="106">
        <f>SUM(AS$20:AS$36)+SUM(AU$20:AU$36)+SUM(AW$20:AW$36)+SUM(AY$20:AY$36)</f>
        <v>424648.8</v>
      </c>
      <c r="J132" s="106">
        <f>SUM(BA$20:BA$36)+SUM(BC$20:BC$36)+SUM(BE$20:BE$36)+SUM(BG$20:BG$36)</f>
        <v>480259.2</v>
      </c>
      <c r="K132" s="106">
        <f>SUM(BI$20:BI$36)+SUM(BK$20:BK$36)+SUM(BM$20:BM$36)+SUM(BO$20:BO$36)</f>
        <v>476235.60000000003</v>
      </c>
      <c r="L132" s="106">
        <f>SUM(BQ$20:BQ$36)+SUM(BS$20:BS$36)+SUM(BU$20:BU$36)+SUM(BW$20:BW$36)</f>
        <v>431197.19999999995</v>
      </c>
      <c r="M132" s="106">
        <f>SUM(BY$20:BY$36)+SUM(CA$20:CA$36)+SUM(CC$20:CC$36)+SUM(CE$20:CE$36)</f>
        <v>487573.19999999995</v>
      </c>
      <c r="N132" s="106">
        <f>SUM(CG$20:CG$36)+SUM(CI$20:CI$36)+SUM(CK$20:CK$36)+SUM(CM$20:CM$36)</f>
        <v>508190.4</v>
      </c>
      <c r="O132" s="106">
        <f>SUM(CO$20:CO$36)+SUM(CQ$20:CQ$36)+SUM(CS$20:CS$36)+SUM(CU$20:CU$36)</f>
        <v>474945.6</v>
      </c>
    </row>
    <row r="133" spans="2:15">
      <c r="C133" s="105" t="s">
        <v>128</v>
      </c>
      <c r="D133" s="106">
        <f>SUM(E$37:E$48)+SUM(G$37:G$48)+SUM(I$37:I$48)+SUM(K$37:K$48)</f>
        <v>345247.10145283234</v>
      </c>
      <c r="E133" s="106">
        <f>SUM(M$37:M$48)+SUM(O$37:O$48)+SUM(Q$37:Q$48)+SUM(S$37:S$48)</f>
        <v>606253.19999999995</v>
      </c>
      <c r="F133" s="106">
        <f>SUM(U$37:U$48)+SUM(W$37:W$48)+SUM(Y$37:Y$48)+SUM(AA$37:AA$48)</f>
        <v>500245.23950192647</v>
      </c>
      <c r="G133" s="106">
        <f>SUM(AC$37:AC$48)+SUM(AE$37:AE$48)+SUM(AG$37:AG$48)+SUM(AI$37:AI$48)</f>
        <v>558312</v>
      </c>
      <c r="H133" s="106">
        <f>SUM(AK$37:AK$48)+SUM(AM$37:AM$48)+SUM(AO$37:AO$48)+SUM(AQ$37:AQ$48)</f>
        <v>567856.79999999993</v>
      </c>
      <c r="I133" s="106">
        <f>SUM(AS$37:AS$48)+SUM(AU$37:AU$48)+SUM(AW$37:AW$48)+SUM(AY$37:AY$48)</f>
        <v>566526</v>
      </c>
      <c r="J133" s="106">
        <f>SUM(BA$37:BA$48)+SUM(BC$37:BC$48)+SUM(BE$37:BE$48)+SUM(BG$37:BG$48)</f>
        <v>510446.4</v>
      </c>
      <c r="K133" s="106">
        <f>SUM(BI$37:BI$48)+SUM(BK$37:BK$48)+SUM(BM$37:BM$48)+SUM(BO$37:BO$48)</f>
        <v>589636.80000000005</v>
      </c>
      <c r="L133" s="106">
        <f>SUM(BQ$37:BQ$48)+SUM(BS$37:BS$48)+SUM(BU$37:BU$48)+SUM(BW$37:BW$48)</f>
        <v>512481.60000000003</v>
      </c>
      <c r="M133" s="106">
        <f>SUM(BY$37:BY$48)+SUM(CA$37:CA$48)+SUM(CC$37:CC$48)+SUM(CE$37:CE$48)</f>
        <v>533090.39999999991</v>
      </c>
      <c r="N133" s="106">
        <f>SUM(CG$37:CG$48)+SUM(CI$37:CI$48)+SUM(CK$37:CK$48)+SUM(CM$37:CM$48)</f>
        <v>596204.4</v>
      </c>
      <c r="O133" s="106">
        <f>SUM(CO$37:CO$48)+SUM(CQ$37:CQ$48)+SUM(CS$37:CS$48)+SUM(CU$37:CU$48)</f>
        <v>594791.99999999988</v>
      </c>
    </row>
    <row r="134" spans="2:15">
      <c r="C134" s="105" t="s">
        <v>129</v>
      </c>
      <c r="D134" s="106">
        <f>SUM(E$49:E$70)+SUM(G$49:G$70)+SUM(I$49:I$70)+SUM(K$49:K$70)</f>
        <v>368921.68577107467</v>
      </c>
      <c r="E134" s="106">
        <f>SUM(M$49:M$70)+SUM(O$49:O$70)+SUM(Q$49:Q$70)+SUM(S$49:S$70)</f>
        <v>583424.85542380332</v>
      </c>
      <c r="F134" s="106">
        <f>SUM(U$49:U$70)+SUM(W$49:W$70)+SUM(Y$49:Y$70)+SUM(AA$49:AA$70)</f>
        <v>582120.62581180851</v>
      </c>
      <c r="G134" s="106">
        <f>SUM(AC$49:AC$70)+SUM(AE$49:AE$70)+SUM(AG$49:AG$70)+SUM(AI$49:AI$70)</f>
        <v>530806.77013908781</v>
      </c>
      <c r="H134" s="106">
        <f>SUM(AK$49:AK$70)+SUM(AM$49:AM$70)+SUM(AO$49:AO$70)+SUM(AQ$49:AQ$70)</f>
        <v>527545.95676393982</v>
      </c>
      <c r="I134" s="106">
        <f>SUM(AS$49:AS$70)+SUM(AU$49:AU$70)+SUM(AW$49:AW$70)+SUM(AY$49:AY$70)</f>
        <v>523900.54690016276</v>
      </c>
      <c r="J134" s="106">
        <f>SUM(BA$49:BA$70)+SUM(BC$49:BC$70)+SUM(BE$49:BE$70)+SUM(BG$49:BG$70)</f>
        <v>501502.89152088098</v>
      </c>
      <c r="K134" s="106">
        <f>SUM(BI$49:BI$70)+SUM(BK$49:BK$70)+SUM(BM$49:BM$70)+SUM(BO$49:BO$70)</f>
        <v>564450.48633920576</v>
      </c>
      <c r="L134" s="106">
        <f>SUM(BQ$49:BQ$70)+SUM(BS$49:BS$70)+SUM(BU$49:BU$70)+SUM(BW$49:BW$70)</f>
        <v>634030.50928889809</v>
      </c>
      <c r="M134" s="106">
        <f>SUM(BY$49:BY$70)+SUM(CA$49:CA$70)+SUM(CC$49:CC$70)+SUM(CE$49:CE$70)</f>
        <v>569656.13315520831</v>
      </c>
      <c r="N134" s="106">
        <f>SUM(CG$49:CG$70)+SUM(CI$49:CI$70)+SUM(CK$49:CK$70)+SUM(CM$49:CM$70)</f>
        <v>506747.32963804761</v>
      </c>
      <c r="O134" s="106">
        <f>SUM(CO$49:CO$70)+SUM(CQ$49:CQ$70)+SUM(CS$49:CS$70)+SUM(CU$49:CU$70)</f>
        <v>539869.8968600994</v>
      </c>
    </row>
    <row r="135" spans="2:15">
      <c r="C135" s="105" t="s">
        <v>130</v>
      </c>
      <c r="D135" s="106">
        <f>SUM(E$71:E$86)+SUM(G$71:G$86)+SUM(I$71:I$86)+SUM(K$71:K$86)</f>
        <v>344641.80546488299</v>
      </c>
      <c r="E135" s="106">
        <f>SUM(M$71:M$86)+SUM(O$71:O$86)+SUM(Q$71:Q$86)+SUM(S$71:S$86)</f>
        <v>414822.70577691472</v>
      </c>
      <c r="F135" s="106">
        <f>SUM(U$71:U$86)+SUM(W$71:W$86)+SUM(Y$71:Y$86)+SUM(AA$71:AA$86)</f>
        <v>251706.76632736591</v>
      </c>
      <c r="G135" s="106">
        <f>SUM(AC$71:AC$86)+SUM(AE$71:AE$86)+SUM(AG$71:AG$86)+SUM(AI$71:AI$86)</f>
        <v>330579.20515873341</v>
      </c>
      <c r="H135" s="106">
        <f>SUM(AK$71:AK$86)+SUM(AM$71:AM$86)+SUM(AO$71:AO$86)+SUM(AQ$71:AQ$86)</f>
        <v>300444.44585458352</v>
      </c>
      <c r="I135" s="106">
        <f>SUM(AS$71:AS$86)+SUM(AU$71:AU$86)+SUM(AW$71:AW$86)+SUM(AY$71:AY$86)</f>
        <v>372113.61671195127</v>
      </c>
      <c r="J135" s="106">
        <f>SUM(BA$71:BA$86)+SUM(BC$71:BC$86)+SUM(BE$71:BE$86)+SUM(BG$71:BG$86)</f>
        <v>381142.96736997145</v>
      </c>
      <c r="K135" s="106">
        <f>SUM(BI$71:BI$86)+SUM(BK$71:BK$86)+SUM(BM$71:BM$86)+SUM(BO$71:BO$86)</f>
        <v>403575.11657962238</v>
      </c>
      <c r="L135" s="106">
        <f>SUM(BQ$71:BQ$86)+SUM(BS$71:BS$86)+SUM(BU$71:BU$86)+SUM(BW$71:BW$86)</f>
        <v>396904.85044885543</v>
      </c>
      <c r="M135" s="106">
        <f>SUM(BY$71:BY$86)+SUM(CA$71:CA$86)+SUM(CC$71:CC$86)+SUM(CE$71:CE$86)</f>
        <v>260630.10907674927</v>
      </c>
      <c r="N135" s="106">
        <f>SUM(CG$71:CG$86)+SUM(CI$71:CI$86)+SUM(CK$71:CK$86)+SUM(CM$71:CM$86)</f>
        <v>347462.87285496941</v>
      </c>
      <c r="O135" s="106">
        <f>SUM(CO$71:CO$86)+SUM(CQ$71:CQ$86)+SUM(CS$71:CS$86)+SUM(CU$71:CU$86)</f>
        <v>354209.99999999994</v>
      </c>
    </row>
    <row r="136" spans="2:15">
      <c r="C136" s="105" t="s">
        <v>131</v>
      </c>
      <c r="D136" s="106">
        <f>SUM(E$87:E$94)+SUM(G$87:G$94)+SUM(I$87:I$94)+SUM(K$87:K$94)</f>
        <v>196970.27249676804</v>
      </c>
      <c r="E136" s="106">
        <f>SUM(M$87:M$94)+SUM(O$87:O$94)+SUM(Q$87:Q$94)+SUM(S$87:S$94)</f>
        <v>187085.54213387371</v>
      </c>
      <c r="F136" s="106">
        <f>SUM(U$87:U$94)+SUM(W$87:W$94)+SUM(Y$87:Y$94)+SUM(AA$87:AA$94)</f>
        <v>201054.50191166651</v>
      </c>
      <c r="G136" s="106">
        <f>SUM(AC$87:AC$94)+SUM(AE$87:AE$94)+SUM(AG$87:AG$94)+SUM(AI$87:AI$94)</f>
        <v>146923.44046305961</v>
      </c>
      <c r="H136" s="106">
        <f>SUM(AK$87:AK$94)+SUM(AM$87:AM$94)+SUM(AO$87:AO$94)+SUM(AQ$87:AQ$94)</f>
        <v>102289.47753146563</v>
      </c>
      <c r="I136" s="106">
        <f>SUM(AS$87:AS$94)+SUM(AU$87:AU$94)+SUM(AW$87:AW$94)+SUM(AY$87:AY$94)</f>
        <v>274874.88500964019</v>
      </c>
      <c r="J136" s="106">
        <f>SUM(BA$87:BA$94)+SUM(BC$87:BC$94)+SUM(BE$87:BE$94)+SUM(BG$87:BG$94)</f>
        <v>142147.7488576505</v>
      </c>
      <c r="K136" s="106">
        <f>SUM(BI$87:BI$94)+SUM(BK$87:BK$94)+SUM(BM$87:BM$94)+SUM(BO$87:BO$94)</f>
        <v>184448.54765392767</v>
      </c>
      <c r="L136" s="106">
        <f>SUM(BQ$87:BQ$94)+SUM(BS$87:BS$94)+SUM(BU$87:BU$94)+SUM(BW$87:BW$94)</f>
        <v>251895.55085286387</v>
      </c>
      <c r="M136" s="106">
        <f>SUM(BY$87:BY$94)+SUM(CA$87:CA$94)+SUM(CC$87:CC$94)+SUM(CE$87:CE$94)</f>
        <v>109863.18470213123</v>
      </c>
      <c r="N136" s="106">
        <f>SUM(CG$87:CG$94)+SUM(CI$87:CI$94)+SUM(CK$87:CK$94)+SUM(CM$87:CM$94)</f>
        <v>234231.3969217758</v>
      </c>
      <c r="O136" s="106">
        <f>SUM(CO$87:CO$94)+SUM(CQ$87:CQ$94)+SUM(CS$87:CS$94)+SUM(CU$87:CU$94)</f>
        <v>286440.68956599064</v>
      </c>
    </row>
    <row r="137" spans="2:15">
      <c r="C137" s="105" t="s">
        <v>132</v>
      </c>
      <c r="D137" s="106">
        <f>SUM(E$95:E$105)+SUM(G$95:G$105)+SUM(I$95:I$105)+SUM(K$95:K$105)</f>
        <v>295928.76007974392</v>
      </c>
      <c r="E137" s="106">
        <f>SUM(M$95:M$105)+SUM(O$95:O$105)+SUM(Q$95:Q$105)+SUM(S$95:S$105)</f>
        <v>266518.08532717999</v>
      </c>
      <c r="F137" s="106">
        <f>SUM(U$95:U$105)+SUM(W$95:W$105)+SUM(Y$95:Y$105)+SUM(AA$95:AA$105)</f>
        <v>276665.76272676059</v>
      </c>
      <c r="G137" s="106">
        <f>SUM(AC$95:AC$105)+SUM(AE$95:AE$105)+SUM(AG$95:AG$105)+SUM(AI$95:AI$105)</f>
        <v>239426.45845312701</v>
      </c>
      <c r="H137" s="106">
        <f>SUM(AK$95:AK$105)+SUM(AM$95:AM$105)+SUM(AO$95:AO$105)+SUM(AQ$95:AQ$105)</f>
        <v>154924.99582238763</v>
      </c>
      <c r="I137" s="106">
        <f>SUM(AS$95:AS$105)+SUM(AU$95:AU$105)+SUM(AW$95:AW$105)+SUM(AY$95:AY$105)</f>
        <v>343258.95333513973</v>
      </c>
      <c r="J137" s="106">
        <f>SUM(BA$95:BA$105)+SUM(BC$95:BC$105)+SUM(BE$95:BE$105)+SUM(BG$95:BG$105)</f>
        <v>237461.5471315053</v>
      </c>
      <c r="K137" s="106">
        <f>SUM(BI$95:BI$105)+SUM(BK$95:BK$105)+SUM(BM$95:BM$105)+SUM(BO$95:BO$105)</f>
        <v>305357.45095701527</v>
      </c>
      <c r="L137" s="106">
        <f>SUM(BQ$95:BQ$105)+SUM(BS$95:BS$105)+SUM(BU$95:BU$105)+SUM(BW$95:BW$105)</f>
        <v>285330.48219955247</v>
      </c>
      <c r="M137" s="106">
        <f>SUM(BY$95:BY$105)+SUM(CA$95:CA$105)+SUM(CC$95:CC$105)+SUM(CE$95:CE$105)</f>
        <v>213233.88162660445</v>
      </c>
      <c r="N137" s="106">
        <f>SUM(CG$95:CG$105)+SUM(CI$95:CI$105)+SUM(CK$95:CK$105)+SUM(CM$95:CM$105)</f>
        <v>271651.30353850231</v>
      </c>
      <c r="O137" s="106">
        <f>SUM(CO$95:CO$105)+SUM(CQ$95:CQ$105)+SUM(CS$95:CS$105)+SUM(CU$95:CU$105)</f>
        <v>334312.24367671437</v>
      </c>
    </row>
    <row r="138" spans="2:15">
      <c r="C138" s="105" t="s">
        <v>278</v>
      </c>
      <c r="D138" s="100">
        <f t="shared" ref="D138:O138" si="2">SUM(D$131:D$137)</f>
        <v>2044684.2848765622</v>
      </c>
      <c r="E138" s="100">
        <f t="shared" si="2"/>
        <v>2780228.3886617715</v>
      </c>
      <c r="F138" s="100">
        <f t="shared" si="2"/>
        <v>2541616.7667760919</v>
      </c>
      <c r="G138" s="100">
        <f t="shared" si="2"/>
        <v>2523705.4742140081</v>
      </c>
      <c r="H138" s="100">
        <f t="shared" si="2"/>
        <v>2335514.8759723767</v>
      </c>
      <c r="I138" s="100">
        <f t="shared" si="2"/>
        <v>2749732.8019568943</v>
      </c>
      <c r="J138" s="100">
        <f t="shared" si="2"/>
        <v>2522025.954880008</v>
      </c>
      <c r="K138" s="100">
        <f t="shared" si="2"/>
        <v>2798844.8015297707</v>
      </c>
      <c r="L138" s="100">
        <f t="shared" si="2"/>
        <v>2763096.1927901702</v>
      </c>
      <c r="M138" s="100">
        <f t="shared" si="2"/>
        <v>2414668.5085606934</v>
      </c>
      <c r="N138" s="100">
        <f t="shared" si="2"/>
        <v>2701724.1029532952</v>
      </c>
      <c r="O138" s="100">
        <f t="shared" si="2"/>
        <v>2910932.0301028043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4.6307856941123609</v>
      </c>
      <c r="E6" s="100">
        <v>2678.4464454745894</v>
      </c>
      <c r="F6" s="100">
        <v>6.3312358148533479</v>
      </c>
      <c r="G6" s="100">
        <v>3661.9867953111761</v>
      </c>
      <c r="H6" s="100">
        <v>1.7465787892115336</v>
      </c>
      <c r="I6" s="100">
        <v>1010.221171679951</v>
      </c>
      <c r="J6" s="100">
        <v>4.0444160246472027E-4</v>
      </c>
      <c r="K6" s="100">
        <v>0.23392902286559419</v>
      </c>
      <c r="L6" s="100">
        <v>6</v>
      </c>
      <c r="M6" s="100">
        <v>3470.3999999999996</v>
      </c>
      <c r="N6" s="100">
        <v>6</v>
      </c>
      <c r="O6" s="100">
        <v>3470.3999999999996</v>
      </c>
      <c r="P6" s="100">
        <v>4</v>
      </c>
      <c r="Q6" s="100">
        <v>2313.6</v>
      </c>
      <c r="R6" s="100">
        <v>6</v>
      </c>
      <c r="S6" s="100">
        <v>3470.3999999999996</v>
      </c>
      <c r="T6" s="100">
        <v>8</v>
      </c>
      <c r="U6" s="100">
        <v>4627.2</v>
      </c>
      <c r="V6" s="100">
        <v>7.0264416216332837</v>
      </c>
      <c r="W6" s="100">
        <v>4064.0938339526911</v>
      </c>
      <c r="X6" s="100">
        <v>8.0177234516906726</v>
      </c>
      <c r="Y6" s="100">
        <v>4637.451244457885</v>
      </c>
      <c r="Z6" s="100">
        <v>7</v>
      </c>
      <c r="AA6" s="100">
        <v>4048.7999999999997</v>
      </c>
      <c r="AB6" s="100">
        <v>7</v>
      </c>
      <c r="AC6" s="100">
        <v>4048.7999999999997</v>
      </c>
      <c r="AD6" s="100">
        <v>9</v>
      </c>
      <c r="AE6" s="100">
        <v>5205.5999999999995</v>
      </c>
      <c r="AF6" s="100">
        <v>9</v>
      </c>
      <c r="AG6" s="100">
        <v>5205.5999999999995</v>
      </c>
      <c r="AH6" s="100">
        <v>9</v>
      </c>
      <c r="AI6" s="100">
        <v>5205.5999999999995</v>
      </c>
      <c r="AJ6" s="100">
        <v>6</v>
      </c>
      <c r="AK6" s="100">
        <v>3470.3999999999996</v>
      </c>
      <c r="AL6" s="100">
        <v>6</v>
      </c>
      <c r="AM6" s="100">
        <v>3470.3999999999996</v>
      </c>
      <c r="AN6" s="100">
        <v>5</v>
      </c>
      <c r="AO6" s="100">
        <v>2892</v>
      </c>
      <c r="AP6" s="100">
        <v>6</v>
      </c>
      <c r="AQ6" s="100">
        <v>3470.3999999999996</v>
      </c>
      <c r="AR6" s="100">
        <v>7</v>
      </c>
      <c r="AS6" s="100">
        <v>4048.7999999999997</v>
      </c>
      <c r="AT6" s="100">
        <v>5</v>
      </c>
      <c r="AU6" s="100">
        <v>2892</v>
      </c>
      <c r="AV6" s="100">
        <v>5</v>
      </c>
      <c r="AW6" s="100">
        <v>2892</v>
      </c>
      <c r="AX6" s="100">
        <v>7</v>
      </c>
      <c r="AY6" s="100">
        <v>4048.7999999999997</v>
      </c>
      <c r="AZ6" s="100">
        <v>7</v>
      </c>
      <c r="BA6" s="100">
        <v>4048.7999999999997</v>
      </c>
      <c r="BB6" s="100">
        <v>5</v>
      </c>
      <c r="BC6" s="100">
        <v>2892</v>
      </c>
      <c r="BD6" s="100">
        <v>9</v>
      </c>
      <c r="BE6" s="100">
        <v>5205.5999999999995</v>
      </c>
      <c r="BF6" s="100">
        <v>8</v>
      </c>
      <c r="BG6" s="100">
        <v>4627.2</v>
      </c>
      <c r="BH6" s="100">
        <v>9</v>
      </c>
      <c r="BI6" s="100">
        <v>5205.5999999999995</v>
      </c>
      <c r="BJ6" s="100">
        <v>8</v>
      </c>
      <c r="BK6" s="100">
        <v>4627.2</v>
      </c>
      <c r="BL6" s="100">
        <v>7</v>
      </c>
      <c r="BM6" s="100">
        <v>4048.7999999999997</v>
      </c>
      <c r="BN6" s="100">
        <v>6</v>
      </c>
      <c r="BO6" s="100">
        <v>3470.3999999999996</v>
      </c>
      <c r="BP6" s="100">
        <v>7</v>
      </c>
      <c r="BQ6" s="100">
        <v>4048.7999999999997</v>
      </c>
      <c r="BR6" s="100">
        <v>7</v>
      </c>
      <c r="BS6" s="100">
        <v>4048.7999999999997</v>
      </c>
      <c r="BT6" s="100">
        <v>8</v>
      </c>
      <c r="BU6" s="100">
        <v>4627.2</v>
      </c>
      <c r="BV6" s="100">
        <v>7</v>
      </c>
      <c r="BW6" s="100">
        <v>4048.7999999999997</v>
      </c>
      <c r="BX6" s="100">
        <v>6</v>
      </c>
      <c r="BY6" s="100">
        <v>3470.3999999999996</v>
      </c>
      <c r="BZ6" s="100">
        <v>10</v>
      </c>
      <c r="CA6" s="100">
        <v>5784</v>
      </c>
      <c r="CB6" s="100">
        <v>8</v>
      </c>
      <c r="CC6" s="100">
        <v>4627.2</v>
      </c>
      <c r="CD6" s="100">
        <v>6</v>
      </c>
      <c r="CE6" s="100">
        <v>3470.3999999999996</v>
      </c>
      <c r="CF6" s="100">
        <v>11</v>
      </c>
      <c r="CG6" s="100">
        <v>6362.4</v>
      </c>
      <c r="CH6" s="100">
        <v>7</v>
      </c>
      <c r="CI6" s="100">
        <v>4048.7999999999997</v>
      </c>
      <c r="CJ6" s="100">
        <v>7</v>
      </c>
      <c r="CK6" s="100">
        <v>4048.7999999999997</v>
      </c>
      <c r="CL6" s="100">
        <v>9</v>
      </c>
      <c r="CM6" s="100">
        <v>5205.5999999999995</v>
      </c>
      <c r="CN6" s="100">
        <v>11</v>
      </c>
      <c r="CO6" s="100">
        <v>6362.4</v>
      </c>
      <c r="CP6" s="100">
        <v>8</v>
      </c>
      <c r="CQ6" s="100">
        <v>4627.2</v>
      </c>
      <c r="CR6" s="100">
        <v>7</v>
      </c>
      <c r="CS6" s="100">
        <v>4048.7999999999997</v>
      </c>
      <c r="CT6" s="100">
        <v>8</v>
      </c>
      <c r="CU6" s="100">
        <v>4627.2</v>
      </c>
    </row>
    <row r="7" spans="1:99">
      <c r="C7" s="99" t="s">
        <v>173</v>
      </c>
      <c r="D7" s="100">
        <v>5.5569428329348334</v>
      </c>
      <c r="E7" s="100">
        <v>4381.0937294858222</v>
      </c>
      <c r="F7" s="100">
        <v>7.1820699351383972</v>
      </c>
      <c r="G7" s="100">
        <v>5662.3439368631125</v>
      </c>
      <c r="H7" s="100">
        <v>2.0958945470538404</v>
      </c>
      <c r="I7" s="100">
        <v>1652.4032608972477</v>
      </c>
      <c r="J7" s="100">
        <v>3.3703466872060027E-4</v>
      </c>
      <c r="K7" s="100">
        <v>0.26571813281932122</v>
      </c>
      <c r="L7" s="100">
        <v>5</v>
      </c>
      <c r="M7" s="100">
        <v>3942</v>
      </c>
      <c r="N7" s="100">
        <v>6</v>
      </c>
      <c r="O7" s="100">
        <v>4730.3999999999996</v>
      </c>
      <c r="P7" s="100">
        <v>5</v>
      </c>
      <c r="Q7" s="100">
        <v>3942</v>
      </c>
      <c r="R7" s="100">
        <v>6</v>
      </c>
      <c r="S7" s="100">
        <v>4730.3999999999996</v>
      </c>
      <c r="T7" s="100">
        <v>8</v>
      </c>
      <c r="U7" s="100">
        <v>6307.2</v>
      </c>
      <c r="V7" s="100">
        <v>7.0237974594699555</v>
      </c>
      <c r="W7" s="100">
        <v>5537.5619170461132</v>
      </c>
      <c r="X7" s="100">
        <v>7.0151915300205756</v>
      </c>
      <c r="Y7" s="100">
        <v>5530.7770022682216</v>
      </c>
      <c r="Z7" s="100">
        <v>6</v>
      </c>
      <c r="AA7" s="100">
        <v>4730.3999999999996</v>
      </c>
      <c r="AB7" s="100">
        <v>8</v>
      </c>
      <c r="AC7" s="100">
        <v>6307.2</v>
      </c>
      <c r="AD7" s="100">
        <v>10</v>
      </c>
      <c r="AE7" s="100">
        <v>7884</v>
      </c>
      <c r="AF7" s="100">
        <v>8</v>
      </c>
      <c r="AG7" s="100">
        <v>6307.2</v>
      </c>
      <c r="AH7" s="100">
        <v>8</v>
      </c>
      <c r="AI7" s="100">
        <v>6307.2</v>
      </c>
      <c r="AJ7" s="100">
        <v>6</v>
      </c>
      <c r="AK7" s="100">
        <v>4730.3999999999996</v>
      </c>
      <c r="AL7" s="100">
        <v>7</v>
      </c>
      <c r="AM7" s="100">
        <v>5518.8</v>
      </c>
      <c r="AN7" s="100">
        <v>5</v>
      </c>
      <c r="AO7" s="100">
        <v>3942</v>
      </c>
      <c r="AP7" s="100">
        <v>5</v>
      </c>
      <c r="AQ7" s="100">
        <v>3942</v>
      </c>
      <c r="AR7" s="100">
        <v>6</v>
      </c>
      <c r="AS7" s="100">
        <v>4730.3999999999996</v>
      </c>
      <c r="AT7" s="100">
        <v>5</v>
      </c>
      <c r="AU7" s="100">
        <v>3942</v>
      </c>
      <c r="AV7" s="100">
        <v>6</v>
      </c>
      <c r="AW7" s="100">
        <v>4730.3999999999996</v>
      </c>
      <c r="AX7" s="100">
        <v>8</v>
      </c>
      <c r="AY7" s="100">
        <v>6307.2</v>
      </c>
      <c r="AZ7" s="100">
        <v>7</v>
      </c>
      <c r="BA7" s="100">
        <v>5518.8</v>
      </c>
      <c r="BB7" s="100">
        <v>5</v>
      </c>
      <c r="BC7" s="100">
        <v>3942</v>
      </c>
      <c r="BD7" s="100">
        <v>8</v>
      </c>
      <c r="BE7" s="100">
        <v>6307.2</v>
      </c>
      <c r="BF7" s="100">
        <v>7</v>
      </c>
      <c r="BG7" s="100">
        <v>5518.8</v>
      </c>
      <c r="BH7" s="100">
        <v>9</v>
      </c>
      <c r="BI7" s="100">
        <v>7095.5999999999995</v>
      </c>
      <c r="BJ7" s="100">
        <v>8</v>
      </c>
      <c r="BK7" s="100">
        <v>6307.2</v>
      </c>
      <c r="BL7" s="100">
        <v>7</v>
      </c>
      <c r="BM7" s="100">
        <v>5518.8</v>
      </c>
      <c r="BN7" s="100">
        <v>6</v>
      </c>
      <c r="BO7" s="100">
        <v>4730.3999999999996</v>
      </c>
      <c r="BP7" s="100">
        <v>6</v>
      </c>
      <c r="BQ7" s="100">
        <v>4730.3999999999996</v>
      </c>
      <c r="BR7" s="100">
        <v>6</v>
      </c>
      <c r="BS7" s="100">
        <v>4730.3999999999996</v>
      </c>
      <c r="BT7" s="100">
        <v>8</v>
      </c>
      <c r="BU7" s="100">
        <v>6307.2</v>
      </c>
      <c r="BV7" s="100">
        <v>7</v>
      </c>
      <c r="BW7" s="100">
        <v>5518.8</v>
      </c>
      <c r="BX7" s="100">
        <v>5</v>
      </c>
      <c r="BY7" s="100">
        <v>3942</v>
      </c>
      <c r="BZ7" s="100">
        <v>10</v>
      </c>
      <c r="CA7" s="100">
        <v>7884</v>
      </c>
      <c r="CB7" s="100">
        <v>9</v>
      </c>
      <c r="CC7" s="100">
        <v>7095.5999999999995</v>
      </c>
      <c r="CD7" s="100">
        <v>6</v>
      </c>
      <c r="CE7" s="100">
        <v>4730.3999999999996</v>
      </c>
      <c r="CF7" s="100">
        <v>11</v>
      </c>
      <c r="CG7" s="100">
        <v>8672.4</v>
      </c>
      <c r="CH7" s="100">
        <v>6</v>
      </c>
      <c r="CI7" s="100">
        <v>4730.3999999999996</v>
      </c>
      <c r="CJ7" s="100">
        <v>7</v>
      </c>
      <c r="CK7" s="100">
        <v>5518.8</v>
      </c>
      <c r="CL7" s="100">
        <v>9</v>
      </c>
      <c r="CM7" s="100">
        <v>7095.5999999999995</v>
      </c>
      <c r="CN7" s="100">
        <v>9</v>
      </c>
      <c r="CO7" s="100">
        <v>7095.5999999999995</v>
      </c>
      <c r="CP7" s="100">
        <v>9</v>
      </c>
      <c r="CQ7" s="100">
        <v>7095.5999999999995</v>
      </c>
      <c r="CR7" s="100">
        <v>8</v>
      </c>
      <c r="CS7" s="100">
        <v>6307.2</v>
      </c>
      <c r="CT7" s="100">
        <v>7</v>
      </c>
      <c r="CU7" s="100">
        <v>5518.8</v>
      </c>
    </row>
    <row r="8" spans="1:99">
      <c r="C8" s="99" t="s">
        <v>174</v>
      </c>
      <c r="D8" s="100">
        <v>5.5569428329348334</v>
      </c>
      <c r="E8" s="100">
        <v>1720.4295010766243</v>
      </c>
      <c r="F8" s="100">
        <v>7.1403591603763967</v>
      </c>
      <c r="G8" s="100">
        <v>2210.6551960525321</v>
      </c>
      <c r="H8" s="100">
        <v>1.7465787892115336</v>
      </c>
      <c r="I8" s="100">
        <v>540.7407931398908</v>
      </c>
      <c r="J8" s="100">
        <v>3.3703466872060027E-4</v>
      </c>
      <c r="K8" s="100">
        <v>0.10434593343589783</v>
      </c>
      <c r="L8" s="100">
        <v>6</v>
      </c>
      <c r="M8" s="100">
        <v>1857.6</v>
      </c>
      <c r="N8" s="100">
        <v>6</v>
      </c>
      <c r="O8" s="100">
        <v>1857.6</v>
      </c>
      <c r="P8" s="100">
        <v>4</v>
      </c>
      <c r="Q8" s="100">
        <v>1238.3999999999999</v>
      </c>
      <c r="R8" s="100">
        <v>7</v>
      </c>
      <c r="S8" s="100">
        <v>2167.1999999999998</v>
      </c>
      <c r="T8" s="100">
        <v>7</v>
      </c>
      <c r="U8" s="100">
        <v>2167.1999999999998</v>
      </c>
      <c r="V8" s="100">
        <v>7.0290857837966119</v>
      </c>
      <c r="W8" s="100">
        <v>2176.2049586634307</v>
      </c>
      <c r="X8" s="100">
        <v>8.0177234516906726</v>
      </c>
      <c r="Y8" s="100">
        <v>2482.2871806434318</v>
      </c>
      <c r="Z8" s="100">
        <v>7</v>
      </c>
      <c r="AA8" s="100">
        <v>2167.1999999999998</v>
      </c>
      <c r="AB8" s="100">
        <v>8</v>
      </c>
      <c r="AC8" s="100">
        <v>2476.7999999999997</v>
      </c>
      <c r="AD8" s="100">
        <v>9</v>
      </c>
      <c r="AE8" s="100">
        <v>2786.3999999999996</v>
      </c>
      <c r="AF8" s="100">
        <v>9</v>
      </c>
      <c r="AG8" s="100">
        <v>2786.3999999999996</v>
      </c>
      <c r="AH8" s="100">
        <v>8</v>
      </c>
      <c r="AI8" s="100">
        <v>2476.7999999999997</v>
      </c>
      <c r="AJ8" s="100">
        <v>7</v>
      </c>
      <c r="AK8" s="100">
        <v>2167.1999999999998</v>
      </c>
      <c r="AL8" s="100">
        <v>7</v>
      </c>
      <c r="AM8" s="100">
        <v>2167.1999999999998</v>
      </c>
      <c r="AN8" s="100">
        <v>5</v>
      </c>
      <c r="AO8" s="100">
        <v>1547.9999999999998</v>
      </c>
      <c r="AP8" s="100">
        <v>6</v>
      </c>
      <c r="AQ8" s="100">
        <v>1857.6</v>
      </c>
      <c r="AR8" s="100">
        <v>7</v>
      </c>
      <c r="AS8" s="100">
        <v>2167.1999999999998</v>
      </c>
      <c r="AT8" s="100">
        <v>6</v>
      </c>
      <c r="AU8" s="100">
        <v>1857.6</v>
      </c>
      <c r="AV8" s="100">
        <v>5</v>
      </c>
      <c r="AW8" s="100">
        <v>1547.9999999999998</v>
      </c>
      <c r="AX8" s="100">
        <v>8</v>
      </c>
      <c r="AY8" s="100">
        <v>2476.7999999999997</v>
      </c>
      <c r="AZ8" s="100">
        <v>8</v>
      </c>
      <c r="BA8" s="100">
        <v>2476.7999999999997</v>
      </c>
      <c r="BB8" s="100">
        <v>5</v>
      </c>
      <c r="BC8" s="100">
        <v>1547.9999999999998</v>
      </c>
      <c r="BD8" s="100">
        <v>9</v>
      </c>
      <c r="BE8" s="100">
        <v>2786.3999999999996</v>
      </c>
      <c r="BF8" s="100">
        <v>8</v>
      </c>
      <c r="BG8" s="100">
        <v>2476.7999999999997</v>
      </c>
      <c r="BH8" s="100">
        <v>10</v>
      </c>
      <c r="BI8" s="100">
        <v>3095.9999999999995</v>
      </c>
      <c r="BJ8" s="100">
        <v>9</v>
      </c>
      <c r="BK8" s="100">
        <v>2786.3999999999996</v>
      </c>
      <c r="BL8" s="100">
        <v>7</v>
      </c>
      <c r="BM8" s="100">
        <v>2167.1999999999998</v>
      </c>
      <c r="BN8" s="100">
        <v>7</v>
      </c>
      <c r="BO8" s="100">
        <v>2167.1999999999998</v>
      </c>
      <c r="BP8" s="100">
        <v>7</v>
      </c>
      <c r="BQ8" s="100">
        <v>2167.1999999999998</v>
      </c>
      <c r="BR8" s="100">
        <v>6</v>
      </c>
      <c r="BS8" s="100">
        <v>1857.6</v>
      </c>
      <c r="BT8" s="100">
        <v>8</v>
      </c>
      <c r="BU8" s="100">
        <v>2476.7999999999997</v>
      </c>
      <c r="BV8" s="100">
        <v>7</v>
      </c>
      <c r="BW8" s="100">
        <v>2167.1999999999998</v>
      </c>
      <c r="BX8" s="100">
        <v>6</v>
      </c>
      <c r="BY8" s="100">
        <v>1857.6</v>
      </c>
      <c r="BZ8" s="100">
        <v>11</v>
      </c>
      <c r="CA8" s="100">
        <v>3405.5999999999995</v>
      </c>
      <c r="CB8" s="100">
        <v>9</v>
      </c>
      <c r="CC8" s="100">
        <v>2786.3999999999996</v>
      </c>
      <c r="CD8" s="100">
        <v>6</v>
      </c>
      <c r="CE8" s="100">
        <v>1857.6</v>
      </c>
      <c r="CF8" s="100">
        <v>11</v>
      </c>
      <c r="CG8" s="100">
        <v>3405.5999999999995</v>
      </c>
      <c r="CH8" s="100">
        <v>6</v>
      </c>
      <c r="CI8" s="100">
        <v>1857.6</v>
      </c>
      <c r="CJ8" s="100">
        <v>8</v>
      </c>
      <c r="CK8" s="100">
        <v>2476.7999999999997</v>
      </c>
      <c r="CL8" s="100">
        <v>9</v>
      </c>
      <c r="CM8" s="100">
        <v>2786.3999999999996</v>
      </c>
      <c r="CN8" s="100">
        <v>10</v>
      </c>
      <c r="CO8" s="100">
        <v>3095.9999999999995</v>
      </c>
      <c r="CP8" s="100">
        <v>8</v>
      </c>
      <c r="CQ8" s="100">
        <v>2476.7999999999997</v>
      </c>
      <c r="CR8" s="100">
        <v>7</v>
      </c>
      <c r="CS8" s="100">
        <v>2167.1999999999998</v>
      </c>
      <c r="CT8" s="100">
        <v>8</v>
      </c>
      <c r="CU8" s="100">
        <v>2476.7999999999997</v>
      </c>
    </row>
    <row r="9" spans="1:99">
      <c r="C9" s="99" t="s">
        <v>175</v>
      </c>
      <c r="D9" s="100">
        <v>5.5569428329348334</v>
      </c>
      <c r="E9" s="100">
        <v>3900.973868720253</v>
      </c>
      <c r="F9" s="100">
        <v>6.2895250400913474</v>
      </c>
      <c r="G9" s="100">
        <v>4415.246578144126</v>
      </c>
      <c r="H9" s="100">
        <v>1.7465787892115336</v>
      </c>
      <c r="I9" s="100">
        <v>1226.0983100264966</v>
      </c>
      <c r="J9" s="100">
        <v>3.3703466872060027E-4</v>
      </c>
      <c r="K9" s="100">
        <v>0.2365983374418614</v>
      </c>
      <c r="L9" s="100">
        <v>6</v>
      </c>
      <c r="M9" s="100">
        <v>4212</v>
      </c>
      <c r="N9" s="100">
        <v>6</v>
      </c>
      <c r="O9" s="100">
        <v>4212</v>
      </c>
      <c r="P9" s="100">
        <v>4</v>
      </c>
      <c r="Q9" s="100">
        <v>2808</v>
      </c>
      <c r="R9" s="100">
        <v>6</v>
      </c>
      <c r="S9" s="100">
        <v>4212</v>
      </c>
      <c r="T9" s="100">
        <v>8</v>
      </c>
      <c r="U9" s="100">
        <v>5616</v>
      </c>
      <c r="V9" s="100">
        <v>7.0237974594699555</v>
      </c>
      <c r="W9" s="100">
        <v>4930.7058165479084</v>
      </c>
      <c r="X9" s="100">
        <v>7.0177234516906717</v>
      </c>
      <c r="Y9" s="100">
        <v>4926.4418630868513</v>
      </c>
      <c r="Z9" s="100">
        <v>6</v>
      </c>
      <c r="AA9" s="100">
        <v>4212</v>
      </c>
      <c r="AB9" s="100">
        <v>8</v>
      </c>
      <c r="AC9" s="100">
        <v>5616</v>
      </c>
      <c r="AD9" s="100">
        <v>9</v>
      </c>
      <c r="AE9" s="100">
        <v>6318</v>
      </c>
      <c r="AF9" s="100">
        <v>9</v>
      </c>
      <c r="AG9" s="100">
        <v>6318</v>
      </c>
      <c r="AH9" s="100">
        <v>9</v>
      </c>
      <c r="AI9" s="100">
        <v>6318</v>
      </c>
      <c r="AJ9" s="100">
        <v>6</v>
      </c>
      <c r="AK9" s="100">
        <v>4212</v>
      </c>
      <c r="AL9" s="100">
        <v>7</v>
      </c>
      <c r="AM9" s="100">
        <v>4914</v>
      </c>
      <c r="AN9" s="100">
        <v>5</v>
      </c>
      <c r="AO9" s="100">
        <v>3510</v>
      </c>
      <c r="AP9" s="100">
        <v>5</v>
      </c>
      <c r="AQ9" s="100">
        <v>3510</v>
      </c>
      <c r="AR9" s="100">
        <v>7</v>
      </c>
      <c r="AS9" s="100">
        <v>4914</v>
      </c>
      <c r="AT9" s="100">
        <v>5</v>
      </c>
      <c r="AU9" s="100">
        <v>3510</v>
      </c>
      <c r="AV9" s="100">
        <v>5</v>
      </c>
      <c r="AW9" s="100">
        <v>3510</v>
      </c>
      <c r="AX9" s="100">
        <v>7</v>
      </c>
      <c r="AY9" s="100">
        <v>4914</v>
      </c>
      <c r="AZ9" s="100">
        <v>7</v>
      </c>
      <c r="BA9" s="100">
        <v>4914</v>
      </c>
      <c r="BB9" s="100">
        <v>5</v>
      </c>
      <c r="BC9" s="100">
        <v>3510</v>
      </c>
      <c r="BD9" s="100">
        <v>9</v>
      </c>
      <c r="BE9" s="100">
        <v>6318</v>
      </c>
      <c r="BF9" s="100">
        <v>7</v>
      </c>
      <c r="BG9" s="100">
        <v>4914</v>
      </c>
      <c r="BH9" s="100">
        <v>9</v>
      </c>
      <c r="BI9" s="100">
        <v>6318</v>
      </c>
      <c r="BJ9" s="100">
        <v>8</v>
      </c>
      <c r="BK9" s="100">
        <v>5616</v>
      </c>
      <c r="BL9" s="100">
        <v>8</v>
      </c>
      <c r="BM9" s="100">
        <v>5616</v>
      </c>
      <c r="BN9" s="100">
        <v>6</v>
      </c>
      <c r="BO9" s="100">
        <v>4212</v>
      </c>
      <c r="BP9" s="100">
        <v>7</v>
      </c>
      <c r="BQ9" s="100">
        <v>4914</v>
      </c>
      <c r="BR9" s="100">
        <v>6</v>
      </c>
      <c r="BS9" s="100">
        <v>4212</v>
      </c>
      <c r="BT9" s="100">
        <v>8</v>
      </c>
      <c r="BU9" s="100">
        <v>5616</v>
      </c>
      <c r="BV9" s="100">
        <v>7</v>
      </c>
      <c r="BW9" s="100">
        <v>4914</v>
      </c>
      <c r="BX9" s="100">
        <v>6</v>
      </c>
      <c r="BY9" s="100">
        <v>4212</v>
      </c>
      <c r="BZ9" s="100">
        <v>11</v>
      </c>
      <c r="CA9" s="100">
        <v>7722</v>
      </c>
      <c r="CB9" s="100">
        <v>8</v>
      </c>
      <c r="CC9" s="100">
        <v>5616</v>
      </c>
      <c r="CD9" s="100">
        <v>6</v>
      </c>
      <c r="CE9" s="100">
        <v>4212</v>
      </c>
      <c r="CF9" s="100">
        <v>11</v>
      </c>
      <c r="CG9" s="100">
        <v>7722</v>
      </c>
      <c r="CH9" s="100">
        <v>6</v>
      </c>
      <c r="CI9" s="100">
        <v>4212</v>
      </c>
      <c r="CJ9" s="100">
        <v>7</v>
      </c>
      <c r="CK9" s="100">
        <v>4914</v>
      </c>
      <c r="CL9" s="100">
        <v>9</v>
      </c>
      <c r="CM9" s="100">
        <v>6318</v>
      </c>
      <c r="CN9" s="100">
        <v>10</v>
      </c>
      <c r="CO9" s="100">
        <v>7020</v>
      </c>
      <c r="CP9" s="100">
        <v>8</v>
      </c>
      <c r="CQ9" s="100">
        <v>5616</v>
      </c>
      <c r="CR9" s="100">
        <v>8</v>
      </c>
      <c r="CS9" s="100">
        <v>5616</v>
      </c>
      <c r="CT9" s="100">
        <v>7</v>
      </c>
      <c r="CU9" s="100">
        <v>4914</v>
      </c>
    </row>
    <row r="10" spans="1:99">
      <c r="C10" s="99" t="s">
        <v>176</v>
      </c>
      <c r="D10" s="100">
        <v>5.5569428329348334</v>
      </c>
      <c r="E10" s="100">
        <v>3027.4224553828972</v>
      </c>
      <c r="F10" s="100">
        <v>6.2478142653293469</v>
      </c>
      <c r="G10" s="100">
        <v>3403.8092117514279</v>
      </c>
      <c r="H10" s="100">
        <v>1.7465787892115336</v>
      </c>
      <c r="I10" s="100">
        <v>951.5361243624435</v>
      </c>
      <c r="J10" s="100">
        <v>3.3703466872060027E-4</v>
      </c>
      <c r="K10" s="100">
        <v>0.18361648751898302</v>
      </c>
      <c r="L10" s="100">
        <v>5</v>
      </c>
      <c r="M10" s="100">
        <v>2724</v>
      </c>
      <c r="N10" s="100">
        <v>6</v>
      </c>
      <c r="O10" s="100">
        <v>3268.7999999999997</v>
      </c>
      <c r="P10" s="100">
        <v>5</v>
      </c>
      <c r="Q10" s="100">
        <v>2724</v>
      </c>
      <c r="R10" s="100">
        <v>6</v>
      </c>
      <c r="S10" s="100">
        <v>3268.7999999999997</v>
      </c>
      <c r="T10" s="100">
        <v>8</v>
      </c>
      <c r="U10" s="100">
        <v>4358.3999999999996</v>
      </c>
      <c r="V10" s="100">
        <v>7.0290857837966119</v>
      </c>
      <c r="W10" s="100">
        <v>3829.4459350123939</v>
      </c>
      <c r="X10" s="100">
        <v>7.0177234516906717</v>
      </c>
      <c r="Y10" s="100">
        <v>3823.2557364810777</v>
      </c>
      <c r="Z10" s="100">
        <v>6</v>
      </c>
      <c r="AA10" s="100">
        <v>3268.7999999999997</v>
      </c>
      <c r="AB10" s="100">
        <v>7</v>
      </c>
      <c r="AC10" s="100">
        <v>3813.5999999999995</v>
      </c>
      <c r="AD10" s="100">
        <v>9</v>
      </c>
      <c r="AE10" s="100">
        <v>4903.2</v>
      </c>
      <c r="AF10" s="100">
        <v>9</v>
      </c>
      <c r="AG10" s="100">
        <v>4903.2</v>
      </c>
      <c r="AH10" s="100">
        <v>9</v>
      </c>
      <c r="AI10" s="100">
        <v>4903.2</v>
      </c>
      <c r="AJ10" s="100">
        <v>7</v>
      </c>
      <c r="AK10" s="100">
        <v>3813.5999999999995</v>
      </c>
      <c r="AL10" s="100">
        <v>7</v>
      </c>
      <c r="AM10" s="100">
        <v>3813.5999999999995</v>
      </c>
      <c r="AN10" s="100">
        <v>5</v>
      </c>
      <c r="AO10" s="100">
        <v>2724</v>
      </c>
      <c r="AP10" s="100">
        <v>6</v>
      </c>
      <c r="AQ10" s="100">
        <v>3268.7999999999997</v>
      </c>
      <c r="AR10" s="100">
        <v>7</v>
      </c>
      <c r="AS10" s="100">
        <v>3813.5999999999995</v>
      </c>
      <c r="AT10" s="100">
        <v>5</v>
      </c>
      <c r="AU10" s="100">
        <v>2724</v>
      </c>
      <c r="AV10" s="100">
        <v>6</v>
      </c>
      <c r="AW10" s="100">
        <v>3268.7999999999997</v>
      </c>
      <c r="AX10" s="100">
        <v>7</v>
      </c>
      <c r="AY10" s="100">
        <v>3813.5999999999995</v>
      </c>
      <c r="AZ10" s="100">
        <v>7</v>
      </c>
      <c r="BA10" s="100">
        <v>3813.5999999999995</v>
      </c>
      <c r="BB10" s="100">
        <v>5</v>
      </c>
      <c r="BC10" s="100">
        <v>2724</v>
      </c>
      <c r="BD10" s="100">
        <v>9</v>
      </c>
      <c r="BE10" s="100">
        <v>4903.2</v>
      </c>
      <c r="BF10" s="100">
        <v>7</v>
      </c>
      <c r="BG10" s="100">
        <v>3813.5999999999995</v>
      </c>
      <c r="BH10" s="100">
        <v>10</v>
      </c>
      <c r="BI10" s="100">
        <v>5448</v>
      </c>
      <c r="BJ10" s="100">
        <v>7</v>
      </c>
      <c r="BK10" s="100">
        <v>3813.5999999999995</v>
      </c>
      <c r="BL10" s="100">
        <v>8</v>
      </c>
      <c r="BM10" s="100">
        <v>4358.3999999999996</v>
      </c>
      <c r="BN10" s="100">
        <v>6</v>
      </c>
      <c r="BO10" s="100">
        <v>3268.7999999999997</v>
      </c>
      <c r="BP10" s="100">
        <v>7</v>
      </c>
      <c r="BQ10" s="100">
        <v>3813.5999999999995</v>
      </c>
      <c r="BR10" s="100">
        <v>7</v>
      </c>
      <c r="BS10" s="100">
        <v>3813.5999999999995</v>
      </c>
      <c r="BT10" s="100">
        <v>9</v>
      </c>
      <c r="BU10" s="100">
        <v>4903.2</v>
      </c>
      <c r="BV10" s="100">
        <v>8</v>
      </c>
      <c r="BW10" s="100">
        <v>4358.3999999999996</v>
      </c>
      <c r="BX10" s="100">
        <v>6</v>
      </c>
      <c r="BY10" s="100">
        <v>3268.7999999999997</v>
      </c>
      <c r="BZ10" s="100">
        <v>11</v>
      </c>
      <c r="CA10" s="100">
        <v>5992.7999999999993</v>
      </c>
      <c r="CB10" s="100">
        <v>9</v>
      </c>
      <c r="CC10" s="100">
        <v>4903.2</v>
      </c>
      <c r="CD10" s="100">
        <v>6</v>
      </c>
      <c r="CE10" s="100">
        <v>3268.7999999999997</v>
      </c>
      <c r="CF10" s="100">
        <v>10</v>
      </c>
      <c r="CG10" s="100">
        <v>5448</v>
      </c>
      <c r="CH10" s="100">
        <v>6</v>
      </c>
      <c r="CI10" s="100">
        <v>3268.7999999999997</v>
      </c>
      <c r="CJ10" s="100">
        <v>6</v>
      </c>
      <c r="CK10" s="100">
        <v>3268.7999999999997</v>
      </c>
      <c r="CL10" s="100">
        <v>9</v>
      </c>
      <c r="CM10" s="100">
        <v>4903.2</v>
      </c>
      <c r="CN10" s="100">
        <v>10</v>
      </c>
      <c r="CO10" s="100">
        <v>5448</v>
      </c>
      <c r="CP10" s="100">
        <v>9</v>
      </c>
      <c r="CQ10" s="100">
        <v>4903.2</v>
      </c>
      <c r="CR10" s="100">
        <v>7</v>
      </c>
      <c r="CS10" s="100">
        <v>3813.5999999999995</v>
      </c>
      <c r="CT10" s="100">
        <v>7</v>
      </c>
      <c r="CU10" s="100">
        <v>3813.5999999999995</v>
      </c>
    </row>
    <row r="11" spans="1:99">
      <c r="C11" s="99" t="s">
        <v>177</v>
      </c>
      <c r="D11" s="100">
        <v>5.5569428329348334</v>
      </c>
      <c r="E11" s="100">
        <v>2960.739141387679</v>
      </c>
      <c r="F11" s="100">
        <v>7.1820699351383972</v>
      </c>
      <c r="G11" s="100">
        <v>3826.6068614417377</v>
      </c>
      <c r="H11" s="100">
        <v>1.7465787892115336</v>
      </c>
      <c r="I11" s="100">
        <v>930.57717889190508</v>
      </c>
      <c r="J11" s="100">
        <v>3.3703466872060027E-4</v>
      </c>
      <c r="K11" s="100">
        <v>0.17957207149433579</v>
      </c>
      <c r="L11" s="100">
        <v>5</v>
      </c>
      <c r="M11" s="100">
        <v>2664</v>
      </c>
      <c r="N11" s="100">
        <v>5</v>
      </c>
      <c r="O11" s="100">
        <v>2664</v>
      </c>
      <c r="P11" s="100">
        <v>5</v>
      </c>
      <c r="Q11" s="100">
        <v>2664</v>
      </c>
      <c r="R11" s="100">
        <v>7</v>
      </c>
      <c r="S11" s="100">
        <v>3729.5999999999995</v>
      </c>
      <c r="T11" s="100">
        <v>9</v>
      </c>
      <c r="U11" s="100">
        <v>4795.2</v>
      </c>
      <c r="V11" s="100">
        <v>7.0264416216332837</v>
      </c>
      <c r="W11" s="100">
        <v>3743.6880960062131</v>
      </c>
      <c r="X11" s="100">
        <v>7.0151915300205756</v>
      </c>
      <c r="Y11" s="100">
        <v>3737.6940471949624</v>
      </c>
      <c r="Z11" s="100">
        <v>7</v>
      </c>
      <c r="AA11" s="100">
        <v>3729.5999999999995</v>
      </c>
      <c r="AB11" s="100">
        <v>7</v>
      </c>
      <c r="AC11" s="100">
        <v>3729.5999999999995</v>
      </c>
      <c r="AD11" s="100">
        <v>8</v>
      </c>
      <c r="AE11" s="100">
        <v>4262.3999999999996</v>
      </c>
      <c r="AF11" s="100">
        <v>8</v>
      </c>
      <c r="AG11" s="100">
        <v>4262.3999999999996</v>
      </c>
      <c r="AH11" s="100">
        <v>9</v>
      </c>
      <c r="AI11" s="100">
        <v>4795.2</v>
      </c>
      <c r="AJ11" s="100">
        <v>6</v>
      </c>
      <c r="AK11" s="100">
        <v>3196.7999999999997</v>
      </c>
      <c r="AL11" s="100">
        <v>6</v>
      </c>
      <c r="AM11" s="100">
        <v>3196.7999999999997</v>
      </c>
      <c r="AN11" s="100">
        <v>5</v>
      </c>
      <c r="AO11" s="100">
        <v>2664</v>
      </c>
      <c r="AP11" s="100">
        <v>5</v>
      </c>
      <c r="AQ11" s="100">
        <v>2664</v>
      </c>
      <c r="AR11" s="100">
        <v>7</v>
      </c>
      <c r="AS11" s="100">
        <v>3729.5999999999995</v>
      </c>
      <c r="AT11" s="100">
        <v>5</v>
      </c>
      <c r="AU11" s="100">
        <v>2664</v>
      </c>
      <c r="AV11" s="100">
        <v>5</v>
      </c>
      <c r="AW11" s="100">
        <v>2664</v>
      </c>
      <c r="AX11" s="100">
        <v>7</v>
      </c>
      <c r="AY11" s="100">
        <v>3729.5999999999995</v>
      </c>
      <c r="AZ11" s="100">
        <v>8</v>
      </c>
      <c r="BA11" s="100">
        <v>4262.3999999999996</v>
      </c>
      <c r="BB11" s="100">
        <v>5</v>
      </c>
      <c r="BC11" s="100">
        <v>2664</v>
      </c>
      <c r="BD11" s="100">
        <v>8</v>
      </c>
      <c r="BE11" s="100">
        <v>4262.3999999999996</v>
      </c>
      <c r="BF11" s="100">
        <v>8</v>
      </c>
      <c r="BG11" s="100">
        <v>4262.3999999999996</v>
      </c>
      <c r="BH11" s="100">
        <v>9</v>
      </c>
      <c r="BI11" s="100">
        <v>4795.2</v>
      </c>
      <c r="BJ11" s="100">
        <v>8</v>
      </c>
      <c r="BK11" s="100">
        <v>4262.3999999999996</v>
      </c>
      <c r="BL11" s="100">
        <v>8</v>
      </c>
      <c r="BM11" s="100">
        <v>4262.3999999999996</v>
      </c>
      <c r="BN11" s="100">
        <v>7</v>
      </c>
      <c r="BO11" s="100">
        <v>3729.5999999999995</v>
      </c>
      <c r="BP11" s="100">
        <v>6</v>
      </c>
      <c r="BQ11" s="100">
        <v>3196.7999999999997</v>
      </c>
      <c r="BR11" s="100">
        <v>6</v>
      </c>
      <c r="BS11" s="100">
        <v>3196.7999999999997</v>
      </c>
      <c r="BT11" s="100">
        <v>7</v>
      </c>
      <c r="BU11" s="100">
        <v>3729.5999999999995</v>
      </c>
      <c r="BV11" s="100">
        <v>8</v>
      </c>
      <c r="BW11" s="100">
        <v>4262.3999999999996</v>
      </c>
      <c r="BX11" s="100">
        <v>6</v>
      </c>
      <c r="BY11" s="100">
        <v>3196.7999999999997</v>
      </c>
      <c r="BZ11" s="100">
        <v>10</v>
      </c>
      <c r="CA11" s="100">
        <v>5328</v>
      </c>
      <c r="CB11" s="100">
        <v>8</v>
      </c>
      <c r="CC11" s="100">
        <v>4262.3999999999996</v>
      </c>
      <c r="CD11" s="100">
        <v>6</v>
      </c>
      <c r="CE11" s="100">
        <v>3196.7999999999997</v>
      </c>
      <c r="CF11" s="100">
        <v>11</v>
      </c>
      <c r="CG11" s="100">
        <v>5860.7999999999993</v>
      </c>
      <c r="CH11" s="100">
        <v>7</v>
      </c>
      <c r="CI11" s="100">
        <v>3729.5999999999995</v>
      </c>
      <c r="CJ11" s="100">
        <v>7</v>
      </c>
      <c r="CK11" s="100">
        <v>3729.5999999999995</v>
      </c>
      <c r="CL11" s="100">
        <v>10</v>
      </c>
      <c r="CM11" s="100">
        <v>5328</v>
      </c>
      <c r="CN11" s="100">
        <v>10</v>
      </c>
      <c r="CO11" s="100">
        <v>5328</v>
      </c>
      <c r="CP11" s="100">
        <v>9</v>
      </c>
      <c r="CQ11" s="100">
        <v>4795.2</v>
      </c>
      <c r="CR11" s="100">
        <v>7</v>
      </c>
      <c r="CS11" s="100">
        <v>3729.5999999999995</v>
      </c>
      <c r="CT11" s="100">
        <v>7</v>
      </c>
      <c r="CU11" s="100">
        <v>3729.5999999999995</v>
      </c>
    </row>
    <row r="12" spans="1:99">
      <c r="C12" s="99" t="s">
        <v>178</v>
      </c>
      <c r="D12" s="100">
        <v>5.5569428329348334</v>
      </c>
      <c r="E12" s="100">
        <v>3127.4474263757238</v>
      </c>
      <c r="F12" s="100">
        <v>7.1820699351383972</v>
      </c>
      <c r="G12" s="100">
        <v>4042.0689594958894</v>
      </c>
      <c r="H12" s="100">
        <v>1.7465787892115336</v>
      </c>
      <c r="I12" s="100">
        <v>982.97454256825108</v>
      </c>
      <c r="J12" s="100">
        <v>3.3703466872060027E-4</v>
      </c>
      <c r="K12" s="100">
        <v>0.18968311155595383</v>
      </c>
      <c r="L12" s="100">
        <v>5</v>
      </c>
      <c r="M12" s="100">
        <v>2814</v>
      </c>
      <c r="N12" s="100">
        <v>6</v>
      </c>
      <c r="O12" s="100">
        <v>3376.7999999999997</v>
      </c>
      <c r="P12" s="100">
        <v>5</v>
      </c>
      <c r="Q12" s="100">
        <v>2814</v>
      </c>
      <c r="R12" s="100">
        <v>6</v>
      </c>
      <c r="S12" s="100">
        <v>3376.7999999999997</v>
      </c>
      <c r="T12" s="100">
        <v>7</v>
      </c>
      <c r="U12" s="100">
        <v>3939.5999999999995</v>
      </c>
      <c r="V12" s="100">
        <v>7.0237974594699555</v>
      </c>
      <c r="W12" s="100">
        <v>3952.9932101896907</v>
      </c>
      <c r="X12" s="100">
        <v>8.0151915300205765</v>
      </c>
      <c r="Y12" s="100">
        <v>4510.9497930955804</v>
      </c>
      <c r="Z12" s="100">
        <v>7</v>
      </c>
      <c r="AA12" s="100">
        <v>3939.5999999999995</v>
      </c>
      <c r="AB12" s="100">
        <v>8</v>
      </c>
      <c r="AC12" s="100">
        <v>4502.3999999999996</v>
      </c>
      <c r="AD12" s="100">
        <v>10</v>
      </c>
      <c r="AE12" s="100">
        <v>5628</v>
      </c>
      <c r="AF12" s="100">
        <v>9</v>
      </c>
      <c r="AG12" s="100">
        <v>5065.2</v>
      </c>
      <c r="AH12" s="100">
        <v>9</v>
      </c>
      <c r="AI12" s="100">
        <v>5065.2</v>
      </c>
      <c r="AJ12" s="100">
        <v>7</v>
      </c>
      <c r="AK12" s="100">
        <v>3939.5999999999995</v>
      </c>
      <c r="AL12" s="100">
        <v>7</v>
      </c>
      <c r="AM12" s="100">
        <v>3939.5999999999995</v>
      </c>
      <c r="AN12" s="100">
        <v>5</v>
      </c>
      <c r="AO12" s="100">
        <v>2814</v>
      </c>
      <c r="AP12" s="100">
        <v>5</v>
      </c>
      <c r="AQ12" s="100">
        <v>2814</v>
      </c>
      <c r="AR12" s="100">
        <v>7</v>
      </c>
      <c r="AS12" s="100">
        <v>3939.5999999999995</v>
      </c>
      <c r="AT12" s="100">
        <v>5</v>
      </c>
      <c r="AU12" s="100">
        <v>2814</v>
      </c>
      <c r="AV12" s="100">
        <v>6</v>
      </c>
      <c r="AW12" s="100">
        <v>3376.7999999999997</v>
      </c>
      <c r="AX12" s="100">
        <v>7</v>
      </c>
      <c r="AY12" s="100">
        <v>3939.5999999999995</v>
      </c>
      <c r="AZ12" s="100">
        <v>7</v>
      </c>
      <c r="BA12" s="100">
        <v>3939.5999999999995</v>
      </c>
      <c r="BB12" s="100">
        <v>5</v>
      </c>
      <c r="BC12" s="100">
        <v>2814</v>
      </c>
      <c r="BD12" s="100">
        <v>8</v>
      </c>
      <c r="BE12" s="100">
        <v>4502.3999999999996</v>
      </c>
      <c r="BF12" s="100">
        <v>8</v>
      </c>
      <c r="BG12" s="100">
        <v>4502.3999999999996</v>
      </c>
      <c r="BH12" s="100">
        <v>10</v>
      </c>
      <c r="BI12" s="100">
        <v>5628</v>
      </c>
      <c r="BJ12" s="100">
        <v>8</v>
      </c>
      <c r="BK12" s="100">
        <v>4502.3999999999996</v>
      </c>
      <c r="BL12" s="100">
        <v>7</v>
      </c>
      <c r="BM12" s="100">
        <v>3939.5999999999995</v>
      </c>
      <c r="BN12" s="100">
        <v>6</v>
      </c>
      <c r="BO12" s="100">
        <v>3376.7999999999997</v>
      </c>
      <c r="BP12" s="100">
        <v>7</v>
      </c>
      <c r="BQ12" s="100">
        <v>3939.5999999999995</v>
      </c>
      <c r="BR12" s="100">
        <v>6</v>
      </c>
      <c r="BS12" s="100">
        <v>3376.7999999999997</v>
      </c>
      <c r="BT12" s="100">
        <v>9</v>
      </c>
      <c r="BU12" s="100">
        <v>5065.2</v>
      </c>
      <c r="BV12" s="100">
        <v>7</v>
      </c>
      <c r="BW12" s="100">
        <v>3939.5999999999995</v>
      </c>
      <c r="BX12" s="100">
        <v>6</v>
      </c>
      <c r="BY12" s="100">
        <v>3376.7999999999997</v>
      </c>
      <c r="BZ12" s="100">
        <v>10</v>
      </c>
      <c r="CA12" s="100">
        <v>5628</v>
      </c>
      <c r="CB12" s="100">
        <v>8</v>
      </c>
      <c r="CC12" s="100">
        <v>4502.3999999999996</v>
      </c>
      <c r="CD12" s="100">
        <v>7</v>
      </c>
      <c r="CE12" s="100">
        <v>3939.5999999999995</v>
      </c>
      <c r="CF12" s="100">
        <v>11</v>
      </c>
      <c r="CG12" s="100">
        <v>6190.7999999999993</v>
      </c>
      <c r="CH12" s="100">
        <v>6</v>
      </c>
      <c r="CI12" s="100">
        <v>3376.7999999999997</v>
      </c>
      <c r="CJ12" s="100">
        <v>7</v>
      </c>
      <c r="CK12" s="100">
        <v>3939.5999999999995</v>
      </c>
      <c r="CL12" s="100">
        <v>10</v>
      </c>
      <c r="CM12" s="100">
        <v>5628</v>
      </c>
      <c r="CN12" s="100">
        <v>9</v>
      </c>
      <c r="CO12" s="100">
        <v>5065.2</v>
      </c>
      <c r="CP12" s="100">
        <v>9</v>
      </c>
      <c r="CQ12" s="100">
        <v>5065.2</v>
      </c>
      <c r="CR12" s="100">
        <v>8</v>
      </c>
      <c r="CS12" s="100">
        <v>4502.3999999999996</v>
      </c>
      <c r="CT12" s="100">
        <v>8</v>
      </c>
      <c r="CU12" s="100">
        <v>4502.3999999999996</v>
      </c>
    </row>
    <row r="13" spans="1:99">
      <c r="C13" s="99" t="s">
        <v>179</v>
      </c>
      <c r="D13" s="100">
        <v>5.5569428329348334</v>
      </c>
      <c r="E13" s="100">
        <v>473.45152936604779</v>
      </c>
      <c r="F13" s="100">
        <v>7.9911932806614461</v>
      </c>
      <c r="G13" s="100">
        <v>680.84966751235527</v>
      </c>
      <c r="H13" s="100">
        <v>1.7465787892115336</v>
      </c>
      <c r="I13" s="100">
        <v>148.80851284082266</v>
      </c>
      <c r="J13" s="100">
        <v>3.3703466872060027E-4</v>
      </c>
      <c r="K13" s="100">
        <v>2.8715353774995143E-2</v>
      </c>
      <c r="L13" s="100">
        <v>5</v>
      </c>
      <c r="M13" s="100">
        <v>426</v>
      </c>
      <c r="N13" s="100">
        <v>6</v>
      </c>
      <c r="O13" s="100">
        <v>511.20000000000005</v>
      </c>
      <c r="P13" s="100">
        <v>5</v>
      </c>
      <c r="Q13" s="100">
        <v>426</v>
      </c>
      <c r="R13" s="100">
        <v>6</v>
      </c>
      <c r="S13" s="100">
        <v>511.20000000000005</v>
      </c>
      <c r="T13" s="100">
        <v>8</v>
      </c>
      <c r="U13" s="100">
        <v>681.6</v>
      </c>
      <c r="V13" s="100">
        <v>6.0237974594699555</v>
      </c>
      <c r="W13" s="100">
        <v>513.22754354684025</v>
      </c>
      <c r="X13" s="100">
        <v>7.0177234516906717</v>
      </c>
      <c r="Y13" s="100">
        <v>597.91003808404525</v>
      </c>
      <c r="Z13" s="100">
        <v>7</v>
      </c>
      <c r="AA13" s="100">
        <v>596.4</v>
      </c>
      <c r="AB13" s="100">
        <v>8</v>
      </c>
      <c r="AC13" s="100">
        <v>681.6</v>
      </c>
      <c r="AD13" s="100">
        <v>10</v>
      </c>
      <c r="AE13" s="100">
        <v>852</v>
      </c>
      <c r="AF13" s="100">
        <v>9</v>
      </c>
      <c r="AG13" s="100">
        <v>766.80000000000007</v>
      </c>
      <c r="AH13" s="100">
        <v>9</v>
      </c>
      <c r="AI13" s="100">
        <v>766.80000000000007</v>
      </c>
      <c r="AJ13" s="100">
        <v>7</v>
      </c>
      <c r="AK13" s="100">
        <v>596.4</v>
      </c>
      <c r="AL13" s="100">
        <v>6</v>
      </c>
      <c r="AM13" s="100">
        <v>511.20000000000005</v>
      </c>
      <c r="AN13" s="100">
        <v>5</v>
      </c>
      <c r="AO13" s="100">
        <v>426</v>
      </c>
      <c r="AP13" s="100">
        <v>5</v>
      </c>
      <c r="AQ13" s="100">
        <v>426</v>
      </c>
      <c r="AR13" s="100">
        <v>7</v>
      </c>
      <c r="AS13" s="100">
        <v>596.4</v>
      </c>
      <c r="AT13" s="100">
        <v>6</v>
      </c>
      <c r="AU13" s="100">
        <v>511.20000000000005</v>
      </c>
      <c r="AV13" s="100">
        <v>5</v>
      </c>
      <c r="AW13" s="100">
        <v>426</v>
      </c>
      <c r="AX13" s="100">
        <v>8</v>
      </c>
      <c r="AY13" s="100">
        <v>681.6</v>
      </c>
      <c r="AZ13" s="100">
        <v>7</v>
      </c>
      <c r="BA13" s="100">
        <v>596.4</v>
      </c>
      <c r="BB13" s="100">
        <v>6</v>
      </c>
      <c r="BC13" s="100">
        <v>511.20000000000005</v>
      </c>
      <c r="BD13" s="100">
        <v>10</v>
      </c>
      <c r="BE13" s="100">
        <v>852</v>
      </c>
      <c r="BF13" s="100">
        <v>8</v>
      </c>
      <c r="BG13" s="100">
        <v>681.6</v>
      </c>
      <c r="BH13" s="100">
        <v>9</v>
      </c>
      <c r="BI13" s="100">
        <v>766.80000000000007</v>
      </c>
      <c r="BJ13" s="100">
        <v>9</v>
      </c>
      <c r="BK13" s="100">
        <v>766.80000000000007</v>
      </c>
      <c r="BL13" s="100">
        <v>8</v>
      </c>
      <c r="BM13" s="100">
        <v>681.6</v>
      </c>
      <c r="BN13" s="100">
        <v>6</v>
      </c>
      <c r="BO13" s="100">
        <v>511.20000000000005</v>
      </c>
      <c r="BP13" s="100">
        <v>6</v>
      </c>
      <c r="BQ13" s="100">
        <v>511.20000000000005</v>
      </c>
      <c r="BR13" s="100">
        <v>6</v>
      </c>
      <c r="BS13" s="100">
        <v>511.20000000000005</v>
      </c>
      <c r="BT13" s="100">
        <v>8</v>
      </c>
      <c r="BU13" s="100">
        <v>681.6</v>
      </c>
      <c r="BV13" s="100">
        <v>7</v>
      </c>
      <c r="BW13" s="100">
        <v>596.4</v>
      </c>
      <c r="BX13" s="100">
        <v>6</v>
      </c>
      <c r="BY13" s="100">
        <v>511.20000000000005</v>
      </c>
      <c r="BZ13" s="100">
        <v>10</v>
      </c>
      <c r="CA13" s="100">
        <v>852</v>
      </c>
      <c r="CB13" s="100">
        <v>8</v>
      </c>
      <c r="CC13" s="100">
        <v>681.6</v>
      </c>
      <c r="CD13" s="100">
        <v>6</v>
      </c>
      <c r="CE13" s="100">
        <v>511.20000000000005</v>
      </c>
      <c r="CF13" s="100">
        <v>10</v>
      </c>
      <c r="CG13" s="100">
        <v>852</v>
      </c>
      <c r="CH13" s="100">
        <v>6</v>
      </c>
      <c r="CI13" s="100">
        <v>511.20000000000005</v>
      </c>
      <c r="CJ13" s="100">
        <v>7</v>
      </c>
      <c r="CK13" s="100">
        <v>596.4</v>
      </c>
      <c r="CL13" s="100">
        <v>9</v>
      </c>
      <c r="CM13" s="100">
        <v>766.80000000000007</v>
      </c>
      <c r="CN13" s="100">
        <v>10</v>
      </c>
      <c r="CO13" s="100">
        <v>852</v>
      </c>
      <c r="CP13" s="100">
        <v>9</v>
      </c>
      <c r="CQ13" s="100">
        <v>766.80000000000007</v>
      </c>
      <c r="CR13" s="100">
        <v>7</v>
      </c>
      <c r="CS13" s="100">
        <v>596.4</v>
      </c>
      <c r="CT13" s="100">
        <v>7</v>
      </c>
      <c r="CU13" s="100">
        <v>596.4</v>
      </c>
    </row>
    <row r="14" spans="1:99">
      <c r="C14" s="99" t="s">
        <v>180</v>
      </c>
      <c r="D14" s="100">
        <v>5.5569428329348334</v>
      </c>
      <c r="E14" s="100">
        <v>2714.0108796053723</v>
      </c>
      <c r="F14" s="100">
        <v>7.1820699351383972</v>
      </c>
      <c r="G14" s="100">
        <v>3507.7229563215928</v>
      </c>
      <c r="H14" s="100">
        <v>1.7465787892115336</v>
      </c>
      <c r="I14" s="100">
        <v>853.02908065091299</v>
      </c>
      <c r="J14" s="100">
        <v>3.3703466872060027E-4</v>
      </c>
      <c r="K14" s="100">
        <v>0.16460773220314118</v>
      </c>
      <c r="L14" s="100">
        <v>5</v>
      </c>
      <c r="M14" s="100">
        <v>2442</v>
      </c>
      <c r="N14" s="100">
        <v>6</v>
      </c>
      <c r="O14" s="100">
        <v>2930.3999999999996</v>
      </c>
      <c r="P14" s="100">
        <v>4</v>
      </c>
      <c r="Q14" s="100">
        <v>1953.6</v>
      </c>
      <c r="R14" s="100">
        <v>7</v>
      </c>
      <c r="S14" s="100">
        <v>3418.7999999999997</v>
      </c>
      <c r="T14" s="100">
        <v>7</v>
      </c>
      <c r="U14" s="100">
        <v>3418.7999999999997</v>
      </c>
      <c r="V14" s="100">
        <v>6.0264416216332837</v>
      </c>
      <c r="W14" s="100">
        <v>2943.3140880056958</v>
      </c>
      <c r="X14" s="100">
        <v>8.0151915300205765</v>
      </c>
      <c r="Y14" s="100">
        <v>3914.6195432620493</v>
      </c>
      <c r="Z14" s="100">
        <v>7</v>
      </c>
      <c r="AA14" s="100">
        <v>3418.7999999999997</v>
      </c>
      <c r="AB14" s="100">
        <v>9</v>
      </c>
      <c r="AC14" s="100">
        <v>4395.5999999999995</v>
      </c>
      <c r="AD14" s="100">
        <v>10</v>
      </c>
      <c r="AE14" s="100">
        <v>4884</v>
      </c>
      <c r="AF14" s="100">
        <v>9</v>
      </c>
      <c r="AG14" s="100">
        <v>4395.5999999999995</v>
      </c>
      <c r="AH14" s="100">
        <v>9</v>
      </c>
      <c r="AI14" s="100">
        <v>4395.5999999999995</v>
      </c>
      <c r="AJ14" s="100">
        <v>7</v>
      </c>
      <c r="AK14" s="100">
        <v>3418.7999999999997</v>
      </c>
      <c r="AL14" s="100">
        <v>7</v>
      </c>
      <c r="AM14" s="100">
        <v>3418.7999999999997</v>
      </c>
      <c r="AN14" s="100">
        <v>5</v>
      </c>
      <c r="AO14" s="100">
        <v>2442</v>
      </c>
      <c r="AP14" s="100">
        <v>5</v>
      </c>
      <c r="AQ14" s="100">
        <v>2442</v>
      </c>
      <c r="AR14" s="100">
        <v>8</v>
      </c>
      <c r="AS14" s="100">
        <v>3907.2</v>
      </c>
      <c r="AT14" s="100">
        <v>5</v>
      </c>
      <c r="AU14" s="100">
        <v>2442</v>
      </c>
      <c r="AV14" s="100">
        <v>6</v>
      </c>
      <c r="AW14" s="100">
        <v>2930.3999999999996</v>
      </c>
      <c r="AX14" s="100">
        <v>7</v>
      </c>
      <c r="AY14" s="100">
        <v>3418.7999999999997</v>
      </c>
      <c r="AZ14" s="100">
        <v>8</v>
      </c>
      <c r="BA14" s="100">
        <v>3907.2</v>
      </c>
      <c r="BB14" s="100">
        <v>6</v>
      </c>
      <c r="BC14" s="100">
        <v>2930.3999999999996</v>
      </c>
      <c r="BD14" s="100">
        <v>9</v>
      </c>
      <c r="BE14" s="100">
        <v>4395.5999999999995</v>
      </c>
      <c r="BF14" s="100">
        <v>7</v>
      </c>
      <c r="BG14" s="100">
        <v>3418.7999999999997</v>
      </c>
      <c r="BH14" s="100">
        <v>9</v>
      </c>
      <c r="BI14" s="100">
        <v>4395.5999999999995</v>
      </c>
      <c r="BJ14" s="100">
        <v>9</v>
      </c>
      <c r="BK14" s="100">
        <v>4395.5999999999995</v>
      </c>
      <c r="BL14" s="100">
        <v>7</v>
      </c>
      <c r="BM14" s="100">
        <v>3418.7999999999997</v>
      </c>
      <c r="BN14" s="100">
        <v>6</v>
      </c>
      <c r="BO14" s="100">
        <v>2930.3999999999996</v>
      </c>
      <c r="BP14" s="100">
        <v>7</v>
      </c>
      <c r="BQ14" s="100">
        <v>3418.7999999999997</v>
      </c>
      <c r="BR14" s="100">
        <v>7</v>
      </c>
      <c r="BS14" s="100">
        <v>3418.7999999999997</v>
      </c>
      <c r="BT14" s="100">
        <v>8</v>
      </c>
      <c r="BU14" s="100">
        <v>3907.2</v>
      </c>
      <c r="BV14" s="100">
        <v>7</v>
      </c>
      <c r="BW14" s="100">
        <v>3418.7999999999997</v>
      </c>
      <c r="BX14" s="100">
        <v>5</v>
      </c>
      <c r="BY14" s="100">
        <v>2442</v>
      </c>
      <c r="BZ14" s="100">
        <v>10</v>
      </c>
      <c r="CA14" s="100">
        <v>4884</v>
      </c>
      <c r="CB14" s="100">
        <v>9</v>
      </c>
      <c r="CC14" s="100">
        <v>4395.5999999999995</v>
      </c>
      <c r="CD14" s="100">
        <v>7</v>
      </c>
      <c r="CE14" s="100">
        <v>3418.7999999999997</v>
      </c>
      <c r="CF14" s="100">
        <v>10</v>
      </c>
      <c r="CG14" s="100">
        <v>4884</v>
      </c>
      <c r="CH14" s="100">
        <v>7</v>
      </c>
      <c r="CI14" s="100">
        <v>3418.7999999999997</v>
      </c>
      <c r="CJ14" s="100">
        <v>7</v>
      </c>
      <c r="CK14" s="100">
        <v>3418.7999999999997</v>
      </c>
      <c r="CL14" s="100">
        <v>9</v>
      </c>
      <c r="CM14" s="100">
        <v>4395.5999999999995</v>
      </c>
      <c r="CN14" s="100">
        <v>10</v>
      </c>
      <c r="CO14" s="100">
        <v>4884</v>
      </c>
      <c r="CP14" s="100">
        <v>9</v>
      </c>
      <c r="CQ14" s="100">
        <v>4395.5999999999995</v>
      </c>
      <c r="CR14" s="100">
        <v>7</v>
      </c>
      <c r="CS14" s="100">
        <v>3418.7999999999997</v>
      </c>
      <c r="CT14" s="100">
        <v>7</v>
      </c>
      <c r="CU14" s="100">
        <v>3418.7999999999997</v>
      </c>
    </row>
    <row r="15" spans="1:99">
      <c r="C15" s="99" t="s">
        <v>181</v>
      </c>
      <c r="D15" s="100">
        <v>5.5569428329348334</v>
      </c>
      <c r="E15" s="100">
        <v>4241.058770095864</v>
      </c>
      <c r="F15" s="100">
        <v>7.1820699351383972</v>
      </c>
      <c r="G15" s="100">
        <v>5481.3557744976242</v>
      </c>
      <c r="H15" s="100">
        <v>1.7465787892115336</v>
      </c>
      <c r="I15" s="100">
        <v>1332.9889319262425</v>
      </c>
      <c r="J15" s="100">
        <v>3.3703466872060027E-4</v>
      </c>
      <c r="K15" s="100">
        <v>0.2572248591675621</v>
      </c>
      <c r="L15" s="100">
        <v>5</v>
      </c>
      <c r="M15" s="100">
        <v>3815.9999999999995</v>
      </c>
      <c r="N15" s="100">
        <v>6</v>
      </c>
      <c r="O15" s="100">
        <v>4579.2</v>
      </c>
      <c r="P15" s="100">
        <v>5</v>
      </c>
      <c r="Q15" s="100">
        <v>3815.9999999999995</v>
      </c>
      <c r="R15" s="100">
        <v>6</v>
      </c>
      <c r="S15" s="100">
        <v>4579.2</v>
      </c>
      <c r="T15" s="100">
        <v>7</v>
      </c>
      <c r="U15" s="100">
        <v>5342.4</v>
      </c>
      <c r="V15" s="100">
        <v>6.0237974594699555</v>
      </c>
      <c r="W15" s="100">
        <v>4597.3622210674694</v>
      </c>
      <c r="X15" s="100">
        <v>7.0151915300205756</v>
      </c>
      <c r="Y15" s="100">
        <v>5353.9941757117031</v>
      </c>
      <c r="Z15" s="100">
        <v>7</v>
      </c>
      <c r="AA15" s="100">
        <v>5342.4</v>
      </c>
      <c r="AB15" s="100">
        <v>7</v>
      </c>
      <c r="AC15" s="100">
        <v>5342.4</v>
      </c>
      <c r="AD15" s="100">
        <v>9</v>
      </c>
      <c r="AE15" s="100">
        <v>6868.7999999999993</v>
      </c>
      <c r="AF15" s="100">
        <v>8</v>
      </c>
      <c r="AG15" s="100">
        <v>6105.5999999999995</v>
      </c>
      <c r="AH15" s="100">
        <v>9</v>
      </c>
      <c r="AI15" s="100">
        <v>6868.7999999999993</v>
      </c>
      <c r="AJ15" s="100">
        <v>7</v>
      </c>
      <c r="AK15" s="100">
        <v>5342.4</v>
      </c>
      <c r="AL15" s="100">
        <v>7</v>
      </c>
      <c r="AM15" s="100">
        <v>5342.4</v>
      </c>
      <c r="AN15" s="100">
        <v>4</v>
      </c>
      <c r="AO15" s="100">
        <v>3052.7999999999997</v>
      </c>
      <c r="AP15" s="100">
        <v>5</v>
      </c>
      <c r="AQ15" s="100">
        <v>3815.9999999999995</v>
      </c>
      <c r="AR15" s="100">
        <v>7</v>
      </c>
      <c r="AS15" s="100">
        <v>5342.4</v>
      </c>
      <c r="AT15" s="100">
        <v>5</v>
      </c>
      <c r="AU15" s="100">
        <v>3815.9999999999995</v>
      </c>
      <c r="AV15" s="100">
        <v>6</v>
      </c>
      <c r="AW15" s="100">
        <v>4579.2</v>
      </c>
      <c r="AX15" s="100">
        <v>7</v>
      </c>
      <c r="AY15" s="100">
        <v>5342.4</v>
      </c>
      <c r="AZ15" s="100">
        <v>8</v>
      </c>
      <c r="BA15" s="100">
        <v>6105.5999999999995</v>
      </c>
      <c r="BB15" s="100">
        <v>5</v>
      </c>
      <c r="BC15" s="100">
        <v>3815.9999999999995</v>
      </c>
      <c r="BD15" s="100">
        <v>9</v>
      </c>
      <c r="BE15" s="100">
        <v>6868.7999999999993</v>
      </c>
      <c r="BF15" s="100">
        <v>7</v>
      </c>
      <c r="BG15" s="100">
        <v>5342.4</v>
      </c>
      <c r="BH15" s="100">
        <v>9</v>
      </c>
      <c r="BI15" s="100">
        <v>6868.7999999999993</v>
      </c>
      <c r="BJ15" s="100">
        <v>8</v>
      </c>
      <c r="BK15" s="100">
        <v>6105.5999999999995</v>
      </c>
      <c r="BL15" s="100">
        <v>7</v>
      </c>
      <c r="BM15" s="100">
        <v>5342.4</v>
      </c>
      <c r="BN15" s="100">
        <v>6</v>
      </c>
      <c r="BO15" s="100">
        <v>4579.2</v>
      </c>
      <c r="BP15" s="100">
        <v>7</v>
      </c>
      <c r="BQ15" s="100">
        <v>5342.4</v>
      </c>
      <c r="BR15" s="100">
        <v>6</v>
      </c>
      <c r="BS15" s="100">
        <v>4579.2</v>
      </c>
      <c r="BT15" s="100">
        <v>8</v>
      </c>
      <c r="BU15" s="100">
        <v>6105.5999999999995</v>
      </c>
      <c r="BV15" s="100">
        <v>8</v>
      </c>
      <c r="BW15" s="100">
        <v>6105.5999999999995</v>
      </c>
      <c r="BX15" s="100">
        <v>6</v>
      </c>
      <c r="BY15" s="100">
        <v>4579.2</v>
      </c>
      <c r="BZ15" s="100">
        <v>10</v>
      </c>
      <c r="CA15" s="100">
        <v>7631.9999999999991</v>
      </c>
      <c r="CB15" s="100">
        <v>8</v>
      </c>
      <c r="CC15" s="100">
        <v>6105.5999999999995</v>
      </c>
      <c r="CD15" s="100">
        <v>6</v>
      </c>
      <c r="CE15" s="100">
        <v>4579.2</v>
      </c>
      <c r="CF15" s="100">
        <v>10</v>
      </c>
      <c r="CG15" s="100">
        <v>7631.9999999999991</v>
      </c>
      <c r="CH15" s="100">
        <v>6</v>
      </c>
      <c r="CI15" s="100">
        <v>4579.2</v>
      </c>
      <c r="CJ15" s="100">
        <v>8</v>
      </c>
      <c r="CK15" s="100">
        <v>6105.5999999999995</v>
      </c>
      <c r="CL15" s="100">
        <v>9</v>
      </c>
      <c r="CM15" s="100">
        <v>6868.7999999999993</v>
      </c>
      <c r="CN15" s="100">
        <v>10</v>
      </c>
      <c r="CO15" s="100">
        <v>7631.9999999999991</v>
      </c>
      <c r="CP15" s="100">
        <v>8</v>
      </c>
      <c r="CQ15" s="100">
        <v>6105.5999999999995</v>
      </c>
      <c r="CR15" s="100">
        <v>8</v>
      </c>
      <c r="CS15" s="100">
        <v>6105.5999999999995</v>
      </c>
      <c r="CT15" s="100">
        <v>8</v>
      </c>
      <c r="CU15" s="100">
        <v>6105.5999999999995</v>
      </c>
    </row>
    <row r="16" spans="1:99">
      <c r="C16" s="99" t="s">
        <v>182</v>
      </c>
      <c r="D16" s="100">
        <v>4.6307856941123609</v>
      </c>
      <c r="E16" s="100">
        <v>1578.1717645534927</v>
      </c>
      <c r="F16" s="100">
        <v>7.1403591603763967</v>
      </c>
      <c r="G16" s="100">
        <v>2433.4344018562761</v>
      </c>
      <c r="H16" s="100">
        <v>1.7465787892115336</v>
      </c>
      <c r="I16" s="100">
        <v>595.23405136329063</v>
      </c>
      <c r="J16" s="100">
        <v>3.3703466872060027E-4</v>
      </c>
      <c r="K16" s="100">
        <v>0.11486141509998057</v>
      </c>
      <c r="L16" s="100">
        <v>5</v>
      </c>
      <c r="M16" s="100">
        <v>1704</v>
      </c>
      <c r="N16" s="100">
        <v>5</v>
      </c>
      <c r="O16" s="100">
        <v>1704</v>
      </c>
      <c r="P16" s="100">
        <v>4</v>
      </c>
      <c r="Q16" s="100">
        <v>1363.2</v>
      </c>
      <c r="R16" s="100">
        <v>6</v>
      </c>
      <c r="S16" s="100">
        <v>2044.8000000000002</v>
      </c>
      <c r="T16" s="100">
        <v>8</v>
      </c>
      <c r="U16" s="100">
        <v>2726.4</v>
      </c>
      <c r="V16" s="100">
        <v>7.0264416216332837</v>
      </c>
      <c r="W16" s="100">
        <v>2394.6113046526229</v>
      </c>
      <c r="X16" s="100">
        <v>8.0151915300205765</v>
      </c>
      <c r="Y16" s="100">
        <v>2731.5772734310126</v>
      </c>
      <c r="Z16" s="100">
        <v>6</v>
      </c>
      <c r="AA16" s="100">
        <v>2044.8000000000002</v>
      </c>
      <c r="AB16" s="100">
        <v>8</v>
      </c>
      <c r="AC16" s="100">
        <v>2726.4</v>
      </c>
      <c r="AD16" s="100">
        <v>10</v>
      </c>
      <c r="AE16" s="100">
        <v>3408</v>
      </c>
      <c r="AF16" s="100">
        <v>10</v>
      </c>
      <c r="AG16" s="100">
        <v>3408</v>
      </c>
      <c r="AH16" s="100">
        <v>9</v>
      </c>
      <c r="AI16" s="100">
        <v>3067.2000000000003</v>
      </c>
      <c r="AJ16" s="100">
        <v>7</v>
      </c>
      <c r="AK16" s="100">
        <v>2385.6</v>
      </c>
      <c r="AL16" s="100">
        <v>7</v>
      </c>
      <c r="AM16" s="100">
        <v>2385.6</v>
      </c>
      <c r="AN16" s="100">
        <v>5</v>
      </c>
      <c r="AO16" s="100">
        <v>1704</v>
      </c>
      <c r="AP16" s="100">
        <v>6</v>
      </c>
      <c r="AQ16" s="100">
        <v>2044.8000000000002</v>
      </c>
      <c r="AR16" s="100">
        <v>8</v>
      </c>
      <c r="AS16" s="100">
        <v>2726.4</v>
      </c>
      <c r="AT16" s="100">
        <v>5</v>
      </c>
      <c r="AU16" s="100">
        <v>1704</v>
      </c>
      <c r="AV16" s="100">
        <v>6</v>
      </c>
      <c r="AW16" s="100">
        <v>2044.8000000000002</v>
      </c>
      <c r="AX16" s="100">
        <v>7</v>
      </c>
      <c r="AY16" s="100">
        <v>2385.6</v>
      </c>
      <c r="AZ16" s="100">
        <v>7</v>
      </c>
      <c r="BA16" s="100">
        <v>2385.6</v>
      </c>
      <c r="BB16" s="100">
        <v>5</v>
      </c>
      <c r="BC16" s="100">
        <v>1704</v>
      </c>
      <c r="BD16" s="100">
        <v>9</v>
      </c>
      <c r="BE16" s="100">
        <v>3067.2000000000003</v>
      </c>
      <c r="BF16" s="100">
        <v>7</v>
      </c>
      <c r="BG16" s="100">
        <v>2385.6</v>
      </c>
      <c r="BH16" s="100">
        <v>9</v>
      </c>
      <c r="BI16" s="100">
        <v>3067.2000000000003</v>
      </c>
      <c r="BJ16" s="100">
        <v>8</v>
      </c>
      <c r="BK16" s="100">
        <v>2726.4</v>
      </c>
      <c r="BL16" s="100">
        <v>8</v>
      </c>
      <c r="BM16" s="100">
        <v>2726.4</v>
      </c>
      <c r="BN16" s="100">
        <v>6</v>
      </c>
      <c r="BO16" s="100">
        <v>2044.8000000000002</v>
      </c>
      <c r="BP16" s="100">
        <v>7</v>
      </c>
      <c r="BQ16" s="100">
        <v>2385.6</v>
      </c>
      <c r="BR16" s="100">
        <v>6</v>
      </c>
      <c r="BS16" s="100">
        <v>2044.8000000000002</v>
      </c>
      <c r="BT16" s="100">
        <v>8</v>
      </c>
      <c r="BU16" s="100">
        <v>2726.4</v>
      </c>
      <c r="BV16" s="100">
        <v>7</v>
      </c>
      <c r="BW16" s="100">
        <v>2385.6</v>
      </c>
      <c r="BX16" s="100">
        <v>6</v>
      </c>
      <c r="BY16" s="100">
        <v>2044.8000000000002</v>
      </c>
      <c r="BZ16" s="100">
        <v>11</v>
      </c>
      <c r="CA16" s="100">
        <v>3748.8</v>
      </c>
      <c r="CB16" s="100">
        <v>9</v>
      </c>
      <c r="CC16" s="100">
        <v>3067.2000000000003</v>
      </c>
      <c r="CD16" s="100">
        <v>7</v>
      </c>
      <c r="CE16" s="100">
        <v>2385.6</v>
      </c>
      <c r="CF16" s="100">
        <v>10</v>
      </c>
      <c r="CG16" s="100">
        <v>3408</v>
      </c>
      <c r="CH16" s="100">
        <v>6</v>
      </c>
      <c r="CI16" s="100">
        <v>2044.8000000000002</v>
      </c>
      <c r="CJ16" s="100">
        <v>8</v>
      </c>
      <c r="CK16" s="100">
        <v>2726.4</v>
      </c>
      <c r="CL16" s="100">
        <v>9</v>
      </c>
      <c r="CM16" s="100">
        <v>3067.2000000000003</v>
      </c>
      <c r="CN16" s="100">
        <v>10</v>
      </c>
      <c r="CO16" s="100">
        <v>3408</v>
      </c>
      <c r="CP16" s="100">
        <v>9</v>
      </c>
      <c r="CQ16" s="100">
        <v>3067.2000000000003</v>
      </c>
      <c r="CR16" s="100">
        <v>8</v>
      </c>
      <c r="CS16" s="100">
        <v>2726.4</v>
      </c>
      <c r="CT16" s="100">
        <v>7</v>
      </c>
      <c r="CU16" s="100">
        <v>2385.6</v>
      </c>
    </row>
    <row r="17" spans="2:99">
      <c r="C17" s="99" t="s">
        <v>183</v>
      </c>
      <c r="D17" s="100">
        <v>5.5569428329348334</v>
      </c>
      <c r="E17" s="100">
        <v>2347.2526526316733</v>
      </c>
      <c r="F17" s="100">
        <v>6.2895250400913474</v>
      </c>
      <c r="G17" s="100">
        <v>2656.6953769345851</v>
      </c>
      <c r="H17" s="100">
        <v>1.7465787892115336</v>
      </c>
      <c r="I17" s="100">
        <v>737.75488056295183</v>
      </c>
      <c r="J17" s="100">
        <v>3.3703466872060027E-4</v>
      </c>
      <c r="K17" s="100">
        <v>0.14236344406758156</v>
      </c>
      <c r="L17" s="100">
        <v>5</v>
      </c>
      <c r="M17" s="100">
        <v>2112</v>
      </c>
      <c r="N17" s="100">
        <v>6</v>
      </c>
      <c r="O17" s="100">
        <v>2534.3999999999996</v>
      </c>
      <c r="P17" s="100">
        <v>5</v>
      </c>
      <c r="Q17" s="100">
        <v>2112</v>
      </c>
      <c r="R17" s="100">
        <v>6</v>
      </c>
      <c r="S17" s="100">
        <v>2534.3999999999996</v>
      </c>
      <c r="T17" s="100">
        <v>8</v>
      </c>
      <c r="U17" s="100">
        <v>3379.2</v>
      </c>
      <c r="V17" s="100">
        <v>6.0264416216332837</v>
      </c>
      <c r="W17" s="100">
        <v>2545.5689409778988</v>
      </c>
      <c r="X17" s="100">
        <v>8.0177234516906726</v>
      </c>
      <c r="Y17" s="100">
        <v>3386.68638599414</v>
      </c>
      <c r="Z17" s="100">
        <v>6</v>
      </c>
      <c r="AA17" s="100">
        <v>2534.3999999999996</v>
      </c>
      <c r="AB17" s="100">
        <v>9</v>
      </c>
      <c r="AC17" s="100">
        <v>3801.6</v>
      </c>
      <c r="AD17" s="100">
        <v>9</v>
      </c>
      <c r="AE17" s="100">
        <v>3801.6</v>
      </c>
      <c r="AF17" s="100">
        <v>9</v>
      </c>
      <c r="AG17" s="100">
        <v>3801.6</v>
      </c>
      <c r="AH17" s="100">
        <v>9</v>
      </c>
      <c r="AI17" s="100">
        <v>3801.6</v>
      </c>
      <c r="AJ17" s="100">
        <v>7</v>
      </c>
      <c r="AK17" s="100">
        <v>2956.7999999999997</v>
      </c>
      <c r="AL17" s="100">
        <v>7</v>
      </c>
      <c r="AM17" s="100">
        <v>2956.7999999999997</v>
      </c>
      <c r="AN17" s="100">
        <v>5</v>
      </c>
      <c r="AO17" s="100">
        <v>2112</v>
      </c>
      <c r="AP17" s="100">
        <v>5</v>
      </c>
      <c r="AQ17" s="100">
        <v>2112</v>
      </c>
      <c r="AR17" s="100">
        <v>7</v>
      </c>
      <c r="AS17" s="100">
        <v>2956.7999999999997</v>
      </c>
      <c r="AT17" s="100">
        <v>5</v>
      </c>
      <c r="AU17" s="100">
        <v>2112</v>
      </c>
      <c r="AV17" s="100">
        <v>6</v>
      </c>
      <c r="AW17" s="100">
        <v>2534.3999999999996</v>
      </c>
      <c r="AX17" s="100">
        <v>7</v>
      </c>
      <c r="AY17" s="100">
        <v>2956.7999999999997</v>
      </c>
      <c r="AZ17" s="100">
        <v>7</v>
      </c>
      <c r="BA17" s="100">
        <v>2956.7999999999997</v>
      </c>
      <c r="BB17" s="100">
        <v>5</v>
      </c>
      <c r="BC17" s="100">
        <v>2112</v>
      </c>
      <c r="BD17" s="100">
        <v>10</v>
      </c>
      <c r="BE17" s="100">
        <v>4224</v>
      </c>
      <c r="BF17" s="100">
        <v>8</v>
      </c>
      <c r="BG17" s="100">
        <v>3379.2</v>
      </c>
      <c r="BH17" s="100">
        <v>9</v>
      </c>
      <c r="BI17" s="100">
        <v>3801.6</v>
      </c>
      <c r="BJ17" s="100">
        <v>9</v>
      </c>
      <c r="BK17" s="100">
        <v>3801.6</v>
      </c>
      <c r="BL17" s="100">
        <v>7</v>
      </c>
      <c r="BM17" s="100">
        <v>2956.7999999999997</v>
      </c>
      <c r="BN17" s="100">
        <v>6</v>
      </c>
      <c r="BO17" s="100">
        <v>2534.3999999999996</v>
      </c>
      <c r="BP17" s="100">
        <v>7</v>
      </c>
      <c r="BQ17" s="100">
        <v>2956.7999999999997</v>
      </c>
      <c r="BR17" s="100">
        <v>6</v>
      </c>
      <c r="BS17" s="100">
        <v>2534.3999999999996</v>
      </c>
      <c r="BT17" s="100">
        <v>8</v>
      </c>
      <c r="BU17" s="100">
        <v>3379.2</v>
      </c>
      <c r="BV17" s="100">
        <v>7</v>
      </c>
      <c r="BW17" s="100">
        <v>2956.7999999999997</v>
      </c>
      <c r="BX17" s="100">
        <v>6</v>
      </c>
      <c r="BY17" s="100">
        <v>2534.3999999999996</v>
      </c>
      <c r="BZ17" s="100">
        <v>11</v>
      </c>
      <c r="CA17" s="100">
        <v>4646.3999999999996</v>
      </c>
      <c r="CB17" s="100">
        <v>8</v>
      </c>
      <c r="CC17" s="100">
        <v>3379.2</v>
      </c>
      <c r="CD17" s="100">
        <v>7</v>
      </c>
      <c r="CE17" s="100">
        <v>2956.7999999999997</v>
      </c>
      <c r="CF17" s="100">
        <v>10</v>
      </c>
      <c r="CG17" s="100">
        <v>4224</v>
      </c>
      <c r="CH17" s="100">
        <v>7</v>
      </c>
      <c r="CI17" s="100">
        <v>2956.7999999999997</v>
      </c>
      <c r="CJ17" s="100">
        <v>8</v>
      </c>
      <c r="CK17" s="100">
        <v>3379.2</v>
      </c>
      <c r="CL17" s="100">
        <v>10</v>
      </c>
      <c r="CM17" s="100">
        <v>4224</v>
      </c>
      <c r="CN17" s="100">
        <v>10</v>
      </c>
      <c r="CO17" s="100">
        <v>4224</v>
      </c>
      <c r="CP17" s="100">
        <v>9</v>
      </c>
      <c r="CQ17" s="100">
        <v>3801.6</v>
      </c>
      <c r="CR17" s="100">
        <v>8</v>
      </c>
      <c r="CS17" s="100">
        <v>3379.2</v>
      </c>
      <c r="CT17" s="100">
        <v>7</v>
      </c>
      <c r="CU17" s="100">
        <v>2956.7999999999997</v>
      </c>
    </row>
    <row r="18" spans="2:99">
      <c r="C18" s="99" t="s">
        <v>184</v>
      </c>
      <c r="D18" s="100">
        <v>4.6307856941123609</v>
      </c>
      <c r="E18" s="100">
        <v>3022.976901116549</v>
      </c>
      <c r="F18" s="100">
        <v>6.2895250400913474</v>
      </c>
      <c r="G18" s="100">
        <v>4105.8019461716312</v>
      </c>
      <c r="H18" s="100">
        <v>1.7465787892115336</v>
      </c>
      <c r="I18" s="100">
        <v>1140.1666335972891</v>
      </c>
      <c r="J18" s="100">
        <v>3.3703466872060027E-4</v>
      </c>
      <c r="K18" s="100">
        <v>0.22001623174080784</v>
      </c>
      <c r="L18" s="100">
        <v>5</v>
      </c>
      <c r="M18" s="100">
        <v>3264</v>
      </c>
      <c r="N18" s="100">
        <v>5</v>
      </c>
      <c r="O18" s="100">
        <v>3264</v>
      </c>
      <c r="P18" s="100">
        <v>4</v>
      </c>
      <c r="Q18" s="100">
        <v>2611.1999999999998</v>
      </c>
      <c r="R18" s="100">
        <v>7</v>
      </c>
      <c r="S18" s="100">
        <v>4569.5999999999995</v>
      </c>
      <c r="T18" s="100">
        <v>8</v>
      </c>
      <c r="U18" s="100">
        <v>5222.3999999999996</v>
      </c>
      <c r="V18" s="100">
        <v>7.0264416216332837</v>
      </c>
      <c r="W18" s="100">
        <v>4586.8610906022077</v>
      </c>
      <c r="X18" s="100">
        <v>7.0177234516906717</v>
      </c>
      <c r="Y18" s="100">
        <v>4581.1698692636701</v>
      </c>
      <c r="Z18" s="100">
        <v>6</v>
      </c>
      <c r="AA18" s="100">
        <v>3916.7999999999997</v>
      </c>
      <c r="AB18" s="100">
        <v>8</v>
      </c>
      <c r="AC18" s="100">
        <v>5222.3999999999996</v>
      </c>
      <c r="AD18" s="100">
        <v>9</v>
      </c>
      <c r="AE18" s="100">
        <v>5875.2</v>
      </c>
      <c r="AF18" s="100">
        <v>9</v>
      </c>
      <c r="AG18" s="100">
        <v>5875.2</v>
      </c>
      <c r="AH18" s="100">
        <v>8</v>
      </c>
      <c r="AI18" s="100">
        <v>5222.3999999999996</v>
      </c>
      <c r="AJ18" s="100">
        <v>6</v>
      </c>
      <c r="AK18" s="100">
        <v>3916.7999999999997</v>
      </c>
      <c r="AL18" s="100">
        <v>7</v>
      </c>
      <c r="AM18" s="100">
        <v>4569.5999999999995</v>
      </c>
      <c r="AN18" s="100">
        <v>5</v>
      </c>
      <c r="AO18" s="100">
        <v>3264</v>
      </c>
      <c r="AP18" s="100">
        <v>5</v>
      </c>
      <c r="AQ18" s="100">
        <v>3264</v>
      </c>
      <c r="AR18" s="100">
        <v>6</v>
      </c>
      <c r="AS18" s="100">
        <v>3916.7999999999997</v>
      </c>
      <c r="AT18" s="100">
        <v>5</v>
      </c>
      <c r="AU18" s="100">
        <v>3264</v>
      </c>
      <c r="AV18" s="100">
        <v>6</v>
      </c>
      <c r="AW18" s="100">
        <v>3916.7999999999997</v>
      </c>
      <c r="AX18" s="100">
        <v>7</v>
      </c>
      <c r="AY18" s="100">
        <v>4569.5999999999995</v>
      </c>
      <c r="AZ18" s="100">
        <v>7</v>
      </c>
      <c r="BA18" s="100">
        <v>4569.5999999999995</v>
      </c>
      <c r="BB18" s="100">
        <v>5</v>
      </c>
      <c r="BC18" s="100">
        <v>3264</v>
      </c>
      <c r="BD18" s="100">
        <v>8</v>
      </c>
      <c r="BE18" s="100">
        <v>5222.3999999999996</v>
      </c>
      <c r="BF18" s="100">
        <v>7</v>
      </c>
      <c r="BG18" s="100">
        <v>4569.5999999999995</v>
      </c>
      <c r="BH18" s="100">
        <v>9</v>
      </c>
      <c r="BI18" s="100">
        <v>5875.2</v>
      </c>
      <c r="BJ18" s="100">
        <v>7</v>
      </c>
      <c r="BK18" s="100">
        <v>4569.5999999999995</v>
      </c>
      <c r="BL18" s="100">
        <v>7</v>
      </c>
      <c r="BM18" s="100">
        <v>4569.5999999999995</v>
      </c>
      <c r="BN18" s="100">
        <v>6</v>
      </c>
      <c r="BO18" s="100">
        <v>3916.7999999999997</v>
      </c>
      <c r="BP18" s="100">
        <v>7</v>
      </c>
      <c r="BQ18" s="100">
        <v>4569.5999999999995</v>
      </c>
      <c r="BR18" s="100">
        <v>6</v>
      </c>
      <c r="BS18" s="100">
        <v>3916.7999999999997</v>
      </c>
      <c r="BT18" s="100">
        <v>7</v>
      </c>
      <c r="BU18" s="100">
        <v>4569.5999999999995</v>
      </c>
      <c r="BV18" s="100">
        <v>7</v>
      </c>
      <c r="BW18" s="100">
        <v>4569.5999999999995</v>
      </c>
      <c r="BX18" s="100">
        <v>6</v>
      </c>
      <c r="BY18" s="100">
        <v>3916.7999999999997</v>
      </c>
      <c r="BZ18" s="100">
        <v>10</v>
      </c>
      <c r="CA18" s="100">
        <v>6528</v>
      </c>
      <c r="CB18" s="100">
        <v>8</v>
      </c>
      <c r="CC18" s="100">
        <v>5222.3999999999996</v>
      </c>
      <c r="CD18" s="100">
        <v>6</v>
      </c>
      <c r="CE18" s="100">
        <v>3916.7999999999997</v>
      </c>
      <c r="CF18" s="100">
        <v>10</v>
      </c>
      <c r="CG18" s="100">
        <v>6528</v>
      </c>
      <c r="CH18" s="100">
        <v>7</v>
      </c>
      <c r="CI18" s="100">
        <v>4569.5999999999995</v>
      </c>
      <c r="CJ18" s="100">
        <v>7</v>
      </c>
      <c r="CK18" s="100">
        <v>4569.5999999999995</v>
      </c>
      <c r="CL18" s="100">
        <v>9</v>
      </c>
      <c r="CM18" s="100">
        <v>5875.2</v>
      </c>
      <c r="CN18" s="100">
        <v>9</v>
      </c>
      <c r="CO18" s="100">
        <v>5875.2</v>
      </c>
      <c r="CP18" s="100">
        <v>9</v>
      </c>
      <c r="CQ18" s="100">
        <v>5875.2</v>
      </c>
      <c r="CR18" s="100">
        <v>8</v>
      </c>
      <c r="CS18" s="100">
        <v>5222.3999999999996</v>
      </c>
      <c r="CT18" s="100">
        <v>7</v>
      </c>
      <c r="CU18" s="100">
        <v>4569.5999999999995</v>
      </c>
    </row>
    <row r="19" spans="2:99">
      <c r="C19" s="99" t="s">
        <v>185</v>
      </c>
      <c r="D19" s="100">
        <v>5.5569428329348334</v>
      </c>
      <c r="E19" s="100">
        <v>1833.791134868495</v>
      </c>
      <c r="F19" s="100">
        <v>7.1403591603763967</v>
      </c>
      <c r="G19" s="100">
        <v>2356.3185229242108</v>
      </c>
      <c r="H19" s="100">
        <v>1.7465787892115336</v>
      </c>
      <c r="I19" s="100">
        <v>576.37100043980615</v>
      </c>
      <c r="J19" s="100">
        <v>3.3703466872060027E-4</v>
      </c>
      <c r="K19" s="100">
        <v>0.11122144067779809</v>
      </c>
      <c r="L19" s="100">
        <v>5</v>
      </c>
      <c r="M19" s="100">
        <v>1650</v>
      </c>
      <c r="N19" s="100">
        <v>5</v>
      </c>
      <c r="O19" s="100">
        <v>1650</v>
      </c>
      <c r="P19" s="100">
        <v>5</v>
      </c>
      <c r="Q19" s="100">
        <v>1650</v>
      </c>
      <c r="R19" s="100">
        <v>6</v>
      </c>
      <c r="S19" s="100">
        <v>1980</v>
      </c>
      <c r="T19" s="100">
        <v>8</v>
      </c>
      <c r="U19" s="100">
        <v>2640</v>
      </c>
      <c r="V19" s="100">
        <v>7.0237974594699555</v>
      </c>
      <c r="W19" s="100">
        <v>2317.8531616250852</v>
      </c>
      <c r="X19" s="100">
        <v>7.0177234516906717</v>
      </c>
      <c r="Y19" s="100">
        <v>2315.8487390579216</v>
      </c>
      <c r="Z19" s="100">
        <v>6</v>
      </c>
      <c r="AA19" s="100">
        <v>1980</v>
      </c>
      <c r="AB19" s="100">
        <v>7</v>
      </c>
      <c r="AC19" s="100">
        <v>2310</v>
      </c>
      <c r="AD19" s="100">
        <v>9</v>
      </c>
      <c r="AE19" s="100">
        <v>2970</v>
      </c>
      <c r="AF19" s="100">
        <v>8</v>
      </c>
      <c r="AG19" s="100">
        <v>2640</v>
      </c>
      <c r="AH19" s="100">
        <v>8</v>
      </c>
      <c r="AI19" s="100">
        <v>2640</v>
      </c>
      <c r="AJ19" s="100">
        <v>7</v>
      </c>
      <c r="AK19" s="100">
        <v>2310</v>
      </c>
      <c r="AL19" s="100">
        <v>7</v>
      </c>
      <c r="AM19" s="100">
        <v>2310</v>
      </c>
      <c r="AN19" s="100">
        <v>5</v>
      </c>
      <c r="AO19" s="100">
        <v>1650</v>
      </c>
      <c r="AP19" s="100">
        <v>5</v>
      </c>
      <c r="AQ19" s="100">
        <v>1650</v>
      </c>
      <c r="AR19" s="100">
        <v>7</v>
      </c>
      <c r="AS19" s="100">
        <v>2310</v>
      </c>
      <c r="AT19" s="100">
        <v>5</v>
      </c>
      <c r="AU19" s="100">
        <v>1650</v>
      </c>
      <c r="AV19" s="100">
        <v>5</v>
      </c>
      <c r="AW19" s="100">
        <v>1650</v>
      </c>
      <c r="AX19" s="100">
        <v>8</v>
      </c>
      <c r="AY19" s="100">
        <v>2640</v>
      </c>
      <c r="AZ19" s="100">
        <v>7</v>
      </c>
      <c r="BA19" s="100">
        <v>2310</v>
      </c>
      <c r="BB19" s="100">
        <v>5</v>
      </c>
      <c r="BC19" s="100">
        <v>1650</v>
      </c>
      <c r="BD19" s="100">
        <v>8</v>
      </c>
      <c r="BE19" s="100">
        <v>2640</v>
      </c>
      <c r="BF19" s="100">
        <v>7</v>
      </c>
      <c r="BG19" s="100">
        <v>2310</v>
      </c>
      <c r="BH19" s="100">
        <v>10</v>
      </c>
      <c r="BI19" s="100">
        <v>3300</v>
      </c>
      <c r="BJ19" s="100">
        <v>8</v>
      </c>
      <c r="BK19" s="100">
        <v>2640</v>
      </c>
      <c r="BL19" s="100">
        <v>7</v>
      </c>
      <c r="BM19" s="100">
        <v>2310</v>
      </c>
      <c r="BN19" s="100">
        <v>7</v>
      </c>
      <c r="BO19" s="100">
        <v>2310</v>
      </c>
      <c r="BP19" s="100">
        <v>7</v>
      </c>
      <c r="BQ19" s="100">
        <v>2310</v>
      </c>
      <c r="BR19" s="100">
        <v>7</v>
      </c>
      <c r="BS19" s="100">
        <v>2310</v>
      </c>
      <c r="BT19" s="100">
        <v>8</v>
      </c>
      <c r="BU19" s="100">
        <v>2640</v>
      </c>
      <c r="BV19" s="100">
        <v>7</v>
      </c>
      <c r="BW19" s="100">
        <v>2310</v>
      </c>
      <c r="BX19" s="100">
        <v>5</v>
      </c>
      <c r="BY19" s="100">
        <v>1650</v>
      </c>
      <c r="BZ19" s="100">
        <v>10</v>
      </c>
      <c r="CA19" s="100">
        <v>3300</v>
      </c>
      <c r="CB19" s="100">
        <v>9</v>
      </c>
      <c r="CC19" s="100">
        <v>2970</v>
      </c>
      <c r="CD19" s="100">
        <v>6</v>
      </c>
      <c r="CE19" s="100">
        <v>1980</v>
      </c>
      <c r="CF19" s="100">
        <v>11</v>
      </c>
      <c r="CG19" s="100">
        <v>3630</v>
      </c>
      <c r="CH19" s="100">
        <v>7</v>
      </c>
      <c r="CI19" s="100">
        <v>2310</v>
      </c>
      <c r="CJ19" s="100">
        <v>8</v>
      </c>
      <c r="CK19" s="100">
        <v>2640</v>
      </c>
      <c r="CL19" s="100">
        <v>9</v>
      </c>
      <c r="CM19" s="100">
        <v>2970</v>
      </c>
      <c r="CN19" s="100">
        <v>10</v>
      </c>
      <c r="CO19" s="100">
        <v>3300</v>
      </c>
      <c r="CP19" s="100">
        <v>9</v>
      </c>
      <c r="CQ19" s="100">
        <v>2970</v>
      </c>
      <c r="CR19" s="100">
        <v>7</v>
      </c>
      <c r="CS19" s="100">
        <v>2310</v>
      </c>
      <c r="CT19" s="100">
        <v>8</v>
      </c>
      <c r="CU19" s="100">
        <v>2640</v>
      </c>
    </row>
    <row r="20" spans="2:99">
      <c r="B20" s="99" t="s">
        <v>127</v>
      </c>
      <c r="C20" s="99" t="s">
        <v>186</v>
      </c>
      <c r="D20" s="100">
        <v>7.4092571105797775</v>
      </c>
      <c r="E20" s="100">
        <v>2124.9749393142802</v>
      </c>
      <c r="F20" s="100">
        <v>11.085935713422597</v>
      </c>
      <c r="G20" s="100">
        <v>3179.4463626096008</v>
      </c>
      <c r="H20" s="100">
        <v>2.7945260627384538</v>
      </c>
      <c r="I20" s="100">
        <v>801.47007479338856</v>
      </c>
      <c r="J20" s="100">
        <v>8.7629013867356065E-4</v>
      </c>
      <c r="K20" s="100">
        <v>0.2513200117715772</v>
      </c>
      <c r="L20" s="100">
        <v>8</v>
      </c>
      <c r="M20" s="100">
        <v>2294.4</v>
      </c>
      <c r="N20" s="100">
        <v>9</v>
      </c>
      <c r="O20" s="100">
        <v>2581.2000000000003</v>
      </c>
      <c r="P20" s="100">
        <v>14</v>
      </c>
      <c r="Q20" s="100">
        <v>4015.2000000000003</v>
      </c>
      <c r="R20" s="100">
        <v>12</v>
      </c>
      <c r="S20" s="100">
        <v>3441.6000000000004</v>
      </c>
      <c r="T20" s="100">
        <v>14</v>
      </c>
      <c r="U20" s="100">
        <v>4015.2000000000003</v>
      </c>
      <c r="V20" s="100">
        <v>10.052883243266567</v>
      </c>
      <c r="W20" s="100">
        <v>2883.1669141688517</v>
      </c>
      <c r="X20" s="100">
        <v>14.045574590061728</v>
      </c>
      <c r="Y20" s="100">
        <v>4028.2707924297038</v>
      </c>
      <c r="Z20" s="100">
        <v>10</v>
      </c>
      <c r="AA20" s="100">
        <v>2868</v>
      </c>
      <c r="AB20" s="100">
        <v>8</v>
      </c>
      <c r="AC20" s="100">
        <v>2294.4</v>
      </c>
      <c r="AD20" s="100">
        <v>14</v>
      </c>
      <c r="AE20" s="100">
        <v>4015.2000000000003</v>
      </c>
      <c r="AF20" s="100">
        <v>10</v>
      </c>
      <c r="AG20" s="100">
        <v>2868</v>
      </c>
      <c r="AH20" s="100">
        <v>10</v>
      </c>
      <c r="AI20" s="100">
        <v>2868</v>
      </c>
      <c r="AJ20" s="100">
        <v>12</v>
      </c>
      <c r="AK20" s="100">
        <v>3441.6000000000004</v>
      </c>
      <c r="AL20" s="100">
        <v>12</v>
      </c>
      <c r="AM20" s="100">
        <v>3441.6000000000004</v>
      </c>
      <c r="AN20" s="100">
        <v>12</v>
      </c>
      <c r="AO20" s="100">
        <v>3441.6000000000004</v>
      </c>
      <c r="AP20" s="100">
        <v>13</v>
      </c>
      <c r="AQ20" s="100">
        <v>3728.4</v>
      </c>
      <c r="AR20" s="100">
        <v>15</v>
      </c>
      <c r="AS20" s="100">
        <v>4302</v>
      </c>
      <c r="AT20" s="100">
        <v>8</v>
      </c>
      <c r="AU20" s="100">
        <v>2294.4</v>
      </c>
      <c r="AV20" s="100">
        <v>16</v>
      </c>
      <c r="AW20" s="100">
        <v>4588.8</v>
      </c>
      <c r="AX20" s="100">
        <v>14</v>
      </c>
      <c r="AY20" s="100">
        <v>4015.2000000000003</v>
      </c>
      <c r="AZ20" s="100">
        <v>8</v>
      </c>
      <c r="BA20" s="100">
        <v>2294.4</v>
      </c>
      <c r="BB20" s="100">
        <v>14</v>
      </c>
      <c r="BC20" s="100">
        <v>4015.2000000000003</v>
      </c>
      <c r="BD20" s="100">
        <v>16</v>
      </c>
      <c r="BE20" s="100">
        <v>4588.8</v>
      </c>
      <c r="BF20" s="100">
        <v>10</v>
      </c>
      <c r="BG20" s="100">
        <v>2868</v>
      </c>
      <c r="BH20" s="100">
        <v>8</v>
      </c>
      <c r="BI20" s="100">
        <v>2294.4</v>
      </c>
      <c r="BJ20" s="100">
        <v>13</v>
      </c>
      <c r="BK20" s="100">
        <v>3728.4</v>
      </c>
      <c r="BL20" s="100">
        <v>13</v>
      </c>
      <c r="BM20" s="100">
        <v>3728.4</v>
      </c>
      <c r="BN20" s="100">
        <v>9</v>
      </c>
      <c r="BO20" s="100">
        <v>2581.2000000000003</v>
      </c>
      <c r="BP20" s="100">
        <v>8</v>
      </c>
      <c r="BQ20" s="100">
        <v>2294.4</v>
      </c>
      <c r="BR20" s="100">
        <v>9</v>
      </c>
      <c r="BS20" s="100">
        <v>2581.2000000000003</v>
      </c>
      <c r="BT20" s="100">
        <v>10</v>
      </c>
      <c r="BU20" s="100">
        <v>2868</v>
      </c>
      <c r="BV20" s="100">
        <v>12</v>
      </c>
      <c r="BW20" s="100">
        <v>3441.6000000000004</v>
      </c>
      <c r="BX20" s="100">
        <v>11</v>
      </c>
      <c r="BY20" s="100">
        <v>3154.8</v>
      </c>
      <c r="BZ20" s="100">
        <v>16</v>
      </c>
      <c r="CA20" s="100">
        <v>4588.8</v>
      </c>
      <c r="CB20" s="100">
        <v>16</v>
      </c>
      <c r="CC20" s="100">
        <v>4588.8</v>
      </c>
      <c r="CD20" s="100">
        <v>13</v>
      </c>
      <c r="CE20" s="100">
        <v>3728.4</v>
      </c>
      <c r="CF20" s="100">
        <v>14</v>
      </c>
      <c r="CG20" s="100">
        <v>4015.2000000000003</v>
      </c>
      <c r="CH20" s="100">
        <v>13</v>
      </c>
      <c r="CI20" s="100">
        <v>3728.4</v>
      </c>
      <c r="CJ20" s="100">
        <v>10</v>
      </c>
      <c r="CK20" s="100">
        <v>2868</v>
      </c>
      <c r="CL20" s="100">
        <v>10</v>
      </c>
      <c r="CM20" s="100">
        <v>2868</v>
      </c>
      <c r="CN20" s="100">
        <v>15</v>
      </c>
      <c r="CO20" s="100">
        <v>4302</v>
      </c>
      <c r="CP20" s="100">
        <v>9</v>
      </c>
      <c r="CQ20" s="100">
        <v>2581.2000000000003</v>
      </c>
      <c r="CR20" s="100">
        <v>10</v>
      </c>
      <c r="CS20" s="100">
        <v>2868</v>
      </c>
      <c r="CT20" s="100">
        <v>11</v>
      </c>
      <c r="CU20" s="100">
        <v>3154.8</v>
      </c>
    </row>
    <row r="21" spans="2:99">
      <c r="C21" s="99" t="s">
        <v>187</v>
      </c>
      <c r="D21" s="100">
        <v>9.2615713882247217</v>
      </c>
      <c r="E21" s="100">
        <v>577.92205462522259</v>
      </c>
      <c r="F21" s="100">
        <v>11.169357262946598</v>
      </c>
      <c r="G21" s="100">
        <v>696.96789320786763</v>
      </c>
      <c r="H21" s="100">
        <v>2.7945260627384538</v>
      </c>
      <c r="I21" s="100">
        <v>174.3784263148795</v>
      </c>
      <c r="J21" s="100">
        <v>9.4369707241768075E-4</v>
      </c>
      <c r="K21" s="100">
        <v>5.8886697318863278E-2</v>
      </c>
      <c r="L21" s="100">
        <v>7</v>
      </c>
      <c r="M21" s="100">
        <v>436.8</v>
      </c>
      <c r="N21" s="100">
        <v>9</v>
      </c>
      <c r="O21" s="100">
        <v>561.6</v>
      </c>
      <c r="P21" s="100">
        <v>13</v>
      </c>
      <c r="Q21" s="100">
        <v>811.19999999999993</v>
      </c>
      <c r="R21" s="100">
        <v>11</v>
      </c>
      <c r="S21" s="100">
        <v>686.4</v>
      </c>
      <c r="T21" s="100">
        <v>14</v>
      </c>
      <c r="U21" s="100">
        <v>873.6</v>
      </c>
      <c r="V21" s="100">
        <v>9.0502390811032392</v>
      </c>
      <c r="W21" s="100">
        <v>564.73491866084214</v>
      </c>
      <c r="X21" s="100">
        <v>15.05063843340192</v>
      </c>
      <c r="Y21" s="100">
        <v>939.15983824427974</v>
      </c>
      <c r="Z21" s="100">
        <v>10</v>
      </c>
      <c r="AA21" s="100">
        <v>624</v>
      </c>
      <c r="AB21" s="100">
        <v>9</v>
      </c>
      <c r="AC21" s="100">
        <v>561.6</v>
      </c>
      <c r="AD21" s="100">
        <v>14</v>
      </c>
      <c r="AE21" s="100">
        <v>873.6</v>
      </c>
      <c r="AF21" s="100">
        <v>12</v>
      </c>
      <c r="AG21" s="100">
        <v>748.8</v>
      </c>
      <c r="AH21" s="100">
        <v>9</v>
      </c>
      <c r="AI21" s="100">
        <v>561.6</v>
      </c>
      <c r="AJ21" s="100">
        <v>11</v>
      </c>
      <c r="AK21" s="100">
        <v>686.4</v>
      </c>
      <c r="AL21" s="100">
        <v>12</v>
      </c>
      <c r="AM21" s="100">
        <v>748.8</v>
      </c>
      <c r="AN21" s="100">
        <v>12</v>
      </c>
      <c r="AO21" s="100">
        <v>748.8</v>
      </c>
      <c r="AP21" s="100">
        <v>13</v>
      </c>
      <c r="AQ21" s="100">
        <v>811.19999999999993</v>
      </c>
      <c r="AR21" s="100">
        <v>14</v>
      </c>
      <c r="AS21" s="100">
        <v>873.6</v>
      </c>
      <c r="AT21" s="100">
        <v>7</v>
      </c>
      <c r="AU21" s="100">
        <v>436.8</v>
      </c>
      <c r="AV21" s="100">
        <v>15</v>
      </c>
      <c r="AW21" s="100">
        <v>936</v>
      </c>
      <c r="AX21" s="100">
        <v>13</v>
      </c>
      <c r="AY21" s="100">
        <v>811.19999999999993</v>
      </c>
      <c r="AZ21" s="100">
        <v>8</v>
      </c>
      <c r="BA21" s="100">
        <v>499.2</v>
      </c>
      <c r="BB21" s="100">
        <v>15</v>
      </c>
      <c r="BC21" s="100">
        <v>936</v>
      </c>
      <c r="BD21" s="100">
        <v>14</v>
      </c>
      <c r="BE21" s="100">
        <v>873.6</v>
      </c>
      <c r="BF21" s="100">
        <v>9</v>
      </c>
      <c r="BG21" s="100">
        <v>561.6</v>
      </c>
      <c r="BH21" s="100">
        <v>8</v>
      </c>
      <c r="BI21" s="100">
        <v>499.2</v>
      </c>
      <c r="BJ21" s="100">
        <v>13</v>
      </c>
      <c r="BK21" s="100">
        <v>811.19999999999993</v>
      </c>
      <c r="BL21" s="100">
        <v>13</v>
      </c>
      <c r="BM21" s="100">
        <v>811.19999999999993</v>
      </c>
      <c r="BN21" s="100">
        <v>10</v>
      </c>
      <c r="BO21" s="100">
        <v>624</v>
      </c>
      <c r="BP21" s="100">
        <v>10</v>
      </c>
      <c r="BQ21" s="100">
        <v>624</v>
      </c>
      <c r="BR21" s="100">
        <v>9</v>
      </c>
      <c r="BS21" s="100">
        <v>561.6</v>
      </c>
      <c r="BT21" s="100">
        <v>10</v>
      </c>
      <c r="BU21" s="100">
        <v>624</v>
      </c>
      <c r="BV21" s="100">
        <v>14</v>
      </c>
      <c r="BW21" s="100">
        <v>873.6</v>
      </c>
      <c r="BX21" s="100">
        <v>12</v>
      </c>
      <c r="BY21" s="100">
        <v>748.8</v>
      </c>
      <c r="BZ21" s="100">
        <v>16</v>
      </c>
      <c r="CA21" s="100">
        <v>998.4</v>
      </c>
      <c r="CB21" s="100">
        <v>17</v>
      </c>
      <c r="CC21" s="100">
        <v>1060.8</v>
      </c>
      <c r="CD21" s="100">
        <v>14</v>
      </c>
      <c r="CE21" s="100">
        <v>873.6</v>
      </c>
      <c r="CF21" s="100">
        <v>16</v>
      </c>
      <c r="CG21" s="100">
        <v>998.4</v>
      </c>
      <c r="CH21" s="100">
        <v>14</v>
      </c>
      <c r="CI21" s="100">
        <v>873.6</v>
      </c>
      <c r="CJ21" s="100">
        <v>10</v>
      </c>
      <c r="CK21" s="100">
        <v>624</v>
      </c>
      <c r="CL21" s="100">
        <v>10</v>
      </c>
      <c r="CM21" s="100">
        <v>624</v>
      </c>
      <c r="CN21" s="100">
        <v>14</v>
      </c>
      <c r="CO21" s="100">
        <v>873.6</v>
      </c>
      <c r="CP21" s="100">
        <v>9</v>
      </c>
      <c r="CQ21" s="100">
        <v>561.6</v>
      </c>
      <c r="CR21" s="100">
        <v>10</v>
      </c>
      <c r="CS21" s="100">
        <v>624</v>
      </c>
      <c r="CT21" s="100">
        <v>11</v>
      </c>
      <c r="CU21" s="100">
        <v>686.4</v>
      </c>
    </row>
    <row r="22" spans="2:99">
      <c r="C22" s="99" t="s">
        <v>188</v>
      </c>
      <c r="D22" s="100">
        <v>8.3354142494022501</v>
      </c>
      <c r="E22" s="100">
        <v>1560.389547488101</v>
      </c>
      <c r="F22" s="100">
        <v>10.235101593137548</v>
      </c>
      <c r="G22" s="100">
        <v>1916.011018235349</v>
      </c>
      <c r="H22" s="100">
        <v>2.7945260627384538</v>
      </c>
      <c r="I22" s="100">
        <v>523.13527894463857</v>
      </c>
      <c r="J22" s="100">
        <v>1.0111040061618008E-3</v>
      </c>
      <c r="K22" s="100">
        <v>0.18927866995348908</v>
      </c>
      <c r="L22" s="100">
        <v>8</v>
      </c>
      <c r="M22" s="100">
        <v>1497.6</v>
      </c>
      <c r="N22" s="100">
        <v>8</v>
      </c>
      <c r="O22" s="100">
        <v>1497.6</v>
      </c>
      <c r="P22" s="100">
        <v>13</v>
      </c>
      <c r="Q22" s="100">
        <v>2433.6</v>
      </c>
      <c r="R22" s="100">
        <v>12</v>
      </c>
      <c r="S22" s="100">
        <v>2246.3999999999996</v>
      </c>
      <c r="T22" s="100">
        <v>12</v>
      </c>
      <c r="U22" s="100">
        <v>2246.3999999999996</v>
      </c>
      <c r="V22" s="100">
        <v>9</v>
      </c>
      <c r="W22" s="100">
        <v>1684.8</v>
      </c>
      <c r="X22" s="100">
        <v>15.05063843340192</v>
      </c>
      <c r="Y22" s="100">
        <v>2817.4795147328391</v>
      </c>
      <c r="Z22" s="100">
        <v>9</v>
      </c>
      <c r="AA22" s="100">
        <v>1684.8</v>
      </c>
      <c r="AB22" s="100">
        <v>8</v>
      </c>
      <c r="AC22" s="100">
        <v>1497.6</v>
      </c>
      <c r="AD22" s="100">
        <v>15</v>
      </c>
      <c r="AE22" s="100">
        <v>2808</v>
      </c>
      <c r="AF22" s="100">
        <v>11</v>
      </c>
      <c r="AG22" s="100">
        <v>2059.1999999999998</v>
      </c>
      <c r="AH22" s="100">
        <v>10</v>
      </c>
      <c r="AI22" s="100">
        <v>1872</v>
      </c>
      <c r="AJ22" s="100">
        <v>10</v>
      </c>
      <c r="AK22" s="100">
        <v>1872</v>
      </c>
      <c r="AL22" s="100">
        <v>14</v>
      </c>
      <c r="AM22" s="100">
        <v>2620.7999999999997</v>
      </c>
      <c r="AN22" s="100">
        <v>12</v>
      </c>
      <c r="AO22" s="100">
        <v>2246.3999999999996</v>
      </c>
      <c r="AP22" s="100">
        <v>12</v>
      </c>
      <c r="AQ22" s="100">
        <v>2246.3999999999996</v>
      </c>
      <c r="AR22" s="100">
        <v>16</v>
      </c>
      <c r="AS22" s="100">
        <v>2995.2</v>
      </c>
      <c r="AT22" s="100">
        <v>8</v>
      </c>
      <c r="AU22" s="100">
        <v>1497.6</v>
      </c>
      <c r="AV22" s="100">
        <v>15</v>
      </c>
      <c r="AW22" s="100">
        <v>2808</v>
      </c>
      <c r="AX22" s="100">
        <v>14</v>
      </c>
      <c r="AY22" s="100">
        <v>2620.7999999999997</v>
      </c>
      <c r="AZ22" s="100">
        <v>8</v>
      </c>
      <c r="BA22" s="100">
        <v>1497.6</v>
      </c>
      <c r="BB22" s="100">
        <v>16</v>
      </c>
      <c r="BC22" s="100">
        <v>2995.2</v>
      </c>
      <c r="BD22" s="100">
        <v>14</v>
      </c>
      <c r="BE22" s="100">
        <v>2620.7999999999997</v>
      </c>
      <c r="BF22" s="100">
        <v>9</v>
      </c>
      <c r="BG22" s="100">
        <v>1684.8</v>
      </c>
      <c r="BH22" s="100">
        <v>8</v>
      </c>
      <c r="BI22" s="100">
        <v>1497.6</v>
      </c>
      <c r="BJ22" s="100">
        <v>13</v>
      </c>
      <c r="BK22" s="100">
        <v>2433.6</v>
      </c>
      <c r="BL22" s="100">
        <v>12</v>
      </c>
      <c r="BM22" s="100">
        <v>2246.3999999999996</v>
      </c>
      <c r="BN22" s="100">
        <v>10</v>
      </c>
      <c r="BO22" s="100">
        <v>1872</v>
      </c>
      <c r="BP22" s="100">
        <v>10</v>
      </c>
      <c r="BQ22" s="100">
        <v>1872</v>
      </c>
      <c r="BR22" s="100">
        <v>9</v>
      </c>
      <c r="BS22" s="100">
        <v>1684.8</v>
      </c>
      <c r="BT22" s="100">
        <v>12</v>
      </c>
      <c r="BU22" s="100">
        <v>2246.3999999999996</v>
      </c>
      <c r="BV22" s="100">
        <v>13</v>
      </c>
      <c r="BW22" s="100">
        <v>2433.6</v>
      </c>
      <c r="BX22" s="100">
        <v>13</v>
      </c>
      <c r="BY22" s="100">
        <v>2433.6</v>
      </c>
      <c r="BZ22" s="100">
        <v>17</v>
      </c>
      <c r="CA22" s="100">
        <v>3182.3999999999996</v>
      </c>
      <c r="CB22" s="100">
        <v>17</v>
      </c>
      <c r="CC22" s="100">
        <v>3182.3999999999996</v>
      </c>
      <c r="CD22" s="100">
        <v>13</v>
      </c>
      <c r="CE22" s="100">
        <v>2433.6</v>
      </c>
      <c r="CF22" s="100">
        <v>14</v>
      </c>
      <c r="CG22" s="100">
        <v>2620.7999999999997</v>
      </c>
      <c r="CH22" s="100">
        <v>14</v>
      </c>
      <c r="CI22" s="100">
        <v>2620.7999999999997</v>
      </c>
      <c r="CJ22" s="100">
        <v>10</v>
      </c>
      <c r="CK22" s="100">
        <v>1872</v>
      </c>
      <c r="CL22" s="100">
        <v>9</v>
      </c>
      <c r="CM22" s="100">
        <v>1684.8</v>
      </c>
      <c r="CN22" s="100">
        <v>13</v>
      </c>
      <c r="CO22" s="100">
        <v>2433.6</v>
      </c>
      <c r="CP22" s="100">
        <v>8</v>
      </c>
      <c r="CQ22" s="100">
        <v>1497.6</v>
      </c>
      <c r="CR22" s="100">
        <v>10</v>
      </c>
      <c r="CS22" s="100">
        <v>1872</v>
      </c>
      <c r="CT22" s="100">
        <v>11</v>
      </c>
      <c r="CU22" s="100">
        <v>2059.1999999999998</v>
      </c>
    </row>
    <row r="23" spans="2:99">
      <c r="C23" s="99" t="s">
        <v>189</v>
      </c>
      <c r="D23" s="100">
        <v>9.2615713882247217</v>
      </c>
      <c r="E23" s="100">
        <v>2722.9019881380682</v>
      </c>
      <c r="F23" s="100">
        <v>10.151680043613547</v>
      </c>
      <c r="G23" s="100">
        <v>2984.5939328223831</v>
      </c>
      <c r="H23" s="100">
        <v>2.7945260627384538</v>
      </c>
      <c r="I23" s="100">
        <v>821.59066244510541</v>
      </c>
      <c r="J23" s="100">
        <v>8.7629013867356065E-4</v>
      </c>
      <c r="K23" s="100">
        <v>0.25762930077002683</v>
      </c>
      <c r="L23" s="100">
        <v>7</v>
      </c>
      <c r="M23" s="100">
        <v>2058</v>
      </c>
      <c r="N23" s="100">
        <v>8</v>
      </c>
      <c r="O23" s="100">
        <v>2352</v>
      </c>
      <c r="P23" s="100">
        <v>14</v>
      </c>
      <c r="Q23" s="100">
        <v>4116</v>
      </c>
      <c r="R23" s="100">
        <v>11</v>
      </c>
      <c r="S23" s="100">
        <v>3234</v>
      </c>
      <c r="T23" s="100">
        <v>14</v>
      </c>
      <c r="U23" s="100">
        <v>4116</v>
      </c>
      <c r="V23" s="100">
        <v>10.052883243266567</v>
      </c>
      <c r="W23" s="100">
        <v>2955.5476735203706</v>
      </c>
      <c r="X23" s="100">
        <v>15.05063843340192</v>
      </c>
      <c r="Y23" s="100">
        <v>4424.8876994201646</v>
      </c>
      <c r="Z23" s="100">
        <v>10</v>
      </c>
      <c r="AA23" s="100">
        <v>2940</v>
      </c>
      <c r="AB23" s="100">
        <v>9</v>
      </c>
      <c r="AC23" s="100">
        <v>2646</v>
      </c>
      <c r="AD23" s="100">
        <v>14</v>
      </c>
      <c r="AE23" s="100">
        <v>4116</v>
      </c>
      <c r="AF23" s="100">
        <v>10</v>
      </c>
      <c r="AG23" s="100">
        <v>2940</v>
      </c>
      <c r="AH23" s="100">
        <v>10</v>
      </c>
      <c r="AI23" s="100">
        <v>2940</v>
      </c>
      <c r="AJ23" s="100">
        <v>11</v>
      </c>
      <c r="AK23" s="100">
        <v>3234</v>
      </c>
      <c r="AL23" s="100">
        <v>14</v>
      </c>
      <c r="AM23" s="100">
        <v>4116</v>
      </c>
      <c r="AN23" s="100">
        <v>11</v>
      </c>
      <c r="AO23" s="100">
        <v>3234</v>
      </c>
      <c r="AP23" s="100">
        <v>13</v>
      </c>
      <c r="AQ23" s="100">
        <v>3822</v>
      </c>
      <c r="AR23" s="100">
        <v>15</v>
      </c>
      <c r="AS23" s="100">
        <v>4410</v>
      </c>
      <c r="AT23" s="100">
        <v>8</v>
      </c>
      <c r="AU23" s="100">
        <v>2352</v>
      </c>
      <c r="AV23" s="100">
        <v>15</v>
      </c>
      <c r="AW23" s="100">
        <v>4410</v>
      </c>
      <c r="AX23" s="100">
        <v>14</v>
      </c>
      <c r="AY23" s="100">
        <v>4116</v>
      </c>
      <c r="AZ23" s="100">
        <v>8</v>
      </c>
      <c r="BA23" s="100">
        <v>2352</v>
      </c>
      <c r="BB23" s="100">
        <v>14</v>
      </c>
      <c r="BC23" s="100">
        <v>4116</v>
      </c>
      <c r="BD23" s="100">
        <v>14</v>
      </c>
      <c r="BE23" s="100">
        <v>4116</v>
      </c>
      <c r="BF23" s="100">
        <v>9</v>
      </c>
      <c r="BG23" s="100">
        <v>2646</v>
      </c>
      <c r="BH23" s="100">
        <v>8</v>
      </c>
      <c r="BI23" s="100">
        <v>2352</v>
      </c>
      <c r="BJ23" s="100">
        <v>12</v>
      </c>
      <c r="BK23" s="100">
        <v>3528</v>
      </c>
      <c r="BL23" s="100">
        <v>14</v>
      </c>
      <c r="BM23" s="100">
        <v>4116</v>
      </c>
      <c r="BN23" s="100">
        <v>10</v>
      </c>
      <c r="BO23" s="100">
        <v>2940</v>
      </c>
      <c r="BP23" s="100">
        <v>9</v>
      </c>
      <c r="BQ23" s="100">
        <v>2646</v>
      </c>
      <c r="BR23" s="100">
        <v>9</v>
      </c>
      <c r="BS23" s="100">
        <v>2646</v>
      </c>
      <c r="BT23" s="100">
        <v>10</v>
      </c>
      <c r="BU23" s="100">
        <v>2940</v>
      </c>
      <c r="BV23" s="100">
        <v>15</v>
      </c>
      <c r="BW23" s="100">
        <v>4410</v>
      </c>
      <c r="BX23" s="100">
        <v>11</v>
      </c>
      <c r="BY23" s="100">
        <v>3234</v>
      </c>
      <c r="BZ23" s="100">
        <v>17</v>
      </c>
      <c r="CA23" s="100">
        <v>4998</v>
      </c>
      <c r="CB23" s="100">
        <v>16</v>
      </c>
      <c r="CC23" s="100">
        <v>4704</v>
      </c>
      <c r="CD23" s="100">
        <v>13</v>
      </c>
      <c r="CE23" s="100">
        <v>3822</v>
      </c>
      <c r="CF23" s="100">
        <v>15</v>
      </c>
      <c r="CG23" s="100">
        <v>4410</v>
      </c>
      <c r="CH23" s="100">
        <v>13</v>
      </c>
      <c r="CI23" s="100">
        <v>3822</v>
      </c>
      <c r="CJ23" s="100">
        <v>10</v>
      </c>
      <c r="CK23" s="100">
        <v>2940</v>
      </c>
      <c r="CL23" s="100">
        <v>9</v>
      </c>
      <c r="CM23" s="100">
        <v>2646</v>
      </c>
      <c r="CN23" s="100">
        <v>13</v>
      </c>
      <c r="CO23" s="100">
        <v>3822</v>
      </c>
      <c r="CP23" s="100">
        <v>9</v>
      </c>
      <c r="CQ23" s="100">
        <v>2646</v>
      </c>
      <c r="CR23" s="100">
        <v>10</v>
      </c>
      <c r="CS23" s="100">
        <v>2940</v>
      </c>
      <c r="CT23" s="100">
        <v>9</v>
      </c>
      <c r="CU23" s="100">
        <v>2646</v>
      </c>
    </row>
    <row r="24" spans="2:99">
      <c r="C24" s="99" t="s">
        <v>190</v>
      </c>
      <c r="D24" s="100">
        <v>8.3354142494022501</v>
      </c>
      <c r="E24" s="100">
        <v>3060.764112380506</v>
      </c>
      <c r="F24" s="100">
        <v>10.235101593137548</v>
      </c>
      <c r="G24" s="100">
        <v>3758.3293050001075</v>
      </c>
      <c r="H24" s="100">
        <v>2.7945260627384538</v>
      </c>
      <c r="I24" s="100">
        <v>1026.1499702375602</v>
      </c>
      <c r="J24" s="100">
        <v>8.7629013867356065E-4</v>
      </c>
      <c r="K24" s="100">
        <v>0.32177373892093147</v>
      </c>
      <c r="L24" s="100">
        <v>7</v>
      </c>
      <c r="M24" s="100">
        <v>2570.4</v>
      </c>
      <c r="N24" s="100">
        <v>8</v>
      </c>
      <c r="O24" s="100">
        <v>2937.6</v>
      </c>
      <c r="P24" s="100">
        <v>14</v>
      </c>
      <c r="Q24" s="100">
        <v>5140.8</v>
      </c>
      <c r="R24" s="100">
        <v>11</v>
      </c>
      <c r="S24" s="100">
        <v>4039.2</v>
      </c>
      <c r="T24" s="100">
        <v>13</v>
      </c>
      <c r="U24" s="100">
        <v>4773.5999999999995</v>
      </c>
      <c r="V24" s="100">
        <v>10</v>
      </c>
      <c r="W24" s="100">
        <v>3672</v>
      </c>
      <c r="X24" s="100">
        <v>14.045574590061728</v>
      </c>
      <c r="Y24" s="100">
        <v>5157.534989470666</v>
      </c>
      <c r="Z24" s="100">
        <v>11</v>
      </c>
      <c r="AA24" s="100">
        <v>4039.2</v>
      </c>
      <c r="AB24" s="100">
        <v>8</v>
      </c>
      <c r="AC24" s="100">
        <v>2937.6</v>
      </c>
      <c r="AD24" s="100">
        <v>14</v>
      </c>
      <c r="AE24" s="100">
        <v>5140.8</v>
      </c>
      <c r="AF24" s="100">
        <v>10</v>
      </c>
      <c r="AG24" s="100">
        <v>3672</v>
      </c>
      <c r="AH24" s="100">
        <v>9</v>
      </c>
      <c r="AI24" s="100">
        <v>3304.7999999999997</v>
      </c>
      <c r="AJ24" s="100">
        <v>12</v>
      </c>
      <c r="AK24" s="100">
        <v>4406.3999999999996</v>
      </c>
      <c r="AL24" s="100">
        <v>12</v>
      </c>
      <c r="AM24" s="100">
        <v>4406.3999999999996</v>
      </c>
      <c r="AN24" s="100">
        <v>13</v>
      </c>
      <c r="AO24" s="100">
        <v>4773.5999999999995</v>
      </c>
      <c r="AP24" s="100">
        <v>13</v>
      </c>
      <c r="AQ24" s="100">
        <v>4773.5999999999995</v>
      </c>
      <c r="AR24" s="100">
        <v>14</v>
      </c>
      <c r="AS24" s="100">
        <v>5140.8</v>
      </c>
      <c r="AT24" s="100">
        <v>8</v>
      </c>
      <c r="AU24" s="100">
        <v>2937.6</v>
      </c>
      <c r="AV24" s="100">
        <v>14</v>
      </c>
      <c r="AW24" s="100">
        <v>5140.8</v>
      </c>
      <c r="AX24" s="100">
        <v>12</v>
      </c>
      <c r="AY24" s="100">
        <v>4406.3999999999996</v>
      </c>
      <c r="AZ24" s="100">
        <v>9</v>
      </c>
      <c r="BA24" s="100">
        <v>3304.7999999999997</v>
      </c>
      <c r="BB24" s="100">
        <v>13</v>
      </c>
      <c r="BC24" s="100">
        <v>4773.5999999999995</v>
      </c>
      <c r="BD24" s="100">
        <v>14</v>
      </c>
      <c r="BE24" s="100">
        <v>5140.8</v>
      </c>
      <c r="BF24" s="100">
        <v>10</v>
      </c>
      <c r="BG24" s="100">
        <v>3672</v>
      </c>
      <c r="BH24" s="100">
        <v>9</v>
      </c>
      <c r="BI24" s="100">
        <v>3304.7999999999997</v>
      </c>
      <c r="BJ24" s="100">
        <v>13</v>
      </c>
      <c r="BK24" s="100">
        <v>4773.5999999999995</v>
      </c>
      <c r="BL24" s="100">
        <v>14</v>
      </c>
      <c r="BM24" s="100">
        <v>5140.8</v>
      </c>
      <c r="BN24" s="100">
        <v>10</v>
      </c>
      <c r="BO24" s="100">
        <v>3672</v>
      </c>
      <c r="BP24" s="100">
        <v>9</v>
      </c>
      <c r="BQ24" s="100">
        <v>3304.7999999999997</v>
      </c>
      <c r="BR24" s="100">
        <v>10</v>
      </c>
      <c r="BS24" s="100">
        <v>3672</v>
      </c>
      <c r="BT24" s="100">
        <v>11</v>
      </c>
      <c r="BU24" s="100">
        <v>4039.2</v>
      </c>
      <c r="BV24" s="100">
        <v>12</v>
      </c>
      <c r="BW24" s="100">
        <v>4406.3999999999996</v>
      </c>
      <c r="BX24" s="100">
        <v>11</v>
      </c>
      <c r="BY24" s="100">
        <v>4039.2</v>
      </c>
      <c r="BZ24" s="100">
        <v>15</v>
      </c>
      <c r="CA24" s="100">
        <v>5508</v>
      </c>
      <c r="CB24" s="100">
        <v>15</v>
      </c>
      <c r="CC24" s="100">
        <v>5508</v>
      </c>
      <c r="CD24" s="100">
        <v>12</v>
      </c>
      <c r="CE24" s="100">
        <v>4406.3999999999996</v>
      </c>
      <c r="CF24" s="100">
        <v>15</v>
      </c>
      <c r="CG24" s="100">
        <v>5508</v>
      </c>
      <c r="CH24" s="100">
        <v>14</v>
      </c>
      <c r="CI24" s="100">
        <v>5140.8</v>
      </c>
      <c r="CJ24" s="100">
        <v>10</v>
      </c>
      <c r="CK24" s="100">
        <v>3672</v>
      </c>
      <c r="CL24" s="100">
        <v>9</v>
      </c>
      <c r="CM24" s="100">
        <v>3304.7999999999997</v>
      </c>
      <c r="CN24" s="100">
        <v>14</v>
      </c>
      <c r="CO24" s="100">
        <v>5140.8</v>
      </c>
      <c r="CP24" s="100">
        <v>9</v>
      </c>
      <c r="CQ24" s="100">
        <v>3304.7999999999997</v>
      </c>
      <c r="CR24" s="100">
        <v>9</v>
      </c>
      <c r="CS24" s="100">
        <v>3304.7999999999997</v>
      </c>
      <c r="CT24" s="100">
        <v>10</v>
      </c>
      <c r="CU24" s="100">
        <v>3672</v>
      </c>
    </row>
    <row r="25" spans="2:99">
      <c r="C25" s="99" t="s">
        <v>191</v>
      </c>
      <c r="D25" s="100">
        <v>9.2615713882247217</v>
      </c>
      <c r="E25" s="100">
        <v>4912.3374643143925</v>
      </c>
      <c r="F25" s="100">
        <v>10.235101593137548</v>
      </c>
      <c r="G25" s="100">
        <v>5428.6978850001551</v>
      </c>
      <c r="H25" s="100">
        <v>2.7945260627384538</v>
      </c>
      <c r="I25" s="100">
        <v>1482.2166236764758</v>
      </c>
      <c r="J25" s="100">
        <v>8.0888320492944054E-4</v>
      </c>
      <c r="K25" s="100">
        <v>0.42903165189457526</v>
      </c>
      <c r="L25" s="100">
        <v>8</v>
      </c>
      <c r="M25" s="100">
        <v>4243.2</v>
      </c>
      <c r="N25" s="100">
        <v>8</v>
      </c>
      <c r="O25" s="100">
        <v>4243.2</v>
      </c>
      <c r="P25" s="100">
        <v>14</v>
      </c>
      <c r="Q25" s="100">
        <v>7425.5999999999995</v>
      </c>
      <c r="R25" s="100">
        <v>12</v>
      </c>
      <c r="S25" s="100">
        <v>6364.7999999999993</v>
      </c>
      <c r="T25" s="100">
        <v>12</v>
      </c>
      <c r="U25" s="100">
        <v>6364.7999999999993</v>
      </c>
      <c r="V25" s="100">
        <v>9.0502390811032392</v>
      </c>
      <c r="W25" s="100">
        <v>4800.2468086171575</v>
      </c>
      <c r="X25" s="100">
        <v>15.045574590061728</v>
      </c>
      <c r="Y25" s="100">
        <v>7980.1727625687399</v>
      </c>
      <c r="Z25" s="100">
        <v>10</v>
      </c>
      <c r="AA25" s="100">
        <v>5304</v>
      </c>
      <c r="AB25" s="100">
        <v>9</v>
      </c>
      <c r="AC25" s="100">
        <v>4773.5999999999995</v>
      </c>
      <c r="AD25" s="100">
        <v>14</v>
      </c>
      <c r="AE25" s="100">
        <v>7425.5999999999995</v>
      </c>
      <c r="AF25" s="100">
        <v>12</v>
      </c>
      <c r="AG25" s="100">
        <v>6364.7999999999993</v>
      </c>
      <c r="AH25" s="100">
        <v>9</v>
      </c>
      <c r="AI25" s="100">
        <v>4773.5999999999995</v>
      </c>
      <c r="AJ25" s="100">
        <v>12</v>
      </c>
      <c r="AK25" s="100">
        <v>6364.7999999999993</v>
      </c>
      <c r="AL25" s="100">
        <v>13</v>
      </c>
      <c r="AM25" s="100">
        <v>6895.2</v>
      </c>
      <c r="AN25" s="100">
        <v>11</v>
      </c>
      <c r="AO25" s="100">
        <v>5834.4</v>
      </c>
      <c r="AP25" s="100">
        <v>12</v>
      </c>
      <c r="AQ25" s="100">
        <v>6364.7999999999993</v>
      </c>
      <c r="AR25" s="100">
        <v>14</v>
      </c>
      <c r="AS25" s="100">
        <v>7425.5999999999995</v>
      </c>
      <c r="AT25" s="100">
        <v>8</v>
      </c>
      <c r="AU25" s="100">
        <v>4243.2</v>
      </c>
      <c r="AV25" s="100">
        <v>14</v>
      </c>
      <c r="AW25" s="100">
        <v>7425.5999999999995</v>
      </c>
      <c r="AX25" s="100">
        <v>13</v>
      </c>
      <c r="AY25" s="100">
        <v>6895.2</v>
      </c>
      <c r="AZ25" s="100">
        <v>8</v>
      </c>
      <c r="BA25" s="100">
        <v>4243.2</v>
      </c>
      <c r="BB25" s="100">
        <v>13</v>
      </c>
      <c r="BC25" s="100">
        <v>6895.2</v>
      </c>
      <c r="BD25" s="100">
        <v>15</v>
      </c>
      <c r="BE25" s="100">
        <v>7956</v>
      </c>
      <c r="BF25" s="100">
        <v>10</v>
      </c>
      <c r="BG25" s="100">
        <v>5304</v>
      </c>
      <c r="BH25" s="100">
        <v>9</v>
      </c>
      <c r="BI25" s="100">
        <v>4773.5999999999995</v>
      </c>
      <c r="BJ25" s="100">
        <v>13</v>
      </c>
      <c r="BK25" s="100">
        <v>6895.2</v>
      </c>
      <c r="BL25" s="100">
        <v>13</v>
      </c>
      <c r="BM25" s="100">
        <v>6895.2</v>
      </c>
      <c r="BN25" s="100">
        <v>10</v>
      </c>
      <c r="BO25" s="100">
        <v>5304</v>
      </c>
      <c r="BP25" s="100">
        <v>10</v>
      </c>
      <c r="BQ25" s="100">
        <v>5304</v>
      </c>
      <c r="BR25" s="100">
        <v>10</v>
      </c>
      <c r="BS25" s="100">
        <v>5304</v>
      </c>
      <c r="BT25" s="100">
        <v>10</v>
      </c>
      <c r="BU25" s="100">
        <v>5304</v>
      </c>
      <c r="BV25" s="100">
        <v>12</v>
      </c>
      <c r="BW25" s="100">
        <v>6364.7999999999993</v>
      </c>
      <c r="BX25" s="100">
        <v>12</v>
      </c>
      <c r="BY25" s="100">
        <v>6364.7999999999993</v>
      </c>
      <c r="BZ25" s="100">
        <v>14</v>
      </c>
      <c r="CA25" s="100">
        <v>7425.5999999999995</v>
      </c>
      <c r="CB25" s="100">
        <v>17</v>
      </c>
      <c r="CC25" s="100">
        <v>9016.7999999999993</v>
      </c>
      <c r="CD25" s="100">
        <v>14</v>
      </c>
      <c r="CE25" s="100">
        <v>7425.5999999999995</v>
      </c>
      <c r="CF25" s="100">
        <v>15</v>
      </c>
      <c r="CG25" s="100">
        <v>7956</v>
      </c>
      <c r="CH25" s="100">
        <v>13</v>
      </c>
      <c r="CI25" s="100">
        <v>6895.2</v>
      </c>
      <c r="CJ25" s="100">
        <v>10</v>
      </c>
      <c r="CK25" s="100">
        <v>5304</v>
      </c>
      <c r="CL25" s="100">
        <v>9</v>
      </c>
      <c r="CM25" s="100">
        <v>4773.5999999999995</v>
      </c>
      <c r="CN25" s="100">
        <v>13</v>
      </c>
      <c r="CO25" s="100">
        <v>6895.2</v>
      </c>
      <c r="CP25" s="100">
        <v>10</v>
      </c>
      <c r="CQ25" s="100">
        <v>5304</v>
      </c>
      <c r="CR25" s="100">
        <v>8</v>
      </c>
      <c r="CS25" s="100">
        <v>4243.2</v>
      </c>
      <c r="CT25" s="100">
        <v>9</v>
      </c>
      <c r="CU25" s="100">
        <v>4773.5999999999995</v>
      </c>
    </row>
    <row r="26" spans="2:99">
      <c r="C26" s="99" t="s">
        <v>192</v>
      </c>
      <c r="D26" s="100">
        <v>9.2615713882247217</v>
      </c>
      <c r="E26" s="100">
        <v>4501.1236946772151</v>
      </c>
      <c r="F26" s="100">
        <v>11.085935713422597</v>
      </c>
      <c r="G26" s="100">
        <v>5387.7647567233817</v>
      </c>
      <c r="H26" s="100">
        <v>2.4452103048961473</v>
      </c>
      <c r="I26" s="100">
        <v>1188.3722081795277</v>
      </c>
      <c r="J26" s="100">
        <v>1.0111040061618008E-3</v>
      </c>
      <c r="K26" s="100">
        <v>0.49139654699463514</v>
      </c>
      <c r="L26" s="100">
        <v>8</v>
      </c>
      <c r="M26" s="100">
        <v>3888</v>
      </c>
      <c r="N26" s="100">
        <v>8</v>
      </c>
      <c r="O26" s="100">
        <v>3888</v>
      </c>
      <c r="P26" s="100">
        <v>14</v>
      </c>
      <c r="Q26" s="100">
        <v>6804</v>
      </c>
      <c r="R26" s="100">
        <v>11</v>
      </c>
      <c r="S26" s="100">
        <v>5346</v>
      </c>
      <c r="T26" s="100">
        <v>12</v>
      </c>
      <c r="U26" s="100">
        <v>5832</v>
      </c>
      <c r="V26" s="100">
        <v>8</v>
      </c>
      <c r="W26" s="100">
        <v>3888</v>
      </c>
      <c r="X26" s="100">
        <v>13.048106511731824</v>
      </c>
      <c r="Y26" s="100">
        <v>6341.3797647016663</v>
      </c>
      <c r="Z26" s="100">
        <v>10</v>
      </c>
      <c r="AA26" s="100">
        <v>4860</v>
      </c>
      <c r="AB26" s="100">
        <v>8</v>
      </c>
      <c r="AC26" s="100">
        <v>3888</v>
      </c>
      <c r="AD26" s="100">
        <v>13</v>
      </c>
      <c r="AE26" s="100">
        <v>6318</v>
      </c>
      <c r="AF26" s="100">
        <v>12</v>
      </c>
      <c r="AG26" s="100">
        <v>5832</v>
      </c>
      <c r="AH26" s="100">
        <v>8</v>
      </c>
      <c r="AI26" s="100">
        <v>3888</v>
      </c>
      <c r="AJ26" s="100">
        <v>11</v>
      </c>
      <c r="AK26" s="100">
        <v>5346</v>
      </c>
      <c r="AL26" s="100">
        <v>13</v>
      </c>
      <c r="AM26" s="100">
        <v>6318</v>
      </c>
      <c r="AN26" s="100">
        <v>13</v>
      </c>
      <c r="AO26" s="100">
        <v>6318</v>
      </c>
      <c r="AP26" s="100">
        <v>11</v>
      </c>
      <c r="AQ26" s="100">
        <v>5346</v>
      </c>
      <c r="AR26" s="100">
        <v>16</v>
      </c>
      <c r="AS26" s="100">
        <v>7776</v>
      </c>
      <c r="AT26" s="100">
        <v>8</v>
      </c>
      <c r="AU26" s="100">
        <v>3888</v>
      </c>
      <c r="AV26" s="100">
        <v>14</v>
      </c>
      <c r="AW26" s="100">
        <v>6804</v>
      </c>
      <c r="AX26" s="100">
        <v>13</v>
      </c>
      <c r="AY26" s="100">
        <v>6318</v>
      </c>
      <c r="AZ26" s="100">
        <v>9</v>
      </c>
      <c r="BA26" s="100">
        <v>4374</v>
      </c>
      <c r="BB26" s="100">
        <v>15</v>
      </c>
      <c r="BC26" s="100">
        <v>7290</v>
      </c>
      <c r="BD26" s="100">
        <v>14</v>
      </c>
      <c r="BE26" s="100">
        <v>6804</v>
      </c>
      <c r="BF26" s="100">
        <v>10</v>
      </c>
      <c r="BG26" s="100">
        <v>4860</v>
      </c>
      <c r="BH26" s="100">
        <v>8</v>
      </c>
      <c r="BI26" s="100">
        <v>3888</v>
      </c>
      <c r="BJ26" s="100">
        <v>12</v>
      </c>
      <c r="BK26" s="100">
        <v>5832</v>
      </c>
      <c r="BL26" s="100">
        <v>14</v>
      </c>
      <c r="BM26" s="100">
        <v>6804</v>
      </c>
      <c r="BN26" s="100">
        <v>10</v>
      </c>
      <c r="BO26" s="100">
        <v>4860</v>
      </c>
      <c r="BP26" s="100">
        <v>9</v>
      </c>
      <c r="BQ26" s="100">
        <v>4374</v>
      </c>
      <c r="BR26" s="100">
        <v>10</v>
      </c>
      <c r="BS26" s="100">
        <v>4860</v>
      </c>
      <c r="BT26" s="100">
        <v>10</v>
      </c>
      <c r="BU26" s="100">
        <v>4860</v>
      </c>
      <c r="BV26" s="100">
        <v>13</v>
      </c>
      <c r="BW26" s="100">
        <v>6318</v>
      </c>
      <c r="BX26" s="100">
        <v>13</v>
      </c>
      <c r="BY26" s="100">
        <v>6318</v>
      </c>
      <c r="BZ26" s="100">
        <v>15</v>
      </c>
      <c r="CA26" s="100">
        <v>7290</v>
      </c>
      <c r="CB26" s="100">
        <v>16</v>
      </c>
      <c r="CC26" s="100">
        <v>7776</v>
      </c>
      <c r="CD26" s="100">
        <v>14</v>
      </c>
      <c r="CE26" s="100">
        <v>6804</v>
      </c>
      <c r="CF26" s="100">
        <v>14</v>
      </c>
      <c r="CG26" s="100">
        <v>6804</v>
      </c>
      <c r="CH26" s="100">
        <v>11</v>
      </c>
      <c r="CI26" s="100">
        <v>5346</v>
      </c>
      <c r="CJ26" s="100">
        <v>11</v>
      </c>
      <c r="CK26" s="100">
        <v>5346</v>
      </c>
      <c r="CL26" s="100">
        <v>8</v>
      </c>
      <c r="CM26" s="100">
        <v>3888</v>
      </c>
      <c r="CN26" s="100">
        <v>13</v>
      </c>
      <c r="CO26" s="100">
        <v>6318</v>
      </c>
      <c r="CP26" s="100">
        <v>9</v>
      </c>
      <c r="CQ26" s="100">
        <v>4374</v>
      </c>
      <c r="CR26" s="100">
        <v>9</v>
      </c>
      <c r="CS26" s="100">
        <v>4374</v>
      </c>
      <c r="CT26" s="100">
        <v>9</v>
      </c>
      <c r="CU26" s="100">
        <v>4374</v>
      </c>
    </row>
    <row r="27" spans="2:99">
      <c r="C27" s="99" t="s">
        <v>193</v>
      </c>
      <c r="D27" s="100">
        <v>8.3354142494022501</v>
      </c>
      <c r="E27" s="100">
        <v>3560.8889673446411</v>
      </c>
      <c r="F27" s="100">
        <v>10.151680043613547</v>
      </c>
      <c r="G27" s="100">
        <v>4336.7977146317071</v>
      </c>
      <c r="H27" s="100">
        <v>2.4452103048961473</v>
      </c>
      <c r="I27" s="100">
        <v>1044.5938422516342</v>
      </c>
      <c r="J27" s="100">
        <v>9.4369707241768075E-4</v>
      </c>
      <c r="K27" s="100">
        <v>0.4031473893368332</v>
      </c>
      <c r="L27" s="100">
        <v>7</v>
      </c>
      <c r="M27" s="100">
        <v>2990.4</v>
      </c>
      <c r="N27" s="100">
        <v>8</v>
      </c>
      <c r="O27" s="100">
        <v>3417.6</v>
      </c>
      <c r="P27" s="100">
        <v>13</v>
      </c>
      <c r="Q27" s="100">
        <v>5553.5999999999995</v>
      </c>
      <c r="R27" s="100">
        <v>11</v>
      </c>
      <c r="S27" s="100">
        <v>4699.2</v>
      </c>
      <c r="T27" s="100">
        <v>12</v>
      </c>
      <c r="U27" s="100">
        <v>5126.3999999999996</v>
      </c>
      <c r="V27" s="100">
        <v>9.047594918939911</v>
      </c>
      <c r="W27" s="100">
        <v>3865.1325493711297</v>
      </c>
      <c r="X27" s="100">
        <v>14.048106511731824</v>
      </c>
      <c r="Y27" s="100">
        <v>6001.3511018118352</v>
      </c>
      <c r="Z27" s="100">
        <v>9</v>
      </c>
      <c r="AA27" s="100">
        <v>3844.7999999999997</v>
      </c>
      <c r="AB27" s="100">
        <v>8</v>
      </c>
      <c r="AC27" s="100">
        <v>3417.6</v>
      </c>
      <c r="AD27" s="100">
        <v>14</v>
      </c>
      <c r="AE27" s="100">
        <v>5980.8</v>
      </c>
      <c r="AF27" s="100">
        <v>12</v>
      </c>
      <c r="AG27" s="100">
        <v>5126.3999999999996</v>
      </c>
      <c r="AH27" s="100">
        <v>8</v>
      </c>
      <c r="AI27" s="100">
        <v>3417.6</v>
      </c>
      <c r="AJ27" s="100">
        <v>11</v>
      </c>
      <c r="AK27" s="100">
        <v>4699.2</v>
      </c>
      <c r="AL27" s="100">
        <v>13</v>
      </c>
      <c r="AM27" s="100">
        <v>5553.5999999999995</v>
      </c>
      <c r="AN27" s="100">
        <v>12</v>
      </c>
      <c r="AO27" s="100">
        <v>5126.3999999999996</v>
      </c>
      <c r="AP27" s="100">
        <v>12</v>
      </c>
      <c r="AQ27" s="100">
        <v>5126.3999999999996</v>
      </c>
      <c r="AR27" s="100">
        <v>15</v>
      </c>
      <c r="AS27" s="100">
        <v>6408</v>
      </c>
      <c r="AT27" s="100">
        <v>8</v>
      </c>
      <c r="AU27" s="100">
        <v>3417.6</v>
      </c>
      <c r="AV27" s="100">
        <v>16</v>
      </c>
      <c r="AW27" s="100">
        <v>6835.2</v>
      </c>
      <c r="AX27" s="100">
        <v>14</v>
      </c>
      <c r="AY27" s="100">
        <v>5980.8</v>
      </c>
      <c r="AZ27" s="100">
        <v>9</v>
      </c>
      <c r="BA27" s="100">
        <v>3844.7999999999997</v>
      </c>
      <c r="BB27" s="100">
        <v>14</v>
      </c>
      <c r="BC27" s="100">
        <v>5980.8</v>
      </c>
      <c r="BD27" s="100">
        <v>16</v>
      </c>
      <c r="BE27" s="100">
        <v>6835.2</v>
      </c>
      <c r="BF27" s="100">
        <v>10</v>
      </c>
      <c r="BG27" s="100">
        <v>4272</v>
      </c>
      <c r="BH27" s="100">
        <v>8</v>
      </c>
      <c r="BI27" s="100">
        <v>3417.6</v>
      </c>
      <c r="BJ27" s="100">
        <v>13</v>
      </c>
      <c r="BK27" s="100">
        <v>5553.5999999999995</v>
      </c>
      <c r="BL27" s="100">
        <v>14</v>
      </c>
      <c r="BM27" s="100">
        <v>5980.8</v>
      </c>
      <c r="BN27" s="100">
        <v>9</v>
      </c>
      <c r="BO27" s="100">
        <v>3844.7999999999997</v>
      </c>
      <c r="BP27" s="100">
        <v>9</v>
      </c>
      <c r="BQ27" s="100">
        <v>3844.7999999999997</v>
      </c>
      <c r="BR27" s="100">
        <v>10</v>
      </c>
      <c r="BS27" s="100">
        <v>4272</v>
      </c>
      <c r="BT27" s="100">
        <v>11</v>
      </c>
      <c r="BU27" s="100">
        <v>4699.2</v>
      </c>
      <c r="BV27" s="100">
        <v>14</v>
      </c>
      <c r="BW27" s="100">
        <v>5980.8</v>
      </c>
      <c r="BX27" s="100">
        <v>13</v>
      </c>
      <c r="BY27" s="100">
        <v>5553.5999999999995</v>
      </c>
      <c r="BZ27" s="100">
        <v>16</v>
      </c>
      <c r="CA27" s="100">
        <v>6835.2</v>
      </c>
      <c r="CB27" s="100">
        <v>16</v>
      </c>
      <c r="CC27" s="100">
        <v>6835.2</v>
      </c>
      <c r="CD27" s="100">
        <v>12</v>
      </c>
      <c r="CE27" s="100">
        <v>5126.3999999999996</v>
      </c>
      <c r="CF27" s="100">
        <v>15</v>
      </c>
      <c r="CG27" s="100">
        <v>6408</v>
      </c>
      <c r="CH27" s="100">
        <v>12</v>
      </c>
      <c r="CI27" s="100">
        <v>5126.3999999999996</v>
      </c>
      <c r="CJ27" s="100">
        <v>10</v>
      </c>
      <c r="CK27" s="100">
        <v>4272</v>
      </c>
      <c r="CL27" s="100">
        <v>10</v>
      </c>
      <c r="CM27" s="100">
        <v>4272</v>
      </c>
      <c r="CN27" s="100">
        <v>15</v>
      </c>
      <c r="CO27" s="100">
        <v>6408</v>
      </c>
      <c r="CP27" s="100">
        <v>8</v>
      </c>
      <c r="CQ27" s="100">
        <v>3417.6</v>
      </c>
      <c r="CR27" s="100">
        <v>10</v>
      </c>
      <c r="CS27" s="100">
        <v>4272</v>
      </c>
      <c r="CT27" s="100">
        <v>11</v>
      </c>
      <c r="CU27" s="100">
        <v>4699.2</v>
      </c>
    </row>
    <row r="28" spans="2:99">
      <c r="C28" s="99" t="s">
        <v>194</v>
      </c>
      <c r="D28" s="100">
        <v>7.4092571105797775</v>
      </c>
      <c r="E28" s="100">
        <v>5468.0317476078762</v>
      </c>
      <c r="F28" s="100">
        <v>10.193390818375548</v>
      </c>
      <c r="G28" s="100">
        <v>7522.7224239611542</v>
      </c>
      <c r="H28" s="100">
        <v>2.7945260627384538</v>
      </c>
      <c r="I28" s="100">
        <v>2062.3602343009788</v>
      </c>
      <c r="J28" s="100">
        <v>8.7629013867356065E-4</v>
      </c>
      <c r="K28" s="100">
        <v>0.6467021223410877</v>
      </c>
      <c r="L28" s="100">
        <v>8</v>
      </c>
      <c r="M28" s="100">
        <v>5904</v>
      </c>
      <c r="N28" s="100">
        <v>8</v>
      </c>
      <c r="O28" s="100">
        <v>5904</v>
      </c>
      <c r="P28" s="100">
        <v>14</v>
      </c>
      <c r="Q28" s="100">
        <v>10332</v>
      </c>
      <c r="R28" s="100">
        <v>12</v>
      </c>
      <c r="S28" s="100">
        <v>8856</v>
      </c>
      <c r="T28" s="100">
        <v>14</v>
      </c>
      <c r="U28" s="100">
        <v>10332</v>
      </c>
      <c r="V28" s="100">
        <v>8.047594918939911</v>
      </c>
      <c r="W28" s="100">
        <v>5939.125050177654</v>
      </c>
      <c r="X28" s="100">
        <v>15.045574590061728</v>
      </c>
      <c r="Y28" s="100">
        <v>11103.634047465555</v>
      </c>
      <c r="Z28" s="100">
        <v>9</v>
      </c>
      <c r="AA28" s="100">
        <v>6642</v>
      </c>
      <c r="AB28" s="100">
        <v>9</v>
      </c>
      <c r="AC28" s="100">
        <v>6642</v>
      </c>
      <c r="AD28" s="100">
        <v>13</v>
      </c>
      <c r="AE28" s="100">
        <v>9594</v>
      </c>
      <c r="AF28" s="100">
        <v>11</v>
      </c>
      <c r="AG28" s="100">
        <v>8118</v>
      </c>
      <c r="AH28" s="100">
        <v>8</v>
      </c>
      <c r="AI28" s="100">
        <v>5904</v>
      </c>
      <c r="AJ28" s="100">
        <v>11</v>
      </c>
      <c r="AK28" s="100">
        <v>8118</v>
      </c>
      <c r="AL28" s="100">
        <v>13</v>
      </c>
      <c r="AM28" s="100">
        <v>9594</v>
      </c>
      <c r="AN28" s="100">
        <v>12</v>
      </c>
      <c r="AO28" s="100">
        <v>8856</v>
      </c>
      <c r="AP28" s="100">
        <v>11</v>
      </c>
      <c r="AQ28" s="100">
        <v>8118</v>
      </c>
      <c r="AR28" s="100">
        <v>14</v>
      </c>
      <c r="AS28" s="100">
        <v>10332</v>
      </c>
      <c r="AT28" s="100">
        <v>8</v>
      </c>
      <c r="AU28" s="100">
        <v>5904</v>
      </c>
      <c r="AV28" s="100">
        <v>14</v>
      </c>
      <c r="AW28" s="100">
        <v>10332</v>
      </c>
      <c r="AX28" s="100">
        <v>14</v>
      </c>
      <c r="AY28" s="100">
        <v>10332</v>
      </c>
      <c r="AZ28" s="100">
        <v>8</v>
      </c>
      <c r="BA28" s="100">
        <v>5904</v>
      </c>
      <c r="BB28" s="100">
        <v>15</v>
      </c>
      <c r="BC28" s="100">
        <v>11070</v>
      </c>
      <c r="BD28" s="100">
        <v>15</v>
      </c>
      <c r="BE28" s="100">
        <v>11070</v>
      </c>
      <c r="BF28" s="100">
        <v>9</v>
      </c>
      <c r="BG28" s="100">
        <v>6642</v>
      </c>
      <c r="BH28" s="100">
        <v>9</v>
      </c>
      <c r="BI28" s="100">
        <v>6642</v>
      </c>
      <c r="BJ28" s="100">
        <v>14</v>
      </c>
      <c r="BK28" s="100">
        <v>10332</v>
      </c>
      <c r="BL28" s="100">
        <v>14</v>
      </c>
      <c r="BM28" s="100">
        <v>10332</v>
      </c>
      <c r="BN28" s="100">
        <v>10</v>
      </c>
      <c r="BO28" s="100">
        <v>7380</v>
      </c>
      <c r="BP28" s="100">
        <v>9</v>
      </c>
      <c r="BQ28" s="100">
        <v>6642</v>
      </c>
      <c r="BR28" s="100">
        <v>9</v>
      </c>
      <c r="BS28" s="100">
        <v>6642</v>
      </c>
      <c r="BT28" s="100">
        <v>10</v>
      </c>
      <c r="BU28" s="100">
        <v>7380</v>
      </c>
      <c r="BV28" s="100">
        <v>14</v>
      </c>
      <c r="BW28" s="100">
        <v>10332</v>
      </c>
      <c r="BX28" s="100">
        <v>13</v>
      </c>
      <c r="BY28" s="100">
        <v>9594</v>
      </c>
      <c r="BZ28" s="100">
        <v>16</v>
      </c>
      <c r="CA28" s="100">
        <v>11808</v>
      </c>
      <c r="CB28" s="100">
        <v>16</v>
      </c>
      <c r="CC28" s="100">
        <v>11808</v>
      </c>
      <c r="CD28" s="100">
        <v>12</v>
      </c>
      <c r="CE28" s="100">
        <v>8856</v>
      </c>
      <c r="CF28" s="100">
        <v>13</v>
      </c>
      <c r="CG28" s="100">
        <v>9594</v>
      </c>
      <c r="CH28" s="100">
        <v>12</v>
      </c>
      <c r="CI28" s="100">
        <v>8856</v>
      </c>
      <c r="CJ28" s="100">
        <v>10</v>
      </c>
      <c r="CK28" s="100">
        <v>7380</v>
      </c>
      <c r="CL28" s="100">
        <v>9</v>
      </c>
      <c r="CM28" s="100">
        <v>6642</v>
      </c>
      <c r="CN28" s="100">
        <v>13</v>
      </c>
      <c r="CO28" s="100">
        <v>9594</v>
      </c>
      <c r="CP28" s="100">
        <v>9</v>
      </c>
      <c r="CQ28" s="100">
        <v>6642</v>
      </c>
      <c r="CR28" s="100">
        <v>8</v>
      </c>
      <c r="CS28" s="100">
        <v>5904</v>
      </c>
      <c r="CT28" s="100">
        <v>10</v>
      </c>
      <c r="CU28" s="100">
        <v>7380</v>
      </c>
    </row>
    <row r="29" spans="2:99">
      <c r="C29" s="99" t="s">
        <v>195</v>
      </c>
      <c r="D29" s="100">
        <v>8.3354142494022501</v>
      </c>
      <c r="E29" s="100">
        <v>2820.7041819977212</v>
      </c>
      <c r="F29" s="100">
        <v>11.044224938660596</v>
      </c>
      <c r="G29" s="100">
        <v>3737.3657192427454</v>
      </c>
      <c r="H29" s="100">
        <v>2.7945260627384538</v>
      </c>
      <c r="I29" s="100">
        <v>945.66761963069268</v>
      </c>
      <c r="J29" s="100">
        <v>9.4369707241768075E-4</v>
      </c>
      <c r="K29" s="100">
        <v>0.31934708930614314</v>
      </c>
      <c r="L29" s="100">
        <v>7</v>
      </c>
      <c r="M29" s="100">
        <v>2368.7999999999997</v>
      </c>
      <c r="N29" s="100">
        <v>8</v>
      </c>
      <c r="O29" s="100">
        <v>2707.2</v>
      </c>
      <c r="P29" s="100">
        <v>14</v>
      </c>
      <c r="Q29" s="100">
        <v>4737.5999999999995</v>
      </c>
      <c r="R29" s="100">
        <v>12</v>
      </c>
      <c r="S29" s="100">
        <v>4060.7999999999997</v>
      </c>
      <c r="T29" s="100">
        <v>14</v>
      </c>
      <c r="U29" s="100">
        <v>4737.5999999999995</v>
      </c>
      <c r="V29" s="100">
        <v>10.055527405429896</v>
      </c>
      <c r="W29" s="100">
        <v>3402.7904739974765</v>
      </c>
      <c r="X29" s="100">
        <v>16.053170355072016</v>
      </c>
      <c r="Y29" s="100">
        <v>5432.3928481563698</v>
      </c>
      <c r="Z29" s="100">
        <v>10</v>
      </c>
      <c r="AA29" s="100">
        <v>3384</v>
      </c>
      <c r="AB29" s="100">
        <v>9</v>
      </c>
      <c r="AC29" s="100">
        <v>3045.6</v>
      </c>
      <c r="AD29" s="100">
        <v>14</v>
      </c>
      <c r="AE29" s="100">
        <v>4737.5999999999995</v>
      </c>
      <c r="AF29" s="100">
        <v>12</v>
      </c>
      <c r="AG29" s="100">
        <v>4060.7999999999997</v>
      </c>
      <c r="AH29" s="100">
        <v>9</v>
      </c>
      <c r="AI29" s="100">
        <v>3045.6</v>
      </c>
      <c r="AJ29" s="100">
        <v>11</v>
      </c>
      <c r="AK29" s="100">
        <v>3722.3999999999996</v>
      </c>
      <c r="AL29" s="100">
        <v>12</v>
      </c>
      <c r="AM29" s="100">
        <v>4060.7999999999997</v>
      </c>
      <c r="AN29" s="100">
        <v>13</v>
      </c>
      <c r="AO29" s="100">
        <v>4399.2</v>
      </c>
      <c r="AP29" s="100">
        <v>11</v>
      </c>
      <c r="AQ29" s="100">
        <v>3722.3999999999996</v>
      </c>
      <c r="AR29" s="100">
        <v>16</v>
      </c>
      <c r="AS29" s="100">
        <v>5414.4</v>
      </c>
      <c r="AT29" s="100">
        <v>9</v>
      </c>
      <c r="AU29" s="100">
        <v>3045.6</v>
      </c>
      <c r="AV29" s="100">
        <v>15</v>
      </c>
      <c r="AW29" s="100">
        <v>5076</v>
      </c>
      <c r="AX29" s="100">
        <v>13</v>
      </c>
      <c r="AY29" s="100">
        <v>4399.2</v>
      </c>
      <c r="AZ29" s="100">
        <v>9</v>
      </c>
      <c r="BA29" s="100">
        <v>3045.6</v>
      </c>
      <c r="BB29" s="100">
        <v>13</v>
      </c>
      <c r="BC29" s="100">
        <v>4399.2</v>
      </c>
      <c r="BD29" s="100">
        <v>15</v>
      </c>
      <c r="BE29" s="100">
        <v>5076</v>
      </c>
      <c r="BF29" s="100">
        <v>10</v>
      </c>
      <c r="BG29" s="100">
        <v>3384</v>
      </c>
      <c r="BH29" s="100">
        <v>8</v>
      </c>
      <c r="BI29" s="100">
        <v>2707.2</v>
      </c>
      <c r="BJ29" s="100">
        <v>13</v>
      </c>
      <c r="BK29" s="100">
        <v>4399.2</v>
      </c>
      <c r="BL29" s="100">
        <v>12</v>
      </c>
      <c r="BM29" s="100">
        <v>4060.7999999999997</v>
      </c>
      <c r="BN29" s="100">
        <v>9</v>
      </c>
      <c r="BO29" s="100">
        <v>3045.6</v>
      </c>
      <c r="BP29" s="100">
        <v>10</v>
      </c>
      <c r="BQ29" s="100">
        <v>3384</v>
      </c>
      <c r="BR29" s="100">
        <v>9</v>
      </c>
      <c r="BS29" s="100">
        <v>3045.6</v>
      </c>
      <c r="BT29" s="100">
        <v>12</v>
      </c>
      <c r="BU29" s="100">
        <v>4060.7999999999997</v>
      </c>
      <c r="BV29" s="100">
        <v>12</v>
      </c>
      <c r="BW29" s="100">
        <v>4060.7999999999997</v>
      </c>
      <c r="BX29" s="100">
        <v>12</v>
      </c>
      <c r="BY29" s="100">
        <v>4060.7999999999997</v>
      </c>
      <c r="BZ29" s="100">
        <v>15</v>
      </c>
      <c r="CA29" s="100">
        <v>5076</v>
      </c>
      <c r="CB29" s="100">
        <v>17</v>
      </c>
      <c r="CC29" s="100">
        <v>5752.7999999999993</v>
      </c>
      <c r="CD29" s="100">
        <v>12</v>
      </c>
      <c r="CE29" s="100">
        <v>4060.7999999999997</v>
      </c>
      <c r="CF29" s="100">
        <v>15</v>
      </c>
      <c r="CG29" s="100">
        <v>5076</v>
      </c>
      <c r="CH29" s="100">
        <v>12</v>
      </c>
      <c r="CI29" s="100">
        <v>4060.7999999999997</v>
      </c>
      <c r="CJ29" s="100">
        <v>10</v>
      </c>
      <c r="CK29" s="100">
        <v>3384</v>
      </c>
      <c r="CL29" s="100">
        <v>9</v>
      </c>
      <c r="CM29" s="100">
        <v>3045.6</v>
      </c>
      <c r="CN29" s="100">
        <v>13</v>
      </c>
      <c r="CO29" s="100">
        <v>4399.2</v>
      </c>
      <c r="CP29" s="100">
        <v>9</v>
      </c>
      <c r="CQ29" s="100">
        <v>3045.6</v>
      </c>
      <c r="CR29" s="100">
        <v>10</v>
      </c>
      <c r="CS29" s="100">
        <v>3384</v>
      </c>
      <c r="CT29" s="100">
        <v>10</v>
      </c>
      <c r="CU29" s="100">
        <v>3384</v>
      </c>
    </row>
    <row r="30" spans="2:99">
      <c r="C30" s="99" t="s">
        <v>196</v>
      </c>
      <c r="D30" s="100">
        <v>8.3354142494022501</v>
      </c>
      <c r="E30" s="100">
        <v>1160.2896635167931</v>
      </c>
      <c r="F30" s="100">
        <v>11.085935713422597</v>
      </c>
      <c r="G30" s="100">
        <v>1543.1622513084253</v>
      </c>
      <c r="H30" s="100">
        <v>2.7945260627384538</v>
      </c>
      <c r="I30" s="100">
        <v>388.99802793319276</v>
      </c>
      <c r="J30" s="100">
        <v>8.0888320492944054E-4</v>
      </c>
      <c r="K30" s="100">
        <v>0.11259654212617812</v>
      </c>
      <c r="L30" s="100">
        <v>8</v>
      </c>
      <c r="M30" s="100">
        <v>1113.5999999999999</v>
      </c>
      <c r="N30" s="100">
        <v>8</v>
      </c>
      <c r="O30" s="100">
        <v>1113.5999999999999</v>
      </c>
      <c r="P30" s="100">
        <v>13</v>
      </c>
      <c r="Q30" s="100">
        <v>1809.6</v>
      </c>
      <c r="R30" s="100">
        <v>11</v>
      </c>
      <c r="S30" s="100">
        <v>1531.1999999999998</v>
      </c>
      <c r="T30" s="100">
        <v>14</v>
      </c>
      <c r="U30" s="100">
        <v>1948.7999999999997</v>
      </c>
      <c r="V30" s="100">
        <v>8.0502390811032392</v>
      </c>
      <c r="W30" s="100">
        <v>1120.5932800895707</v>
      </c>
      <c r="X30" s="100">
        <v>13.048106511731824</v>
      </c>
      <c r="Y30" s="100">
        <v>1816.2964264330697</v>
      </c>
      <c r="Z30" s="100">
        <v>9</v>
      </c>
      <c r="AA30" s="100">
        <v>1252.8</v>
      </c>
      <c r="AB30" s="100">
        <v>9</v>
      </c>
      <c r="AC30" s="100">
        <v>1252.8</v>
      </c>
      <c r="AD30" s="100">
        <v>12</v>
      </c>
      <c r="AE30" s="100">
        <v>1670.3999999999999</v>
      </c>
      <c r="AF30" s="100">
        <v>12</v>
      </c>
      <c r="AG30" s="100">
        <v>1670.3999999999999</v>
      </c>
      <c r="AH30" s="100">
        <v>9</v>
      </c>
      <c r="AI30" s="100">
        <v>1252.8</v>
      </c>
      <c r="AJ30" s="100">
        <v>10</v>
      </c>
      <c r="AK30" s="100">
        <v>1392</v>
      </c>
      <c r="AL30" s="100">
        <v>12</v>
      </c>
      <c r="AM30" s="100">
        <v>1670.3999999999999</v>
      </c>
      <c r="AN30" s="100">
        <v>13</v>
      </c>
      <c r="AO30" s="100">
        <v>1809.6</v>
      </c>
      <c r="AP30" s="100">
        <v>12</v>
      </c>
      <c r="AQ30" s="100">
        <v>1670.3999999999999</v>
      </c>
      <c r="AR30" s="100">
        <v>15</v>
      </c>
      <c r="AS30" s="100">
        <v>2088</v>
      </c>
      <c r="AT30" s="100">
        <v>8</v>
      </c>
      <c r="AU30" s="100">
        <v>1113.5999999999999</v>
      </c>
      <c r="AV30" s="100">
        <v>16</v>
      </c>
      <c r="AW30" s="100">
        <v>2227.1999999999998</v>
      </c>
      <c r="AX30" s="100">
        <v>14</v>
      </c>
      <c r="AY30" s="100">
        <v>1948.7999999999997</v>
      </c>
      <c r="AZ30" s="100">
        <v>9</v>
      </c>
      <c r="BA30" s="100">
        <v>1252.8</v>
      </c>
      <c r="BB30" s="100">
        <v>15</v>
      </c>
      <c r="BC30" s="100">
        <v>2088</v>
      </c>
      <c r="BD30" s="100">
        <v>15</v>
      </c>
      <c r="BE30" s="100">
        <v>2088</v>
      </c>
      <c r="BF30" s="100">
        <v>10</v>
      </c>
      <c r="BG30" s="100">
        <v>1392</v>
      </c>
      <c r="BH30" s="100">
        <v>9</v>
      </c>
      <c r="BI30" s="100">
        <v>1252.8</v>
      </c>
      <c r="BJ30" s="100">
        <v>15</v>
      </c>
      <c r="BK30" s="100">
        <v>2088</v>
      </c>
      <c r="BL30" s="100">
        <v>13</v>
      </c>
      <c r="BM30" s="100">
        <v>1809.6</v>
      </c>
      <c r="BN30" s="100">
        <v>9</v>
      </c>
      <c r="BO30" s="100">
        <v>1252.8</v>
      </c>
      <c r="BP30" s="100">
        <v>9</v>
      </c>
      <c r="BQ30" s="100">
        <v>1252.8</v>
      </c>
      <c r="BR30" s="100">
        <v>9</v>
      </c>
      <c r="BS30" s="100">
        <v>1252.8</v>
      </c>
      <c r="BT30" s="100">
        <v>12</v>
      </c>
      <c r="BU30" s="100">
        <v>1670.3999999999999</v>
      </c>
      <c r="BV30" s="100">
        <v>13</v>
      </c>
      <c r="BW30" s="100">
        <v>1809.6</v>
      </c>
      <c r="BX30" s="100">
        <v>13</v>
      </c>
      <c r="BY30" s="100">
        <v>1809.6</v>
      </c>
      <c r="BZ30" s="100">
        <v>16</v>
      </c>
      <c r="CA30" s="100">
        <v>2227.1999999999998</v>
      </c>
      <c r="CB30" s="100">
        <v>17</v>
      </c>
      <c r="CC30" s="100">
        <v>2366.3999999999996</v>
      </c>
      <c r="CD30" s="100">
        <v>12</v>
      </c>
      <c r="CE30" s="100">
        <v>1670.3999999999999</v>
      </c>
      <c r="CF30" s="100">
        <v>14</v>
      </c>
      <c r="CG30" s="100">
        <v>1948.7999999999997</v>
      </c>
      <c r="CH30" s="100">
        <v>13</v>
      </c>
      <c r="CI30" s="100">
        <v>1809.6</v>
      </c>
      <c r="CJ30" s="100">
        <v>10</v>
      </c>
      <c r="CK30" s="100">
        <v>1392</v>
      </c>
      <c r="CL30" s="100">
        <v>9</v>
      </c>
      <c r="CM30" s="100">
        <v>1252.8</v>
      </c>
      <c r="CN30" s="100">
        <v>14</v>
      </c>
      <c r="CO30" s="100">
        <v>1948.7999999999997</v>
      </c>
      <c r="CP30" s="100">
        <v>8</v>
      </c>
      <c r="CQ30" s="100">
        <v>1113.5999999999999</v>
      </c>
      <c r="CR30" s="100">
        <v>10</v>
      </c>
      <c r="CS30" s="100">
        <v>1392</v>
      </c>
      <c r="CT30" s="100">
        <v>11</v>
      </c>
      <c r="CU30" s="100">
        <v>1531.1999999999998</v>
      </c>
    </row>
    <row r="31" spans="2:99">
      <c r="C31" s="99" t="s">
        <v>197</v>
      </c>
      <c r="D31" s="100">
        <v>9.2615713882247217</v>
      </c>
      <c r="E31" s="100">
        <v>3156.3435291069854</v>
      </c>
      <c r="F31" s="100">
        <v>10.193390818375548</v>
      </c>
      <c r="G31" s="100">
        <v>3473.9075909023868</v>
      </c>
      <c r="H31" s="100">
        <v>2.7945260627384538</v>
      </c>
      <c r="I31" s="100">
        <v>952.37448218126508</v>
      </c>
      <c r="J31" s="100">
        <v>8.7629013867356065E-4</v>
      </c>
      <c r="K31" s="100">
        <v>0.2986396792599495</v>
      </c>
      <c r="L31" s="100">
        <v>8</v>
      </c>
      <c r="M31" s="100">
        <v>2726.4</v>
      </c>
      <c r="N31" s="100">
        <v>9</v>
      </c>
      <c r="O31" s="100">
        <v>3067.2000000000003</v>
      </c>
      <c r="P31" s="100">
        <v>12</v>
      </c>
      <c r="Q31" s="100">
        <v>4089.6000000000004</v>
      </c>
      <c r="R31" s="100">
        <v>13</v>
      </c>
      <c r="S31" s="100">
        <v>4430.4000000000005</v>
      </c>
      <c r="T31" s="100">
        <v>14</v>
      </c>
      <c r="U31" s="100">
        <v>4771.2</v>
      </c>
      <c r="V31" s="100">
        <v>8</v>
      </c>
      <c r="W31" s="100">
        <v>2726.4</v>
      </c>
      <c r="X31" s="100">
        <v>14.05063843340192</v>
      </c>
      <c r="Y31" s="100">
        <v>4788.4575781033745</v>
      </c>
      <c r="Z31" s="100">
        <v>9</v>
      </c>
      <c r="AA31" s="100">
        <v>3067.2000000000003</v>
      </c>
      <c r="AB31" s="100">
        <v>9</v>
      </c>
      <c r="AC31" s="100">
        <v>3067.2000000000003</v>
      </c>
      <c r="AD31" s="100">
        <v>13</v>
      </c>
      <c r="AE31" s="100">
        <v>4430.4000000000005</v>
      </c>
      <c r="AF31" s="100">
        <v>12</v>
      </c>
      <c r="AG31" s="100">
        <v>4089.6000000000004</v>
      </c>
      <c r="AH31" s="100">
        <v>9</v>
      </c>
      <c r="AI31" s="100">
        <v>3067.2000000000003</v>
      </c>
      <c r="AJ31" s="100">
        <v>12</v>
      </c>
      <c r="AK31" s="100">
        <v>4089.6000000000004</v>
      </c>
      <c r="AL31" s="100">
        <v>13</v>
      </c>
      <c r="AM31" s="100">
        <v>4430.4000000000005</v>
      </c>
      <c r="AN31" s="100">
        <v>13</v>
      </c>
      <c r="AO31" s="100">
        <v>4430.4000000000005</v>
      </c>
      <c r="AP31" s="100">
        <v>11</v>
      </c>
      <c r="AQ31" s="100">
        <v>3748.8</v>
      </c>
      <c r="AR31" s="100">
        <v>17</v>
      </c>
      <c r="AS31" s="100">
        <v>5793.6</v>
      </c>
      <c r="AT31" s="100">
        <v>9</v>
      </c>
      <c r="AU31" s="100">
        <v>3067.2000000000003</v>
      </c>
      <c r="AV31" s="100">
        <v>14</v>
      </c>
      <c r="AW31" s="100">
        <v>4771.2</v>
      </c>
      <c r="AX31" s="100">
        <v>12</v>
      </c>
      <c r="AY31" s="100">
        <v>4089.6000000000004</v>
      </c>
      <c r="AZ31" s="100">
        <v>8</v>
      </c>
      <c r="BA31" s="100">
        <v>2726.4</v>
      </c>
      <c r="BB31" s="100">
        <v>15</v>
      </c>
      <c r="BC31" s="100">
        <v>5112</v>
      </c>
      <c r="BD31" s="100">
        <v>13</v>
      </c>
      <c r="BE31" s="100">
        <v>4430.4000000000005</v>
      </c>
      <c r="BF31" s="100">
        <v>9</v>
      </c>
      <c r="BG31" s="100">
        <v>3067.2000000000003</v>
      </c>
      <c r="BH31" s="100">
        <v>9</v>
      </c>
      <c r="BI31" s="100">
        <v>3067.2000000000003</v>
      </c>
      <c r="BJ31" s="100">
        <v>13</v>
      </c>
      <c r="BK31" s="100">
        <v>4430.4000000000005</v>
      </c>
      <c r="BL31" s="100">
        <v>14</v>
      </c>
      <c r="BM31" s="100">
        <v>4771.2</v>
      </c>
      <c r="BN31" s="100">
        <v>10</v>
      </c>
      <c r="BO31" s="100">
        <v>3408</v>
      </c>
      <c r="BP31" s="100">
        <v>10</v>
      </c>
      <c r="BQ31" s="100">
        <v>3408</v>
      </c>
      <c r="BR31" s="100">
        <v>9</v>
      </c>
      <c r="BS31" s="100">
        <v>3067.2000000000003</v>
      </c>
      <c r="BT31" s="100">
        <v>10</v>
      </c>
      <c r="BU31" s="100">
        <v>3408</v>
      </c>
      <c r="BV31" s="100">
        <v>13</v>
      </c>
      <c r="BW31" s="100">
        <v>4430.4000000000005</v>
      </c>
      <c r="BX31" s="100">
        <v>13</v>
      </c>
      <c r="BY31" s="100">
        <v>4430.4000000000005</v>
      </c>
      <c r="BZ31" s="100">
        <v>16</v>
      </c>
      <c r="CA31" s="100">
        <v>5452.8</v>
      </c>
      <c r="CB31" s="100">
        <v>16</v>
      </c>
      <c r="CC31" s="100">
        <v>5452.8</v>
      </c>
      <c r="CD31" s="100">
        <v>12</v>
      </c>
      <c r="CE31" s="100">
        <v>4089.6000000000004</v>
      </c>
      <c r="CF31" s="100">
        <v>14</v>
      </c>
      <c r="CG31" s="100">
        <v>4771.2</v>
      </c>
      <c r="CH31" s="100">
        <v>13</v>
      </c>
      <c r="CI31" s="100">
        <v>4430.4000000000005</v>
      </c>
      <c r="CJ31" s="100">
        <v>10</v>
      </c>
      <c r="CK31" s="100">
        <v>3408</v>
      </c>
      <c r="CL31" s="100">
        <v>9</v>
      </c>
      <c r="CM31" s="100">
        <v>3067.2000000000003</v>
      </c>
      <c r="CN31" s="100">
        <v>14</v>
      </c>
      <c r="CO31" s="100">
        <v>4771.2</v>
      </c>
      <c r="CP31" s="100">
        <v>9</v>
      </c>
      <c r="CQ31" s="100">
        <v>3067.2000000000003</v>
      </c>
      <c r="CR31" s="100">
        <v>10</v>
      </c>
      <c r="CS31" s="100">
        <v>3408</v>
      </c>
      <c r="CT31" s="100">
        <v>10</v>
      </c>
      <c r="CU31" s="100">
        <v>3408</v>
      </c>
    </row>
    <row r="32" spans="2:99">
      <c r="C32" s="99" t="s">
        <v>198</v>
      </c>
      <c r="D32" s="100">
        <v>7.4092571105797775</v>
      </c>
      <c r="E32" s="100">
        <v>6223.7759728870133</v>
      </c>
      <c r="F32" s="100">
        <v>10.151680043613547</v>
      </c>
      <c r="G32" s="100">
        <v>8527.4112366353802</v>
      </c>
      <c r="H32" s="100">
        <v>2.4452103048961473</v>
      </c>
      <c r="I32" s="100">
        <v>2053.976656112764</v>
      </c>
      <c r="J32" s="100">
        <v>8.7629013867356065E-4</v>
      </c>
      <c r="K32" s="100">
        <v>0.73608371648579096</v>
      </c>
      <c r="L32" s="100">
        <v>7</v>
      </c>
      <c r="M32" s="100">
        <v>5880</v>
      </c>
      <c r="N32" s="100">
        <v>8</v>
      </c>
      <c r="O32" s="100">
        <v>6720</v>
      </c>
      <c r="P32" s="100">
        <v>14</v>
      </c>
      <c r="Q32" s="100">
        <v>11760</v>
      </c>
      <c r="R32" s="100">
        <v>11</v>
      </c>
      <c r="S32" s="100">
        <v>9240</v>
      </c>
      <c r="T32" s="100">
        <v>14</v>
      </c>
      <c r="U32" s="100">
        <v>11760</v>
      </c>
      <c r="V32" s="100">
        <v>9</v>
      </c>
      <c r="W32" s="100">
        <v>7560</v>
      </c>
      <c r="X32" s="100">
        <v>15.045574590061728</v>
      </c>
      <c r="Y32" s="100">
        <v>12638.282655651852</v>
      </c>
      <c r="Z32" s="100">
        <v>10</v>
      </c>
      <c r="AA32" s="100">
        <v>8400</v>
      </c>
      <c r="AB32" s="100">
        <v>9</v>
      </c>
      <c r="AC32" s="100">
        <v>7560</v>
      </c>
      <c r="AD32" s="100">
        <v>13</v>
      </c>
      <c r="AE32" s="100">
        <v>10920</v>
      </c>
      <c r="AF32" s="100">
        <v>11</v>
      </c>
      <c r="AG32" s="100">
        <v>9240</v>
      </c>
      <c r="AH32" s="100">
        <v>9</v>
      </c>
      <c r="AI32" s="100">
        <v>7560</v>
      </c>
      <c r="AJ32" s="100">
        <v>11</v>
      </c>
      <c r="AK32" s="100">
        <v>9240</v>
      </c>
      <c r="AL32" s="100">
        <v>14</v>
      </c>
      <c r="AM32" s="100">
        <v>11760</v>
      </c>
      <c r="AN32" s="100">
        <v>11</v>
      </c>
      <c r="AO32" s="100">
        <v>9240</v>
      </c>
      <c r="AP32" s="100">
        <v>13</v>
      </c>
      <c r="AQ32" s="100">
        <v>10920</v>
      </c>
      <c r="AR32" s="100">
        <v>14</v>
      </c>
      <c r="AS32" s="100">
        <v>11760</v>
      </c>
      <c r="AT32" s="100">
        <v>7</v>
      </c>
      <c r="AU32" s="100">
        <v>5880</v>
      </c>
      <c r="AV32" s="100">
        <v>15</v>
      </c>
      <c r="AW32" s="100">
        <v>12600</v>
      </c>
      <c r="AX32" s="100">
        <v>12</v>
      </c>
      <c r="AY32" s="100">
        <v>10080</v>
      </c>
      <c r="AZ32" s="100">
        <v>9</v>
      </c>
      <c r="BA32" s="100">
        <v>7560</v>
      </c>
      <c r="BB32" s="100">
        <v>13</v>
      </c>
      <c r="BC32" s="100">
        <v>10920</v>
      </c>
      <c r="BD32" s="100">
        <v>14</v>
      </c>
      <c r="BE32" s="100">
        <v>11760</v>
      </c>
      <c r="BF32" s="100">
        <v>9</v>
      </c>
      <c r="BG32" s="100">
        <v>7560</v>
      </c>
      <c r="BH32" s="100">
        <v>8</v>
      </c>
      <c r="BI32" s="100">
        <v>6720</v>
      </c>
      <c r="BJ32" s="100">
        <v>12</v>
      </c>
      <c r="BK32" s="100">
        <v>10080</v>
      </c>
      <c r="BL32" s="100">
        <v>13</v>
      </c>
      <c r="BM32" s="100">
        <v>10920</v>
      </c>
      <c r="BN32" s="100">
        <v>10</v>
      </c>
      <c r="BO32" s="100">
        <v>8400</v>
      </c>
      <c r="BP32" s="100">
        <v>9</v>
      </c>
      <c r="BQ32" s="100">
        <v>7560</v>
      </c>
      <c r="BR32" s="100">
        <v>9</v>
      </c>
      <c r="BS32" s="100">
        <v>7560</v>
      </c>
      <c r="BT32" s="100">
        <v>11</v>
      </c>
      <c r="BU32" s="100">
        <v>9240</v>
      </c>
      <c r="BV32" s="100">
        <v>12</v>
      </c>
      <c r="BW32" s="100">
        <v>10080</v>
      </c>
      <c r="BX32" s="100">
        <v>13</v>
      </c>
      <c r="BY32" s="100">
        <v>10920</v>
      </c>
      <c r="BZ32" s="100">
        <v>15</v>
      </c>
      <c r="CA32" s="100">
        <v>12600</v>
      </c>
      <c r="CB32" s="100">
        <v>16</v>
      </c>
      <c r="CC32" s="100">
        <v>13440</v>
      </c>
      <c r="CD32" s="100">
        <v>13</v>
      </c>
      <c r="CE32" s="100">
        <v>10920</v>
      </c>
      <c r="CF32" s="100">
        <v>14</v>
      </c>
      <c r="CG32" s="100">
        <v>11760</v>
      </c>
      <c r="CH32" s="100">
        <v>13</v>
      </c>
      <c r="CI32" s="100">
        <v>10920</v>
      </c>
      <c r="CJ32" s="100">
        <v>9</v>
      </c>
      <c r="CK32" s="100">
        <v>7560</v>
      </c>
      <c r="CL32" s="100">
        <v>9</v>
      </c>
      <c r="CM32" s="100">
        <v>7560</v>
      </c>
      <c r="CN32" s="100">
        <v>12</v>
      </c>
      <c r="CO32" s="100">
        <v>10080</v>
      </c>
      <c r="CP32" s="100">
        <v>10</v>
      </c>
      <c r="CQ32" s="100">
        <v>8400</v>
      </c>
      <c r="CR32" s="100">
        <v>10</v>
      </c>
      <c r="CS32" s="100">
        <v>8400</v>
      </c>
      <c r="CT32" s="100">
        <v>9</v>
      </c>
      <c r="CU32" s="100">
        <v>7560</v>
      </c>
    </row>
    <row r="33" spans="2:99">
      <c r="C33" s="99" t="s">
        <v>199</v>
      </c>
      <c r="D33" s="100">
        <v>8.3354142494022501</v>
      </c>
      <c r="E33" s="100">
        <v>3950.9863542166663</v>
      </c>
      <c r="F33" s="100">
        <v>11.085935713422597</v>
      </c>
      <c r="G33" s="100">
        <v>5254.7335281623109</v>
      </c>
      <c r="H33" s="100">
        <v>2.7945260627384538</v>
      </c>
      <c r="I33" s="100">
        <v>1324.6053537380271</v>
      </c>
      <c r="J33" s="100">
        <v>1.0111040061618008E-3</v>
      </c>
      <c r="K33" s="100">
        <v>0.47926329892069358</v>
      </c>
      <c r="L33" s="100">
        <v>7</v>
      </c>
      <c r="M33" s="100">
        <v>3318</v>
      </c>
      <c r="N33" s="100">
        <v>8</v>
      </c>
      <c r="O33" s="100">
        <v>3792</v>
      </c>
      <c r="P33" s="100">
        <v>14</v>
      </c>
      <c r="Q33" s="100">
        <v>6636</v>
      </c>
      <c r="R33" s="100">
        <v>12</v>
      </c>
      <c r="S33" s="100">
        <v>5688</v>
      </c>
      <c r="T33" s="100">
        <v>13</v>
      </c>
      <c r="U33" s="100">
        <v>6162</v>
      </c>
      <c r="V33" s="100">
        <v>9.0528832432665673</v>
      </c>
      <c r="W33" s="100">
        <v>4291.0666573083527</v>
      </c>
      <c r="X33" s="100">
        <v>14.05063843340192</v>
      </c>
      <c r="Y33" s="100">
        <v>6660.0026174325103</v>
      </c>
      <c r="Z33" s="100">
        <v>10</v>
      </c>
      <c r="AA33" s="100">
        <v>4740</v>
      </c>
      <c r="AB33" s="100">
        <v>8</v>
      </c>
      <c r="AC33" s="100">
        <v>3792</v>
      </c>
      <c r="AD33" s="100">
        <v>13</v>
      </c>
      <c r="AE33" s="100">
        <v>6162</v>
      </c>
      <c r="AF33" s="100">
        <v>11</v>
      </c>
      <c r="AG33" s="100">
        <v>5214</v>
      </c>
      <c r="AH33" s="100">
        <v>10</v>
      </c>
      <c r="AI33" s="100">
        <v>4740</v>
      </c>
      <c r="AJ33" s="100">
        <v>10</v>
      </c>
      <c r="AK33" s="100">
        <v>4740</v>
      </c>
      <c r="AL33" s="100">
        <v>14</v>
      </c>
      <c r="AM33" s="100">
        <v>6636</v>
      </c>
      <c r="AN33" s="100">
        <v>12</v>
      </c>
      <c r="AO33" s="100">
        <v>5688</v>
      </c>
      <c r="AP33" s="100">
        <v>12</v>
      </c>
      <c r="AQ33" s="100">
        <v>5688</v>
      </c>
      <c r="AR33" s="100">
        <v>16</v>
      </c>
      <c r="AS33" s="100">
        <v>7584</v>
      </c>
      <c r="AT33" s="100">
        <v>7</v>
      </c>
      <c r="AU33" s="100">
        <v>3318</v>
      </c>
      <c r="AV33" s="100">
        <v>14</v>
      </c>
      <c r="AW33" s="100">
        <v>6636</v>
      </c>
      <c r="AX33" s="100">
        <v>13</v>
      </c>
      <c r="AY33" s="100">
        <v>6162</v>
      </c>
      <c r="AZ33" s="100">
        <v>8</v>
      </c>
      <c r="BA33" s="100">
        <v>3792</v>
      </c>
      <c r="BB33" s="100">
        <v>14</v>
      </c>
      <c r="BC33" s="100">
        <v>6636</v>
      </c>
      <c r="BD33" s="100">
        <v>14</v>
      </c>
      <c r="BE33" s="100">
        <v>6636</v>
      </c>
      <c r="BF33" s="100">
        <v>9</v>
      </c>
      <c r="BG33" s="100">
        <v>4266</v>
      </c>
      <c r="BH33" s="100">
        <v>9</v>
      </c>
      <c r="BI33" s="100">
        <v>4266</v>
      </c>
      <c r="BJ33" s="100">
        <v>14</v>
      </c>
      <c r="BK33" s="100">
        <v>6636</v>
      </c>
      <c r="BL33" s="100">
        <v>12</v>
      </c>
      <c r="BM33" s="100">
        <v>5688</v>
      </c>
      <c r="BN33" s="100">
        <v>10</v>
      </c>
      <c r="BO33" s="100">
        <v>4740</v>
      </c>
      <c r="BP33" s="100">
        <v>9</v>
      </c>
      <c r="BQ33" s="100">
        <v>4266</v>
      </c>
      <c r="BR33" s="100">
        <v>9</v>
      </c>
      <c r="BS33" s="100">
        <v>4266</v>
      </c>
      <c r="BT33" s="100">
        <v>11</v>
      </c>
      <c r="BU33" s="100">
        <v>5214</v>
      </c>
      <c r="BV33" s="100">
        <v>13</v>
      </c>
      <c r="BW33" s="100">
        <v>6162</v>
      </c>
      <c r="BX33" s="100">
        <v>12</v>
      </c>
      <c r="BY33" s="100">
        <v>5688</v>
      </c>
      <c r="BZ33" s="100">
        <v>14</v>
      </c>
      <c r="CA33" s="100">
        <v>6636</v>
      </c>
      <c r="CB33" s="100">
        <v>15</v>
      </c>
      <c r="CC33" s="100">
        <v>7110</v>
      </c>
      <c r="CD33" s="100">
        <v>12</v>
      </c>
      <c r="CE33" s="100">
        <v>5688</v>
      </c>
      <c r="CF33" s="100">
        <v>13</v>
      </c>
      <c r="CG33" s="100">
        <v>6162</v>
      </c>
      <c r="CH33" s="100">
        <v>11</v>
      </c>
      <c r="CI33" s="100">
        <v>5214</v>
      </c>
      <c r="CJ33" s="100">
        <v>10</v>
      </c>
      <c r="CK33" s="100">
        <v>4740</v>
      </c>
      <c r="CL33" s="100">
        <v>10</v>
      </c>
      <c r="CM33" s="100">
        <v>4740</v>
      </c>
      <c r="CN33" s="100">
        <v>14</v>
      </c>
      <c r="CO33" s="100">
        <v>6636</v>
      </c>
      <c r="CP33" s="100">
        <v>10</v>
      </c>
      <c r="CQ33" s="100">
        <v>4740</v>
      </c>
      <c r="CR33" s="100">
        <v>10</v>
      </c>
      <c r="CS33" s="100">
        <v>4740</v>
      </c>
      <c r="CT33" s="100">
        <v>10</v>
      </c>
      <c r="CU33" s="100">
        <v>4740</v>
      </c>
    </row>
    <row r="34" spans="2:99">
      <c r="C34" s="99" t="s">
        <v>200</v>
      </c>
      <c r="D34" s="100">
        <v>8.3354142494022501</v>
      </c>
      <c r="E34" s="100">
        <v>4571.1411743721937</v>
      </c>
      <c r="F34" s="100">
        <v>11.044224938660596</v>
      </c>
      <c r="G34" s="100">
        <v>6056.6529563614704</v>
      </c>
      <c r="H34" s="100">
        <v>2.4452103048961473</v>
      </c>
      <c r="I34" s="100">
        <v>1340.9533312050471</v>
      </c>
      <c r="J34" s="100">
        <v>9.4369707241768075E-4</v>
      </c>
      <c r="K34" s="100">
        <v>0.51752347451385605</v>
      </c>
      <c r="L34" s="100">
        <v>8</v>
      </c>
      <c r="M34" s="100">
        <v>4387.2</v>
      </c>
      <c r="N34" s="100">
        <v>8</v>
      </c>
      <c r="O34" s="100">
        <v>4387.2</v>
      </c>
      <c r="P34" s="100">
        <v>13</v>
      </c>
      <c r="Q34" s="100">
        <v>7129.2</v>
      </c>
      <c r="R34" s="100">
        <v>11</v>
      </c>
      <c r="S34" s="100">
        <v>6032.4</v>
      </c>
      <c r="T34" s="100">
        <v>13</v>
      </c>
      <c r="U34" s="100">
        <v>7129.2</v>
      </c>
      <c r="V34" s="100">
        <v>9.0502390811032392</v>
      </c>
      <c r="W34" s="100">
        <v>4963.1511120770165</v>
      </c>
      <c r="X34" s="100">
        <v>13.05063843340192</v>
      </c>
      <c r="Y34" s="100">
        <v>7156.9701168776128</v>
      </c>
      <c r="Z34" s="100">
        <v>9</v>
      </c>
      <c r="AA34" s="100">
        <v>4935.5999999999995</v>
      </c>
      <c r="AB34" s="100">
        <v>8</v>
      </c>
      <c r="AC34" s="100">
        <v>4387.2</v>
      </c>
      <c r="AD34" s="100">
        <v>14</v>
      </c>
      <c r="AE34" s="100">
        <v>7677.5999999999995</v>
      </c>
      <c r="AF34" s="100">
        <v>10</v>
      </c>
      <c r="AG34" s="100">
        <v>5484</v>
      </c>
      <c r="AH34" s="100">
        <v>9</v>
      </c>
      <c r="AI34" s="100">
        <v>4935.5999999999995</v>
      </c>
      <c r="AJ34" s="100">
        <v>11</v>
      </c>
      <c r="AK34" s="100">
        <v>6032.4</v>
      </c>
      <c r="AL34" s="100">
        <v>13</v>
      </c>
      <c r="AM34" s="100">
        <v>7129.2</v>
      </c>
      <c r="AN34" s="100">
        <v>12</v>
      </c>
      <c r="AO34" s="100">
        <v>6580.7999999999993</v>
      </c>
      <c r="AP34" s="100">
        <v>12</v>
      </c>
      <c r="AQ34" s="100">
        <v>6580.7999999999993</v>
      </c>
      <c r="AR34" s="100">
        <v>15</v>
      </c>
      <c r="AS34" s="100">
        <v>8226</v>
      </c>
      <c r="AT34" s="100">
        <v>7</v>
      </c>
      <c r="AU34" s="100">
        <v>3838.7999999999997</v>
      </c>
      <c r="AV34" s="100">
        <v>15</v>
      </c>
      <c r="AW34" s="100">
        <v>8226</v>
      </c>
      <c r="AX34" s="100">
        <v>15</v>
      </c>
      <c r="AY34" s="100">
        <v>8226</v>
      </c>
      <c r="AZ34" s="100">
        <v>8</v>
      </c>
      <c r="BA34" s="100">
        <v>4387.2</v>
      </c>
      <c r="BB34" s="100">
        <v>13</v>
      </c>
      <c r="BC34" s="100">
        <v>7129.2</v>
      </c>
      <c r="BD34" s="100">
        <v>13</v>
      </c>
      <c r="BE34" s="100">
        <v>7129.2</v>
      </c>
      <c r="BF34" s="100">
        <v>9</v>
      </c>
      <c r="BG34" s="100">
        <v>4935.5999999999995</v>
      </c>
      <c r="BH34" s="100">
        <v>9</v>
      </c>
      <c r="BI34" s="100">
        <v>4935.5999999999995</v>
      </c>
      <c r="BJ34" s="100">
        <v>14</v>
      </c>
      <c r="BK34" s="100">
        <v>7677.5999999999995</v>
      </c>
      <c r="BL34" s="100">
        <v>12</v>
      </c>
      <c r="BM34" s="100">
        <v>6580.7999999999993</v>
      </c>
      <c r="BN34" s="100">
        <v>9</v>
      </c>
      <c r="BO34" s="100">
        <v>4935.5999999999995</v>
      </c>
      <c r="BP34" s="100">
        <v>8</v>
      </c>
      <c r="BQ34" s="100">
        <v>4387.2</v>
      </c>
      <c r="BR34" s="100">
        <v>10</v>
      </c>
      <c r="BS34" s="100">
        <v>5484</v>
      </c>
      <c r="BT34" s="100">
        <v>11</v>
      </c>
      <c r="BU34" s="100">
        <v>6032.4</v>
      </c>
      <c r="BV34" s="100">
        <v>14</v>
      </c>
      <c r="BW34" s="100">
        <v>7677.5999999999995</v>
      </c>
      <c r="BX34" s="100">
        <v>12</v>
      </c>
      <c r="BY34" s="100">
        <v>6580.7999999999993</v>
      </c>
      <c r="BZ34" s="100">
        <v>14</v>
      </c>
      <c r="CA34" s="100">
        <v>7677.5999999999995</v>
      </c>
      <c r="CB34" s="100">
        <v>17</v>
      </c>
      <c r="CC34" s="100">
        <v>9322.7999999999993</v>
      </c>
      <c r="CD34" s="100">
        <v>12</v>
      </c>
      <c r="CE34" s="100">
        <v>6580.7999999999993</v>
      </c>
      <c r="CF34" s="100">
        <v>15</v>
      </c>
      <c r="CG34" s="100">
        <v>8226</v>
      </c>
      <c r="CH34" s="100">
        <v>13</v>
      </c>
      <c r="CI34" s="100">
        <v>7129.2</v>
      </c>
      <c r="CJ34" s="100">
        <v>9</v>
      </c>
      <c r="CK34" s="100">
        <v>4935.5999999999995</v>
      </c>
      <c r="CL34" s="100">
        <v>10</v>
      </c>
      <c r="CM34" s="100">
        <v>5484</v>
      </c>
      <c r="CN34" s="100">
        <v>14</v>
      </c>
      <c r="CO34" s="100">
        <v>7677.5999999999995</v>
      </c>
      <c r="CP34" s="100">
        <v>9</v>
      </c>
      <c r="CQ34" s="100">
        <v>4935.5999999999995</v>
      </c>
      <c r="CR34" s="100">
        <v>9</v>
      </c>
      <c r="CS34" s="100">
        <v>4935.5999999999995</v>
      </c>
      <c r="CT34" s="100">
        <v>10</v>
      </c>
      <c r="CU34" s="100">
        <v>5484</v>
      </c>
    </row>
    <row r="35" spans="2:99">
      <c r="C35" s="99" t="s">
        <v>201</v>
      </c>
      <c r="D35" s="100">
        <v>8.3354142494022501</v>
      </c>
      <c r="E35" s="100">
        <v>4191.0462845994507</v>
      </c>
      <c r="F35" s="100">
        <v>10.276812367899549</v>
      </c>
      <c r="G35" s="100">
        <v>5167.1812585798916</v>
      </c>
      <c r="H35" s="100">
        <v>2.4452103048961473</v>
      </c>
      <c r="I35" s="100">
        <v>1229.4517413017827</v>
      </c>
      <c r="J35" s="100">
        <v>8.0888320492944054E-4</v>
      </c>
      <c r="K35" s="100">
        <v>0.40670647543852262</v>
      </c>
      <c r="L35" s="100">
        <v>8</v>
      </c>
      <c r="M35" s="100">
        <v>4022.3999999999992</v>
      </c>
      <c r="N35" s="100">
        <v>8</v>
      </c>
      <c r="O35" s="100">
        <v>4022.3999999999992</v>
      </c>
      <c r="P35" s="100">
        <v>12</v>
      </c>
      <c r="Q35" s="100">
        <v>6033.5999999999985</v>
      </c>
      <c r="R35" s="100">
        <v>11</v>
      </c>
      <c r="S35" s="100">
        <v>5530.7999999999993</v>
      </c>
      <c r="T35" s="100">
        <v>12</v>
      </c>
      <c r="U35" s="100">
        <v>6033.5999999999985</v>
      </c>
      <c r="V35" s="100">
        <v>9.0528832432665673</v>
      </c>
      <c r="W35" s="100">
        <v>4551.7896947144291</v>
      </c>
      <c r="X35" s="100">
        <v>16</v>
      </c>
      <c r="Y35" s="100">
        <v>8044.7999999999984</v>
      </c>
      <c r="Z35" s="100">
        <v>9</v>
      </c>
      <c r="AA35" s="100">
        <v>4525.1999999999989</v>
      </c>
      <c r="AB35" s="100">
        <v>8</v>
      </c>
      <c r="AC35" s="100">
        <v>4022.3999999999992</v>
      </c>
      <c r="AD35" s="100">
        <v>12</v>
      </c>
      <c r="AE35" s="100">
        <v>6033.5999999999985</v>
      </c>
      <c r="AF35" s="100">
        <v>11</v>
      </c>
      <c r="AG35" s="100">
        <v>5530.7999999999993</v>
      </c>
      <c r="AH35" s="100">
        <v>8</v>
      </c>
      <c r="AI35" s="100">
        <v>4022.3999999999992</v>
      </c>
      <c r="AJ35" s="100">
        <v>11</v>
      </c>
      <c r="AK35" s="100">
        <v>5530.7999999999993</v>
      </c>
      <c r="AL35" s="100">
        <v>14</v>
      </c>
      <c r="AM35" s="100">
        <v>7039.1999999999989</v>
      </c>
      <c r="AN35" s="100">
        <v>13</v>
      </c>
      <c r="AO35" s="100">
        <v>6536.3999999999987</v>
      </c>
      <c r="AP35" s="100">
        <v>12</v>
      </c>
      <c r="AQ35" s="100">
        <v>6033.5999999999985</v>
      </c>
      <c r="AR35" s="100">
        <v>14</v>
      </c>
      <c r="AS35" s="100">
        <v>7039.1999999999989</v>
      </c>
      <c r="AT35" s="100">
        <v>8</v>
      </c>
      <c r="AU35" s="100">
        <v>4022.3999999999992</v>
      </c>
      <c r="AV35" s="100">
        <v>14</v>
      </c>
      <c r="AW35" s="100">
        <v>7039.1999999999989</v>
      </c>
      <c r="AX35" s="100">
        <v>12</v>
      </c>
      <c r="AY35" s="100">
        <v>6033.5999999999985</v>
      </c>
      <c r="AZ35" s="100">
        <v>8</v>
      </c>
      <c r="BA35" s="100">
        <v>4022.3999999999992</v>
      </c>
      <c r="BB35" s="100">
        <v>13</v>
      </c>
      <c r="BC35" s="100">
        <v>6536.3999999999987</v>
      </c>
      <c r="BD35" s="100">
        <v>16</v>
      </c>
      <c r="BE35" s="100">
        <v>8044.7999999999984</v>
      </c>
      <c r="BF35" s="100">
        <v>9</v>
      </c>
      <c r="BG35" s="100">
        <v>4525.1999999999989</v>
      </c>
      <c r="BH35" s="100">
        <v>8</v>
      </c>
      <c r="BI35" s="100">
        <v>4022.3999999999992</v>
      </c>
      <c r="BJ35" s="100">
        <v>12</v>
      </c>
      <c r="BK35" s="100">
        <v>6033.5999999999985</v>
      </c>
      <c r="BL35" s="100">
        <v>14</v>
      </c>
      <c r="BM35" s="100">
        <v>7039.1999999999989</v>
      </c>
      <c r="BN35" s="100">
        <v>9</v>
      </c>
      <c r="BO35" s="100">
        <v>4525.1999999999989</v>
      </c>
      <c r="BP35" s="100">
        <v>9</v>
      </c>
      <c r="BQ35" s="100">
        <v>4525.1999999999989</v>
      </c>
      <c r="BR35" s="100">
        <v>9</v>
      </c>
      <c r="BS35" s="100">
        <v>4525.1999999999989</v>
      </c>
      <c r="BT35" s="100">
        <v>12</v>
      </c>
      <c r="BU35" s="100">
        <v>6033.5999999999985</v>
      </c>
      <c r="BV35" s="100">
        <v>13</v>
      </c>
      <c r="BW35" s="100">
        <v>6536.3999999999987</v>
      </c>
      <c r="BX35" s="100">
        <v>13</v>
      </c>
      <c r="BY35" s="100">
        <v>6536.3999999999987</v>
      </c>
      <c r="BZ35" s="100">
        <v>17</v>
      </c>
      <c r="CA35" s="100">
        <v>8547.5999999999985</v>
      </c>
      <c r="CB35" s="100">
        <v>16</v>
      </c>
      <c r="CC35" s="100">
        <v>8044.7999999999984</v>
      </c>
      <c r="CD35" s="100">
        <v>14</v>
      </c>
      <c r="CE35" s="100">
        <v>7039.1999999999989</v>
      </c>
      <c r="CF35" s="100">
        <v>13</v>
      </c>
      <c r="CG35" s="100">
        <v>6536.3999999999987</v>
      </c>
      <c r="CH35" s="100">
        <v>13</v>
      </c>
      <c r="CI35" s="100">
        <v>6536.3999999999987</v>
      </c>
      <c r="CJ35" s="100">
        <v>10</v>
      </c>
      <c r="CK35" s="100">
        <v>5027.9999999999991</v>
      </c>
      <c r="CL35" s="100">
        <v>8</v>
      </c>
      <c r="CM35" s="100">
        <v>4022.3999999999992</v>
      </c>
      <c r="CN35" s="100">
        <v>14</v>
      </c>
      <c r="CO35" s="100">
        <v>7039.1999999999989</v>
      </c>
      <c r="CP35" s="100">
        <v>9</v>
      </c>
      <c r="CQ35" s="100">
        <v>4525.1999999999989</v>
      </c>
      <c r="CR35" s="100">
        <v>10</v>
      </c>
      <c r="CS35" s="100">
        <v>5027.9999999999991</v>
      </c>
      <c r="CT35" s="100">
        <v>10</v>
      </c>
      <c r="CU35" s="100">
        <v>5027.9999999999991</v>
      </c>
    </row>
    <row r="36" spans="2:99">
      <c r="C36" s="99" t="s">
        <v>202</v>
      </c>
      <c r="D36" s="100">
        <v>8.3354142494022501</v>
      </c>
      <c r="E36" s="100">
        <v>6341.5831609452316</v>
      </c>
      <c r="F36" s="100">
        <v>10.193390818375548</v>
      </c>
      <c r="G36" s="100">
        <v>7755.1317346201158</v>
      </c>
      <c r="H36" s="100">
        <v>2.7945260627384538</v>
      </c>
      <c r="I36" s="100">
        <v>2126.0754285314156</v>
      </c>
      <c r="J36" s="100">
        <v>8.0888320492944054E-4</v>
      </c>
      <c r="K36" s="100">
        <v>0.61539834231031831</v>
      </c>
      <c r="L36" s="100">
        <v>7</v>
      </c>
      <c r="M36" s="100">
        <v>5325.5999999999995</v>
      </c>
      <c r="N36" s="100">
        <v>9</v>
      </c>
      <c r="O36" s="100">
        <v>6847.2</v>
      </c>
      <c r="P36" s="100">
        <v>12</v>
      </c>
      <c r="Q36" s="100">
        <v>9129.5999999999985</v>
      </c>
      <c r="R36" s="100">
        <v>12</v>
      </c>
      <c r="S36" s="100">
        <v>9129.5999999999985</v>
      </c>
      <c r="T36" s="100">
        <v>12</v>
      </c>
      <c r="U36" s="100">
        <v>9129.5999999999985</v>
      </c>
      <c r="V36" s="100">
        <v>9</v>
      </c>
      <c r="W36" s="100">
        <v>6847.2</v>
      </c>
      <c r="X36" s="100">
        <v>16</v>
      </c>
      <c r="Y36" s="100">
        <v>12172.8</v>
      </c>
      <c r="Z36" s="100">
        <v>11</v>
      </c>
      <c r="AA36" s="100">
        <v>8368.7999999999993</v>
      </c>
      <c r="AB36" s="100">
        <v>8</v>
      </c>
      <c r="AC36" s="100">
        <v>6086.4</v>
      </c>
      <c r="AD36" s="100">
        <v>14</v>
      </c>
      <c r="AE36" s="100">
        <v>10651.199999999999</v>
      </c>
      <c r="AF36" s="100">
        <v>10</v>
      </c>
      <c r="AG36" s="100">
        <v>7608</v>
      </c>
      <c r="AH36" s="100">
        <v>8</v>
      </c>
      <c r="AI36" s="100">
        <v>6086.4</v>
      </c>
      <c r="AJ36" s="100">
        <v>12</v>
      </c>
      <c r="AK36" s="100">
        <v>9129.5999999999985</v>
      </c>
      <c r="AL36" s="100">
        <v>12</v>
      </c>
      <c r="AM36" s="100">
        <v>9129.5999999999985</v>
      </c>
      <c r="AN36" s="100">
        <v>12</v>
      </c>
      <c r="AO36" s="100">
        <v>9129.5999999999985</v>
      </c>
      <c r="AP36" s="100">
        <v>13</v>
      </c>
      <c r="AQ36" s="100">
        <v>9890.4</v>
      </c>
      <c r="AR36" s="100">
        <v>16</v>
      </c>
      <c r="AS36" s="100">
        <v>12172.8</v>
      </c>
      <c r="AT36" s="100">
        <v>8</v>
      </c>
      <c r="AU36" s="100">
        <v>6086.4</v>
      </c>
      <c r="AV36" s="100">
        <v>14</v>
      </c>
      <c r="AW36" s="100">
        <v>10651.199999999999</v>
      </c>
      <c r="AX36" s="100">
        <v>14</v>
      </c>
      <c r="AY36" s="100">
        <v>10651.199999999999</v>
      </c>
      <c r="AZ36" s="100">
        <v>8</v>
      </c>
      <c r="BA36" s="100">
        <v>6086.4</v>
      </c>
      <c r="BB36" s="100">
        <v>14</v>
      </c>
      <c r="BC36" s="100">
        <v>10651.199999999999</v>
      </c>
      <c r="BD36" s="100">
        <v>14</v>
      </c>
      <c r="BE36" s="100">
        <v>10651.199999999999</v>
      </c>
      <c r="BF36" s="100">
        <v>9</v>
      </c>
      <c r="BG36" s="100">
        <v>6847.2</v>
      </c>
      <c r="BH36" s="100">
        <v>7</v>
      </c>
      <c r="BI36" s="100">
        <v>5325.5999999999995</v>
      </c>
      <c r="BJ36" s="100">
        <v>13</v>
      </c>
      <c r="BK36" s="100">
        <v>9890.4</v>
      </c>
      <c r="BL36" s="100">
        <v>13</v>
      </c>
      <c r="BM36" s="100">
        <v>9890.4</v>
      </c>
      <c r="BN36" s="100">
        <v>9</v>
      </c>
      <c r="BO36" s="100">
        <v>6847.2</v>
      </c>
      <c r="BP36" s="100">
        <v>9</v>
      </c>
      <c r="BQ36" s="100">
        <v>6847.2</v>
      </c>
      <c r="BR36" s="100">
        <v>9</v>
      </c>
      <c r="BS36" s="100">
        <v>6847.2</v>
      </c>
      <c r="BT36" s="100">
        <v>11</v>
      </c>
      <c r="BU36" s="100">
        <v>8368.7999999999993</v>
      </c>
      <c r="BV36" s="100">
        <v>12</v>
      </c>
      <c r="BW36" s="100">
        <v>9129.5999999999985</v>
      </c>
      <c r="BX36" s="100">
        <v>11</v>
      </c>
      <c r="BY36" s="100">
        <v>8368.7999999999993</v>
      </c>
      <c r="BZ36" s="100">
        <v>16</v>
      </c>
      <c r="CA36" s="100">
        <v>12172.8</v>
      </c>
      <c r="CB36" s="100">
        <v>16</v>
      </c>
      <c r="CC36" s="100">
        <v>12172.8</v>
      </c>
      <c r="CD36" s="100">
        <v>13</v>
      </c>
      <c r="CE36" s="100">
        <v>9890.4</v>
      </c>
      <c r="CF36" s="100">
        <v>13</v>
      </c>
      <c r="CG36" s="100">
        <v>9890.4</v>
      </c>
      <c r="CH36" s="100">
        <v>12</v>
      </c>
      <c r="CI36" s="100">
        <v>9129.5999999999985</v>
      </c>
      <c r="CJ36" s="100">
        <v>10</v>
      </c>
      <c r="CK36" s="100">
        <v>7608</v>
      </c>
      <c r="CL36" s="100">
        <v>9</v>
      </c>
      <c r="CM36" s="100">
        <v>6847.2</v>
      </c>
      <c r="CN36" s="100">
        <v>14</v>
      </c>
      <c r="CO36" s="100">
        <v>10651.199999999999</v>
      </c>
      <c r="CP36" s="100">
        <v>9</v>
      </c>
      <c r="CQ36" s="100">
        <v>6847.2</v>
      </c>
      <c r="CR36" s="100">
        <v>9</v>
      </c>
      <c r="CS36" s="100">
        <v>6847.2</v>
      </c>
      <c r="CT36" s="100">
        <v>10</v>
      </c>
      <c r="CU36" s="100">
        <v>7608</v>
      </c>
    </row>
    <row r="37" spans="2:99">
      <c r="B37" s="99" t="s">
        <v>128</v>
      </c>
      <c r="C37" s="99" t="s">
        <v>203</v>
      </c>
      <c r="D37" s="100">
        <v>5.5569428329348334</v>
      </c>
      <c r="E37" s="100">
        <v>4781.1936134571306</v>
      </c>
      <c r="F37" s="100">
        <v>5.605534018854299</v>
      </c>
      <c r="G37" s="100">
        <v>4823.0014698222385</v>
      </c>
      <c r="H37" s="100">
        <v>1.7465787892115336</v>
      </c>
      <c r="I37" s="100">
        <v>1502.7563902376035</v>
      </c>
      <c r="J37" s="100">
        <v>3.3703466872060027E-4</v>
      </c>
      <c r="K37" s="100">
        <v>0.28998462896720445</v>
      </c>
      <c r="L37" s="100">
        <v>7</v>
      </c>
      <c r="M37" s="100">
        <v>6022.8</v>
      </c>
      <c r="N37" s="100">
        <v>8</v>
      </c>
      <c r="O37" s="100">
        <v>6883.2</v>
      </c>
      <c r="P37" s="100">
        <v>6</v>
      </c>
      <c r="Q37" s="100">
        <v>5162.3999999999996</v>
      </c>
      <c r="R37" s="100">
        <v>9</v>
      </c>
      <c r="S37" s="100">
        <v>7743.5999999999995</v>
      </c>
      <c r="T37" s="100">
        <v>5</v>
      </c>
      <c r="U37" s="100">
        <v>4302</v>
      </c>
      <c r="V37" s="100">
        <v>7.0264416216332837</v>
      </c>
      <c r="W37" s="100">
        <v>6045.5503712532773</v>
      </c>
      <c r="X37" s="100">
        <v>5.0303830600411512</v>
      </c>
      <c r="Y37" s="100">
        <v>4328.1415848594061</v>
      </c>
      <c r="Z37" s="100">
        <v>9</v>
      </c>
      <c r="AA37" s="100">
        <v>7743.5999999999995</v>
      </c>
      <c r="AB37" s="100">
        <v>5</v>
      </c>
      <c r="AC37" s="100">
        <v>4302</v>
      </c>
      <c r="AD37" s="100">
        <v>6</v>
      </c>
      <c r="AE37" s="100">
        <v>5162.3999999999996</v>
      </c>
      <c r="AF37" s="100">
        <v>7</v>
      </c>
      <c r="AG37" s="100">
        <v>6022.8</v>
      </c>
      <c r="AH37" s="100">
        <v>8</v>
      </c>
      <c r="AI37" s="100">
        <v>6883.2</v>
      </c>
      <c r="AJ37" s="100">
        <v>6</v>
      </c>
      <c r="AK37" s="100">
        <v>5162.3999999999996</v>
      </c>
      <c r="AL37" s="100">
        <v>8</v>
      </c>
      <c r="AM37" s="100">
        <v>6883.2</v>
      </c>
      <c r="AN37" s="100">
        <v>7</v>
      </c>
      <c r="AO37" s="100">
        <v>6022.8</v>
      </c>
      <c r="AP37" s="100">
        <v>5</v>
      </c>
      <c r="AQ37" s="100">
        <v>4302</v>
      </c>
      <c r="AR37" s="100">
        <v>7</v>
      </c>
      <c r="AS37" s="100">
        <v>6022.8</v>
      </c>
      <c r="AT37" s="100">
        <v>7</v>
      </c>
      <c r="AU37" s="100">
        <v>6022.8</v>
      </c>
      <c r="AV37" s="100">
        <v>6</v>
      </c>
      <c r="AW37" s="100">
        <v>5162.3999999999996</v>
      </c>
      <c r="AX37" s="100">
        <v>9</v>
      </c>
      <c r="AY37" s="100">
        <v>7743.5999999999995</v>
      </c>
      <c r="AZ37" s="100">
        <v>8</v>
      </c>
      <c r="BA37" s="100">
        <v>6883.2</v>
      </c>
      <c r="BB37" s="100">
        <v>5</v>
      </c>
      <c r="BC37" s="100">
        <v>4302</v>
      </c>
      <c r="BD37" s="100">
        <v>8</v>
      </c>
      <c r="BE37" s="100">
        <v>6883.2</v>
      </c>
      <c r="BF37" s="100">
        <v>7</v>
      </c>
      <c r="BG37" s="100">
        <v>6022.8</v>
      </c>
      <c r="BH37" s="100">
        <v>7</v>
      </c>
      <c r="BI37" s="100">
        <v>6022.8</v>
      </c>
      <c r="BJ37" s="100">
        <v>8</v>
      </c>
      <c r="BK37" s="100">
        <v>6883.2</v>
      </c>
      <c r="BL37" s="100">
        <v>7</v>
      </c>
      <c r="BM37" s="100">
        <v>6022.8</v>
      </c>
      <c r="BN37" s="100">
        <v>8</v>
      </c>
      <c r="BO37" s="100">
        <v>6883.2</v>
      </c>
      <c r="BP37" s="100">
        <v>8</v>
      </c>
      <c r="BQ37" s="100">
        <v>6883.2</v>
      </c>
      <c r="BR37" s="100">
        <v>7</v>
      </c>
      <c r="BS37" s="100">
        <v>6022.8</v>
      </c>
      <c r="BT37" s="100">
        <v>6</v>
      </c>
      <c r="BU37" s="100">
        <v>5162.3999999999996</v>
      </c>
      <c r="BV37" s="100">
        <v>5</v>
      </c>
      <c r="BW37" s="100">
        <v>4302</v>
      </c>
      <c r="BX37" s="100">
        <v>7</v>
      </c>
      <c r="BY37" s="100">
        <v>6022.8</v>
      </c>
      <c r="BZ37" s="100">
        <v>8</v>
      </c>
      <c r="CA37" s="100">
        <v>6883.2</v>
      </c>
      <c r="CB37" s="100">
        <v>10</v>
      </c>
      <c r="CC37" s="100">
        <v>8604</v>
      </c>
      <c r="CD37" s="100">
        <v>7</v>
      </c>
      <c r="CE37" s="100">
        <v>6022.8</v>
      </c>
      <c r="CF37" s="100">
        <v>7</v>
      </c>
      <c r="CG37" s="100">
        <v>6022.8</v>
      </c>
      <c r="CH37" s="100">
        <v>8</v>
      </c>
      <c r="CI37" s="100">
        <v>6883.2</v>
      </c>
      <c r="CJ37" s="100">
        <v>7</v>
      </c>
      <c r="CK37" s="100">
        <v>6022.8</v>
      </c>
      <c r="CL37" s="100">
        <v>5</v>
      </c>
      <c r="CM37" s="100">
        <v>4302</v>
      </c>
      <c r="CN37" s="100">
        <v>9</v>
      </c>
      <c r="CO37" s="100">
        <v>7743.5999999999995</v>
      </c>
      <c r="CP37" s="100">
        <v>7</v>
      </c>
      <c r="CQ37" s="100">
        <v>6022.8</v>
      </c>
      <c r="CR37" s="100">
        <v>7</v>
      </c>
      <c r="CS37" s="100">
        <v>6022.8</v>
      </c>
      <c r="CT37" s="100">
        <v>8</v>
      </c>
      <c r="CU37" s="100">
        <v>6883.2</v>
      </c>
    </row>
    <row r="38" spans="2:99">
      <c r="C38" s="99" t="s">
        <v>204</v>
      </c>
      <c r="D38" s="100">
        <v>4.6307856941123609</v>
      </c>
      <c r="E38" s="100">
        <v>5751.4358320875526</v>
      </c>
      <c r="F38" s="100">
        <v>5.5638232440922986</v>
      </c>
      <c r="G38" s="100">
        <v>6910.2684691626346</v>
      </c>
      <c r="H38" s="100">
        <v>1.3972630313692269</v>
      </c>
      <c r="I38" s="100">
        <v>1735.4006849605798</v>
      </c>
      <c r="J38" s="100">
        <v>3.3703466872060027E-4</v>
      </c>
      <c r="K38" s="100">
        <v>0.41859705855098556</v>
      </c>
      <c r="L38" s="100">
        <v>7</v>
      </c>
      <c r="M38" s="100">
        <v>8694</v>
      </c>
      <c r="N38" s="100">
        <v>8</v>
      </c>
      <c r="O38" s="100">
        <v>9936</v>
      </c>
      <c r="P38" s="100">
        <v>6</v>
      </c>
      <c r="Q38" s="100">
        <v>7452</v>
      </c>
      <c r="R38" s="100">
        <v>8</v>
      </c>
      <c r="S38" s="100">
        <v>9936</v>
      </c>
      <c r="T38" s="100">
        <v>5</v>
      </c>
      <c r="U38" s="100">
        <v>6210</v>
      </c>
      <c r="V38" s="100">
        <v>7.0264416216332837</v>
      </c>
      <c r="W38" s="100">
        <v>8726.8404940685377</v>
      </c>
      <c r="X38" s="100">
        <v>6.0329149817112473</v>
      </c>
      <c r="Y38" s="100">
        <v>7492.8804072853691</v>
      </c>
      <c r="Z38" s="100">
        <v>8</v>
      </c>
      <c r="AA38" s="100">
        <v>9936</v>
      </c>
      <c r="AB38" s="100">
        <v>5</v>
      </c>
      <c r="AC38" s="100">
        <v>6210</v>
      </c>
      <c r="AD38" s="100">
        <v>6</v>
      </c>
      <c r="AE38" s="100">
        <v>7452</v>
      </c>
      <c r="AF38" s="100">
        <v>6</v>
      </c>
      <c r="AG38" s="100">
        <v>7452</v>
      </c>
      <c r="AH38" s="100">
        <v>7</v>
      </c>
      <c r="AI38" s="100">
        <v>8694</v>
      </c>
      <c r="AJ38" s="100">
        <v>6</v>
      </c>
      <c r="AK38" s="100">
        <v>7452</v>
      </c>
      <c r="AL38" s="100">
        <v>8</v>
      </c>
      <c r="AM38" s="100">
        <v>9936</v>
      </c>
      <c r="AN38" s="100">
        <v>7</v>
      </c>
      <c r="AO38" s="100">
        <v>8694</v>
      </c>
      <c r="AP38" s="100">
        <v>5</v>
      </c>
      <c r="AQ38" s="100">
        <v>6210</v>
      </c>
      <c r="AR38" s="100">
        <v>6</v>
      </c>
      <c r="AS38" s="100">
        <v>7452</v>
      </c>
      <c r="AT38" s="100">
        <v>8</v>
      </c>
      <c r="AU38" s="100">
        <v>9936</v>
      </c>
      <c r="AV38" s="100">
        <v>5</v>
      </c>
      <c r="AW38" s="100">
        <v>6210</v>
      </c>
      <c r="AX38" s="100">
        <v>8</v>
      </c>
      <c r="AY38" s="100">
        <v>9936</v>
      </c>
      <c r="AZ38" s="100">
        <v>7</v>
      </c>
      <c r="BA38" s="100">
        <v>8694</v>
      </c>
      <c r="BB38" s="100">
        <v>5</v>
      </c>
      <c r="BC38" s="100">
        <v>6210</v>
      </c>
      <c r="BD38" s="100">
        <v>9</v>
      </c>
      <c r="BE38" s="100">
        <v>11178</v>
      </c>
      <c r="BF38" s="100">
        <v>6</v>
      </c>
      <c r="BG38" s="100">
        <v>7452</v>
      </c>
      <c r="BH38" s="100">
        <v>8</v>
      </c>
      <c r="BI38" s="100">
        <v>9936</v>
      </c>
      <c r="BJ38" s="100">
        <v>9</v>
      </c>
      <c r="BK38" s="100">
        <v>11178</v>
      </c>
      <c r="BL38" s="100">
        <v>8</v>
      </c>
      <c r="BM38" s="100">
        <v>9936</v>
      </c>
      <c r="BN38" s="100">
        <v>8</v>
      </c>
      <c r="BO38" s="100">
        <v>9936</v>
      </c>
      <c r="BP38" s="100">
        <v>8</v>
      </c>
      <c r="BQ38" s="100">
        <v>9936</v>
      </c>
      <c r="BR38" s="100">
        <v>7</v>
      </c>
      <c r="BS38" s="100">
        <v>8694</v>
      </c>
      <c r="BT38" s="100">
        <v>5</v>
      </c>
      <c r="BU38" s="100">
        <v>6210</v>
      </c>
      <c r="BV38" s="100">
        <v>5</v>
      </c>
      <c r="BW38" s="100">
        <v>6210</v>
      </c>
      <c r="BX38" s="100">
        <v>7</v>
      </c>
      <c r="BY38" s="100">
        <v>8694</v>
      </c>
      <c r="BZ38" s="100">
        <v>9</v>
      </c>
      <c r="CA38" s="100">
        <v>11178</v>
      </c>
      <c r="CB38" s="100">
        <v>9</v>
      </c>
      <c r="CC38" s="100">
        <v>11178</v>
      </c>
      <c r="CD38" s="100">
        <v>7</v>
      </c>
      <c r="CE38" s="100">
        <v>8694</v>
      </c>
      <c r="CF38" s="100">
        <v>6</v>
      </c>
      <c r="CG38" s="100">
        <v>7452</v>
      </c>
      <c r="CH38" s="100">
        <v>8</v>
      </c>
      <c r="CI38" s="100">
        <v>9936</v>
      </c>
      <c r="CJ38" s="100">
        <v>8</v>
      </c>
      <c r="CK38" s="100">
        <v>9936</v>
      </c>
      <c r="CL38" s="100">
        <v>5</v>
      </c>
      <c r="CM38" s="100">
        <v>6210</v>
      </c>
      <c r="CN38" s="100">
        <v>10</v>
      </c>
      <c r="CO38" s="100">
        <v>12420</v>
      </c>
      <c r="CP38" s="100">
        <v>7</v>
      </c>
      <c r="CQ38" s="100">
        <v>8694</v>
      </c>
      <c r="CR38" s="100">
        <v>7</v>
      </c>
      <c r="CS38" s="100">
        <v>8694</v>
      </c>
      <c r="CT38" s="100">
        <v>7</v>
      </c>
      <c r="CU38" s="100">
        <v>8694</v>
      </c>
    </row>
    <row r="39" spans="2:99">
      <c r="C39" s="99" t="s">
        <v>205</v>
      </c>
      <c r="D39" s="100">
        <v>4.6307856941123609</v>
      </c>
      <c r="E39" s="100">
        <v>6590.5341998607119</v>
      </c>
      <c r="F39" s="100">
        <v>5.605534018854299</v>
      </c>
      <c r="G39" s="100">
        <v>7977.7960156334384</v>
      </c>
      <c r="H39" s="100">
        <v>1.7465787892115336</v>
      </c>
      <c r="I39" s="100">
        <v>2485.7309328058545</v>
      </c>
      <c r="J39" s="100">
        <v>2.6962773497648022E-4</v>
      </c>
      <c r="K39" s="100">
        <v>0.38373419241852663</v>
      </c>
      <c r="L39" s="100">
        <v>7</v>
      </c>
      <c r="M39" s="100">
        <v>9962.4</v>
      </c>
      <c r="N39" s="100">
        <v>8</v>
      </c>
      <c r="O39" s="100">
        <v>11385.6</v>
      </c>
      <c r="P39" s="100">
        <v>5</v>
      </c>
      <c r="Q39" s="100">
        <v>7116</v>
      </c>
      <c r="R39" s="100">
        <v>8</v>
      </c>
      <c r="S39" s="100">
        <v>11385.6</v>
      </c>
      <c r="T39" s="100">
        <v>5</v>
      </c>
      <c r="U39" s="100">
        <v>7116</v>
      </c>
      <c r="V39" s="100">
        <v>6.0264416216332837</v>
      </c>
      <c r="W39" s="100">
        <v>8576.8317159084891</v>
      </c>
      <c r="X39" s="100">
        <v>5.027851138371056</v>
      </c>
      <c r="Y39" s="100">
        <v>7155.6377401296868</v>
      </c>
      <c r="Z39" s="100">
        <v>9</v>
      </c>
      <c r="AA39" s="100">
        <v>12808.800000000001</v>
      </c>
      <c r="AB39" s="100">
        <v>5</v>
      </c>
      <c r="AC39" s="100">
        <v>7116</v>
      </c>
      <c r="AD39" s="100">
        <v>6</v>
      </c>
      <c r="AE39" s="100">
        <v>8539.2000000000007</v>
      </c>
      <c r="AF39" s="100">
        <v>6</v>
      </c>
      <c r="AG39" s="100">
        <v>8539.2000000000007</v>
      </c>
      <c r="AH39" s="100">
        <v>7</v>
      </c>
      <c r="AI39" s="100">
        <v>9962.4</v>
      </c>
      <c r="AJ39" s="100">
        <v>6</v>
      </c>
      <c r="AK39" s="100">
        <v>8539.2000000000007</v>
      </c>
      <c r="AL39" s="100">
        <v>8</v>
      </c>
      <c r="AM39" s="100">
        <v>11385.6</v>
      </c>
      <c r="AN39" s="100">
        <v>6</v>
      </c>
      <c r="AO39" s="100">
        <v>8539.2000000000007</v>
      </c>
      <c r="AP39" s="100">
        <v>4</v>
      </c>
      <c r="AQ39" s="100">
        <v>5692.8</v>
      </c>
      <c r="AR39" s="100">
        <v>6</v>
      </c>
      <c r="AS39" s="100">
        <v>8539.2000000000007</v>
      </c>
      <c r="AT39" s="100">
        <v>7</v>
      </c>
      <c r="AU39" s="100">
        <v>9962.4</v>
      </c>
      <c r="AV39" s="100">
        <v>5</v>
      </c>
      <c r="AW39" s="100">
        <v>7116</v>
      </c>
      <c r="AX39" s="100">
        <v>8</v>
      </c>
      <c r="AY39" s="100">
        <v>11385.6</v>
      </c>
      <c r="AZ39" s="100">
        <v>7</v>
      </c>
      <c r="BA39" s="100">
        <v>9962.4</v>
      </c>
      <c r="BB39" s="100">
        <v>5</v>
      </c>
      <c r="BC39" s="100">
        <v>7116</v>
      </c>
      <c r="BD39" s="100">
        <v>8</v>
      </c>
      <c r="BE39" s="100">
        <v>11385.6</v>
      </c>
      <c r="BF39" s="100">
        <v>6</v>
      </c>
      <c r="BG39" s="100">
        <v>8539.2000000000007</v>
      </c>
      <c r="BH39" s="100">
        <v>7</v>
      </c>
      <c r="BI39" s="100">
        <v>9962.4</v>
      </c>
      <c r="BJ39" s="100">
        <v>9</v>
      </c>
      <c r="BK39" s="100">
        <v>12808.800000000001</v>
      </c>
      <c r="BL39" s="100">
        <v>7</v>
      </c>
      <c r="BM39" s="100">
        <v>9962.4</v>
      </c>
      <c r="BN39" s="100">
        <v>9</v>
      </c>
      <c r="BO39" s="100">
        <v>12808.800000000001</v>
      </c>
      <c r="BP39" s="100">
        <v>7</v>
      </c>
      <c r="BQ39" s="100">
        <v>9962.4</v>
      </c>
      <c r="BR39" s="100">
        <v>7</v>
      </c>
      <c r="BS39" s="100">
        <v>9962.4</v>
      </c>
      <c r="BT39" s="100">
        <v>5</v>
      </c>
      <c r="BU39" s="100">
        <v>7116</v>
      </c>
      <c r="BV39" s="100">
        <v>5</v>
      </c>
      <c r="BW39" s="100">
        <v>7116</v>
      </c>
      <c r="BX39" s="100">
        <v>8</v>
      </c>
      <c r="BY39" s="100">
        <v>11385.6</v>
      </c>
      <c r="BZ39" s="100">
        <v>8</v>
      </c>
      <c r="CA39" s="100">
        <v>11385.6</v>
      </c>
      <c r="CB39" s="100">
        <v>10</v>
      </c>
      <c r="CC39" s="100">
        <v>14232</v>
      </c>
      <c r="CD39" s="100">
        <v>8</v>
      </c>
      <c r="CE39" s="100">
        <v>11385.6</v>
      </c>
      <c r="CF39" s="100">
        <v>6</v>
      </c>
      <c r="CG39" s="100">
        <v>8539.2000000000007</v>
      </c>
      <c r="CH39" s="100">
        <v>8</v>
      </c>
      <c r="CI39" s="100">
        <v>11385.6</v>
      </c>
      <c r="CJ39" s="100">
        <v>7</v>
      </c>
      <c r="CK39" s="100">
        <v>9962.4</v>
      </c>
      <c r="CL39" s="100">
        <v>5</v>
      </c>
      <c r="CM39" s="100">
        <v>7116</v>
      </c>
      <c r="CN39" s="100">
        <v>10</v>
      </c>
      <c r="CO39" s="100">
        <v>14232</v>
      </c>
      <c r="CP39" s="100">
        <v>8</v>
      </c>
      <c r="CQ39" s="100">
        <v>11385.6</v>
      </c>
      <c r="CR39" s="100">
        <v>7</v>
      </c>
      <c r="CS39" s="100">
        <v>9962.4</v>
      </c>
      <c r="CT39" s="100">
        <v>8</v>
      </c>
      <c r="CU39" s="100">
        <v>11385.6</v>
      </c>
    </row>
    <row r="40" spans="2:99">
      <c r="C40" s="99" t="s">
        <v>206</v>
      </c>
      <c r="D40" s="100">
        <v>5.5569428329348334</v>
      </c>
      <c r="E40" s="100">
        <v>4027.6721653111672</v>
      </c>
      <c r="F40" s="100">
        <v>5.5638232440922986</v>
      </c>
      <c r="G40" s="100">
        <v>4032.6590873180976</v>
      </c>
      <c r="H40" s="100">
        <v>1.7465787892115336</v>
      </c>
      <c r="I40" s="100">
        <v>1265.9203064205194</v>
      </c>
      <c r="J40" s="100">
        <v>3.3703466872060027E-4</v>
      </c>
      <c r="K40" s="100">
        <v>0.24428272788869107</v>
      </c>
      <c r="L40" s="100">
        <v>7</v>
      </c>
      <c r="M40" s="100">
        <v>5073.5999999999995</v>
      </c>
      <c r="N40" s="100">
        <v>7</v>
      </c>
      <c r="O40" s="100">
        <v>5073.5999999999995</v>
      </c>
      <c r="P40" s="100">
        <v>6</v>
      </c>
      <c r="Q40" s="100">
        <v>4348.7999999999993</v>
      </c>
      <c r="R40" s="100">
        <v>8</v>
      </c>
      <c r="S40" s="100">
        <v>5798.4</v>
      </c>
      <c r="T40" s="100">
        <v>5</v>
      </c>
      <c r="U40" s="100">
        <v>3624</v>
      </c>
      <c r="V40" s="100">
        <v>7.0264416216332837</v>
      </c>
      <c r="W40" s="100">
        <v>5092.7648873598037</v>
      </c>
      <c r="X40" s="100">
        <v>5.0303830600411512</v>
      </c>
      <c r="Y40" s="100">
        <v>3646.0216419178259</v>
      </c>
      <c r="Z40" s="100">
        <v>10</v>
      </c>
      <c r="AA40" s="100">
        <v>7248</v>
      </c>
      <c r="AB40" s="100">
        <v>5</v>
      </c>
      <c r="AC40" s="100">
        <v>3624</v>
      </c>
      <c r="AD40" s="100">
        <v>6</v>
      </c>
      <c r="AE40" s="100">
        <v>4348.7999999999993</v>
      </c>
      <c r="AF40" s="100">
        <v>6</v>
      </c>
      <c r="AG40" s="100">
        <v>4348.7999999999993</v>
      </c>
      <c r="AH40" s="100">
        <v>8</v>
      </c>
      <c r="AI40" s="100">
        <v>5798.4</v>
      </c>
      <c r="AJ40" s="100">
        <v>6</v>
      </c>
      <c r="AK40" s="100">
        <v>4348.7999999999993</v>
      </c>
      <c r="AL40" s="100">
        <v>8</v>
      </c>
      <c r="AM40" s="100">
        <v>5798.4</v>
      </c>
      <c r="AN40" s="100">
        <v>7</v>
      </c>
      <c r="AO40" s="100">
        <v>5073.5999999999995</v>
      </c>
      <c r="AP40" s="100">
        <v>5</v>
      </c>
      <c r="AQ40" s="100">
        <v>3624</v>
      </c>
      <c r="AR40" s="100">
        <v>6</v>
      </c>
      <c r="AS40" s="100">
        <v>4348.7999999999993</v>
      </c>
      <c r="AT40" s="100">
        <v>8</v>
      </c>
      <c r="AU40" s="100">
        <v>5798.4</v>
      </c>
      <c r="AV40" s="100">
        <v>5</v>
      </c>
      <c r="AW40" s="100">
        <v>3624</v>
      </c>
      <c r="AX40" s="100">
        <v>9</v>
      </c>
      <c r="AY40" s="100">
        <v>6523.2</v>
      </c>
      <c r="AZ40" s="100">
        <v>8</v>
      </c>
      <c r="BA40" s="100">
        <v>5798.4</v>
      </c>
      <c r="BB40" s="100">
        <v>5</v>
      </c>
      <c r="BC40" s="100">
        <v>3624</v>
      </c>
      <c r="BD40" s="100">
        <v>10</v>
      </c>
      <c r="BE40" s="100">
        <v>7248</v>
      </c>
      <c r="BF40" s="100">
        <v>6</v>
      </c>
      <c r="BG40" s="100">
        <v>4348.7999999999993</v>
      </c>
      <c r="BH40" s="100">
        <v>7</v>
      </c>
      <c r="BI40" s="100">
        <v>5073.5999999999995</v>
      </c>
      <c r="BJ40" s="100">
        <v>9</v>
      </c>
      <c r="BK40" s="100">
        <v>6523.2</v>
      </c>
      <c r="BL40" s="100">
        <v>7</v>
      </c>
      <c r="BM40" s="100">
        <v>5073.5999999999995</v>
      </c>
      <c r="BN40" s="100">
        <v>8</v>
      </c>
      <c r="BO40" s="100">
        <v>5798.4</v>
      </c>
      <c r="BP40" s="100">
        <v>7</v>
      </c>
      <c r="BQ40" s="100">
        <v>5073.5999999999995</v>
      </c>
      <c r="BR40" s="100">
        <v>7</v>
      </c>
      <c r="BS40" s="100">
        <v>5073.5999999999995</v>
      </c>
      <c r="BT40" s="100">
        <v>5</v>
      </c>
      <c r="BU40" s="100">
        <v>3624</v>
      </c>
      <c r="BV40" s="100">
        <v>5</v>
      </c>
      <c r="BW40" s="100">
        <v>3624</v>
      </c>
      <c r="BX40" s="100">
        <v>7</v>
      </c>
      <c r="BY40" s="100">
        <v>5073.5999999999995</v>
      </c>
      <c r="BZ40" s="100">
        <v>8</v>
      </c>
      <c r="CA40" s="100">
        <v>5798.4</v>
      </c>
      <c r="CB40" s="100">
        <v>9</v>
      </c>
      <c r="CC40" s="100">
        <v>6523.2</v>
      </c>
      <c r="CD40" s="100">
        <v>7</v>
      </c>
      <c r="CE40" s="100">
        <v>5073.5999999999995</v>
      </c>
      <c r="CF40" s="100">
        <v>7</v>
      </c>
      <c r="CG40" s="100">
        <v>5073.5999999999995</v>
      </c>
      <c r="CH40" s="100">
        <v>8</v>
      </c>
      <c r="CI40" s="100">
        <v>5798.4</v>
      </c>
      <c r="CJ40" s="100">
        <v>7</v>
      </c>
      <c r="CK40" s="100">
        <v>5073.5999999999995</v>
      </c>
      <c r="CL40" s="100">
        <v>5</v>
      </c>
      <c r="CM40" s="100">
        <v>3624</v>
      </c>
      <c r="CN40" s="100">
        <v>9</v>
      </c>
      <c r="CO40" s="100">
        <v>6523.2</v>
      </c>
      <c r="CP40" s="100">
        <v>8</v>
      </c>
      <c r="CQ40" s="100">
        <v>5798.4</v>
      </c>
      <c r="CR40" s="100">
        <v>7</v>
      </c>
      <c r="CS40" s="100">
        <v>5073.5999999999995</v>
      </c>
      <c r="CT40" s="100">
        <v>8</v>
      </c>
      <c r="CU40" s="100">
        <v>5798.4</v>
      </c>
    </row>
    <row r="41" spans="2:99">
      <c r="C41" s="99" t="s">
        <v>207</v>
      </c>
      <c r="D41" s="100">
        <v>5.5569428329348334</v>
      </c>
      <c r="E41" s="100">
        <v>3667.5822697369899</v>
      </c>
      <c r="F41" s="100">
        <v>5.605534018854299</v>
      </c>
      <c r="G41" s="100">
        <v>3699.6524524438373</v>
      </c>
      <c r="H41" s="100">
        <v>1.7465787892115336</v>
      </c>
      <c r="I41" s="100">
        <v>1152.7420008796123</v>
      </c>
      <c r="J41" s="100">
        <v>3.3703466872060027E-4</v>
      </c>
      <c r="K41" s="100">
        <v>0.22244288135559617</v>
      </c>
      <c r="L41" s="100">
        <v>7</v>
      </c>
      <c r="M41" s="100">
        <v>4620</v>
      </c>
      <c r="N41" s="100">
        <v>8</v>
      </c>
      <c r="O41" s="100">
        <v>5280</v>
      </c>
      <c r="P41" s="100">
        <v>6</v>
      </c>
      <c r="Q41" s="100">
        <v>3960</v>
      </c>
      <c r="R41" s="100">
        <v>8</v>
      </c>
      <c r="S41" s="100">
        <v>5280</v>
      </c>
      <c r="T41" s="100">
        <v>5</v>
      </c>
      <c r="U41" s="100">
        <v>3300</v>
      </c>
      <c r="V41" s="100">
        <v>6.0264416216332837</v>
      </c>
      <c r="W41" s="100">
        <v>3977.451470277967</v>
      </c>
      <c r="X41" s="100">
        <v>5.0303830600411512</v>
      </c>
      <c r="Y41" s="100">
        <v>3320.0528196271598</v>
      </c>
      <c r="Z41" s="100">
        <v>9</v>
      </c>
      <c r="AA41" s="100">
        <v>5940</v>
      </c>
      <c r="AB41" s="100">
        <v>6</v>
      </c>
      <c r="AC41" s="100">
        <v>3960</v>
      </c>
      <c r="AD41" s="100">
        <v>6</v>
      </c>
      <c r="AE41" s="100">
        <v>3960</v>
      </c>
      <c r="AF41" s="100">
        <v>7</v>
      </c>
      <c r="AG41" s="100">
        <v>4620</v>
      </c>
      <c r="AH41" s="100">
        <v>8</v>
      </c>
      <c r="AI41" s="100">
        <v>5280</v>
      </c>
      <c r="AJ41" s="100">
        <v>6</v>
      </c>
      <c r="AK41" s="100">
        <v>3960</v>
      </c>
      <c r="AL41" s="100">
        <v>8</v>
      </c>
      <c r="AM41" s="100">
        <v>5280</v>
      </c>
      <c r="AN41" s="100">
        <v>7</v>
      </c>
      <c r="AO41" s="100">
        <v>4620</v>
      </c>
      <c r="AP41" s="100">
        <v>5</v>
      </c>
      <c r="AQ41" s="100">
        <v>3300</v>
      </c>
      <c r="AR41" s="100">
        <v>7</v>
      </c>
      <c r="AS41" s="100">
        <v>4620</v>
      </c>
      <c r="AT41" s="100">
        <v>7</v>
      </c>
      <c r="AU41" s="100">
        <v>4620</v>
      </c>
      <c r="AV41" s="100">
        <v>6</v>
      </c>
      <c r="AW41" s="100">
        <v>3960</v>
      </c>
      <c r="AX41" s="100">
        <v>9</v>
      </c>
      <c r="AY41" s="100">
        <v>5940</v>
      </c>
      <c r="AZ41" s="100">
        <v>7</v>
      </c>
      <c r="BA41" s="100">
        <v>4620</v>
      </c>
      <c r="BB41" s="100">
        <v>5</v>
      </c>
      <c r="BC41" s="100">
        <v>3300</v>
      </c>
      <c r="BD41" s="100">
        <v>10</v>
      </c>
      <c r="BE41" s="100">
        <v>6600</v>
      </c>
      <c r="BF41" s="100">
        <v>6</v>
      </c>
      <c r="BG41" s="100">
        <v>3960</v>
      </c>
      <c r="BH41" s="100">
        <v>7</v>
      </c>
      <c r="BI41" s="100">
        <v>4620</v>
      </c>
      <c r="BJ41" s="100">
        <v>9</v>
      </c>
      <c r="BK41" s="100">
        <v>5940</v>
      </c>
      <c r="BL41" s="100">
        <v>7</v>
      </c>
      <c r="BM41" s="100">
        <v>4620</v>
      </c>
      <c r="BN41" s="100">
        <v>8</v>
      </c>
      <c r="BO41" s="100">
        <v>5280</v>
      </c>
      <c r="BP41" s="100">
        <v>7</v>
      </c>
      <c r="BQ41" s="100">
        <v>4620</v>
      </c>
      <c r="BR41" s="100">
        <v>8</v>
      </c>
      <c r="BS41" s="100">
        <v>5280</v>
      </c>
      <c r="BT41" s="100">
        <v>6</v>
      </c>
      <c r="BU41" s="100">
        <v>3960</v>
      </c>
      <c r="BV41" s="100">
        <v>6</v>
      </c>
      <c r="BW41" s="100">
        <v>3960</v>
      </c>
      <c r="BX41" s="100">
        <v>8</v>
      </c>
      <c r="BY41" s="100">
        <v>5280</v>
      </c>
      <c r="BZ41" s="100">
        <v>8</v>
      </c>
      <c r="CA41" s="100">
        <v>5280</v>
      </c>
      <c r="CB41" s="100">
        <v>10</v>
      </c>
      <c r="CC41" s="100">
        <v>6600</v>
      </c>
      <c r="CD41" s="100">
        <v>8</v>
      </c>
      <c r="CE41" s="100">
        <v>5280</v>
      </c>
      <c r="CF41" s="100">
        <v>7</v>
      </c>
      <c r="CG41" s="100">
        <v>4620</v>
      </c>
      <c r="CH41" s="100">
        <v>8</v>
      </c>
      <c r="CI41" s="100">
        <v>5280</v>
      </c>
      <c r="CJ41" s="100">
        <v>8</v>
      </c>
      <c r="CK41" s="100">
        <v>5280</v>
      </c>
      <c r="CL41" s="100">
        <v>6</v>
      </c>
      <c r="CM41" s="100">
        <v>3960</v>
      </c>
      <c r="CN41" s="100">
        <v>9</v>
      </c>
      <c r="CO41" s="100">
        <v>5940</v>
      </c>
      <c r="CP41" s="100">
        <v>8</v>
      </c>
      <c r="CQ41" s="100">
        <v>5280</v>
      </c>
      <c r="CR41" s="100">
        <v>7</v>
      </c>
      <c r="CS41" s="100">
        <v>4620</v>
      </c>
      <c r="CT41" s="100">
        <v>8</v>
      </c>
      <c r="CU41" s="100">
        <v>5280</v>
      </c>
    </row>
    <row r="42" spans="2:99">
      <c r="C42" s="99" t="s">
        <v>208</v>
      </c>
      <c r="D42" s="100">
        <v>5.5569428329348334</v>
      </c>
      <c r="E42" s="100">
        <v>4701.1736366628693</v>
      </c>
      <c r="F42" s="100">
        <v>4.7129891238072492</v>
      </c>
      <c r="G42" s="100">
        <v>3987.1887987409327</v>
      </c>
      <c r="H42" s="100">
        <v>1.7465787892115336</v>
      </c>
      <c r="I42" s="100">
        <v>1477.6056556729575</v>
      </c>
      <c r="J42" s="100">
        <v>3.3703466872060027E-4</v>
      </c>
      <c r="K42" s="100">
        <v>0.28513132973762784</v>
      </c>
      <c r="L42" s="100">
        <v>8</v>
      </c>
      <c r="M42" s="100">
        <v>6768</v>
      </c>
      <c r="N42" s="100">
        <v>7</v>
      </c>
      <c r="O42" s="100">
        <v>5922</v>
      </c>
      <c r="P42" s="100">
        <v>6</v>
      </c>
      <c r="Q42" s="100">
        <v>5076</v>
      </c>
      <c r="R42" s="100">
        <v>9</v>
      </c>
      <c r="S42" s="100">
        <v>7614</v>
      </c>
      <c r="T42" s="100">
        <v>5</v>
      </c>
      <c r="U42" s="100">
        <v>4230</v>
      </c>
      <c r="V42" s="100">
        <v>6.0264416216332837</v>
      </c>
      <c r="W42" s="100">
        <v>5098.3696119017577</v>
      </c>
      <c r="X42" s="100">
        <v>5.0329149817112473</v>
      </c>
      <c r="Y42" s="100">
        <v>4257.8460745277152</v>
      </c>
      <c r="Z42" s="100">
        <v>9</v>
      </c>
      <c r="AA42" s="100">
        <v>7614</v>
      </c>
      <c r="AB42" s="100">
        <v>5</v>
      </c>
      <c r="AC42" s="100">
        <v>4230</v>
      </c>
      <c r="AD42" s="100">
        <v>5</v>
      </c>
      <c r="AE42" s="100">
        <v>4230</v>
      </c>
      <c r="AF42" s="100">
        <v>6</v>
      </c>
      <c r="AG42" s="100">
        <v>5076</v>
      </c>
      <c r="AH42" s="100">
        <v>7</v>
      </c>
      <c r="AI42" s="100">
        <v>5922</v>
      </c>
      <c r="AJ42" s="100">
        <v>6</v>
      </c>
      <c r="AK42" s="100">
        <v>5076</v>
      </c>
      <c r="AL42" s="100">
        <v>8</v>
      </c>
      <c r="AM42" s="100">
        <v>6768</v>
      </c>
      <c r="AN42" s="100">
        <v>7</v>
      </c>
      <c r="AO42" s="100">
        <v>5922</v>
      </c>
      <c r="AP42" s="100">
        <v>5</v>
      </c>
      <c r="AQ42" s="100">
        <v>4230</v>
      </c>
      <c r="AR42" s="100">
        <v>6</v>
      </c>
      <c r="AS42" s="100">
        <v>5076</v>
      </c>
      <c r="AT42" s="100">
        <v>7</v>
      </c>
      <c r="AU42" s="100">
        <v>5922</v>
      </c>
      <c r="AV42" s="100">
        <v>5</v>
      </c>
      <c r="AW42" s="100">
        <v>4230</v>
      </c>
      <c r="AX42" s="100">
        <v>10</v>
      </c>
      <c r="AY42" s="100">
        <v>8460</v>
      </c>
      <c r="AZ42" s="100">
        <v>8</v>
      </c>
      <c r="BA42" s="100">
        <v>6768</v>
      </c>
      <c r="BB42" s="100">
        <v>5</v>
      </c>
      <c r="BC42" s="100">
        <v>4230</v>
      </c>
      <c r="BD42" s="100">
        <v>9</v>
      </c>
      <c r="BE42" s="100">
        <v>7614</v>
      </c>
      <c r="BF42" s="100">
        <v>6</v>
      </c>
      <c r="BG42" s="100">
        <v>5076</v>
      </c>
      <c r="BH42" s="100">
        <v>7</v>
      </c>
      <c r="BI42" s="100">
        <v>5922</v>
      </c>
      <c r="BJ42" s="100">
        <v>8</v>
      </c>
      <c r="BK42" s="100">
        <v>6768</v>
      </c>
      <c r="BL42" s="100">
        <v>8</v>
      </c>
      <c r="BM42" s="100">
        <v>6768</v>
      </c>
      <c r="BN42" s="100">
        <v>9</v>
      </c>
      <c r="BO42" s="100">
        <v>7614</v>
      </c>
      <c r="BP42" s="100">
        <v>7</v>
      </c>
      <c r="BQ42" s="100">
        <v>5922</v>
      </c>
      <c r="BR42" s="100">
        <v>8</v>
      </c>
      <c r="BS42" s="100">
        <v>6768</v>
      </c>
      <c r="BT42" s="100">
        <v>5</v>
      </c>
      <c r="BU42" s="100">
        <v>4230</v>
      </c>
      <c r="BV42" s="100">
        <v>5</v>
      </c>
      <c r="BW42" s="100">
        <v>4230</v>
      </c>
      <c r="BX42" s="100">
        <v>8</v>
      </c>
      <c r="BY42" s="100">
        <v>6768</v>
      </c>
      <c r="BZ42" s="100">
        <v>8</v>
      </c>
      <c r="CA42" s="100">
        <v>6768</v>
      </c>
      <c r="CB42" s="100">
        <v>9</v>
      </c>
      <c r="CC42" s="100">
        <v>7614</v>
      </c>
      <c r="CD42" s="100">
        <v>7</v>
      </c>
      <c r="CE42" s="100">
        <v>5922</v>
      </c>
      <c r="CF42" s="100">
        <v>6</v>
      </c>
      <c r="CG42" s="100">
        <v>5076</v>
      </c>
      <c r="CH42" s="100">
        <v>8</v>
      </c>
      <c r="CI42" s="100">
        <v>6768</v>
      </c>
      <c r="CJ42" s="100">
        <v>7</v>
      </c>
      <c r="CK42" s="100">
        <v>5922</v>
      </c>
      <c r="CL42" s="100">
        <v>5</v>
      </c>
      <c r="CM42" s="100">
        <v>4230</v>
      </c>
      <c r="CN42" s="100">
        <v>10</v>
      </c>
      <c r="CO42" s="100">
        <v>8460</v>
      </c>
      <c r="CP42" s="100">
        <v>7</v>
      </c>
      <c r="CQ42" s="100">
        <v>5922</v>
      </c>
      <c r="CR42" s="100">
        <v>7</v>
      </c>
      <c r="CS42" s="100">
        <v>5922</v>
      </c>
      <c r="CT42" s="100">
        <v>8</v>
      </c>
      <c r="CU42" s="100">
        <v>6768</v>
      </c>
    </row>
    <row r="43" spans="2:99">
      <c r="C43" s="99" t="s">
        <v>209</v>
      </c>
      <c r="D43" s="100">
        <v>5.5569428329348334</v>
      </c>
      <c r="E43" s="100">
        <v>5681.4183523925731</v>
      </c>
      <c r="F43" s="100">
        <v>4.7129891238072492</v>
      </c>
      <c r="G43" s="100">
        <v>4818.5600801805313</v>
      </c>
      <c r="H43" s="100">
        <v>1.7465787892115336</v>
      </c>
      <c r="I43" s="100">
        <v>1785.702154089872</v>
      </c>
      <c r="J43" s="100">
        <v>3.3703466872060027E-4</v>
      </c>
      <c r="K43" s="100">
        <v>0.34458424529994169</v>
      </c>
      <c r="L43" s="100">
        <v>7</v>
      </c>
      <c r="M43" s="100">
        <v>7156.8</v>
      </c>
      <c r="N43" s="100">
        <v>8</v>
      </c>
      <c r="O43" s="100">
        <v>8179.2</v>
      </c>
      <c r="P43" s="100">
        <v>5</v>
      </c>
      <c r="Q43" s="100">
        <v>5112</v>
      </c>
      <c r="R43" s="100">
        <v>9</v>
      </c>
      <c r="S43" s="100">
        <v>9201.6</v>
      </c>
      <c r="T43" s="100">
        <v>5</v>
      </c>
      <c r="U43" s="100">
        <v>5112</v>
      </c>
      <c r="V43" s="100">
        <v>6.0264416216332837</v>
      </c>
      <c r="W43" s="100">
        <v>6161.4339139578688</v>
      </c>
      <c r="X43" s="100">
        <v>5.0303830600411512</v>
      </c>
      <c r="Y43" s="100">
        <v>5143.0636405860732</v>
      </c>
      <c r="Z43" s="100">
        <v>9</v>
      </c>
      <c r="AA43" s="100">
        <v>9201.6</v>
      </c>
      <c r="AB43" s="100">
        <v>5</v>
      </c>
      <c r="AC43" s="100">
        <v>5112</v>
      </c>
      <c r="AD43" s="100">
        <v>6</v>
      </c>
      <c r="AE43" s="100">
        <v>6134.4</v>
      </c>
      <c r="AF43" s="100">
        <v>6</v>
      </c>
      <c r="AG43" s="100">
        <v>6134.4</v>
      </c>
      <c r="AH43" s="100">
        <v>7</v>
      </c>
      <c r="AI43" s="100">
        <v>7156.8</v>
      </c>
      <c r="AJ43" s="100">
        <v>6</v>
      </c>
      <c r="AK43" s="100">
        <v>6134.4</v>
      </c>
      <c r="AL43" s="100">
        <v>7</v>
      </c>
      <c r="AM43" s="100">
        <v>7156.8</v>
      </c>
      <c r="AN43" s="100">
        <v>7</v>
      </c>
      <c r="AO43" s="100">
        <v>7156.8</v>
      </c>
      <c r="AP43" s="100">
        <v>4</v>
      </c>
      <c r="AQ43" s="100">
        <v>4089.6</v>
      </c>
      <c r="AR43" s="100">
        <v>6</v>
      </c>
      <c r="AS43" s="100">
        <v>6134.4</v>
      </c>
      <c r="AT43" s="100">
        <v>7</v>
      </c>
      <c r="AU43" s="100">
        <v>7156.8</v>
      </c>
      <c r="AV43" s="100">
        <v>6</v>
      </c>
      <c r="AW43" s="100">
        <v>6134.4</v>
      </c>
      <c r="AX43" s="100">
        <v>9</v>
      </c>
      <c r="AY43" s="100">
        <v>9201.6</v>
      </c>
      <c r="AZ43" s="100">
        <v>7</v>
      </c>
      <c r="BA43" s="100">
        <v>7156.8</v>
      </c>
      <c r="BB43" s="100">
        <v>5</v>
      </c>
      <c r="BC43" s="100">
        <v>5112</v>
      </c>
      <c r="BD43" s="100">
        <v>9</v>
      </c>
      <c r="BE43" s="100">
        <v>9201.6</v>
      </c>
      <c r="BF43" s="100">
        <v>6</v>
      </c>
      <c r="BG43" s="100">
        <v>6134.4</v>
      </c>
      <c r="BH43" s="100">
        <v>7</v>
      </c>
      <c r="BI43" s="100">
        <v>7156.8</v>
      </c>
      <c r="BJ43" s="100">
        <v>9</v>
      </c>
      <c r="BK43" s="100">
        <v>9201.6</v>
      </c>
      <c r="BL43" s="100">
        <v>7</v>
      </c>
      <c r="BM43" s="100">
        <v>7156.8</v>
      </c>
      <c r="BN43" s="100">
        <v>8</v>
      </c>
      <c r="BO43" s="100">
        <v>8179.2</v>
      </c>
      <c r="BP43" s="100">
        <v>8</v>
      </c>
      <c r="BQ43" s="100">
        <v>8179.2</v>
      </c>
      <c r="BR43" s="100">
        <v>8</v>
      </c>
      <c r="BS43" s="100">
        <v>8179.2</v>
      </c>
      <c r="BT43" s="100">
        <v>6</v>
      </c>
      <c r="BU43" s="100">
        <v>6134.4</v>
      </c>
      <c r="BV43" s="100">
        <v>5</v>
      </c>
      <c r="BW43" s="100">
        <v>5112</v>
      </c>
      <c r="BX43" s="100">
        <v>7</v>
      </c>
      <c r="BY43" s="100">
        <v>7156.8</v>
      </c>
      <c r="BZ43" s="100">
        <v>9</v>
      </c>
      <c r="CA43" s="100">
        <v>9201.6</v>
      </c>
      <c r="CB43" s="100">
        <v>9</v>
      </c>
      <c r="CC43" s="100">
        <v>9201.6</v>
      </c>
      <c r="CD43" s="100">
        <v>7</v>
      </c>
      <c r="CE43" s="100">
        <v>7156.8</v>
      </c>
      <c r="CF43" s="100">
        <v>6</v>
      </c>
      <c r="CG43" s="100">
        <v>6134.4</v>
      </c>
      <c r="CH43" s="100">
        <v>8</v>
      </c>
      <c r="CI43" s="100">
        <v>8179.2</v>
      </c>
      <c r="CJ43" s="100">
        <v>8</v>
      </c>
      <c r="CK43" s="100">
        <v>8179.2</v>
      </c>
      <c r="CL43" s="100">
        <v>5</v>
      </c>
      <c r="CM43" s="100">
        <v>5112</v>
      </c>
      <c r="CN43" s="100">
        <v>10</v>
      </c>
      <c r="CO43" s="100">
        <v>10224</v>
      </c>
      <c r="CP43" s="100">
        <v>7</v>
      </c>
      <c r="CQ43" s="100">
        <v>7156.8</v>
      </c>
      <c r="CR43" s="100">
        <v>6</v>
      </c>
      <c r="CS43" s="100">
        <v>6134.4</v>
      </c>
      <c r="CT43" s="100">
        <v>8</v>
      </c>
      <c r="CU43" s="100">
        <v>8179.2</v>
      </c>
    </row>
    <row r="44" spans="2:99">
      <c r="C44" s="99" t="s">
        <v>210</v>
      </c>
      <c r="D44" s="100">
        <v>5.5569428329348334</v>
      </c>
      <c r="E44" s="100">
        <v>5681.4183523925731</v>
      </c>
      <c r="F44" s="100">
        <v>4.7546998985692497</v>
      </c>
      <c r="G44" s="100">
        <v>4861.2051762972005</v>
      </c>
      <c r="H44" s="100">
        <v>1.7465787892115336</v>
      </c>
      <c r="I44" s="100">
        <v>1785.702154089872</v>
      </c>
      <c r="J44" s="100">
        <v>3.3703466872060027E-4</v>
      </c>
      <c r="K44" s="100">
        <v>0.34458424529994169</v>
      </c>
      <c r="L44" s="100">
        <v>6</v>
      </c>
      <c r="M44" s="100">
        <v>6134.4</v>
      </c>
      <c r="N44" s="100">
        <v>8</v>
      </c>
      <c r="O44" s="100">
        <v>8179.2</v>
      </c>
      <c r="P44" s="100">
        <v>5</v>
      </c>
      <c r="Q44" s="100">
        <v>5112</v>
      </c>
      <c r="R44" s="100">
        <v>9</v>
      </c>
      <c r="S44" s="100">
        <v>9201.6</v>
      </c>
      <c r="T44" s="100">
        <v>5</v>
      </c>
      <c r="U44" s="100">
        <v>5112</v>
      </c>
      <c r="V44" s="100">
        <v>6.0264416216332837</v>
      </c>
      <c r="W44" s="100">
        <v>6161.4339139578688</v>
      </c>
      <c r="X44" s="100">
        <v>5.0303830600411512</v>
      </c>
      <c r="Y44" s="100">
        <v>5143.0636405860732</v>
      </c>
      <c r="Z44" s="100">
        <v>9</v>
      </c>
      <c r="AA44" s="100">
        <v>9201.6</v>
      </c>
      <c r="AB44" s="100">
        <v>5</v>
      </c>
      <c r="AC44" s="100">
        <v>5112</v>
      </c>
      <c r="AD44" s="100">
        <v>6</v>
      </c>
      <c r="AE44" s="100">
        <v>6134.4</v>
      </c>
      <c r="AF44" s="100">
        <v>7</v>
      </c>
      <c r="AG44" s="100">
        <v>7156.8</v>
      </c>
      <c r="AH44" s="100">
        <v>8</v>
      </c>
      <c r="AI44" s="100">
        <v>8179.2</v>
      </c>
      <c r="AJ44" s="100">
        <v>6</v>
      </c>
      <c r="AK44" s="100">
        <v>6134.4</v>
      </c>
      <c r="AL44" s="100">
        <v>7</v>
      </c>
      <c r="AM44" s="100">
        <v>7156.8</v>
      </c>
      <c r="AN44" s="100">
        <v>6</v>
      </c>
      <c r="AO44" s="100">
        <v>6134.4</v>
      </c>
      <c r="AP44" s="100">
        <v>5</v>
      </c>
      <c r="AQ44" s="100">
        <v>5112</v>
      </c>
      <c r="AR44" s="100">
        <v>6</v>
      </c>
      <c r="AS44" s="100">
        <v>6134.4</v>
      </c>
      <c r="AT44" s="100">
        <v>8</v>
      </c>
      <c r="AU44" s="100">
        <v>8179.2</v>
      </c>
      <c r="AV44" s="100">
        <v>6</v>
      </c>
      <c r="AW44" s="100">
        <v>6134.4</v>
      </c>
      <c r="AX44" s="100">
        <v>8</v>
      </c>
      <c r="AY44" s="100">
        <v>8179.2</v>
      </c>
      <c r="AZ44" s="100">
        <v>7</v>
      </c>
      <c r="BA44" s="100">
        <v>7156.8</v>
      </c>
      <c r="BB44" s="100">
        <v>5</v>
      </c>
      <c r="BC44" s="100">
        <v>5112</v>
      </c>
      <c r="BD44" s="100">
        <v>9</v>
      </c>
      <c r="BE44" s="100">
        <v>9201.6</v>
      </c>
      <c r="BF44" s="100">
        <v>6</v>
      </c>
      <c r="BG44" s="100">
        <v>6134.4</v>
      </c>
      <c r="BH44" s="100">
        <v>8</v>
      </c>
      <c r="BI44" s="100">
        <v>8179.2</v>
      </c>
      <c r="BJ44" s="100">
        <v>9</v>
      </c>
      <c r="BK44" s="100">
        <v>9201.6</v>
      </c>
      <c r="BL44" s="100">
        <v>8</v>
      </c>
      <c r="BM44" s="100">
        <v>8179.2</v>
      </c>
      <c r="BN44" s="100">
        <v>8</v>
      </c>
      <c r="BO44" s="100">
        <v>8179.2</v>
      </c>
      <c r="BP44" s="100">
        <v>7</v>
      </c>
      <c r="BQ44" s="100">
        <v>7156.8</v>
      </c>
      <c r="BR44" s="100">
        <v>8</v>
      </c>
      <c r="BS44" s="100">
        <v>8179.2</v>
      </c>
      <c r="BT44" s="100">
        <v>5</v>
      </c>
      <c r="BU44" s="100">
        <v>5112</v>
      </c>
      <c r="BV44" s="100">
        <v>5</v>
      </c>
      <c r="BW44" s="100">
        <v>5112</v>
      </c>
      <c r="BX44" s="100">
        <v>7</v>
      </c>
      <c r="BY44" s="100">
        <v>7156.8</v>
      </c>
      <c r="BZ44" s="100">
        <v>9</v>
      </c>
      <c r="CA44" s="100">
        <v>9201.6</v>
      </c>
      <c r="CB44" s="100">
        <v>10</v>
      </c>
      <c r="CC44" s="100">
        <v>10224</v>
      </c>
      <c r="CD44" s="100">
        <v>7</v>
      </c>
      <c r="CE44" s="100">
        <v>7156.8</v>
      </c>
      <c r="CF44" s="100">
        <v>7</v>
      </c>
      <c r="CG44" s="100">
        <v>7156.8</v>
      </c>
      <c r="CH44" s="100">
        <v>8</v>
      </c>
      <c r="CI44" s="100">
        <v>8179.2</v>
      </c>
      <c r="CJ44" s="100">
        <v>7</v>
      </c>
      <c r="CK44" s="100">
        <v>7156.8</v>
      </c>
      <c r="CL44" s="100">
        <v>5</v>
      </c>
      <c r="CM44" s="100">
        <v>5112</v>
      </c>
      <c r="CN44" s="100">
        <v>9</v>
      </c>
      <c r="CO44" s="100">
        <v>9201.6</v>
      </c>
      <c r="CP44" s="100">
        <v>8</v>
      </c>
      <c r="CQ44" s="100">
        <v>8179.2</v>
      </c>
      <c r="CR44" s="100">
        <v>7</v>
      </c>
      <c r="CS44" s="100">
        <v>7156.8</v>
      </c>
      <c r="CT44" s="100">
        <v>8</v>
      </c>
      <c r="CU44" s="100">
        <v>8179.2</v>
      </c>
    </row>
    <row r="45" spans="2:99">
      <c r="C45" s="99" t="s">
        <v>211</v>
      </c>
      <c r="D45" s="100">
        <v>5.5569428329348334</v>
      </c>
      <c r="E45" s="100">
        <v>6941.7329869021942</v>
      </c>
      <c r="F45" s="100">
        <v>4.7129891238072492</v>
      </c>
      <c r="G45" s="100">
        <v>5887.4660134600163</v>
      </c>
      <c r="H45" s="100">
        <v>1.7465787892115336</v>
      </c>
      <c r="I45" s="100">
        <v>2181.8262234830481</v>
      </c>
      <c r="J45" s="100">
        <v>3.3703466872060027E-4</v>
      </c>
      <c r="K45" s="100">
        <v>0.42102370816577389</v>
      </c>
      <c r="L45" s="100">
        <v>7</v>
      </c>
      <c r="M45" s="100">
        <v>8744.4</v>
      </c>
      <c r="N45" s="100">
        <v>8</v>
      </c>
      <c r="O45" s="100">
        <v>9993.6</v>
      </c>
      <c r="P45" s="100">
        <v>6</v>
      </c>
      <c r="Q45" s="100">
        <v>7495.2000000000007</v>
      </c>
      <c r="R45" s="100">
        <v>9</v>
      </c>
      <c r="S45" s="100">
        <v>11242.800000000001</v>
      </c>
      <c r="T45" s="100">
        <v>5</v>
      </c>
      <c r="U45" s="100">
        <v>6246</v>
      </c>
      <c r="V45" s="100">
        <v>7.0237974594699555</v>
      </c>
      <c r="W45" s="100">
        <v>8774.1277863698688</v>
      </c>
      <c r="X45" s="100">
        <v>6.027851138371056</v>
      </c>
      <c r="Y45" s="100">
        <v>7529.9916420531235</v>
      </c>
      <c r="Z45" s="100">
        <v>8</v>
      </c>
      <c r="AA45" s="100">
        <v>9993.6</v>
      </c>
      <c r="AB45" s="100">
        <v>5</v>
      </c>
      <c r="AC45" s="100">
        <v>6246</v>
      </c>
      <c r="AD45" s="100">
        <v>6</v>
      </c>
      <c r="AE45" s="100">
        <v>7495.2000000000007</v>
      </c>
      <c r="AF45" s="100">
        <v>6</v>
      </c>
      <c r="AG45" s="100">
        <v>7495.2000000000007</v>
      </c>
      <c r="AH45" s="100">
        <v>7</v>
      </c>
      <c r="AI45" s="100">
        <v>8744.4</v>
      </c>
      <c r="AJ45" s="100">
        <v>6</v>
      </c>
      <c r="AK45" s="100">
        <v>7495.2000000000007</v>
      </c>
      <c r="AL45" s="100">
        <v>7</v>
      </c>
      <c r="AM45" s="100">
        <v>8744.4</v>
      </c>
      <c r="AN45" s="100">
        <v>7</v>
      </c>
      <c r="AO45" s="100">
        <v>8744.4</v>
      </c>
      <c r="AP45" s="100">
        <v>5</v>
      </c>
      <c r="AQ45" s="100">
        <v>6246</v>
      </c>
      <c r="AR45" s="100">
        <v>6</v>
      </c>
      <c r="AS45" s="100">
        <v>7495.2000000000007</v>
      </c>
      <c r="AT45" s="100">
        <v>7</v>
      </c>
      <c r="AU45" s="100">
        <v>8744.4</v>
      </c>
      <c r="AV45" s="100">
        <v>5</v>
      </c>
      <c r="AW45" s="100">
        <v>6246</v>
      </c>
      <c r="AX45" s="100">
        <v>10</v>
      </c>
      <c r="AY45" s="100">
        <v>12492</v>
      </c>
      <c r="AZ45" s="100">
        <v>8</v>
      </c>
      <c r="BA45" s="100">
        <v>9993.6</v>
      </c>
      <c r="BB45" s="100">
        <v>5</v>
      </c>
      <c r="BC45" s="100">
        <v>6246</v>
      </c>
      <c r="BD45" s="100">
        <v>9</v>
      </c>
      <c r="BE45" s="100">
        <v>11242.800000000001</v>
      </c>
      <c r="BF45" s="100">
        <v>6</v>
      </c>
      <c r="BG45" s="100">
        <v>7495.2000000000007</v>
      </c>
      <c r="BH45" s="100">
        <v>7</v>
      </c>
      <c r="BI45" s="100">
        <v>8744.4</v>
      </c>
      <c r="BJ45" s="100">
        <v>8</v>
      </c>
      <c r="BK45" s="100">
        <v>9993.6</v>
      </c>
      <c r="BL45" s="100">
        <v>7</v>
      </c>
      <c r="BM45" s="100">
        <v>8744.4</v>
      </c>
      <c r="BN45" s="100">
        <v>9</v>
      </c>
      <c r="BO45" s="100">
        <v>11242.800000000001</v>
      </c>
      <c r="BP45" s="100">
        <v>7</v>
      </c>
      <c r="BQ45" s="100">
        <v>8744.4</v>
      </c>
      <c r="BR45" s="100">
        <v>7</v>
      </c>
      <c r="BS45" s="100">
        <v>8744.4</v>
      </c>
      <c r="BT45" s="100">
        <v>5</v>
      </c>
      <c r="BU45" s="100">
        <v>6246</v>
      </c>
      <c r="BV45" s="100">
        <v>5</v>
      </c>
      <c r="BW45" s="100">
        <v>6246</v>
      </c>
      <c r="BX45" s="100">
        <v>7</v>
      </c>
      <c r="BY45" s="100">
        <v>8744.4</v>
      </c>
      <c r="BZ45" s="100">
        <v>9</v>
      </c>
      <c r="CA45" s="100">
        <v>11242.800000000001</v>
      </c>
      <c r="CB45" s="100">
        <v>9</v>
      </c>
      <c r="CC45" s="100">
        <v>11242.800000000001</v>
      </c>
      <c r="CD45" s="100">
        <v>8</v>
      </c>
      <c r="CE45" s="100">
        <v>9993.6</v>
      </c>
      <c r="CF45" s="100">
        <v>7</v>
      </c>
      <c r="CG45" s="100">
        <v>8744.4</v>
      </c>
      <c r="CH45" s="100">
        <v>8</v>
      </c>
      <c r="CI45" s="100">
        <v>9993.6</v>
      </c>
      <c r="CJ45" s="100">
        <v>7</v>
      </c>
      <c r="CK45" s="100">
        <v>8744.4</v>
      </c>
      <c r="CL45" s="100">
        <v>5</v>
      </c>
      <c r="CM45" s="100">
        <v>6246</v>
      </c>
      <c r="CN45" s="100">
        <v>10</v>
      </c>
      <c r="CO45" s="100">
        <v>12492</v>
      </c>
      <c r="CP45" s="100">
        <v>7</v>
      </c>
      <c r="CQ45" s="100">
        <v>8744.4</v>
      </c>
      <c r="CR45" s="100">
        <v>7</v>
      </c>
      <c r="CS45" s="100">
        <v>8744.4</v>
      </c>
      <c r="CT45" s="100">
        <v>8</v>
      </c>
      <c r="CU45" s="100">
        <v>9993.6</v>
      </c>
    </row>
    <row r="46" spans="2:99">
      <c r="C46" s="99" t="s">
        <v>212</v>
      </c>
      <c r="D46" s="100">
        <v>4.6307856941123609</v>
      </c>
      <c r="E46" s="100">
        <v>5612.5122612641817</v>
      </c>
      <c r="F46" s="100">
        <v>4.7546998985692497</v>
      </c>
      <c r="G46" s="100">
        <v>5762.6962770659302</v>
      </c>
      <c r="H46" s="100">
        <v>1.7465787892115336</v>
      </c>
      <c r="I46" s="100">
        <v>2116.8534925243789</v>
      </c>
      <c r="J46" s="100">
        <v>2.6962773497648022E-4</v>
      </c>
      <c r="K46" s="100">
        <v>0.32678881479149402</v>
      </c>
      <c r="L46" s="100">
        <v>6</v>
      </c>
      <c r="M46" s="100">
        <v>7272</v>
      </c>
      <c r="N46" s="100">
        <v>8</v>
      </c>
      <c r="O46" s="100">
        <v>9696</v>
      </c>
      <c r="P46" s="100">
        <v>5</v>
      </c>
      <c r="Q46" s="100">
        <v>6060</v>
      </c>
      <c r="R46" s="100">
        <v>8</v>
      </c>
      <c r="S46" s="100">
        <v>9696</v>
      </c>
      <c r="T46" s="100">
        <v>5</v>
      </c>
      <c r="U46" s="100">
        <v>6060</v>
      </c>
      <c r="V46" s="100">
        <v>7.0237974594699555</v>
      </c>
      <c r="W46" s="100">
        <v>8512.8425208775861</v>
      </c>
      <c r="X46" s="100">
        <v>5.0329149817112473</v>
      </c>
      <c r="Y46" s="100">
        <v>6099.8929578340321</v>
      </c>
      <c r="Z46" s="100">
        <v>9</v>
      </c>
      <c r="AA46" s="100">
        <v>10908</v>
      </c>
      <c r="AB46" s="100">
        <v>5</v>
      </c>
      <c r="AC46" s="100">
        <v>6060</v>
      </c>
      <c r="AD46" s="100">
        <v>6</v>
      </c>
      <c r="AE46" s="100">
        <v>7272</v>
      </c>
      <c r="AF46" s="100">
        <v>6</v>
      </c>
      <c r="AG46" s="100">
        <v>7272</v>
      </c>
      <c r="AH46" s="100">
        <v>7</v>
      </c>
      <c r="AI46" s="100">
        <v>8484</v>
      </c>
      <c r="AJ46" s="100">
        <v>6</v>
      </c>
      <c r="AK46" s="100">
        <v>7272</v>
      </c>
      <c r="AL46" s="100">
        <v>8</v>
      </c>
      <c r="AM46" s="100">
        <v>9696</v>
      </c>
      <c r="AN46" s="100">
        <v>7</v>
      </c>
      <c r="AO46" s="100">
        <v>8484</v>
      </c>
      <c r="AP46" s="100">
        <v>5</v>
      </c>
      <c r="AQ46" s="100">
        <v>6060</v>
      </c>
      <c r="AR46" s="100">
        <v>6</v>
      </c>
      <c r="AS46" s="100">
        <v>7272</v>
      </c>
      <c r="AT46" s="100">
        <v>8</v>
      </c>
      <c r="AU46" s="100">
        <v>9696</v>
      </c>
      <c r="AV46" s="100">
        <v>5</v>
      </c>
      <c r="AW46" s="100">
        <v>6060</v>
      </c>
      <c r="AX46" s="100">
        <v>9</v>
      </c>
      <c r="AY46" s="100">
        <v>10908</v>
      </c>
      <c r="AZ46" s="100">
        <v>8</v>
      </c>
      <c r="BA46" s="100">
        <v>9696</v>
      </c>
      <c r="BB46" s="100">
        <v>4</v>
      </c>
      <c r="BC46" s="100">
        <v>4848</v>
      </c>
      <c r="BD46" s="100">
        <v>9</v>
      </c>
      <c r="BE46" s="100">
        <v>10908</v>
      </c>
      <c r="BF46" s="100">
        <v>6</v>
      </c>
      <c r="BG46" s="100">
        <v>7272</v>
      </c>
      <c r="BH46" s="100">
        <v>7</v>
      </c>
      <c r="BI46" s="100">
        <v>8484</v>
      </c>
      <c r="BJ46" s="100">
        <v>8</v>
      </c>
      <c r="BK46" s="100">
        <v>9696</v>
      </c>
      <c r="BL46" s="100">
        <v>8</v>
      </c>
      <c r="BM46" s="100">
        <v>9696</v>
      </c>
      <c r="BN46" s="100">
        <v>8</v>
      </c>
      <c r="BO46" s="100">
        <v>9696</v>
      </c>
      <c r="BP46" s="100">
        <v>7</v>
      </c>
      <c r="BQ46" s="100">
        <v>8484</v>
      </c>
      <c r="BR46" s="100">
        <v>7</v>
      </c>
      <c r="BS46" s="100">
        <v>8484</v>
      </c>
      <c r="BT46" s="100">
        <v>5</v>
      </c>
      <c r="BU46" s="100">
        <v>6060</v>
      </c>
      <c r="BV46" s="100">
        <v>5</v>
      </c>
      <c r="BW46" s="100">
        <v>6060</v>
      </c>
      <c r="BX46" s="100">
        <v>8</v>
      </c>
      <c r="BY46" s="100">
        <v>9696</v>
      </c>
      <c r="BZ46" s="100">
        <v>9</v>
      </c>
      <c r="CA46" s="100">
        <v>10908</v>
      </c>
      <c r="CB46" s="100">
        <v>9</v>
      </c>
      <c r="CC46" s="100">
        <v>10908</v>
      </c>
      <c r="CD46" s="100">
        <v>7</v>
      </c>
      <c r="CE46" s="100">
        <v>8484</v>
      </c>
      <c r="CF46" s="100">
        <v>7</v>
      </c>
      <c r="CG46" s="100">
        <v>8484</v>
      </c>
      <c r="CH46" s="100">
        <v>9</v>
      </c>
      <c r="CI46" s="100">
        <v>10908</v>
      </c>
      <c r="CJ46" s="100">
        <v>7</v>
      </c>
      <c r="CK46" s="100">
        <v>8484</v>
      </c>
      <c r="CL46" s="100">
        <v>5</v>
      </c>
      <c r="CM46" s="100">
        <v>6060</v>
      </c>
      <c r="CN46" s="100">
        <v>10</v>
      </c>
      <c r="CO46" s="100">
        <v>12120</v>
      </c>
      <c r="CP46" s="100">
        <v>7</v>
      </c>
      <c r="CQ46" s="100">
        <v>8484</v>
      </c>
      <c r="CR46" s="100">
        <v>7</v>
      </c>
      <c r="CS46" s="100">
        <v>8484</v>
      </c>
      <c r="CT46" s="100">
        <v>9</v>
      </c>
      <c r="CU46" s="100">
        <v>10908</v>
      </c>
    </row>
    <row r="47" spans="2:99">
      <c r="C47" s="99" t="s">
        <v>213</v>
      </c>
      <c r="D47" s="100">
        <v>5.5569428329348334</v>
      </c>
      <c r="E47" s="100">
        <v>8488.7858715912516</v>
      </c>
      <c r="F47" s="100">
        <v>4.7129891238072492</v>
      </c>
      <c r="G47" s="100">
        <v>7199.5621855279533</v>
      </c>
      <c r="H47" s="100">
        <v>1.7465787892115336</v>
      </c>
      <c r="I47" s="100">
        <v>2668.0737583995387</v>
      </c>
      <c r="J47" s="100">
        <v>3.3703466872060027E-4</v>
      </c>
      <c r="K47" s="100">
        <v>0.51485415993758898</v>
      </c>
      <c r="L47" s="100">
        <v>6</v>
      </c>
      <c r="M47" s="100">
        <v>9165.5999999999985</v>
      </c>
      <c r="N47" s="100">
        <v>8</v>
      </c>
      <c r="O47" s="100">
        <v>12220.8</v>
      </c>
      <c r="P47" s="100">
        <v>5</v>
      </c>
      <c r="Q47" s="100">
        <v>7638</v>
      </c>
      <c r="R47" s="100">
        <v>9</v>
      </c>
      <c r="S47" s="100">
        <v>13748.4</v>
      </c>
      <c r="T47" s="100">
        <v>5</v>
      </c>
      <c r="U47" s="100">
        <v>7638</v>
      </c>
      <c r="V47" s="100">
        <v>6.0264416216332837</v>
      </c>
      <c r="W47" s="100">
        <v>9205.9922212070032</v>
      </c>
      <c r="X47" s="100">
        <v>6.0329149817112473</v>
      </c>
      <c r="Y47" s="100">
        <v>9215.8809260621001</v>
      </c>
      <c r="Z47" s="100">
        <v>9</v>
      </c>
      <c r="AA47" s="100">
        <v>13748.4</v>
      </c>
      <c r="AB47" s="100">
        <v>5</v>
      </c>
      <c r="AC47" s="100">
        <v>7638</v>
      </c>
      <c r="AD47" s="100">
        <v>6</v>
      </c>
      <c r="AE47" s="100">
        <v>9165.5999999999985</v>
      </c>
      <c r="AF47" s="100">
        <v>6</v>
      </c>
      <c r="AG47" s="100">
        <v>9165.5999999999985</v>
      </c>
      <c r="AH47" s="100">
        <v>8</v>
      </c>
      <c r="AI47" s="100">
        <v>12220.8</v>
      </c>
      <c r="AJ47" s="100">
        <v>6</v>
      </c>
      <c r="AK47" s="100">
        <v>9165.5999999999985</v>
      </c>
      <c r="AL47" s="100">
        <v>8</v>
      </c>
      <c r="AM47" s="100">
        <v>12220.8</v>
      </c>
      <c r="AN47" s="100">
        <v>7</v>
      </c>
      <c r="AO47" s="100">
        <v>10693.199999999999</v>
      </c>
      <c r="AP47" s="100">
        <v>5</v>
      </c>
      <c r="AQ47" s="100">
        <v>7638</v>
      </c>
      <c r="AR47" s="100">
        <v>5</v>
      </c>
      <c r="AS47" s="100">
        <v>7638</v>
      </c>
      <c r="AT47" s="100">
        <v>7</v>
      </c>
      <c r="AU47" s="100">
        <v>10693.199999999999</v>
      </c>
      <c r="AV47" s="100">
        <v>5</v>
      </c>
      <c r="AW47" s="100">
        <v>7638</v>
      </c>
      <c r="AX47" s="100">
        <v>9</v>
      </c>
      <c r="AY47" s="100">
        <v>13748.4</v>
      </c>
      <c r="AZ47" s="100">
        <v>8</v>
      </c>
      <c r="BA47" s="100">
        <v>12220.8</v>
      </c>
      <c r="BB47" s="100">
        <v>4</v>
      </c>
      <c r="BC47" s="100">
        <v>6110.4</v>
      </c>
      <c r="BD47" s="100">
        <v>8</v>
      </c>
      <c r="BE47" s="100">
        <v>12220.8</v>
      </c>
      <c r="BF47" s="100">
        <v>6</v>
      </c>
      <c r="BG47" s="100">
        <v>9165.5999999999985</v>
      </c>
      <c r="BH47" s="100">
        <v>7</v>
      </c>
      <c r="BI47" s="100">
        <v>10693.199999999999</v>
      </c>
      <c r="BJ47" s="100">
        <v>9</v>
      </c>
      <c r="BK47" s="100">
        <v>13748.4</v>
      </c>
      <c r="BL47" s="100">
        <v>7</v>
      </c>
      <c r="BM47" s="100">
        <v>10693.199999999999</v>
      </c>
      <c r="BN47" s="100">
        <v>9</v>
      </c>
      <c r="BO47" s="100">
        <v>13748.4</v>
      </c>
      <c r="BP47" s="100">
        <v>7</v>
      </c>
      <c r="BQ47" s="100">
        <v>10693.199999999999</v>
      </c>
      <c r="BR47" s="100">
        <v>8</v>
      </c>
      <c r="BS47" s="100">
        <v>12220.8</v>
      </c>
      <c r="BT47" s="100">
        <v>5</v>
      </c>
      <c r="BU47" s="100">
        <v>7638</v>
      </c>
      <c r="BV47" s="100">
        <v>5</v>
      </c>
      <c r="BW47" s="100">
        <v>7638</v>
      </c>
      <c r="BX47" s="100">
        <v>7</v>
      </c>
      <c r="BY47" s="100">
        <v>10693.199999999999</v>
      </c>
      <c r="BZ47" s="100">
        <v>9</v>
      </c>
      <c r="CA47" s="100">
        <v>13748.4</v>
      </c>
      <c r="CB47" s="100">
        <v>9</v>
      </c>
      <c r="CC47" s="100">
        <v>13748.4</v>
      </c>
      <c r="CD47" s="100">
        <v>7</v>
      </c>
      <c r="CE47" s="100">
        <v>10693.199999999999</v>
      </c>
      <c r="CF47" s="100">
        <v>7</v>
      </c>
      <c r="CG47" s="100">
        <v>10693.199999999999</v>
      </c>
      <c r="CH47" s="100">
        <v>8</v>
      </c>
      <c r="CI47" s="100">
        <v>12220.8</v>
      </c>
      <c r="CJ47" s="100">
        <v>7</v>
      </c>
      <c r="CK47" s="100">
        <v>10693.199999999999</v>
      </c>
      <c r="CL47" s="100">
        <v>5</v>
      </c>
      <c r="CM47" s="100">
        <v>7638</v>
      </c>
      <c r="CN47" s="100">
        <v>10</v>
      </c>
      <c r="CO47" s="100">
        <v>15276</v>
      </c>
      <c r="CP47" s="100">
        <v>7</v>
      </c>
      <c r="CQ47" s="100">
        <v>10693.199999999999</v>
      </c>
      <c r="CR47" s="100">
        <v>6</v>
      </c>
      <c r="CS47" s="100">
        <v>9165.5999999999985</v>
      </c>
      <c r="CT47" s="100">
        <v>7</v>
      </c>
      <c r="CU47" s="100">
        <v>10693.199999999999</v>
      </c>
    </row>
    <row r="48" spans="2:99">
      <c r="C48" s="99" t="s">
        <v>214</v>
      </c>
      <c r="D48" s="100">
        <v>5.5569428329348334</v>
      </c>
      <c r="E48" s="100">
        <v>4821.2036018542613</v>
      </c>
      <c r="F48" s="100">
        <v>5.5638232440922986</v>
      </c>
      <c r="G48" s="100">
        <v>4827.1730465744786</v>
      </c>
      <c r="H48" s="100">
        <v>1.7465787892115336</v>
      </c>
      <c r="I48" s="100">
        <v>1515.3317575199267</v>
      </c>
      <c r="J48" s="100">
        <v>3.3703466872060027E-4</v>
      </c>
      <c r="K48" s="100">
        <v>0.29241127858199278</v>
      </c>
      <c r="L48" s="100">
        <v>7</v>
      </c>
      <c r="M48" s="100">
        <v>6073.2</v>
      </c>
      <c r="N48" s="100">
        <v>8</v>
      </c>
      <c r="O48" s="100">
        <v>6940.8</v>
      </c>
      <c r="P48" s="100">
        <v>6</v>
      </c>
      <c r="Q48" s="100">
        <v>5205.6000000000004</v>
      </c>
      <c r="R48" s="100">
        <v>8</v>
      </c>
      <c r="S48" s="100">
        <v>6940.8</v>
      </c>
      <c r="T48" s="100">
        <v>5</v>
      </c>
      <c r="U48" s="100">
        <v>4338</v>
      </c>
      <c r="V48" s="100">
        <v>7.0264416216332837</v>
      </c>
      <c r="W48" s="100">
        <v>6096.1407509290375</v>
      </c>
      <c r="X48" s="100">
        <v>5.027851138371056</v>
      </c>
      <c r="Y48" s="100">
        <v>4362.1636476507283</v>
      </c>
      <c r="Z48" s="100">
        <v>8</v>
      </c>
      <c r="AA48" s="100">
        <v>6940.8</v>
      </c>
      <c r="AB48" s="100">
        <v>5</v>
      </c>
      <c r="AC48" s="100">
        <v>4338</v>
      </c>
      <c r="AD48" s="100">
        <v>6</v>
      </c>
      <c r="AE48" s="100">
        <v>5205.6000000000004</v>
      </c>
      <c r="AF48" s="100">
        <v>6</v>
      </c>
      <c r="AG48" s="100">
        <v>5205.6000000000004</v>
      </c>
      <c r="AH48" s="100">
        <v>7</v>
      </c>
      <c r="AI48" s="100">
        <v>6073.2</v>
      </c>
      <c r="AJ48" s="100">
        <v>6</v>
      </c>
      <c r="AK48" s="100">
        <v>5205.6000000000004</v>
      </c>
      <c r="AL48" s="100">
        <v>8</v>
      </c>
      <c r="AM48" s="100">
        <v>6940.8</v>
      </c>
      <c r="AN48" s="100">
        <v>8</v>
      </c>
      <c r="AO48" s="100">
        <v>6940.8</v>
      </c>
      <c r="AP48" s="100">
        <v>5</v>
      </c>
      <c r="AQ48" s="100">
        <v>4338</v>
      </c>
      <c r="AR48" s="100">
        <v>6</v>
      </c>
      <c r="AS48" s="100">
        <v>5205.6000000000004</v>
      </c>
      <c r="AT48" s="100">
        <v>7</v>
      </c>
      <c r="AU48" s="100">
        <v>6073.2</v>
      </c>
      <c r="AV48" s="100">
        <v>5</v>
      </c>
      <c r="AW48" s="100">
        <v>4338</v>
      </c>
      <c r="AX48" s="100">
        <v>9</v>
      </c>
      <c r="AY48" s="100">
        <v>7808.4000000000005</v>
      </c>
      <c r="AZ48" s="100">
        <v>7</v>
      </c>
      <c r="BA48" s="100">
        <v>6073.2</v>
      </c>
      <c r="BB48" s="100">
        <v>5</v>
      </c>
      <c r="BC48" s="100">
        <v>4338</v>
      </c>
      <c r="BD48" s="100">
        <v>9</v>
      </c>
      <c r="BE48" s="100">
        <v>7808.4000000000005</v>
      </c>
      <c r="BF48" s="100">
        <v>7</v>
      </c>
      <c r="BG48" s="100">
        <v>6073.2</v>
      </c>
      <c r="BH48" s="100">
        <v>7</v>
      </c>
      <c r="BI48" s="100">
        <v>6073.2</v>
      </c>
      <c r="BJ48" s="100">
        <v>10</v>
      </c>
      <c r="BK48" s="100">
        <v>8676</v>
      </c>
      <c r="BL48" s="100">
        <v>8</v>
      </c>
      <c r="BM48" s="100">
        <v>6940.8</v>
      </c>
      <c r="BN48" s="100">
        <v>8</v>
      </c>
      <c r="BO48" s="100">
        <v>6940.8</v>
      </c>
      <c r="BP48" s="100">
        <v>7</v>
      </c>
      <c r="BQ48" s="100">
        <v>6073.2</v>
      </c>
      <c r="BR48" s="100">
        <v>8</v>
      </c>
      <c r="BS48" s="100">
        <v>6940.8</v>
      </c>
      <c r="BT48" s="100">
        <v>5</v>
      </c>
      <c r="BU48" s="100">
        <v>4338</v>
      </c>
      <c r="BV48" s="100">
        <v>5</v>
      </c>
      <c r="BW48" s="100">
        <v>4338</v>
      </c>
      <c r="BX48" s="100">
        <v>7</v>
      </c>
      <c r="BY48" s="100">
        <v>6073.2</v>
      </c>
      <c r="BZ48" s="100">
        <v>10</v>
      </c>
      <c r="CA48" s="100">
        <v>8676</v>
      </c>
      <c r="CB48" s="100">
        <v>10</v>
      </c>
      <c r="CC48" s="100">
        <v>8676</v>
      </c>
      <c r="CD48" s="100">
        <v>7</v>
      </c>
      <c r="CE48" s="100">
        <v>6073.2</v>
      </c>
      <c r="CF48" s="100">
        <v>6</v>
      </c>
      <c r="CG48" s="100">
        <v>5205.6000000000004</v>
      </c>
      <c r="CH48" s="100">
        <v>8</v>
      </c>
      <c r="CI48" s="100">
        <v>6940.8</v>
      </c>
      <c r="CJ48" s="100">
        <v>8</v>
      </c>
      <c r="CK48" s="100">
        <v>6940.8</v>
      </c>
      <c r="CL48" s="100">
        <v>6</v>
      </c>
      <c r="CM48" s="100">
        <v>5205.6000000000004</v>
      </c>
      <c r="CN48" s="100">
        <v>9</v>
      </c>
      <c r="CO48" s="100">
        <v>7808.4000000000005</v>
      </c>
      <c r="CP48" s="100">
        <v>7</v>
      </c>
      <c r="CQ48" s="100">
        <v>6073.2</v>
      </c>
      <c r="CR48" s="100">
        <v>7</v>
      </c>
      <c r="CS48" s="100">
        <v>6073.2</v>
      </c>
      <c r="CT48" s="100">
        <v>8</v>
      </c>
      <c r="CU48" s="100">
        <v>6940.8</v>
      </c>
    </row>
    <row r="49" spans="2:99">
      <c r="B49" s="99" t="s">
        <v>129</v>
      </c>
      <c r="C49" s="99" t="s">
        <v>215</v>
      </c>
      <c r="D49" s="100">
        <v>4.8837038998888769</v>
      </c>
      <c r="E49" s="100">
        <v>4811.4250821705209</v>
      </c>
      <c r="F49" s="100">
        <v>5.3416964427569624</v>
      </c>
      <c r="G49" s="100">
        <v>5262.6393354041593</v>
      </c>
      <c r="H49" s="100">
        <v>3.3376315831979801</v>
      </c>
      <c r="I49" s="100">
        <v>3288.2346357666497</v>
      </c>
      <c r="J49" s="100">
        <v>5.4830449371357526</v>
      </c>
      <c r="K49" s="100">
        <v>5401.8958720661431</v>
      </c>
      <c r="L49" s="100">
        <v>2.3538480671734745</v>
      </c>
      <c r="M49" s="100">
        <v>2319.0111157793067</v>
      </c>
      <c r="N49" s="100">
        <v>5</v>
      </c>
      <c r="O49" s="100">
        <v>4926</v>
      </c>
      <c r="P49" s="100">
        <v>4.2042079244392454</v>
      </c>
      <c r="Q49" s="100">
        <v>4141.985647157544</v>
      </c>
      <c r="R49" s="100">
        <v>6</v>
      </c>
      <c r="S49" s="100">
        <v>5911.2</v>
      </c>
      <c r="T49" s="100">
        <v>6.0132273883054319</v>
      </c>
      <c r="U49" s="100">
        <v>5924.2316229585113</v>
      </c>
      <c r="V49" s="100">
        <v>5</v>
      </c>
      <c r="W49" s="100">
        <v>4926</v>
      </c>
      <c r="X49" s="100">
        <v>6.2938256142516824</v>
      </c>
      <c r="Y49" s="100">
        <v>6200.6769951607566</v>
      </c>
      <c r="Z49" s="100">
        <v>4.3277795426709131</v>
      </c>
      <c r="AA49" s="100">
        <v>4263.7284054393831</v>
      </c>
      <c r="AB49" s="100">
        <v>6</v>
      </c>
      <c r="AC49" s="100">
        <v>5911.2</v>
      </c>
      <c r="AD49" s="100">
        <v>5</v>
      </c>
      <c r="AE49" s="100">
        <v>4926</v>
      </c>
      <c r="AF49" s="100">
        <v>6.2249034987410203</v>
      </c>
      <c r="AG49" s="100">
        <v>6132.7749269596525</v>
      </c>
      <c r="AH49" s="100">
        <v>3</v>
      </c>
      <c r="AI49" s="100">
        <v>2955.6</v>
      </c>
      <c r="AJ49" s="100">
        <v>6</v>
      </c>
      <c r="AK49" s="100">
        <v>5911.2</v>
      </c>
      <c r="AL49" s="100">
        <v>3.314573556407554</v>
      </c>
      <c r="AM49" s="100">
        <v>3265.5178677727222</v>
      </c>
      <c r="AN49" s="100">
        <v>3.0096679645231492</v>
      </c>
      <c r="AO49" s="100">
        <v>2965.1248786482065</v>
      </c>
      <c r="AP49" s="100">
        <v>4.6622356687664421</v>
      </c>
      <c r="AQ49" s="100">
        <v>4593.2345808686987</v>
      </c>
      <c r="AR49" s="100">
        <v>2.1812810710714206</v>
      </c>
      <c r="AS49" s="100">
        <v>2148.9981112195633</v>
      </c>
      <c r="AT49" s="100">
        <v>5</v>
      </c>
      <c r="AU49" s="100">
        <v>4926</v>
      </c>
      <c r="AV49" s="100">
        <v>4</v>
      </c>
      <c r="AW49" s="100">
        <v>3940.7999999999997</v>
      </c>
      <c r="AX49" s="100">
        <v>5</v>
      </c>
      <c r="AY49" s="100">
        <v>4926</v>
      </c>
      <c r="AZ49" s="100">
        <v>4</v>
      </c>
      <c r="BA49" s="100">
        <v>3940.7999999999997</v>
      </c>
      <c r="BB49" s="100">
        <v>3</v>
      </c>
      <c r="BC49" s="100">
        <v>2955.6</v>
      </c>
      <c r="BD49" s="100">
        <v>6</v>
      </c>
      <c r="BE49" s="100">
        <v>5911.2</v>
      </c>
      <c r="BF49" s="100">
        <v>6.2432734487775416</v>
      </c>
      <c r="BG49" s="100">
        <v>6150.8730017356338</v>
      </c>
      <c r="BH49" s="100">
        <v>5</v>
      </c>
      <c r="BI49" s="100">
        <v>4926</v>
      </c>
      <c r="BJ49" s="100">
        <v>6.138552184855059</v>
      </c>
      <c r="BK49" s="100">
        <v>6047.701612519204</v>
      </c>
      <c r="BL49" s="100">
        <v>4</v>
      </c>
      <c r="BM49" s="100">
        <v>3940.7999999999997</v>
      </c>
      <c r="BN49" s="100">
        <v>4</v>
      </c>
      <c r="BO49" s="100">
        <v>3940.7999999999997</v>
      </c>
      <c r="BP49" s="100">
        <v>6</v>
      </c>
      <c r="BQ49" s="100">
        <v>5911.2</v>
      </c>
      <c r="BR49" s="100">
        <v>4</v>
      </c>
      <c r="BS49" s="100">
        <v>3940.7999999999997</v>
      </c>
      <c r="BT49" s="100">
        <v>4</v>
      </c>
      <c r="BU49" s="100">
        <v>3940.7999999999997</v>
      </c>
      <c r="BV49" s="100">
        <v>3.051134547234259</v>
      </c>
      <c r="BW49" s="100">
        <v>3005.9777559351919</v>
      </c>
      <c r="BX49" s="100">
        <v>7</v>
      </c>
      <c r="BY49" s="100">
        <v>6896.4</v>
      </c>
      <c r="BZ49" s="100">
        <v>4.0991843721689607</v>
      </c>
      <c r="CA49" s="100">
        <v>4038.5164434608596</v>
      </c>
      <c r="CB49" s="100">
        <v>4</v>
      </c>
      <c r="CC49" s="100">
        <v>3940.7999999999997</v>
      </c>
      <c r="CD49" s="100">
        <v>7.2633640841836833</v>
      </c>
      <c r="CE49" s="100">
        <v>7155.8662957377646</v>
      </c>
      <c r="CF49" s="100">
        <v>5</v>
      </c>
      <c r="CG49" s="100">
        <v>4926</v>
      </c>
      <c r="CH49" s="100">
        <v>5.2475906719379219</v>
      </c>
      <c r="CI49" s="100">
        <v>5169.92632999324</v>
      </c>
      <c r="CJ49" s="100">
        <v>5</v>
      </c>
      <c r="CK49" s="100">
        <v>4926</v>
      </c>
      <c r="CL49" s="100">
        <v>7</v>
      </c>
      <c r="CM49" s="100">
        <v>6896.4</v>
      </c>
      <c r="CN49" s="100">
        <v>6</v>
      </c>
      <c r="CO49" s="100">
        <v>5911.2</v>
      </c>
      <c r="CP49" s="100">
        <v>4</v>
      </c>
      <c r="CQ49" s="100">
        <v>3940.7999999999997</v>
      </c>
      <c r="CR49" s="100">
        <v>4</v>
      </c>
      <c r="CS49" s="100">
        <v>3940.7999999999997</v>
      </c>
      <c r="CT49" s="100">
        <v>5</v>
      </c>
      <c r="CU49" s="100">
        <v>4926</v>
      </c>
    </row>
    <row r="50" spans="2:99">
      <c r="C50" s="99" t="s">
        <v>216</v>
      </c>
      <c r="D50" s="100">
        <v>4.6307856941123609</v>
      </c>
      <c r="E50" s="100">
        <v>1305.8815657396858</v>
      </c>
      <c r="F50" s="100">
        <v>5.4804016945682985</v>
      </c>
      <c r="G50" s="100">
        <v>1545.4732778682601</v>
      </c>
      <c r="H50" s="100">
        <v>1.3972630313692269</v>
      </c>
      <c r="I50" s="100">
        <v>394.028174846122</v>
      </c>
      <c r="J50" s="100">
        <v>4.0444160246472027E-4</v>
      </c>
      <c r="K50" s="100">
        <v>0.11405253189505112</v>
      </c>
      <c r="L50" s="100">
        <v>6</v>
      </c>
      <c r="M50" s="100">
        <v>1692</v>
      </c>
      <c r="N50" s="100">
        <v>5</v>
      </c>
      <c r="O50" s="100">
        <v>1410</v>
      </c>
      <c r="P50" s="100">
        <v>4</v>
      </c>
      <c r="Q50" s="100">
        <v>1128</v>
      </c>
      <c r="R50" s="100">
        <v>6</v>
      </c>
      <c r="S50" s="100">
        <v>1692</v>
      </c>
      <c r="T50" s="100">
        <v>7</v>
      </c>
      <c r="U50" s="100">
        <v>1974</v>
      </c>
      <c r="V50" s="100">
        <v>6.0264416216332837</v>
      </c>
      <c r="W50" s="100">
        <v>1699.456537300586</v>
      </c>
      <c r="X50" s="100">
        <v>6.0253192167009599</v>
      </c>
      <c r="Y50" s="100">
        <v>1699.1400191096707</v>
      </c>
      <c r="Z50" s="100">
        <v>4</v>
      </c>
      <c r="AA50" s="100">
        <v>1128</v>
      </c>
      <c r="AB50" s="100">
        <v>6</v>
      </c>
      <c r="AC50" s="100">
        <v>1692</v>
      </c>
      <c r="AD50" s="100">
        <v>5</v>
      </c>
      <c r="AE50" s="100">
        <v>1410</v>
      </c>
      <c r="AF50" s="100">
        <v>7</v>
      </c>
      <c r="AG50" s="100">
        <v>1974</v>
      </c>
      <c r="AH50" s="100">
        <v>4</v>
      </c>
      <c r="AI50" s="100">
        <v>1128</v>
      </c>
      <c r="AJ50" s="100">
        <v>7</v>
      </c>
      <c r="AK50" s="100">
        <v>1974</v>
      </c>
      <c r="AL50" s="100">
        <v>4</v>
      </c>
      <c r="AM50" s="100">
        <v>1128</v>
      </c>
      <c r="AN50" s="100">
        <v>5</v>
      </c>
      <c r="AO50" s="100">
        <v>1410</v>
      </c>
      <c r="AP50" s="100">
        <v>4</v>
      </c>
      <c r="AQ50" s="100">
        <v>1128</v>
      </c>
      <c r="AR50" s="100">
        <v>4</v>
      </c>
      <c r="AS50" s="100">
        <v>1128</v>
      </c>
      <c r="AT50" s="100">
        <v>5</v>
      </c>
      <c r="AU50" s="100">
        <v>1410</v>
      </c>
      <c r="AV50" s="100">
        <v>4</v>
      </c>
      <c r="AW50" s="100">
        <v>1128</v>
      </c>
      <c r="AX50" s="100">
        <v>5</v>
      </c>
      <c r="AY50" s="100">
        <v>1410</v>
      </c>
      <c r="AZ50" s="100">
        <v>4</v>
      </c>
      <c r="BA50" s="100">
        <v>1128</v>
      </c>
      <c r="BB50" s="100">
        <v>3</v>
      </c>
      <c r="BC50" s="100">
        <v>846</v>
      </c>
      <c r="BD50" s="100">
        <v>7</v>
      </c>
      <c r="BE50" s="100">
        <v>1974</v>
      </c>
      <c r="BF50" s="100">
        <v>6</v>
      </c>
      <c r="BG50" s="100">
        <v>1692</v>
      </c>
      <c r="BH50" s="100">
        <v>6</v>
      </c>
      <c r="BI50" s="100">
        <v>1692</v>
      </c>
      <c r="BJ50" s="100">
        <v>6</v>
      </c>
      <c r="BK50" s="100">
        <v>1692</v>
      </c>
      <c r="BL50" s="100">
        <v>4</v>
      </c>
      <c r="BM50" s="100">
        <v>1128</v>
      </c>
      <c r="BN50" s="100">
        <v>4</v>
      </c>
      <c r="BO50" s="100">
        <v>1128</v>
      </c>
      <c r="BP50" s="100">
        <v>5</v>
      </c>
      <c r="BQ50" s="100">
        <v>1410</v>
      </c>
      <c r="BR50" s="100">
        <v>5</v>
      </c>
      <c r="BS50" s="100">
        <v>1410</v>
      </c>
      <c r="BT50" s="100">
        <v>5</v>
      </c>
      <c r="BU50" s="100">
        <v>1410</v>
      </c>
      <c r="BV50" s="100">
        <v>4</v>
      </c>
      <c r="BW50" s="100">
        <v>1128</v>
      </c>
      <c r="BX50" s="100">
        <v>7</v>
      </c>
      <c r="BY50" s="100">
        <v>1974</v>
      </c>
      <c r="BZ50" s="100">
        <v>4</v>
      </c>
      <c r="CA50" s="100">
        <v>1128</v>
      </c>
      <c r="CB50" s="100">
        <v>6</v>
      </c>
      <c r="CC50" s="100">
        <v>1692</v>
      </c>
      <c r="CD50" s="100">
        <v>7</v>
      </c>
      <c r="CE50" s="100">
        <v>1974</v>
      </c>
      <c r="CF50" s="100">
        <v>5</v>
      </c>
      <c r="CG50" s="100">
        <v>1410</v>
      </c>
      <c r="CH50" s="100">
        <v>5</v>
      </c>
      <c r="CI50" s="100">
        <v>1410</v>
      </c>
      <c r="CJ50" s="100">
        <v>6</v>
      </c>
      <c r="CK50" s="100">
        <v>1692</v>
      </c>
      <c r="CL50" s="100">
        <v>7</v>
      </c>
      <c r="CM50" s="100">
        <v>1974</v>
      </c>
      <c r="CN50" s="100">
        <v>7</v>
      </c>
      <c r="CO50" s="100">
        <v>1974</v>
      </c>
      <c r="CP50" s="100">
        <v>4</v>
      </c>
      <c r="CQ50" s="100">
        <v>1128</v>
      </c>
      <c r="CR50" s="100">
        <v>4</v>
      </c>
      <c r="CS50" s="100">
        <v>1128</v>
      </c>
      <c r="CT50" s="100">
        <v>5</v>
      </c>
      <c r="CU50" s="100">
        <v>1410</v>
      </c>
    </row>
    <row r="51" spans="2:99">
      <c r="C51" s="99" t="s">
        <v>217</v>
      </c>
      <c r="D51" s="100">
        <v>4.6307856941123609</v>
      </c>
      <c r="E51" s="100">
        <v>3956.5432970496008</v>
      </c>
      <c r="F51" s="100">
        <v>4.6295675742832492</v>
      </c>
      <c r="G51" s="100">
        <v>3955.5025354676081</v>
      </c>
      <c r="H51" s="100">
        <v>1.3972630313692269</v>
      </c>
      <c r="I51" s="100">
        <v>1193.8215340018673</v>
      </c>
      <c r="J51" s="100">
        <v>4.0444160246472027E-4</v>
      </c>
      <c r="K51" s="100">
        <v>0.34555490514585696</v>
      </c>
      <c r="L51" s="100">
        <v>6</v>
      </c>
      <c r="M51" s="100">
        <v>5126.3999999999996</v>
      </c>
      <c r="N51" s="100">
        <v>4</v>
      </c>
      <c r="O51" s="100">
        <v>3417.6</v>
      </c>
      <c r="P51" s="100">
        <v>3</v>
      </c>
      <c r="Q51" s="100">
        <v>2563.1999999999998</v>
      </c>
      <c r="R51" s="100">
        <v>7</v>
      </c>
      <c r="S51" s="100">
        <v>5980.8</v>
      </c>
      <c r="T51" s="100">
        <v>7</v>
      </c>
      <c r="U51" s="100">
        <v>5980.8</v>
      </c>
      <c r="V51" s="100">
        <v>5.0237974594699555</v>
      </c>
      <c r="W51" s="100">
        <v>4292.33254937113</v>
      </c>
      <c r="X51" s="100">
        <v>7.0227872950308639</v>
      </c>
      <c r="Y51" s="100">
        <v>6000.26946487437</v>
      </c>
      <c r="Z51" s="100">
        <v>4</v>
      </c>
      <c r="AA51" s="100">
        <v>3417.6</v>
      </c>
      <c r="AB51" s="100">
        <v>6</v>
      </c>
      <c r="AC51" s="100">
        <v>5126.3999999999996</v>
      </c>
      <c r="AD51" s="100">
        <v>5</v>
      </c>
      <c r="AE51" s="100">
        <v>4272</v>
      </c>
      <c r="AF51" s="100">
        <v>6</v>
      </c>
      <c r="AG51" s="100">
        <v>5126.3999999999996</v>
      </c>
      <c r="AH51" s="100">
        <v>3</v>
      </c>
      <c r="AI51" s="100">
        <v>2563.1999999999998</v>
      </c>
      <c r="AJ51" s="100">
        <v>6</v>
      </c>
      <c r="AK51" s="100">
        <v>5126.3999999999996</v>
      </c>
      <c r="AL51" s="100">
        <v>4</v>
      </c>
      <c r="AM51" s="100">
        <v>3417.6</v>
      </c>
      <c r="AN51" s="100">
        <v>6</v>
      </c>
      <c r="AO51" s="100">
        <v>5126.3999999999996</v>
      </c>
      <c r="AP51" s="100">
        <v>5</v>
      </c>
      <c r="AQ51" s="100">
        <v>4272</v>
      </c>
      <c r="AR51" s="100">
        <v>4</v>
      </c>
      <c r="AS51" s="100">
        <v>3417.6</v>
      </c>
      <c r="AT51" s="100">
        <v>5</v>
      </c>
      <c r="AU51" s="100">
        <v>4272</v>
      </c>
      <c r="AV51" s="100">
        <v>5</v>
      </c>
      <c r="AW51" s="100">
        <v>4272</v>
      </c>
      <c r="AX51" s="100">
        <v>4</v>
      </c>
      <c r="AY51" s="100">
        <v>3417.6</v>
      </c>
      <c r="AZ51" s="100">
        <v>4</v>
      </c>
      <c r="BA51" s="100">
        <v>3417.6</v>
      </c>
      <c r="BB51" s="100">
        <v>3</v>
      </c>
      <c r="BC51" s="100">
        <v>2563.1999999999998</v>
      </c>
      <c r="BD51" s="100">
        <v>7</v>
      </c>
      <c r="BE51" s="100">
        <v>5980.8</v>
      </c>
      <c r="BF51" s="100">
        <v>6</v>
      </c>
      <c r="BG51" s="100">
        <v>5126.3999999999996</v>
      </c>
      <c r="BH51" s="100">
        <v>6</v>
      </c>
      <c r="BI51" s="100">
        <v>5126.3999999999996</v>
      </c>
      <c r="BJ51" s="100">
        <v>6</v>
      </c>
      <c r="BK51" s="100">
        <v>5126.3999999999996</v>
      </c>
      <c r="BL51" s="100">
        <v>4</v>
      </c>
      <c r="BM51" s="100">
        <v>3417.6</v>
      </c>
      <c r="BN51" s="100">
        <v>4</v>
      </c>
      <c r="BO51" s="100">
        <v>3417.6</v>
      </c>
      <c r="BP51" s="100">
        <v>5</v>
      </c>
      <c r="BQ51" s="100">
        <v>4272</v>
      </c>
      <c r="BR51" s="100">
        <v>5</v>
      </c>
      <c r="BS51" s="100">
        <v>4272</v>
      </c>
      <c r="BT51" s="100">
        <v>4</v>
      </c>
      <c r="BU51" s="100">
        <v>3417.6</v>
      </c>
      <c r="BV51" s="100">
        <v>3</v>
      </c>
      <c r="BW51" s="100">
        <v>2563.1999999999998</v>
      </c>
      <c r="BX51" s="100">
        <v>7</v>
      </c>
      <c r="BY51" s="100">
        <v>5980.8</v>
      </c>
      <c r="BZ51" s="100">
        <v>4</v>
      </c>
      <c r="CA51" s="100">
        <v>3417.6</v>
      </c>
      <c r="CB51" s="100">
        <v>5</v>
      </c>
      <c r="CC51" s="100">
        <v>4272</v>
      </c>
      <c r="CD51" s="100">
        <v>7</v>
      </c>
      <c r="CE51" s="100">
        <v>5980.8</v>
      </c>
      <c r="CF51" s="100">
        <v>5</v>
      </c>
      <c r="CG51" s="100">
        <v>4272</v>
      </c>
      <c r="CH51" s="100">
        <v>5</v>
      </c>
      <c r="CI51" s="100">
        <v>4272</v>
      </c>
      <c r="CJ51" s="100">
        <v>5</v>
      </c>
      <c r="CK51" s="100">
        <v>4272</v>
      </c>
      <c r="CL51" s="100">
        <v>7</v>
      </c>
      <c r="CM51" s="100">
        <v>5980.8</v>
      </c>
      <c r="CN51" s="100">
        <v>6</v>
      </c>
      <c r="CO51" s="100">
        <v>5126.3999999999996</v>
      </c>
      <c r="CP51" s="100">
        <v>4</v>
      </c>
      <c r="CQ51" s="100">
        <v>3417.6</v>
      </c>
      <c r="CR51" s="100">
        <v>4</v>
      </c>
      <c r="CS51" s="100">
        <v>3417.6</v>
      </c>
      <c r="CT51" s="100">
        <v>4</v>
      </c>
      <c r="CU51" s="100">
        <v>3417.6</v>
      </c>
    </row>
    <row r="52" spans="2:99">
      <c r="C52" s="99" t="s">
        <v>218</v>
      </c>
      <c r="D52" s="100">
        <v>4.6307856941123609</v>
      </c>
      <c r="E52" s="100">
        <v>2500.6242748206751</v>
      </c>
      <c r="F52" s="100">
        <v>5.438690919806298</v>
      </c>
      <c r="G52" s="100">
        <v>2936.8930966954008</v>
      </c>
      <c r="H52" s="100">
        <v>1.3972630313692269</v>
      </c>
      <c r="I52" s="100">
        <v>754.52203693938259</v>
      </c>
      <c r="J52" s="100">
        <v>4.0444160246472027E-4</v>
      </c>
      <c r="K52" s="100">
        <v>0.21839846533094895</v>
      </c>
      <c r="L52" s="100">
        <v>6</v>
      </c>
      <c r="M52" s="100">
        <v>3240</v>
      </c>
      <c r="N52" s="100">
        <v>5</v>
      </c>
      <c r="O52" s="100">
        <v>2700</v>
      </c>
      <c r="P52" s="100">
        <v>4</v>
      </c>
      <c r="Q52" s="100">
        <v>2160</v>
      </c>
      <c r="R52" s="100">
        <v>6</v>
      </c>
      <c r="S52" s="100">
        <v>3240</v>
      </c>
      <c r="T52" s="100">
        <v>7</v>
      </c>
      <c r="U52" s="100">
        <v>3780</v>
      </c>
      <c r="V52" s="100">
        <v>6.0290857837966119</v>
      </c>
      <c r="W52" s="100">
        <v>3255.7063232501705</v>
      </c>
      <c r="X52" s="100">
        <v>6.0253192167009599</v>
      </c>
      <c r="Y52" s="100">
        <v>3253.6723770185185</v>
      </c>
      <c r="Z52" s="100">
        <v>4</v>
      </c>
      <c r="AA52" s="100">
        <v>2160</v>
      </c>
      <c r="AB52" s="100">
        <v>6</v>
      </c>
      <c r="AC52" s="100">
        <v>3240</v>
      </c>
      <c r="AD52" s="100">
        <v>5</v>
      </c>
      <c r="AE52" s="100">
        <v>2700</v>
      </c>
      <c r="AF52" s="100">
        <v>7</v>
      </c>
      <c r="AG52" s="100">
        <v>3780</v>
      </c>
      <c r="AH52" s="100">
        <v>4</v>
      </c>
      <c r="AI52" s="100">
        <v>2160</v>
      </c>
      <c r="AJ52" s="100">
        <v>7</v>
      </c>
      <c r="AK52" s="100">
        <v>3780</v>
      </c>
      <c r="AL52" s="100">
        <v>3</v>
      </c>
      <c r="AM52" s="100">
        <v>1620</v>
      </c>
      <c r="AN52" s="100">
        <v>6</v>
      </c>
      <c r="AO52" s="100">
        <v>3240</v>
      </c>
      <c r="AP52" s="100">
        <v>4</v>
      </c>
      <c r="AQ52" s="100">
        <v>2160</v>
      </c>
      <c r="AR52" s="100">
        <v>5</v>
      </c>
      <c r="AS52" s="100">
        <v>2700</v>
      </c>
      <c r="AT52" s="100">
        <v>6</v>
      </c>
      <c r="AU52" s="100">
        <v>3240</v>
      </c>
      <c r="AV52" s="100">
        <v>5</v>
      </c>
      <c r="AW52" s="100">
        <v>2700</v>
      </c>
      <c r="AX52" s="100">
        <v>5</v>
      </c>
      <c r="AY52" s="100">
        <v>2700</v>
      </c>
      <c r="AZ52" s="100">
        <v>5</v>
      </c>
      <c r="BA52" s="100">
        <v>2700</v>
      </c>
      <c r="BB52" s="100">
        <v>3</v>
      </c>
      <c r="BC52" s="100">
        <v>1620</v>
      </c>
      <c r="BD52" s="100">
        <v>7</v>
      </c>
      <c r="BE52" s="100">
        <v>3780</v>
      </c>
      <c r="BF52" s="100">
        <v>6</v>
      </c>
      <c r="BG52" s="100">
        <v>3240</v>
      </c>
      <c r="BH52" s="100">
        <v>5</v>
      </c>
      <c r="BI52" s="100">
        <v>2700</v>
      </c>
      <c r="BJ52" s="100">
        <v>7</v>
      </c>
      <c r="BK52" s="100">
        <v>3780</v>
      </c>
      <c r="BL52" s="100">
        <v>3</v>
      </c>
      <c r="BM52" s="100">
        <v>1620</v>
      </c>
      <c r="BN52" s="100">
        <v>3</v>
      </c>
      <c r="BO52" s="100">
        <v>1620</v>
      </c>
      <c r="BP52" s="100">
        <v>6</v>
      </c>
      <c r="BQ52" s="100">
        <v>3240</v>
      </c>
      <c r="BR52" s="100">
        <v>5</v>
      </c>
      <c r="BS52" s="100">
        <v>2700</v>
      </c>
      <c r="BT52" s="100">
        <v>5</v>
      </c>
      <c r="BU52" s="100">
        <v>2700</v>
      </c>
      <c r="BV52" s="100">
        <v>3</v>
      </c>
      <c r="BW52" s="100">
        <v>1620</v>
      </c>
      <c r="BX52" s="100">
        <v>7</v>
      </c>
      <c r="BY52" s="100">
        <v>3780</v>
      </c>
      <c r="BZ52" s="100">
        <v>4</v>
      </c>
      <c r="CA52" s="100">
        <v>2160</v>
      </c>
      <c r="CB52" s="100">
        <v>5</v>
      </c>
      <c r="CC52" s="100">
        <v>2700</v>
      </c>
      <c r="CD52" s="100">
        <v>7</v>
      </c>
      <c r="CE52" s="100">
        <v>3780</v>
      </c>
      <c r="CF52" s="100">
        <v>5</v>
      </c>
      <c r="CG52" s="100">
        <v>2700</v>
      </c>
      <c r="CH52" s="100">
        <v>5</v>
      </c>
      <c r="CI52" s="100">
        <v>2700</v>
      </c>
      <c r="CJ52" s="100">
        <v>5</v>
      </c>
      <c r="CK52" s="100">
        <v>2700</v>
      </c>
      <c r="CL52" s="100">
        <v>6</v>
      </c>
      <c r="CM52" s="100">
        <v>3240</v>
      </c>
      <c r="CN52" s="100">
        <v>6</v>
      </c>
      <c r="CO52" s="100">
        <v>3240</v>
      </c>
      <c r="CP52" s="100">
        <v>4</v>
      </c>
      <c r="CQ52" s="100">
        <v>2160</v>
      </c>
      <c r="CR52" s="100">
        <v>4</v>
      </c>
      <c r="CS52" s="100">
        <v>2160</v>
      </c>
      <c r="CT52" s="100">
        <v>5</v>
      </c>
      <c r="CU52" s="100">
        <v>2700</v>
      </c>
    </row>
    <row r="53" spans="2:99">
      <c r="C53" s="99" t="s">
        <v>219</v>
      </c>
      <c r="D53" s="100">
        <v>4.6307856941123609</v>
      </c>
      <c r="E53" s="100">
        <v>1883.8036203649085</v>
      </c>
      <c r="F53" s="100">
        <v>4.6295675742832492</v>
      </c>
      <c r="G53" s="100">
        <v>1883.3080892184257</v>
      </c>
      <c r="H53" s="100">
        <v>1.3972630313692269</v>
      </c>
      <c r="I53" s="100">
        <v>568.4066011610015</v>
      </c>
      <c r="J53" s="100">
        <v>4.0444160246472027E-4</v>
      </c>
      <c r="K53" s="100">
        <v>0.16452684388264821</v>
      </c>
      <c r="L53" s="100">
        <v>6</v>
      </c>
      <c r="M53" s="100">
        <v>2440.8000000000002</v>
      </c>
      <c r="N53" s="100">
        <v>5</v>
      </c>
      <c r="O53" s="100">
        <v>2034</v>
      </c>
      <c r="P53" s="100">
        <v>4</v>
      </c>
      <c r="Q53" s="100">
        <v>1627.2</v>
      </c>
      <c r="R53" s="100">
        <v>6</v>
      </c>
      <c r="S53" s="100">
        <v>2440.8000000000002</v>
      </c>
      <c r="T53" s="100">
        <v>7</v>
      </c>
      <c r="U53" s="100">
        <v>2847.6</v>
      </c>
      <c r="V53" s="100">
        <v>5.0290857837966119</v>
      </c>
      <c r="W53" s="100">
        <v>2045.8320968484618</v>
      </c>
      <c r="X53" s="100">
        <v>6.0227872950308639</v>
      </c>
      <c r="Y53" s="100">
        <v>2450.0698716185557</v>
      </c>
      <c r="Z53" s="100">
        <v>4</v>
      </c>
      <c r="AA53" s="100">
        <v>1627.2</v>
      </c>
      <c r="AB53" s="100">
        <v>6</v>
      </c>
      <c r="AC53" s="100">
        <v>2440.8000000000002</v>
      </c>
      <c r="AD53" s="100">
        <v>5</v>
      </c>
      <c r="AE53" s="100">
        <v>2034</v>
      </c>
      <c r="AF53" s="100">
        <v>8</v>
      </c>
      <c r="AG53" s="100">
        <v>3254.4</v>
      </c>
      <c r="AH53" s="100">
        <v>4</v>
      </c>
      <c r="AI53" s="100">
        <v>1627.2</v>
      </c>
      <c r="AJ53" s="100">
        <v>6</v>
      </c>
      <c r="AK53" s="100">
        <v>2440.8000000000002</v>
      </c>
      <c r="AL53" s="100">
        <v>3</v>
      </c>
      <c r="AM53" s="100">
        <v>1220.4000000000001</v>
      </c>
      <c r="AN53" s="100">
        <v>5</v>
      </c>
      <c r="AO53" s="100">
        <v>2034</v>
      </c>
      <c r="AP53" s="100">
        <v>4</v>
      </c>
      <c r="AQ53" s="100">
        <v>1627.2</v>
      </c>
      <c r="AR53" s="100">
        <v>4</v>
      </c>
      <c r="AS53" s="100">
        <v>1627.2</v>
      </c>
      <c r="AT53" s="100">
        <v>5</v>
      </c>
      <c r="AU53" s="100">
        <v>2034</v>
      </c>
      <c r="AV53" s="100">
        <v>5</v>
      </c>
      <c r="AW53" s="100">
        <v>2034</v>
      </c>
      <c r="AX53" s="100">
        <v>5</v>
      </c>
      <c r="AY53" s="100">
        <v>2034</v>
      </c>
      <c r="AZ53" s="100">
        <v>5</v>
      </c>
      <c r="BA53" s="100">
        <v>2034</v>
      </c>
      <c r="BB53" s="100">
        <v>4</v>
      </c>
      <c r="BC53" s="100">
        <v>1627.2</v>
      </c>
      <c r="BD53" s="100">
        <v>6</v>
      </c>
      <c r="BE53" s="100">
        <v>2440.8000000000002</v>
      </c>
      <c r="BF53" s="100">
        <v>6</v>
      </c>
      <c r="BG53" s="100">
        <v>2440.8000000000002</v>
      </c>
      <c r="BH53" s="100">
        <v>7</v>
      </c>
      <c r="BI53" s="100">
        <v>2847.6</v>
      </c>
      <c r="BJ53" s="100">
        <v>7</v>
      </c>
      <c r="BK53" s="100">
        <v>2847.6</v>
      </c>
      <c r="BL53" s="100">
        <v>3</v>
      </c>
      <c r="BM53" s="100">
        <v>1220.4000000000001</v>
      </c>
      <c r="BN53" s="100">
        <v>4</v>
      </c>
      <c r="BO53" s="100">
        <v>1627.2</v>
      </c>
      <c r="BP53" s="100">
        <v>6</v>
      </c>
      <c r="BQ53" s="100">
        <v>2440.8000000000002</v>
      </c>
      <c r="BR53" s="100">
        <v>4</v>
      </c>
      <c r="BS53" s="100">
        <v>1627.2</v>
      </c>
      <c r="BT53" s="100">
        <v>5</v>
      </c>
      <c r="BU53" s="100">
        <v>2034</v>
      </c>
      <c r="BV53" s="100">
        <v>4</v>
      </c>
      <c r="BW53" s="100">
        <v>1627.2</v>
      </c>
      <c r="BX53" s="100">
        <v>7</v>
      </c>
      <c r="BY53" s="100">
        <v>2847.6</v>
      </c>
      <c r="BZ53" s="100">
        <v>4</v>
      </c>
      <c r="CA53" s="100">
        <v>1627.2</v>
      </c>
      <c r="CB53" s="100">
        <v>5</v>
      </c>
      <c r="CC53" s="100">
        <v>2034</v>
      </c>
      <c r="CD53" s="100">
        <v>7</v>
      </c>
      <c r="CE53" s="100">
        <v>2847.6</v>
      </c>
      <c r="CF53" s="100">
        <v>6</v>
      </c>
      <c r="CG53" s="100">
        <v>2440.8000000000002</v>
      </c>
      <c r="CH53" s="100">
        <v>6</v>
      </c>
      <c r="CI53" s="100">
        <v>2440.8000000000002</v>
      </c>
      <c r="CJ53" s="100">
        <v>6</v>
      </c>
      <c r="CK53" s="100">
        <v>2440.8000000000002</v>
      </c>
      <c r="CL53" s="100">
        <v>7</v>
      </c>
      <c r="CM53" s="100">
        <v>2847.6</v>
      </c>
      <c r="CN53" s="100">
        <v>7</v>
      </c>
      <c r="CO53" s="100">
        <v>2847.6</v>
      </c>
      <c r="CP53" s="100">
        <v>4</v>
      </c>
      <c r="CQ53" s="100">
        <v>1627.2</v>
      </c>
      <c r="CR53" s="100">
        <v>4</v>
      </c>
      <c r="CS53" s="100">
        <v>1627.2</v>
      </c>
      <c r="CT53" s="100">
        <v>4</v>
      </c>
      <c r="CU53" s="100">
        <v>1627.2</v>
      </c>
    </row>
    <row r="54" spans="2:99">
      <c r="C54" s="99" t="s">
        <v>220</v>
      </c>
      <c r="D54" s="100">
        <v>4.6307856941123609</v>
      </c>
      <c r="E54" s="100">
        <v>1550.3870503888184</v>
      </c>
      <c r="F54" s="100">
        <v>5.438690919806298</v>
      </c>
      <c r="G54" s="100">
        <v>1820.8737199511486</v>
      </c>
      <c r="H54" s="100">
        <v>1.7465787892115336</v>
      </c>
      <c r="I54" s="100">
        <v>584.75457862802148</v>
      </c>
      <c r="J54" s="100">
        <v>4.0444160246472027E-4</v>
      </c>
      <c r="K54" s="100">
        <v>0.13540704850518834</v>
      </c>
      <c r="L54" s="100">
        <v>5</v>
      </c>
      <c r="M54" s="100">
        <v>1674</v>
      </c>
      <c r="N54" s="100">
        <v>5</v>
      </c>
      <c r="O54" s="100">
        <v>1674</v>
      </c>
      <c r="P54" s="100">
        <v>4</v>
      </c>
      <c r="Q54" s="100">
        <v>1339.2</v>
      </c>
      <c r="R54" s="100">
        <v>7</v>
      </c>
      <c r="S54" s="100">
        <v>2343.6</v>
      </c>
      <c r="T54" s="100">
        <v>6</v>
      </c>
      <c r="U54" s="100">
        <v>2008.8000000000002</v>
      </c>
      <c r="V54" s="100">
        <v>6.0237974594699555</v>
      </c>
      <c r="W54" s="100">
        <v>2016.7673894305412</v>
      </c>
      <c r="X54" s="100">
        <v>6.027851138371056</v>
      </c>
      <c r="Y54" s="100">
        <v>2018.1245611266297</v>
      </c>
      <c r="Z54" s="100">
        <v>4</v>
      </c>
      <c r="AA54" s="100">
        <v>1339.2</v>
      </c>
      <c r="AB54" s="100">
        <v>6</v>
      </c>
      <c r="AC54" s="100">
        <v>2008.8000000000002</v>
      </c>
      <c r="AD54" s="100">
        <v>6</v>
      </c>
      <c r="AE54" s="100">
        <v>2008.8000000000002</v>
      </c>
      <c r="AF54" s="100">
        <v>7</v>
      </c>
      <c r="AG54" s="100">
        <v>2343.6</v>
      </c>
      <c r="AH54" s="100">
        <v>4</v>
      </c>
      <c r="AI54" s="100">
        <v>1339.2</v>
      </c>
      <c r="AJ54" s="100">
        <v>6</v>
      </c>
      <c r="AK54" s="100">
        <v>2008.8000000000002</v>
      </c>
      <c r="AL54" s="100">
        <v>4</v>
      </c>
      <c r="AM54" s="100">
        <v>1339.2</v>
      </c>
      <c r="AN54" s="100">
        <v>5</v>
      </c>
      <c r="AO54" s="100">
        <v>1674</v>
      </c>
      <c r="AP54" s="100">
        <v>4</v>
      </c>
      <c r="AQ54" s="100">
        <v>1339.2</v>
      </c>
      <c r="AR54" s="100">
        <v>5</v>
      </c>
      <c r="AS54" s="100">
        <v>1674</v>
      </c>
      <c r="AT54" s="100">
        <v>5</v>
      </c>
      <c r="AU54" s="100">
        <v>1674</v>
      </c>
      <c r="AV54" s="100">
        <v>5</v>
      </c>
      <c r="AW54" s="100">
        <v>1674</v>
      </c>
      <c r="AX54" s="100">
        <v>5</v>
      </c>
      <c r="AY54" s="100">
        <v>1674</v>
      </c>
      <c r="AZ54" s="100">
        <v>4</v>
      </c>
      <c r="BA54" s="100">
        <v>1339.2</v>
      </c>
      <c r="BB54" s="100">
        <v>4</v>
      </c>
      <c r="BC54" s="100">
        <v>1339.2</v>
      </c>
      <c r="BD54" s="100">
        <v>6</v>
      </c>
      <c r="BE54" s="100">
        <v>2008.8000000000002</v>
      </c>
      <c r="BF54" s="100">
        <v>6</v>
      </c>
      <c r="BG54" s="100">
        <v>2008.8000000000002</v>
      </c>
      <c r="BH54" s="100">
        <v>6</v>
      </c>
      <c r="BI54" s="100">
        <v>2008.8000000000002</v>
      </c>
      <c r="BJ54" s="100">
        <v>6</v>
      </c>
      <c r="BK54" s="100">
        <v>2008.8000000000002</v>
      </c>
      <c r="BL54" s="100">
        <v>4</v>
      </c>
      <c r="BM54" s="100">
        <v>1339.2</v>
      </c>
      <c r="BN54" s="100">
        <v>4</v>
      </c>
      <c r="BO54" s="100">
        <v>1339.2</v>
      </c>
      <c r="BP54" s="100">
        <v>6</v>
      </c>
      <c r="BQ54" s="100">
        <v>2008.8000000000002</v>
      </c>
      <c r="BR54" s="100">
        <v>4</v>
      </c>
      <c r="BS54" s="100">
        <v>1339.2</v>
      </c>
      <c r="BT54" s="100">
        <v>5</v>
      </c>
      <c r="BU54" s="100">
        <v>1674</v>
      </c>
      <c r="BV54" s="100">
        <v>4</v>
      </c>
      <c r="BW54" s="100">
        <v>1339.2</v>
      </c>
      <c r="BX54" s="100">
        <v>8</v>
      </c>
      <c r="BY54" s="100">
        <v>2678.4</v>
      </c>
      <c r="BZ54" s="100">
        <v>4</v>
      </c>
      <c r="CA54" s="100">
        <v>1339.2</v>
      </c>
      <c r="CB54" s="100">
        <v>6</v>
      </c>
      <c r="CC54" s="100">
        <v>2008.8000000000002</v>
      </c>
      <c r="CD54" s="100">
        <v>7</v>
      </c>
      <c r="CE54" s="100">
        <v>2343.6</v>
      </c>
      <c r="CF54" s="100">
        <v>5</v>
      </c>
      <c r="CG54" s="100">
        <v>1674</v>
      </c>
      <c r="CH54" s="100">
        <v>5</v>
      </c>
      <c r="CI54" s="100">
        <v>1674</v>
      </c>
      <c r="CJ54" s="100">
        <v>5</v>
      </c>
      <c r="CK54" s="100">
        <v>1674</v>
      </c>
      <c r="CL54" s="100">
        <v>6</v>
      </c>
      <c r="CM54" s="100">
        <v>2008.8000000000002</v>
      </c>
      <c r="CN54" s="100">
        <v>7</v>
      </c>
      <c r="CO54" s="100">
        <v>2343.6</v>
      </c>
      <c r="CP54" s="100">
        <v>4</v>
      </c>
      <c r="CQ54" s="100">
        <v>1339.2</v>
      </c>
      <c r="CR54" s="100">
        <v>4</v>
      </c>
      <c r="CS54" s="100">
        <v>1339.2</v>
      </c>
      <c r="CT54" s="100">
        <v>4</v>
      </c>
      <c r="CU54" s="100">
        <v>1339.2</v>
      </c>
    </row>
    <row r="55" spans="2:99">
      <c r="C55" s="99" t="s">
        <v>221</v>
      </c>
      <c r="D55" s="100">
        <v>4.6307856941123609</v>
      </c>
      <c r="E55" s="100">
        <v>3072.9893866129628</v>
      </c>
      <c r="F55" s="100">
        <v>4.6295675742832492</v>
      </c>
      <c r="G55" s="100">
        <v>3072.181042294364</v>
      </c>
      <c r="H55" s="100">
        <v>1.3972630313692269</v>
      </c>
      <c r="I55" s="100">
        <v>927.22374761661899</v>
      </c>
      <c r="J55" s="100">
        <v>4.0444160246472027E-4</v>
      </c>
      <c r="K55" s="100">
        <v>0.2683874473955884</v>
      </c>
      <c r="L55" s="100">
        <v>5</v>
      </c>
      <c r="M55" s="100">
        <v>3318</v>
      </c>
      <c r="N55" s="100">
        <v>5</v>
      </c>
      <c r="O55" s="100">
        <v>3318</v>
      </c>
      <c r="P55" s="100">
        <v>4</v>
      </c>
      <c r="Q55" s="100">
        <v>2654.4</v>
      </c>
      <c r="R55" s="100">
        <v>6</v>
      </c>
      <c r="S55" s="100">
        <v>3981.6000000000004</v>
      </c>
      <c r="T55" s="100">
        <v>7</v>
      </c>
      <c r="U55" s="100">
        <v>4645.2</v>
      </c>
      <c r="V55" s="100">
        <v>5.0264416216332837</v>
      </c>
      <c r="W55" s="100">
        <v>3335.5466601158473</v>
      </c>
      <c r="X55" s="100">
        <v>6.0227872950308639</v>
      </c>
      <c r="Y55" s="100">
        <v>3996.7216489824814</v>
      </c>
      <c r="Z55" s="100">
        <v>4</v>
      </c>
      <c r="AA55" s="100">
        <v>2654.4</v>
      </c>
      <c r="AB55" s="100">
        <v>6</v>
      </c>
      <c r="AC55" s="100">
        <v>3981.6000000000004</v>
      </c>
      <c r="AD55" s="100">
        <v>5</v>
      </c>
      <c r="AE55" s="100">
        <v>3318</v>
      </c>
      <c r="AF55" s="100">
        <v>6</v>
      </c>
      <c r="AG55" s="100">
        <v>3981.6000000000004</v>
      </c>
      <c r="AH55" s="100">
        <v>4</v>
      </c>
      <c r="AI55" s="100">
        <v>2654.4</v>
      </c>
      <c r="AJ55" s="100">
        <v>7</v>
      </c>
      <c r="AK55" s="100">
        <v>4645.2</v>
      </c>
      <c r="AL55" s="100">
        <v>4</v>
      </c>
      <c r="AM55" s="100">
        <v>2654.4</v>
      </c>
      <c r="AN55" s="100">
        <v>5</v>
      </c>
      <c r="AO55" s="100">
        <v>3318</v>
      </c>
      <c r="AP55" s="100">
        <v>4</v>
      </c>
      <c r="AQ55" s="100">
        <v>2654.4</v>
      </c>
      <c r="AR55" s="100">
        <v>4</v>
      </c>
      <c r="AS55" s="100">
        <v>2654.4</v>
      </c>
      <c r="AT55" s="100">
        <v>6</v>
      </c>
      <c r="AU55" s="100">
        <v>3981.6000000000004</v>
      </c>
      <c r="AV55" s="100">
        <v>5</v>
      </c>
      <c r="AW55" s="100">
        <v>3318</v>
      </c>
      <c r="AX55" s="100">
        <v>5</v>
      </c>
      <c r="AY55" s="100">
        <v>3318</v>
      </c>
      <c r="AZ55" s="100">
        <v>4</v>
      </c>
      <c r="BA55" s="100">
        <v>2654.4</v>
      </c>
      <c r="BB55" s="100">
        <v>4</v>
      </c>
      <c r="BC55" s="100">
        <v>2654.4</v>
      </c>
      <c r="BD55" s="100">
        <v>7</v>
      </c>
      <c r="BE55" s="100">
        <v>4645.2</v>
      </c>
      <c r="BF55" s="100">
        <v>6</v>
      </c>
      <c r="BG55" s="100">
        <v>3981.6000000000004</v>
      </c>
      <c r="BH55" s="100">
        <v>6</v>
      </c>
      <c r="BI55" s="100">
        <v>3981.6000000000004</v>
      </c>
      <c r="BJ55" s="100">
        <v>6</v>
      </c>
      <c r="BK55" s="100">
        <v>3981.6000000000004</v>
      </c>
      <c r="BL55" s="100">
        <v>4</v>
      </c>
      <c r="BM55" s="100">
        <v>2654.4</v>
      </c>
      <c r="BN55" s="100">
        <v>4</v>
      </c>
      <c r="BO55" s="100">
        <v>2654.4</v>
      </c>
      <c r="BP55" s="100">
        <v>6</v>
      </c>
      <c r="BQ55" s="100">
        <v>3981.6000000000004</v>
      </c>
      <c r="BR55" s="100">
        <v>5</v>
      </c>
      <c r="BS55" s="100">
        <v>3318</v>
      </c>
      <c r="BT55" s="100">
        <v>5</v>
      </c>
      <c r="BU55" s="100">
        <v>3318</v>
      </c>
      <c r="BV55" s="100">
        <v>3</v>
      </c>
      <c r="BW55" s="100">
        <v>1990.8000000000002</v>
      </c>
      <c r="BX55" s="100">
        <v>6</v>
      </c>
      <c r="BY55" s="100">
        <v>3981.6000000000004</v>
      </c>
      <c r="BZ55" s="100">
        <v>4</v>
      </c>
      <c r="CA55" s="100">
        <v>2654.4</v>
      </c>
      <c r="CB55" s="100">
        <v>5</v>
      </c>
      <c r="CC55" s="100">
        <v>3318</v>
      </c>
      <c r="CD55" s="100">
        <v>6</v>
      </c>
      <c r="CE55" s="100">
        <v>3981.6000000000004</v>
      </c>
      <c r="CF55" s="100">
        <v>5</v>
      </c>
      <c r="CG55" s="100">
        <v>3318</v>
      </c>
      <c r="CH55" s="100">
        <v>6</v>
      </c>
      <c r="CI55" s="100">
        <v>3981.6000000000004</v>
      </c>
      <c r="CJ55" s="100">
        <v>5</v>
      </c>
      <c r="CK55" s="100">
        <v>3318</v>
      </c>
      <c r="CL55" s="100">
        <v>7</v>
      </c>
      <c r="CM55" s="100">
        <v>4645.2</v>
      </c>
      <c r="CN55" s="100">
        <v>6</v>
      </c>
      <c r="CO55" s="100">
        <v>3981.6000000000004</v>
      </c>
      <c r="CP55" s="100">
        <v>4</v>
      </c>
      <c r="CQ55" s="100">
        <v>2654.4</v>
      </c>
      <c r="CR55" s="100">
        <v>4</v>
      </c>
      <c r="CS55" s="100">
        <v>2654.4</v>
      </c>
      <c r="CT55" s="100">
        <v>5</v>
      </c>
      <c r="CU55" s="100">
        <v>3318</v>
      </c>
    </row>
    <row r="56" spans="2:99">
      <c r="C56" s="99" t="s">
        <v>222</v>
      </c>
      <c r="D56" s="100">
        <v>3.397373395144518</v>
      </c>
      <c r="E56" s="100">
        <v>3334.8617246738586</v>
      </c>
      <c r="F56" s="100">
        <v>1.6501877994911114</v>
      </c>
      <c r="G56" s="100">
        <v>1619.8243439804749</v>
      </c>
      <c r="H56" s="100">
        <v>3.3602537680051969</v>
      </c>
      <c r="I56" s="100">
        <v>3298.4250986739012</v>
      </c>
      <c r="J56" s="100">
        <v>4.6605731346999617</v>
      </c>
      <c r="K56" s="100">
        <v>4574.8185890214818</v>
      </c>
      <c r="L56" s="100">
        <v>3.6548660539884237</v>
      </c>
      <c r="M56" s="100">
        <v>3587.6165185950363</v>
      </c>
      <c r="N56" s="100">
        <v>1.6967581553153583</v>
      </c>
      <c r="O56" s="100">
        <v>1665.5378052575556</v>
      </c>
      <c r="P56" s="100">
        <v>2.946734598514678</v>
      </c>
      <c r="Q56" s="100">
        <v>2892.5146819020079</v>
      </c>
      <c r="R56" s="100">
        <v>4.9209903907339108</v>
      </c>
      <c r="S56" s="100">
        <v>4830.4441675444059</v>
      </c>
      <c r="T56" s="100">
        <v>5.1567855474006858</v>
      </c>
      <c r="U56" s="100">
        <v>5061.9006933285127</v>
      </c>
      <c r="V56" s="100">
        <v>4.9675315781040359</v>
      </c>
      <c r="W56" s="100">
        <v>4876.1289970669213</v>
      </c>
      <c r="X56" s="100">
        <v>4.3992371370854499</v>
      </c>
      <c r="Y56" s="100">
        <v>4318.2911737630775</v>
      </c>
      <c r="Z56" s="100">
        <v>2.0727287431829051</v>
      </c>
      <c r="AA56" s="100">
        <v>2034.5905343083396</v>
      </c>
      <c r="AB56" s="100">
        <v>3.857621953024204</v>
      </c>
      <c r="AC56" s="100">
        <v>3786.6417090885584</v>
      </c>
      <c r="AD56" s="100">
        <v>1.091867126894994</v>
      </c>
      <c r="AE56" s="100">
        <v>1071.7767717601259</v>
      </c>
      <c r="AF56" s="100">
        <v>2.3929463661255905</v>
      </c>
      <c r="AG56" s="100">
        <v>2348.9161529888793</v>
      </c>
      <c r="AH56" s="100">
        <v>2.4485027157567476</v>
      </c>
      <c r="AI56" s="100">
        <v>2403.4502657868234</v>
      </c>
      <c r="AJ56" s="100">
        <v>5.2934883018049765</v>
      </c>
      <c r="AK56" s="100">
        <v>5196.0881170517641</v>
      </c>
      <c r="AL56" s="100">
        <v>1.6370747769525991</v>
      </c>
      <c r="AM56" s="100">
        <v>1606.952601056671</v>
      </c>
      <c r="AN56" s="100">
        <v>3.4802496461294242E-4</v>
      </c>
      <c r="AO56" s="100">
        <v>0.34162130526406426</v>
      </c>
      <c r="AP56" s="100">
        <v>2.3042299936510542</v>
      </c>
      <c r="AQ56" s="100">
        <v>2261.8321617678744</v>
      </c>
      <c r="AR56" s="100">
        <v>0.22036639428030033</v>
      </c>
      <c r="AS56" s="100">
        <v>216.31165262554279</v>
      </c>
      <c r="AT56" s="100">
        <v>2.5549721952439399</v>
      </c>
      <c r="AU56" s="100">
        <v>2507.9607068514511</v>
      </c>
      <c r="AV56" s="100">
        <v>4</v>
      </c>
      <c r="AW56" s="100">
        <v>3926.3999999999996</v>
      </c>
      <c r="AX56" s="100">
        <v>4.8366184358025306</v>
      </c>
      <c r="AY56" s="100">
        <v>4747.6246565837637</v>
      </c>
      <c r="AZ56" s="100">
        <v>2.9479274867854932</v>
      </c>
      <c r="BA56" s="100">
        <v>2893.6856210286401</v>
      </c>
      <c r="BB56" s="100">
        <v>2.7003081768798043</v>
      </c>
      <c r="BC56" s="100">
        <v>2650.6225064252158</v>
      </c>
      <c r="BD56" s="100">
        <v>4.6963718061964688</v>
      </c>
      <c r="BE56" s="100">
        <v>4609.9585649624532</v>
      </c>
      <c r="BF56" s="100">
        <v>4.2980244164244565</v>
      </c>
      <c r="BG56" s="100">
        <v>4218.9407671622457</v>
      </c>
      <c r="BH56" s="100">
        <v>0.27965145384661083</v>
      </c>
      <c r="BI56" s="100">
        <v>274.50586709583314</v>
      </c>
      <c r="BJ56" s="100">
        <v>7</v>
      </c>
      <c r="BK56" s="100">
        <v>6871.1999999999989</v>
      </c>
      <c r="BL56" s="100">
        <v>4.2348371903439315</v>
      </c>
      <c r="BM56" s="100">
        <v>4156.9161860416025</v>
      </c>
      <c r="BN56" s="100">
        <v>2.1100160448365091</v>
      </c>
      <c r="BO56" s="100">
        <v>2071.191749611517</v>
      </c>
      <c r="BP56" s="100">
        <v>0.24750760857688545</v>
      </c>
      <c r="BQ56" s="100">
        <v>242.95346857907074</v>
      </c>
      <c r="BR56" s="100">
        <v>5.3679900759108952</v>
      </c>
      <c r="BS56" s="100">
        <v>5269.2190585141343</v>
      </c>
      <c r="BT56" s="100">
        <v>1.2844196759205508</v>
      </c>
      <c r="BU56" s="100">
        <v>1260.7863538836125</v>
      </c>
      <c r="BV56" s="100">
        <v>2.993406269332076</v>
      </c>
      <c r="BW56" s="100">
        <v>2938.3275939763657</v>
      </c>
      <c r="BX56" s="100">
        <v>5.2172344609567736</v>
      </c>
      <c r="BY56" s="100">
        <v>5121.2373468751684</v>
      </c>
      <c r="BZ56" s="100">
        <v>2.1765643179577929</v>
      </c>
      <c r="CA56" s="100">
        <v>2136.5155345073695</v>
      </c>
      <c r="CB56" s="100">
        <v>2.9129881817140828E-4</v>
      </c>
      <c r="CC56" s="100">
        <v>0.28593891991705433</v>
      </c>
      <c r="CD56" s="100">
        <v>3.774955734653747</v>
      </c>
      <c r="CE56" s="100">
        <v>3705.4965491361177</v>
      </c>
      <c r="CF56" s="100">
        <v>0.20391251842982039</v>
      </c>
      <c r="CG56" s="100">
        <v>200.16052809071167</v>
      </c>
      <c r="CH56" s="100">
        <v>5.0180644224079751</v>
      </c>
      <c r="CI56" s="100">
        <v>4925.7320370356683</v>
      </c>
      <c r="CJ56" s="100">
        <v>5.2888919373452516</v>
      </c>
      <c r="CK56" s="100">
        <v>5191.5763256980981</v>
      </c>
      <c r="CL56" s="100">
        <v>3.5441440411478307</v>
      </c>
      <c r="CM56" s="100">
        <v>3478.9317907907102</v>
      </c>
      <c r="CN56" s="100">
        <v>0.32415512607166286</v>
      </c>
      <c r="CO56" s="100">
        <v>318.19067175194425</v>
      </c>
      <c r="CP56" s="100">
        <v>4.0096981327406134</v>
      </c>
      <c r="CQ56" s="100">
        <v>3935.9196870981859</v>
      </c>
      <c r="CR56" s="100">
        <v>3.3167423261313589</v>
      </c>
      <c r="CS56" s="100">
        <v>3255.7142673305416</v>
      </c>
      <c r="CT56" s="100">
        <v>2.9234109067063483</v>
      </c>
      <c r="CU56" s="100">
        <v>2869.6201460229513</v>
      </c>
    </row>
    <row r="57" spans="2:99">
      <c r="C57" s="99" t="s">
        <v>223</v>
      </c>
      <c r="D57" s="100">
        <v>3.7046285552898888</v>
      </c>
      <c r="E57" s="100">
        <v>5227.9718172250914</v>
      </c>
      <c r="F57" s="100">
        <v>4.5461460247592491</v>
      </c>
      <c r="G57" s="100">
        <v>6415.5212701402525</v>
      </c>
      <c r="H57" s="100">
        <v>1.3972630313692269</v>
      </c>
      <c r="I57" s="100">
        <v>1971.817589868253</v>
      </c>
      <c r="J57" s="100">
        <v>4.0444160246472027E-4</v>
      </c>
      <c r="K57" s="100">
        <v>0.57074798939821325</v>
      </c>
      <c r="L57" s="100">
        <v>6</v>
      </c>
      <c r="M57" s="100">
        <v>8467.2000000000007</v>
      </c>
      <c r="N57" s="100">
        <v>5</v>
      </c>
      <c r="O57" s="100">
        <v>7056</v>
      </c>
      <c r="P57" s="100">
        <v>3</v>
      </c>
      <c r="Q57" s="100">
        <v>4233.6000000000004</v>
      </c>
      <c r="R57" s="100">
        <v>6</v>
      </c>
      <c r="S57" s="100">
        <v>8467.2000000000007</v>
      </c>
      <c r="T57" s="100">
        <v>6</v>
      </c>
      <c r="U57" s="100">
        <v>8467.2000000000007</v>
      </c>
      <c r="V57" s="100">
        <v>5.0237974594699555</v>
      </c>
      <c r="W57" s="100">
        <v>7089.5829748040014</v>
      </c>
      <c r="X57" s="100">
        <v>5.0227872950308639</v>
      </c>
      <c r="Y57" s="100">
        <v>7088.1574307475557</v>
      </c>
      <c r="Z57" s="100">
        <v>3</v>
      </c>
      <c r="AA57" s="100">
        <v>4233.6000000000004</v>
      </c>
      <c r="AB57" s="100">
        <v>5</v>
      </c>
      <c r="AC57" s="100">
        <v>7056</v>
      </c>
      <c r="AD57" s="100">
        <v>5</v>
      </c>
      <c r="AE57" s="100">
        <v>7056</v>
      </c>
      <c r="AF57" s="100">
        <v>7</v>
      </c>
      <c r="AG57" s="100">
        <v>9878.4</v>
      </c>
      <c r="AH57" s="100">
        <v>4</v>
      </c>
      <c r="AI57" s="100">
        <v>5644.8</v>
      </c>
      <c r="AJ57" s="100">
        <v>7</v>
      </c>
      <c r="AK57" s="100">
        <v>9878.4</v>
      </c>
      <c r="AL57" s="100">
        <v>3</v>
      </c>
      <c r="AM57" s="100">
        <v>4233.6000000000004</v>
      </c>
      <c r="AN57" s="100">
        <v>5</v>
      </c>
      <c r="AO57" s="100">
        <v>7056</v>
      </c>
      <c r="AP57" s="100">
        <v>4</v>
      </c>
      <c r="AQ57" s="100">
        <v>5644.8</v>
      </c>
      <c r="AR57" s="100">
        <v>4</v>
      </c>
      <c r="AS57" s="100">
        <v>5644.8</v>
      </c>
      <c r="AT57" s="100">
        <v>5</v>
      </c>
      <c r="AU57" s="100">
        <v>7056</v>
      </c>
      <c r="AV57" s="100">
        <v>4</v>
      </c>
      <c r="AW57" s="100">
        <v>5644.8</v>
      </c>
      <c r="AX57" s="100">
        <v>4</v>
      </c>
      <c r="AY57" s="100">
        <v>5644.8</v>
      </c>
      <c r="AZ57" s="100">
        <v>4</v>
      </c>
      <c r="BA57" s="100">
        <v>5644.8</v>
      </c>
      <c r="BB57" s="100">
        <v>4</v>
      </c>
      <c r="BC57" s="100">
        <v>5644.8</v>
      </c>
      <c r="BD57" s="100">
        <v>6</v>
      </c>
      <c r="BE57" s="100">
        <v>8467.2000000000007</v>
      </c>
      <c r="BF57" s="100">
        <v>6</v>
      </c>
      <c r="BG57" s="100">
        <v>8467.2000000000007</v>
      </c>
      <c r="BH57" s="100">
        <v>6</v>
      </c>
      <c r="BI57" s="100">
        <v>8467.2000000000007</v>
      </c>
      <c r="BJ57" s="100">
        <v>5</v>
      </c>
      <c r="BK57" s="100">
        <v>7056</v>
      </c>
      <c r="BL57" s="100">
        <v>4</v>
      </c>
      <c r="BM57" s="100">
        <v>5644.8</v>
      </c>
      <c r="BN57" s="100">
        <v>3</v>
      </c>
      <c r="BO57" s="100">
        <v>4233.6000000000004</v>
      </c>
      <c r="BP57" s="100">
        <v>5</v>
      </c>
      <c r="BQ57" s="100">
        <v>7056</v>
      </c>
      <c r="BR57" s="100">
        <v>4</v>
      </c>
      <c r="BS57" s="100">
        <v>5644.8</v>
      </c>
      <c r="BT57" s="100">
        <v>4</v>
      </c>
      <c r="BU57" s="100">
        <v>5644.8</v>
      </c>
      <c r="BV57" s="100">
        <v>3</v>
      </c>
      <c r="BW57" s="100">
        <v>4233.6000000000004</v>
      </c>
      <c r="BX57" s="100">
        <v>6</v>
      </c>
      <c r="BY57" s="100">
        <v>8467.2000000000007</v>
      </c>
      <c r="BZ57" s="100">
        <v>4</v>
      </c>
      <c r="CA57" s="100">
        <v>5644.8</v>
      </c>
      <c r="CB57" s="100">
        <v>5</v>
      </c>
      <c r="CC57" s="100">
        <v>7056</v>
      </c>
      <c r="CD57" s="100">
        <v>7</v>
      </c>
      <c r="CE57" s="100">
        <v>9878.4</v>
      </c>
      <c r="CF57" s="100">
        <v>5</v>
      </c>
      <c r="CG57" s="100">
        <v>7056</v>
      </c>
      <c r="CH57" s="100">
        <v>5</v>
      </c>
      <c r="CI57" s="100">
        <v>7056</v>
      </c>
      <c r="CJ57" s="100">
        <v>5</v>
      </c>
      <c r="CK57" s="100">
        <v>7056</v>
      </c>
      <c r="CL57" s="100">
        <v>7</v>
      </c>
      <c r="CM57" s="100">
        <v>9878.4</v>
      </c>
      <c r="CN57" s="100">
        <v>6</v>
      </c>
      <c r="CO57" s="100">
        <v>8467.2000000000007</v>
      </c>
      <c r="CP57" s="100">
        <v>4</v>
      </c>
      <c r="CQ57" s="100">
        <v>5644.8</v>
      </c>
      <c r="CR57" s="100">
        <v>4</v>
      </c>
      <c r="CS57" s="100">
        <v>5644.8</v>
      </c>
      <c r="CT57" s="100">
        <v>4</v>
      </c>
      <c r="CU57" s="100">
        <v>5644.8</v>
      </c>
    </row>
    <row r="58" spans="2:99">
      <c r="C58" s="99" t="s">
        <v>224</v>
      </c>
      <c r="D58" s="100">
        <v>4.8837038998888769</v>
      </c>
      <c r="E58" s="100">
        <v>5749.0962309491861</v>
      </c>
      <c r="F58" s="100">
        <v>6.2989843874123421</v>
      </c>
      <c r="G58" s="100">
        <v>7415.164420861809</v>
      </c>
      <c r="H58" s="100">
        <v>2.6701052665583838</v>
      </c>
      <c r="I58" s="100">
        <v>3143.2479197925295</v>
      </c>
      <c r="J58" s="100">
        <v>5.4830449371357526</v>
      </c>
      <c r="K58" s="100">
        <v>6454.6404999962078</v>
      </c>
      <c r="L58" s="100">
        <v>2.3538480671734745</v>
      </c>
      <c r="M58" s="100">
        <v>2770.9499446766145</v>
      </c>
      <c r="N58" s="100">
        <v>4</v>
      </c>
      <c r="O58" s="100">
        <v>4708.8</v>
      </c>
      <c r="P58" s="100">
        <v>4.2042079244392454</v>
      </c>
      <c r="Q58" s="100">
        <v>4949.19356864988</v>
      </c>
      <c r="R58" s="100">
        <v>6</v>
      </c>
      <c r="S58" s="100">
        <v>7063.2000000000007</v>
      </c>
      <c r="T58" s="100">
        <v>6.0110228235878598</v>
      </c>
      <c r="U58" s="100">
        <v>7076.1760679276285</v>
      </c>
      <c r="V58" s="100">
        <v>5</v>
      </c>
      <c r="W58" s="100">
        <v>5886</v>
      </c>
      <c r="X58" s="100">
        <v>5.326472904724092</v>
      </c>
      <c r="Y58" s="100">
        <v>6270.3239034412009</v>
      </c>
      <c r="Z58" s="100">
        <v>3.3687519855047769</v>
      </c>
      <c r="AA58" s="100">
        <v>3965.6948373362234</v>
      </c>
      <c r="AB58" s="100">
        <v>6</v>
      </c>
      <c r="AC58" s="100">
        <v>7063.2000000000007</v>
      </c>
      <c r="AD58" s="100">
        <v>5</v>
      </c>
      <c r="AE58" s="100">
        <v>5886</v>
      </c>
      <c r="AF58" s="100">
        <v>7.2249034987410203</v>
      </c>
      <c r="AG58" s="100">
        <v>8505.1563987179288</v>
      </c>
      <c r="AH58" s="100">
        <v>4</v>
      </c>
      <c r="AI58" s="100">
        <v>4708.8</v>
      </c>
      <c r="AJ58" s="100">
        <v>7</v>
      </c>
      <c r="AK58" s="100">
        <v>8240.4</v>
      </c>
      <c r="AL58" s="100">
        <v>2.4859301673056651</v>
      </c>
      <c r="AM58" s="100">
        <v>2926.436992952229</v>
      </c>
      <c r="AN58" s="100">
        <v>3.0096679645231492</v>
      </c>
      <c r="AO58" s="100">
        <v>3542.9811278366515</v>
      </c>
      <c r="AP58" s="100">
        <v>3.7460467943777753</v>
      </c>
      <c r="AQ58" s="100">
        <v>4409.846286341517</v>
      </c>
      <c r="AR58" s="100">
        <v>2.1627716310476939</v>
      </c>
      <c r="AS58" s="100">
        <v>2546.0147640693453</v>
      </c>
      <c r="AT58" s="100">
        <v>5</v>
      </c>
      <c r="AU58" s="100">
        <v>5886</v>
      </c>
      <c r="AV58" s="100">
        <v>4</v>
      </c>
      <c r="AW58" s="100">
        <v>4708.8</v>
      </c>
      <c r="AX58" s="100">
        <v>5</v>
      </c>
      <c r="AY58" s="100">
        <v>5886</v>
      </c>
      <c r="AZ58" s="100">
        <v>4</v>
      </c>
      <c r="BA58" s="100">
        <v>4708.8</v>
      </c>
      <c r="BB58" s="100">
        <v>3</v>
      </c>
      <c r="BC58" s="100">
        <v>3531.6000000000004</v>
      </c>
      <c r="BD58" s="100">
        <v>6</v>
      </c>
      <c r="BE58" s="100">
        <v>7063.2000000000007</v>
      </c>
      <c r="BF58" s="100">
        <v>6.2432734487775416</v>
      </c>
      <c r="BG58" s="100">
        <v>7349.5815039009221</v>
      </c>
      <c r="BH58" s="100">
        <v>5</v>
      </c>
      <c r="BI58" s="100">
        <v>5886</v>
      </c>
      <c r="BJ58" s="100">
        <v>6.138552184855059</v>
      </c>
      <c r="BK58" s="100">
        <v>7226.3036320113761</v>
      </c>
      <c r="BL58" s="100">
        <v>3</v>
      </c>
      <c r="BM58" s="100">
        <v>3531.6000000000004</v>
      </c>
      <c r="BN58" s="100">
        <v>4</v>
      </c>
      <c r="BO58" s="100">
        <v>4708.8</v>
      </c>
      <c r="BP58" s="100">
        <v>6</v>
      </c>
      <c r="BQ58" s="100">
        <v>7063.2000000000007</v>
      </c>
      <c r="BR58" s="100">
        <v>4</v>
      </c>
      <c r="BS58" s="100">
        <v>4708.8</v>
      </c>
      <c r="BT58" s="100">
        <v>4</v>
      </c>
      <c r="BU58" s="100">
        <v>4708.8</v>
      </c>
      <c r="BV58" s="100">
        <v>3.051134547234259</v>
      </c>
      <c r="BW58" s="100">
        <v>3591.7955890041699</v>
      </c>
      <c r="BX58" s="100">
        <v>7</v>
      </c>
      <c r="BY58" s="100">
        <v>8240.4</v>
      </c>
      <c r="BZ58" s="100">
        <v>4.1239804652112015</v>
      </c>
      <c r="CA58" s="100">
        <v>4854.7498036466268</v>
      </c>
      <c r="CB58" s="100">
        <v>5</v>
      </c>
      <c r="CC58" s="100">
        <v>5886</v>
      </c>
      <c r="CD58" s="100">
        <v>6.2873062736549272</v>
      </c>
      <c r="CE58" s="100">
        <v>7401.4169453465802</v>
      </c>
      <c r="CF58" s="100">
        <v>5</v>
      </c>
      <c r="CG58" s="100">
        <v>5886</v>
      </c>
      <c r="CH58" s="100">
        <v>5.2122205759467901</v>
      </c>
      <c r="CI58" s="100">
        <v>6135.8260620045612</v>
      </c>
      <c r="CJ58" s="100">
        <v>5</v>
      </c>
      <c r="CK58" s="100">
        <v>5886</v>
      </c>
      <c r="CL58" s="100">
        <v>6</v>
      </c>
      <c r="CM58" s="100">
        <v>7063.2000000000007</v>
      </c>
      <c r="CN58" s="100">
        <v>6</v>
      </c>
      <c r="CO58" s="100">
        <v>7063.2000000000007</v>
      </c>
      <c r="CP58" s="100">
        <v>4</v>
      </c>
      <c r="CQ58" s="100">
        <v>4708.8</v>
      </c>
      <c r="CR58" s="100">
        <v>4</v>
      </c>
      <c r="CS58" s="100">
        <v>4708.8</v>
      </c>
      <c r="CT58" s="100">
        <v>5</v>
      </c>
      <c r="CU58" s="100">
        <v>5886</v>
      </c>
    </row>
    <row r="59" spans="2:99">
      <c r="C59" s="99" t="s">
        <v>225</v>
      </c>
      <c r="D59" s="100">
        <v>4.6307856941123609</v>
      </c>
      <c r="E59" s="100">
        <v>1405.9065367325127</v>
      </c>
      <c r="F59" s="100">
        <v>4.5878567995212487</v>
      </c>
      <c r="G59" s="100">
        <v>1392.873324334651</v>
      </c>
      <c r="H59" s="100">
        <v>1.7465787892115336</v>
      </c>
      <c r="I59" s="100">
        <v>530.26132040462153</v>
      </c>
      <c r="J59" s="100">
        <v>4.0444160246472027E-4</v>
      </c>
      <c r="K59" s="100">
        <v>0.12278847050828906</v>
      </c>
      <c r="L59" s="100">
        <v>6</v>
      </c>
      <c r="M59" s="100">
        <v>1821.6</v>
      </c>
      <c r="N59" s="100">
        <v>5</v>
      </c>
      <c r="O59" s="100">
        <v>1517.9999999999998</v>
      </c>
      <c r="P59" s="100">
        <v>4</v>
      </c>
      <c r="Q59" s="100">
        <v>1214.3999999999999</v>
      </c>
      <c r="R59" s="100">
        <v>6</v>
      </c>
      <c r="S59" s="100">
        <v>1821.6</v>
      </c>
      <c r="T59" s="100">
        <v>6</v>
      </c>
      <c r="U59" s="100">
        <v>1821.6</v>
      </c>
      <c r="V59" s="100">
        <v>6.0290857837966119</v>
      </c>
      <c r="W59" s="100">
        <v>1830.4304439606512</v>
      </c>
      <c r="X59" s="100">
        <v>6.0253192167009599</v>
      </c>
      <c r="Y59" s="100">
        <v>1829.2869141904112</v>
      </c>
      <c r="Z59" s="100">
        <v>4</v>
      </c>
      <c r="AA59" s="100">
        <v>1214.3999999999999</v>
      </c>
      <c r="AB59" s="100">
        <v>7</v>
      </c>
      <c r="AC59" s="100">
        <v>2125.1999999999998</v>
      </c>
      <c r="AD59" s="100">
        <v>6</v>
      </c>
      <c r="AE59" s="100">
        <v>1821.6</v>
      </c>
      <c r="AF59" s="100">
        <v>7</v>
      </c>
      <c r="AG59" s="100">
        <v>2125.1999999999998</v>
      </c>
      <c r="AH59" s="100">
        <v>4</v>
      </c>
      <c r="AI59" s="100">
        <v>1214.3999999999999</v>
      </c>
      <c r="AJ59" s="100">
        <v>7</v>
      </c>
      <c r="AK59" s="100">
        <v>2125.1999999999998</v>
      </c>
      <c r="AL59" s="100">
        <v>4</v>
      </c>
      <c r="AM59" s="100">
        <v>1214.3999999999999</v>
      </c>
      <c r="AN59" s="100">
        <v>6</v>
      </c>
      <c r="AO59" s="100">
        <v>1821.6</v>
      </c>
      <c r="AP59" s="100">
        <v>4</v>
      </c>
      <c r="AQ59" s="100">
        <v>1214.3999999999999</v>
      </c>
      <c r="AR59" s="100">
        <v>5</v>
      </c>
      <c r="AS59" s="100">
        <v>1517.9999999999998</v>
      </c>
      <c r="AT59" s="100">
        <v>6</v>
      </c>
      <c r="AU59" s="100">
        <v>1821.6</v>
      </c>
      <c r="AV59" s="100">
        <v>5</v>
      </c>
      <c r="AW59" s="100">
        <v>1517.9999999999998</v>
      </c>
      <c r="AX59" s="100">
        <v>5</v>
      </c>
      <c r="AY59" s="100">
        <v>1517.9999999999998</v>
      </c>
      <c r="AZ59" s="100">
        <v>5</v>
      </c>
      <c r="BA59" s="100">
        <v>1517.9999999999998</v>
      </c>
      <c r="BB59" s="100">
        <v>3</v>
      </c>
      <c r="BC59" s="100">
        <v>910.8</v>
      </c>
      <c r="BD59" s="100">
        <v>6</v>
      </c>
      <c r="BE59" s="100">
        <v>1821.6</v>
      </c>
      <c r="BF59" s="100">
        <v>6</v>
      </c>
      <c r="BG59" s="100">
        <v>1821.6</v>
      </c>
      <c r="BH59" s="100">
        <v>5</v>
      </c>
      <c r="BI59" s="100">
        <v>1517.9999999999998</v>
      </c>
      <c r="BJ59" s="100">
        <v>6</v>
      </c>
      <c r="BK59" s="100">
        <v>1821.6</v>
      </c>
      <c r="BL59" s="100">
        <v>4</v>
      </c>
      <c r="BM59" s="100">
        <v>1214.3999999999999</v>
      </c>
      <c r="BN59" s="100">
        <v>4</v>
      </c>
      <c r="BO59" s="100">
        <v>1214.3999999999999</v>
      </c>
      <c r="BP59" s="100">
        <v>6</v>
      </c>
      <c r="BQ59" s="100">
        <v>1821.6</v>
      </c>
      <c r="BR59" s="100">
        <v>4</v>
      </c>
      <c r="BS59" s="100">
        <v>1214.3999999999999</v>
      </c>
      <c r="BT59" s="100">
        <v>4</v>
      </c>
      <c r="BU59" s="100">
        <v>1214.3999999999999</v>
      </c>
      <c r="BV59" s="100">
        <v>4</v>
      </c>
      <c r="BW59" s="100">
        <v>1214.3999999999999</v>
      </c>
      <c r="BX59" s="100">
        <v>7</v>
      </c>
      <c r="BY59" s="100">
        <v>2125.1999999999998</v>
      </c>
      <c r="BZ59" s="100">
        <v>4</v>
      </c>
      <c r="CA59" s="100">
        <v>1214.3999999999999</v>
      </c>
      <c r="CB59" s="100">
        <v>5</v>
      </c>
      <c r="CC59" s="100">
        <v>1517.9999999999998</v>
      </c>
      <c r="CD59" s="100">
        <v>6</v>
      </c>
      <c r="CE59" s="100">
        <v>1821.6</v>
      </c>
      <c r="CF59" s="100">
        <v>5</v>
      </c>
      <c r="CG59" s="100">
        <v>1517.9999999999998</v>
      </c>
      <c r="CH59" s="100">
        <v>6</v>
      </c>
      <c r="CI59" s="100">
        <v>1821.6</v>
      </c>
      <c r="CJ59" s="100">
        <v>5</v>
      </c>
      <c r="CK59" s="100">
        <v>1517.9999999999998</v>
      </c>
      <c r="CL59" s="100">
        <v>7</v>
      </c>
      <c r="CM59" s="100">
        <v>2125.1999999999998</v>
      </c>
      <c r="CN59" s="100">
        <v>7</v>
      </c>
      <c r="CO59" s="100">
        <v>2125.1999999999998</v>
      </c>
      <c r="CP59" s="100">
        <v>4</v>
      </c>
      <c r="CQ59" s="100">
        <v>1214.3999999999999</v>
      </c>
      <c r="CR59" s="100">
        <v>4</v>
      </c>
      <c r="CS59" s="100">
        <v>1214.3999999999999</v>
      </c>
      <c r="CT59" s="100">
        <v>4</v>
      </c>
      <c r="CU59" s="100">
        <v>1214.3999999999999</v>
      </c>
    </row>
    <row r="60" spans="2:99">
      <c r="C60" s="99" t="s">
        <v>226</v>
      </c>
      <c r="D60" s="100">
        <v>4.6307856941123609</v>
      </c>
      <c r="E60" s="100">
        <v>3017.4199582836145</v>
      </c>
      <c r="F60" s="100">
        <v>4.5878567995212487</v>
      </c>
      <c r="G60" s="100">
        <v>2989.4474905680459</v>
      </c>
      <c r="H60" s="100">
        <v>1.7465787892115336</v>
      </c>
      <c r="I60" s="100">
        <v>1138.0707390502353</v>
      </c>
      <c r="J60" s="100">
        <v>4.0444160246472027E-4</v>
      </c>
      <c r="K60" s="100">
        <v>0.26353414816601173</v>
      </c>
      <c r="L60" s="100">
        <v>5</v>
      </c>
      <c r="M60" s="100">
        <v>3258</v>
      </c>
      <c r="N60" s="100">
        <v>5</v>
      </c>
      <c r="O60" s="100">
        <v>3258</v>
      </c>
      <c r="P60" s="100">
        <v>4</v>
      </c>
      <c r="Q60" s="100">
        <v>2606.4</v>
      </c>
      <c r="R60" s="100">
        <v>6</v>
      </c>
      <c r="S60" s="100">
        <v>3909.6000000000004</v>
      </c>
      <c r="T60" s="100">
        <v>6</v>
      </c>
      <c r="U60" s="100">
        <v>3909.6000000000004</v>
      </c>
      <c r="V60" s="100">
        <v>5.0237974594699555</v>
      </c>
      <c r="W60" s="100">
        <v>3273.5064245906233</v>
      </c>
      <c r="X60" s="100">
        <v>7.0253192167009599</v>
      </c>
      <c r="Y60" s="100">
        <v>4577.6980016023454</v>
      </c>
      <c r="Z60" s="100">
        <v>4</v>
      </c>
      <c r="AA60" s="100">
        <v>2606.4</v>
      </c>
      <c r="AB60" s="100">
        <v>6</v>
      </c>
      <c r="AC60" s="100">
        <v>3909.6000000000004</v>
      </c>
      <c r="AD60" s="100">
        <v>5</v>
      </c>
      <c r="AE60" s="100">
        <v>3258</v>
      </c>
      <c r="AF60" s="100">
        <v>7</v>
      </c>
      <c r="AG60" s="100">
        <v>4561.2</v>
      </c>
      <c r="AH60" s="100">
        <v>3</v>
      </c>
      <c r="AI60" s="100">
        <v>1954.8000000000002</v>
      </c>
      <c r="AJ60" s="100">
        <v>7</v>
      </c>
      <c r="AK60" s="100">
        <v>4561.2</v>
      </c>
      <c r="AL60" s="100">
        <v>4</v>
      </c>
      <c r="AM60" s="100">
        <v>2606.4</v>
      </c>
      <c r="AN60" s="100">
        <v>5</v>
      </c>
      <c r="AO60" s="100">
        <v>3258</v>
      </c>
      <c r="AP60" s="100">
        <v>5</v>
      </c>
      <c r="AQ60" s="100">
        <v>3258</v>
      </c>
      <c r="AR60" s="100">
        <v>4</v>
      </c>
      <c r="AS60" s="100">
        <v>2606.4</v>
      </c>
      <c r="AT60" s="100">
        <v>6</v>
      </c>
      <c r="AU60" s="100">
        <v>3909.6000000000004</v>
      </c>
      <c r="AV60" s="100">
        <v>5</v>
      </c>
      <c r="AW60" s="100">
        <v>3258</v>
      </c>
      <c r="AX60" s="100">
        <v>5</v>
      </c>
      <c r="AY60" s="100">
        <v>3258</v>
      </c>
      <c r="AZ60" s="100">
        <v>4</v>
      </c>
      <c r="BA60" s="100">
        <v>2606.4</v>
      </c>
      <c r="BB60" s="100">
        <v>4</v>
      </c>
      <c r="BC60" s="100">
        <v>2606.4</v>
      </c>
      <c r="BD60" s="100">
        <v>6</v>
      </c>
      <c r="BE60" s="100">
        <v>3909.6000000000004</v>
      </c>
      <c r="BF60" s="100">
        <v>7</v>
      </c>
      <c r="BG60" s="100">
        <v>4561.2</v>
      </c>
      <c r="BH60" s="100">
        <v>6</v>
      </c>
      <c r="BI60" s="100">
        <v>3909.6000000000004</v>
      </c>
      <c r="BJ60" s="100">
        <v>7</v>
      </c>
      <c r="BK60" s="100">
        <v>4561.2</v>
      </c>
      <c r="BL60" s="100">
        <v>4</v>
      </c>
      <c r="BM60" s="100">
        <v>2606.4</v>
      </c>
      <c r="BN60" s="100">
        <v>4</v>
      </c>
      <c r="BO60" s="100">
        <v>2606.4</v>
      </c>
      <c r="BP60" s="100">
        <v>6</v>
      </c>
      <c r="BQ60" s="100">
        <v>3909.6000000000004</v>
      </c>
      <c r="BR60" s="100">
        <v>4</v>
      </c>
      <c r="BS60" s="100">
        <v>2606.4</v>
      </c>
      <c r="BT60" s="100">
        <v>5</v>
      </c>
      <c r="BU60" s="100">
        <v>3258</v>
      </c>
      <c r="BV60" s="100">
        <v>4</v>
      </c>
      <c r="BW60" s="100">
        <v>2606.4</v>
      </c>
      <c r="BX60" s="100">
        <v>7</v>
      </c>
      <c r="BY60" s="100">
        <v>4561.2</v>
      </c>
      <c r="BZ60" s="100">
        <v>4</v>
      </c>
      <c r="CA60" s="100">
        <v>2606.4</v>
      </c>
      <c r="CB60" s="100">
        <v>5</v>
      </c>
      <c r="CC60" s="100">
        <v>3258</v>
      </c>
      <c r="CD60" s="100">
        <v>7</v>
      </c>
      <c r="CE60" s="100">
        <v>4561.2</v>
      </c>
      <c r="CF60" s="100">
        <v>5</v>
      </c>
      <c r="CG60" s="100">
        <v>3258</v>
      </c>
      <c r="CH60" s="100">
        <v>6</v>
      </c>
      <c r="CI60" s="100">
        <v>3909.6000000000004</v>
      </c>
      <c r="CJ60" s="100">
        <v>5</v>
      </c>
      <c r="CK60" s="100">
        <v>3258</v>
      </c>
      <c r="CL60" s="100">
        <v>7</v>
      </c>
      <c r="CM60" s="100">
        <v>4561.2</v>
      </c>
      <c r="CN60" s="100">
        <v>6</v>
      </c>
      <c r="CO60" s="100">
        <v>3909.6000000000004</v>
      </c>
      <c r="CP60" s="100">
        <v>4</v>
      </c>
      <c r="CQ60" s="100">
        <v>2606.4</v>
      </c>
      <c r="CR60" s="100">
        <v>4</v>
      </c>
      <c r="CS60" s="100">
        <v>2606.4</v>
      </c>
      <c r="CT60" s="100">
        <v>5</v>
      </c>
      <c r="CU60" s="100">
        <v>3258</v>
      </c>
    </row>
    <row r="61" spans="2:99">
      <c r="C61" s="99" t="s">
        <v>227</v>
      </c>
      <c r="D61" s="100">
        <v>4.6307856941123609</v>
      </c>
      <c r="E61" s="100">
        <v>4406.6556665173221</v>
      </c>
      <c r="F61" s="100">
        <v>4.6295675742832492</v>
      </c>
      <c r="G61" s="100">
        <v>4405.4965036879394</v>
      </c>
      <c r="H61" s="100">
        <v>1.3972630313692269</v>
      </c>
      <c r="I61" s="100">
        <v>1329.6355006509561</v>
      </c>
      <c r="J61" s="100">
        <v>4.0444160246472027E-4</v>
      </c>
      <c r="K61" s="100">
        <v>0.38486662890542778</v>
      </c>
      <c r="L61" s="100">
        <v>5</v>
      </c>
      <c r="M61" s="100">
        <v>4758</v>
      </c>
      <c r="N61" s="100">
        <v>4</v>
      </c>
      <c r="O61" s="100">
        <v>3806.3999999999996</v>
      </c>
      <c r="P61" s="100">
        <v>4</v>
      </c>
      <c r="Q61" s="100">
        <v>3806.3999999999996</v>
      </c>
      <c r="R61" s="100">
        <v>6</v>
      </c>
      <c r="S61" s="100">
        <v>5709.5999999999995</v>
      </c>
      <c r="T61" s="100">
        <v>7</v>
      </c>
      <c r="U61" s="100">
        <v>6661.1999999999989</v>
      </c>
      <c r="V61" s="100">
        <v>5.0237974594699555</v>
      </c>
      <c r="W61" s="100">
        <v>4780.6456624316088</v>
      </c>
      <c r="X61" s="100">
        <v>6.0227872950308639</v>
      </c>
      <c r="Y61" s="100">
        <v>5731.2843899513691</v>
      </c>
      <c r="Z61" s="100">
        <v>4</v>
      </c>
      <c r="AA61" s="100">
        <v>3806.3999999999996</v>
      </c>
      <c r="AB61" s="100">
        <v>6</v>
      </c>
      <c r="AC61" s="100">
        <v>5709.5999999999995</v>
      </c>
      <c r="AD61" s="100">
        <v>5</v>
      </c>
      <c r="AE61" s="100">
        <v>4758</v>
      </c>
      <c r="AF61" s="100">
        <v>6</v>
      </c>
      <c r="AG61" s="100">
        <v>5709.5999999999995</v>
      </c>
      <c r="AH61" s="100">
        <v>4</v>
      </c>
      <c r="AI61" s="100">
        <v>3806.3999999999996</v>
      </c>
      <c r="AJ61" s="100">
        <v>7</v>
      </c>
      <c r="AK61" s="100">
        <v>6661.1999999999989</v>
      </c>
      <c r="AL61" s="100">
        <v>3</v>
      </c>
      <c r="AM61" s="100">
        <v>2854.7999999999997</v>
      </c>
      <c r="AN61" s="100">
        <v>6</v>
      </c>
      <c r="AO61" s="100">
        <v>5709.5999999999995</v>
      </c>
      <c r="AP61" s="100">
        <v>4</v>
      </c>
      <c r="AQ61" s="100">
        <v>3806.3999999999996</v>
      </c>
      <c r="AR61" s="100">
        <v>4</v>
      </c>
      <c r="AS61" s="100">
        <v>3806.3999999999996</v>
      </c>
      <c r="AT61" s="100">
        <v>6</v>
      </c>
      <c r="AU61" s="100">
        <v>5709.5999999999995</v>
      </c>
      <c r="AV61" s="100">
        <v>4</v>
      </c>
      <c r="AW61" s="100">
        <v>3806.3999999999996</v>
      </c>
      <c r="AX61" s="100">
        <v>5</v>
      </c>
      <c r="AY61" s="100">
        <v>4758</v>
      </c>
      <c r="AZ61" s="100">
        <v>4</v>
      </c>
      <c r="BA61" s="100">
        <v>3806.3999999999996</v>
      </c>
      <c r="BB61" s="100">
        <v>3</v>
      </c>
      <c r="BC61" s="100">
        <v>2854.7999999999997</v>
      </c>
      <c r="BD61" s="100">
        <v>6</v>
      </c>
      <c r="BE61" s="100">
        <v>5709.5999999999995</v>
      </c>
      <c r="BF61" s="100">
        <v>6</v>
      </c>
      <c r="BG61" s="100">
        <v>5709.5999999999995</v>
      </c>
      <c r="BH61" s="100">
        <v>6</v>
      </c>
      <c r="BI61" s="100">
        <v>5709.5999999999995</v>
      </c>
      <c r="BJ61" s="100">
        <v>6</v>
      </c>
      <c r="BK61" s="100">
        <v>5709.5999999999995</v>
      </c>
      <c r="BL61" s="100">
        <v>3</v>
      </c>
      <c r="BM61" s="100">
        <v>2854.7999999999997</v>
      </c>
      <c r="BN61" s="100">
        <v>3</v>
      </c>
      <c r="BO61" s="100">
        <v>2854.7999999999997</v>
      </c>
      <c r="BP61" s="100">
        <v>6</v>
      </c>
      <c r="BQ61" s="100">
        <v>5709.5999999999995</v>
      </c>
      <c r="BR61" s="100">
        <v>5</v>
      </c>
      <c r="BS61" s="100">
        <v>4758</v>
      </c>
      <c r="BT61" s="100">
        <v>4</v>
      </c>
      <c r="BU61" s="100">
        <v>3806.3999999999996</v>
      </c>
      <c r="BV61" s="100">
        <v>3</v>
      </c>
      <c r="BW61" s="100">
        <v>2854.7999999999997</v>
      </c>
      <c r="BX61" s="100">
        <v>7</v>
      </c>
      <c r="BY61" s="100">
        <v>6661.1999999999989</v>
      </c>
      <c r="BZ61" s="100">
        <v>4</v>
      </c>
      <c r="CA61" s="100">
        <v>3806.3999999999996</v>
      </c>
      <c r="CB61" s="100">
        <v>5</v>
      </c>
      <c r="CC61" s="100">
        <v>4758</v>
      </c>
      <c r="CD61" s="100">
        <v>7</v>
      </c>
      <c r="CE61" s="100">
        <v>6661.1999999999989</v>
      </c>
      <c r="CF61" s="100">
        <v>5</v>
      </c>
      <c r="CG61" s="100">
        <v>4758</v>
      </c>
      <c r="CH61" s="100">
        <v>5</v>
      </c>
      <c r="CI61" s="100">
        <v>4758</v>
      </c>
      <c r="CJ61" s="100">
        <v>5</v>
      </c>
      <c r="CK61" s="100">
        <v>4758</v>
      </c>
      <c r="CL61" s="100">
        <v>6</v>
      </c>
      <c r="CM61" s="100">
        <v>5709.5999999999995</v>
      </c>
      <c r="CN61" s="100">
        <v>6</v>
      </c>
      <c r="CO61" s="100">
        <v>5709.5999999999995</v>
      </c>
      <c r="CP61" s="100">
        <v>4</v>
      </c>
      <c r="CQ61" s="100">
        <v>3806.3999999999996</v>
      </c>
      <c r="CR61" s="100">
        <v>4</v>
      </c>
      <c r="CS61" s="100">
        <v>3806.3999999999996</v>
      </c>
      <c r="CT61" s="100">
        <v>5</v>
      </c>
      <c r="CU61" s="100">
        <v>4758</v>
      </c>
    </row>
    <row r="62" spans="2:99">
      <c r="C62" s="99" t="s">
        <v>228</v>
      </c>
      <c r="D62" s="100">
        <v>2.7866355044552589</v>
      </c>
      <c r="E62" s="100">
        <v>4651.4519840367184</v>
      </c>
      <c r="F62" s="100">
        <v>1.9802253593893335</v>
      </c>
      <c r="G62" s="100">
        <v>3305.3921698926756</v>
      </c>
      <c r="H62" s="100">
        <v>2.688203014404158</v>
      </c>
      <c r="I62" s="100">
        <v>4487.1484716434206</v>
      </c>
      <c r="J62" s="100">
        <v>4.6605731346999617</v>
      </c>
      <c r="K62" s="100">
        <v>7779.4286764411763</v>
      </c>
      <c r="L62" s="100">
        <v>3.6850364068654118</v>
      </c>
      <c r="M62" s="100">
        <v>6151.0627703397458</v>
      </c>
      <c r="N62" s="100">
        <v>2.1209476941441978</v>
      </c>
      <c r="O62" s="100">
        <v>3540.285891065495</v>
      </c>
      <c r="P62" s="100">
        <v>2.946734598514678</v>
      </c>
      <c r="Q62" s="100">
        <v>4918.6893918407004</v>
      </c>
      <c r="R62" s="100">
        <v>4.2330593987236433</v>
      </c>
      <c r="S62" s="100">
        <v>7065.8227483495057</v>
      </c>
      <c r="T62" s="100">
        <v>4.4201018977720166</v>
      </c>
      <c r="U62" s="100">
        <v>7378.0340877610506</v>
      </c>
      <c r="V62" s="100">
        <v>4.9675315781040359</v>
      </c>
      <c r="W62" s="100">
        <v>8291.8037101712562</v>
      </c>
      <c r="X62" s="100">
        <v>4.43164562731772</v>
      </c>
      <c r="Y62" s="100">
        <v>7397.3028811187387</v>
      </c>
      <c r="Z62" s="100">
        <v>2.0516313304240863</v>
      </c>
      <c r="AA62" s="100">
        <v>3424.5830167438849</v>
      </c>
      <c r="AB62" s="100">
        <v>3.857621953024204</v>
      </c>
      <c r="AC62" s="100">
        <v>6439.1425639880017</v>
      </c>
      <c r="AD62" s="100">
        <v>0.88885275023684518</v>
      </c>
      <c r="AE62" s="100">
        <v>1483.6730106953421</v>
      </c>
      <c r="AF62" s="100">
        <v>2.7768511978595694</v>
      </c>
      <c r="AG62" s="100">
        <v>4635.1200194671937</v>
      </c>
      <c r="AH62" s="100">
        <v>1.8931202888157779</v>
      </c>
      <c r="AI62" s="100">
        <v>3159.9963860912967</v>
      </c>
      <c r="AJ62" s="100">
        <v>4.732762806838263</v>
      </c>
      <c r="AK62" s="100">
        <v>7899.9276771744289</v>
      </c>
      <c r="AL62" s="100">
        <v>1.6370747769525991</v>
      </c>
      <c r="AM62" s="100">
        <v>2732.6052176892786</v>
      </c>
      <c r="AN62" s="100">
        <v>2.9063155529333699E-4</v>
      </c>
      <c r="AO62" s="100">
        <v>0.48512219209563812</v>
      </c>
      <c r="AP62" s="100">
        <v>2.3042299936510542</v>
      </c>
      <c r="AQ62" s="100">
        <v>3846.2207054023397</v>
      </c>
      <c r="AR62" s="100">
        <v>0.21892926003904736</v>
      </c>
      <c r="AS62" s="100">
        <v>365.43672085717787</v>
      </c>
      <c r="AT62" s="100">
        <v>2.5549721952439399</v>
      </c>
      <c r="AU62" s="100">
        <v>4264.7595883011845</v>
      </c>
      <c r="AV62" s="100">
        <v>4</v>
      </c>
      <c r="AW62" s="100">
        <v>6676.8</v>
      </c>
      <c r="AX62" s="100">
        <v>3.8885167219200762</v>
      </c>
      <c r="AY62" s="100">
        <v>6490.7121122289918</v>
      </c>
      <c r="AZ62" s="100">
        <v>2.3533481409256622</v>
      </c>
      <c r="BA62" s="100">
        <v>3928.2087168331154</v>
      </c>
      <c r="BB62" s="100">
        <v>2.0381418904571</v>
      </c>
      <c r="BC62" s="100">
        <v>3402.0664435509916</v>
      </c>
      <c r="BD62" s="100">
        <v>4.6675226058226782</v>
      </c>
      <c r="BE62" s="100">
        <v>7791.0287336392148</v>
      </c>
      <c r="BF62" s="100">
        <v>5.1354344995300298</v>
      </c>
      <c r="BG62" s="100">
        <v>8572.067266615526</v>
      </c>
      <c r="BH62" s="100">
        <v>0.23304287820550901</v>
      </c>
      <c r="BI62" s="100">
        <v>388.99517230063566</v>
      </c>
      <c r="BJ62" s="100">
        <v>6</v>
      </c>
      <c r="BK62" s="100">
        <v>10015.200000000001</v>
      </c>
      <c r="BL62" s="100">
        <v>4.2348371903439315</v>
      </c>
      <c r="BM62" s="100">
        <v>7068.7902381220902</v>
      </c>
      <c r="BN62" s="100">
        <v>2.1100160448365091</v>
      </c>
      <c r="BO62" s="100">
        <v>3522.0387820411011</v>
      </c>
      <c r="BP62" s="100">
        <v>0.24750760857688545</v>
      </c>
      <c r="BQ62" s="100">
        <v>413.13970023653718</v>
      </c>
      <c r="BR62" s="100">
        <v>4.3311910683198063</v>
      </c>
      <c r="BS62" s="100">
        <v>7229.6241312394204</v>
      </c>
      <c r="BT62" s="100">
        <v>1.6055245949006887</v>
      </c>
      <c r="BU62" s="100">
        <v>2679.9416538082296</v>
      </c>
      <c r="BV62" s="100">
        <v>2.993406269332076</v>
      </c>
      <c r="BW62" s="100">
        <v>4996.5937447691012</v>
      </c>
      <c r="BX62" s="100">
        <v>5.2172344609567736</v>
      </c>
      <c r="BY62" s="100">
        <v>8708.6077622290468</v>
      </c>
      <c r="BZ62" s="100">
        <v>2.1765643179577929</v>
      </c>
      <c r="CA62" s="100">
        <v>3633.1211595351479</v>
      </c>
      <c r="CB62" s="100">
        <v>2.3742067952472188E-4</v>
      </c>
      <c r="CC62" s="100">
        <v>0.39630259826266578</v>
      </c>
      <c r="CD62" s="100">
        <v>3.243476758418343</v>
      </c>
      <c r="CE62" s="100">
        <v>5414.0114051518985</v>
      </c>
      <c r="CF62" s="100">
        <v>0.20391251842982039</v>
      </c>
      <c r="CG62" s="100">
        <v>340.3707757630562</v>
      </c>
      <c r="CH62" s="100">
        <v>5.0150536853399794</v>
      </c>
      <c r="CI62" s="100">
        <v>8371.1276115694945</v>
      </c>
      <c r="CJ62" s="100">
        <v>4.2609248155905313</v>
      </c>
      <c r="CK62" s="100">
        <v>7112.3357021837146</v>
      </c>
      <c r="CL62" s="100">
        <v>3.0434981466843083</v>
      </c>
      <c r="CM62" s="100">
        <v>5080.2071064454476</v>
      </c>
      <c r="CN62" s="100">
        <v>0.27784725091856821</v>
      </c>
      <c r="CO62" s="100">
        <v>463.78263123327406</v>
      </c>
      <c r="CP62" s="100">
        <v>4.0084858661480371</v>
      </c>
      <c r="CQ62" s="100">
        <v>6690.9646077743037</v>
      </c>
      <c r="CR62" s="100">
        <v>3.2812257539238563</v>
      </c>
      <c r="CS62" s="100">
        <v>5477.0220284497009</v>
      </c>
      <c r="CT62" s="100">
        <v>2.9234109067063483</v>
      </c>
      <c r="CU62" s="100">
        <v>4879.757485474237</v>
      </c>
    </row>
    <row r="63" spans="2:99">
      <c r="C63" s="99" t="s">
        <v>229</v>
      </c>
      <c r="D63" s="100">
        <v>4.6307856941123609</v>
      </c>
      <c r="E63" s="100">
        <v>3684.2530982357944</v>
      </c>
      <c r="F63" s="100">
        <v>4.5878567995212487</v>
      </c>
      <c r="G63" s="100">
        <v>3650.0988696991058</v>
      </c>
      <c r="H63" s="100">
        <v>1.3972630313692269</v>
      </c>
      <c r="I63" s="100">
        <v>1111.662467757357</v>
      </c>
      <c r="J63" s="100">
        <v>4.0444160246472027E-4</v>
      </c>
      <c r="K63" s="100">
        <v>0.32177373892093147</v>
      </c>
      <c r="L63" s="100">
        <v>6</v>
      </c>
      <c r="M63" s="100">
        <v>4773.6000000000004</v>
      </c>
      <c r="N63" s="100">
        <v>5</v>
      </c>
      <c r="O63" s="100">
        <v>3978</v>
      </c>
      <c r="P63" s="100">
        <v>4</v>
      </c>
      <c r="Q63" s="100">
        <v>3182.4</v>
      </c>
      <c r="R63" s="100">
        <v>6</v>
      </c>
      <c r="S63" s="100">
        <v>4773.6000000000004</v>
      </c>
      <c r="T63" s="100">
        <v>7</v>
      </c>
      <c r="U63" s="100">
        <v>5569.2</v>
      </c>
      <c r="V63" s="100">
        <v>5.0264416216332837</v>
      </c>
      <c r="W63" s="100">
        <v>3999.0369541714408</v>
      </c>
      <c r="X63" s="100">
        <v>6.0227872950308639</v>
      </c>
      <c r="Y63" s="100">
        <v>4791.7295719265558</v>
      </c>
      <c r="Z63" s="100">
        <v>4</v>
      </c>
      <c r="AA63" s="100">
        <v>3182.4</v>
      </c>
      <c r="AB63" s="100">
        <v>6</v>
      </c>
      <c r="AC63" s="100">
        <v>4773.6000000000004</v>
      </c>
      <c r="AD63" s="100">
        <v>5</v>
      </c>
      <c r="AE63" s="100">
        <v>3978</v>
      </c>
      <c r="AF63" s="100">
        <v>7</v>
      </c>
      <c r="AG63" s="100">
        <v>5569.2</v>
      </c>
      <c r="AH63" s="100">
        <v>3</v>
      </c>
      <c r="AI63" s="100">
        <v>2386.8000000000002</v>
      </c>
      <c r="AJ63" s="100">
        <v>7</v>
      </c>
      <c r="AK63" s="100">
        <v>5569.2</v>
      </c>
      <c r="AL63" s="100">
        <v>4</v>
      </c>
      <c r="AM63" s="100">
        <v>3182.4</v>
      </c>
      <c r="AN63" s="100">
        <v>5</v>
      </c>
      <c r="AO63" s="100">
        <v>3978</v>
      </c>
      <c r="AP63" s="100">
        <v>5</v>
      </c>
      <c r="AQ63" s="100">
        <v>3978</v>
      </c>
      <c r="AR63" s="100">
        <v>4</v>
      </c>
      <c r="AS63" s="100">
        <v>3182.4</v>
      </c>
      <c r="AT63" s="100">
        <v>5</v>
      </c>
      <c r="AU63" s="100">
        <v>3978</v>
      </c>
      <c r="AV63" s="100">
        <v>4</v>
      </c>
      <c r="AW63" s="100">
        <v>3182.4</v>
      </c>
      <c r="AX63" s="100">
        <v>5</v>
      </c>
      <c r="AY63" s="100">
        <v>3978</v>
      </c>
      <c r="AZ63" s="100">
        <v>4</v>
      </c>
      <c r="BA63" s="100">
        <v>3182.4</v>
      </c>
      <c r="BB63" s="100">
        <v>4</v>
      </c>
      <c r="BC63" s="100">
        <v>3182.4</v>
      </c>
      <c r="BD63" s="100">
        <v>6</v>
      </c>
      <c r="BE63" s="100">
        <v>4773.6000000000004</v>
      </c>
      <c r="BF63" s="100">
        <v>6</v>
      </c>
      <c r="BG63" s="100">
        <v>4773.6000000000004</v>
      </c>
      <c r="BH63" s="100">
        <v>6</v>
      </c>
      <c r="BI63" s="100">
        <v>4773.6000000000004</v>
      </c>
      <c r="BJ63" s="100">
        <v>6</v>
      </c>
      <c r="BK63" s="100">
        <v>4773.6000000000004</v>
      </c>
      <c r="BL63" s="100">
        <v>4</v>
      </c>
      <c r="BM63" s="100">
        <v>3182.4</v>
      </c>
      <c r="BN63" s="100">
        <v>4</v>
      </c>
      <c r="BO63" s="100">
        <v>3182.4</v>
      </c>
      <c r="BP63" s="100">
        <v>6</v>
      </c>
      <c r="BQ63" s="100">
        <v>4773.6000000000004</v>
      </c>
      <c r="BR63" s="100">
        <v>4</v>
      </c>
      <c r="BS63" s="100">
        <v>3182.4</v>
      </c>
      <c r="BT63" s="100">
        <v>4</v>
      </c>
      <c r="BU63" s="100">
        <v>3182.4</v>
      </c>
      <c r="BV63" s="100">
        <v>4</v>
      </c>
      <c r="BW63" s="100">
        <v>3182.4</v>
      </c>
      <c r="BX63" s="100">
        <v>6</v>
      </c>
      <c r="BY63" s="100">
        <v>4773.6000000000004</v>
      </c>
      <c r="BZ63" s="100">
        <v>4</v>
      </c>
      <c r="CA63" s="100">
        <v>3182.4</v>
      </c>
      <c r="CB63" s="100">
        <v>5</v>
      </c>
      <c r="CC63" s="100">
        <v>3978</v>
      </c>
      <c r="CD63" s="100">
        <v>7</v>
      </c>
      <c r="CE63" s="100">
        <v>5569.2</v>
      </c>
      <c r="CF63" s="100">
        <v>5</v>
      </c>
      <c r="CG63" s="100">
        <v>3978</v>
      </c>
      <c r="CH63" s="100">
        <v>5</v>
      </c>
      <c r="CI63" s="100">
        <v>3978</v>
      </c>
      <c r="CJ63" s="100">
        <v>5</v>
      </c>
      <c r="CK63" s="100">
        <v>3978</v>
      </c>
      <c r="CL63" s="100">
        <v>6</v>
      </c>
      <c r="CM63" s="100">
        <v>4773.6000000000004</v>
      </c>
      <c r="CN63" s="100">
        <v>6</v>
      </c>
      <c r="CO63" s="100">
        <v>4773.6000000000004</v>
      </c>
      <c r="CP63" s="100">
        <v>4</v>
      </c>
      <c r="CQ63" s="100">
        <v>3182.4</v>
      </c>
      <c r="CR63" s="100">
        <v>4</v>
      </c>
      <c r="CS63" s="100">
        <v>3182.4</v>
      </c>
      <c r="CT63" s="100">
        <v>5</v>
      </c>
      <c r="CU63" s="100">
        <v>3978</v>
      </c>
    </row>
    <row r="64" spans="2:99">
      <c r="C64" s="99" t="s">
        <v>230</v>
      </c>
      <c r="D64" s="100">
        <v>4.6307856941123609</v>
      </c>
      <c r="E64" s="100">
        <v>4673.388922498194</v>
      </c>
      <c r="F64" s="100">
        <v>4.5878567995212487</v>
      </c>
      <c r="G64" s="100">
        <v>4630.0650820768433</v>
      </c>
      <c r="H64" s="100">
        <v>1.3972630313692269</v>
      </c>
      <c r="I64" s="100">
        <v>1410.1178512578235</v>
      </c>
      <c r="J64" s="100">
        <v>4.0444160246472027E-4</v>
      </c>
      <c r="K64" s="100">
        <v>0.40816246520739563</v>
      </c>
      <c r="L64" s="100">
        <v>5</v>
      </c>
      <c r="M64" s="100">
        <v>5045.9999999999991</v>
      </c>
      <c r="N64" s="100">
        <v>5</v>
      </c>
      <c r="O64" s="100">
        <v>5045.9999999999991</v>
      </c>
      <c r="P64" s="100">
        <v>4</v>
      </c>
      <c r="Q64" s="100">
        <v>4036.7999999999993</v>
      </c>
      <c r="R64" s="100">
        <v>6</v>
      </c>
      <c r="S64" s="100">
        <v>6055.1999999999989</v>
      </c>
      <c r="T64" s="100">
        <v>6</v>
      </c>
      <c r="U64" s="100">
        <v>6055.1999999999989</v>
      </c>
      <c r="V64" s="100">
        <v>5.0264416216332837</v>
      </c>
      <c r="W64" s="100">
        <v>5072.6848845523091</v>
      </c>
      <c r="X64" s="100">
        <v>6.0227872950308639</v>
      </c>
      <c r="Y64" s="100">
        <v>6078.1969381451463</v>
      </c>
      <c r="Z64" s="100">
        <v>3</v>
      </c>
      <c r="AA64" s="100">
        <v>3027.5999999999995</v>
      </c>
      <c r="AB64" s="100">
        <v>6</v>
      </c>
      <c r="AC64" s="100">
        <v>6055.1999999999989</v>
      </c>
      <c r="AD64" s="100">
        <v>5</v>
      </c>
      <c r="AE64" s="100">
        <v>5045.9999999999991</v>
      </c>
      <c r="AF64" s="100">
        <v>6</v>
      </c>
      <c r="AG64" s="100">
        <v>6055.1999999999989</v>
      </c>
      <c r="AH64" s="100">
        <v>3</v>
      </c>
      <c r="AI64" s="100">
        <v>3027.5999999999995</v>
      </c>
      <c r="AJ64" s="100">
        <v>7</v>
      </c>
      <c r="AK64" s="100">
        <v>7064.3999999999987</v>
      </c>
      <c r="AL64" s="100">
        <v>3</v>
      </c>
      <c r="AM64" s="100">
        <v>3027.5999999999995</v>
      </c>
      <c r="AN64" s="100">
        <v>6</v>
      </c>
      <c r="AO64" s="100">
        <v>6055.1999999999989</v>
      </c>
      <c r="AP64" s="100">
        <v>4</v>
      </c>
      <c r="AQ64" s="100">
        <v>4036.7999999999993</v>
      </c>
      <c r="AR64" s="100">
        <v>4</v>
      </c>
      <c r="AS64" s="100">
        <v>4036.7999999999993</v>
      </c>
      <c r="AT64" s="100">
        <v>5</v>
      </c>
      <c r="AU64" s="100">
        <v>5045.9999999999991</v>
      </c>
      <c r="AV64" s="100">
        <v>5</v>
      </c>
      <c r="AW64" s="100">
        <v>5045.9999999999991</v>
      </c>
      <c r="AX64" s="100">
        <v>4</v>
      </c>
      <c r="AY64" s="100">
        <v>4036.7999999999993</v>
      </c>
      <c r="AZ64" s="100">
        <v>4</v>
      </c>
      <c r="BA64" s="100">
        <v>4036.7999999999993</v>
      </c>
      <c r="BB64" s="100">
        <v>3</v>
      </c>
      <c r="BC64" s="100">
        <v>3027.5999999999995</v>
      </c>
      <c r="BD64" s="100">
        <v>6</v>
      </c>
      <c r="BE64" s="100">
        <v>6055.1999999999989</v>
      </c>
      <c r="BF64" s="100">
        <v>6</v>
      </c>
      <c r="BG64" s="100">
        <v>6055.1999999999989</v>
      </c>
      <c r="BH64" s="100">
        <v>6</v>
      </c>
      <c r="BI64" s="100">
        <v>6055.1999999999989</v>
      </c>
      <c r="BJ64" s="100">
        <v>6</v>
      </c>
      <c r="BK64" s="100">
        <v>6055.1999999999989</v>
      </c>
      <c r="BL64" s="100">
        <v>3</v>
      </c>
      <c r="BM64" s="100">
        <v>3027.5999999999995</v>
      </c>
      <c r="BN64" s="100">
        <v>3</v>
      </c>
      <c r="BO64" s="100">
        <v>3027.5999999999995</v>
      </c>
      <c r="BP64" s="100">
        <v>6</v>
      </c>
      <c r="BQ64" s="100">
        <v>6055.1999999999989</v>
      </c>
      <c r="BR64" s="100">
        <v>4</v>
      </c>
      <c r="BS64" s="100">
        <v>4036.7999999999993</v>
      </c>
      <c r="BT64" s="100">
        <v>5</v>
      </c>
      <c r="BU64" s="100">
        <v>5045.9999999999991</v>
      </c>
      <c r="BV64" s="100">
        <v>3</v>
      </c>
      <c r="BW64" s="100">
        <v>3027.5999999999995</v>
      </c>
      <c r="BX64" s="100">
        <v>7</v>
      </c>
      <c r="BY64" s="100">
        <v>7064.3999999999987</v>
      </c>
      <c r="BZ64" s="100">
        <v>4</v>
      </c>
      <c r="CA64" s="100">
        <v>4036.7999999999993</v>
      </c>
      <c r="CB64" s="100">
        <v>5</v>
      </c>
      <c r="CC64" s="100">
        <v>5045.9999999999991</v>
      </c>
      <c r="CD64" s="100">
        <v>7</v>
      </c>
      <c r="CE64" s="100">
        <v>7064.3999999999987</v>
      </c>
      <c r="CF64" s="100">
        <v>5</v>
      </c>
      <c r="CG64" s="100">
        <v>5045.9999999999991</v>
      </c>
      <c r="CH64" s="100">
        <v>6</v>
      </c>
      <c r="CI64" s="100">
        <v>6055.1999999999989</v>
      </c>
      <c r="CJ64" s="100">
        <v>5</v>
      </c>
      <c r="CK64" s="100">
        <v>5045.9999999999991</v>
      </c>
      <c r="CL64" s="100">
        <v>6</v>
      </c>
      <c r="CM64" s="100">
        <v>6055.1999999999989</v>
      </c>
      <c r="CN64" s="100">
        <v>6</v>
      </c>
      <c r="CO64" s="100">
        <v>6055.1999999999989</v>
      </c>
      <c r="CP64" s="100">
        <v>4</v>
      </c>
      <c r="CQ64" s="100">
        <v>4036.7999999999993</v>
      </c>
      <c r="CR64" s="100">
        <v>4</v>
      </c>
      <c r="CS64" s="100">
        <v>4036.7999999999993</v>
      </c>
      <c r="CT64" s="100">
        <v>4</v>
      </c>
      <c r="CU64" s="100">
        <v>4036.7999999999993</v>
      </c>
    </row>
    <row r="65" spans="2:99">
      <c r="C65" s="99" t="s">
        <v>231</v>
      </c>
      <c r="D65" s="100">
        <v>4.6307856941123609</v>
      </c>
      <c r="E65" s="100">
        <v>4751.1861221592826</v>
      </c>
      <c r="F65" s="100">
        <v>4.5878567995212487</v>
      </c>
      <c r="G65" s="100">
        <v>4707.1410763088015</v>
      </c>
      <c r="H65" s="100">
        <v>1.3972630313692269</v>
      </c>
      <c r="I65" s="100">
        <v>1433.5918701848268</v>
      </c>
      <c r="J65" s="100">
        <v>4.0444160246472027E-4</v>
      </c>
      <c r="K65" s="100">
        <v>0.414957084128803</v>
      </c>
      <c r="L65" s="100">
        <v>6</v>
      </c>
      <c r="M65" s="100">
        <v>6156</v>
      </c>
      <c r="N65" s="100">
        <v>5</v>
      </c>
      <c r="O65" s="100">
        <v>5130</v>
      </c>
      <c r="P65" s="100">
        <v>3</v>
      </c>
      <c r="Q65" s="100">
        <v>3078</v>
      </c>
      <c r="R65" s="100">
        <v>6</v>
      </c>
      <c r="S65" s="100">
        <v>6156</v>
      </c>
      <c r="T65" s="100">
        <v>7</v>
      </c>
      <c r="U65" s="100">
        <v>7182</v>
      </c>
      <c r="V65" s="100">
        <v>5.0237974594699555</v>
      </c>
      <c r="W65" s="100">
        <v>5154.4161934161739</v>
      </c>
      <c r="X65" s="100">
        <v>6.0253192167009599</v>
      </c>
      <c r="Y65" s="100">
        <v>6181.9775163351851</v>
      </c>
      <c r="Z65" s="100">
        <v>4</v>
      </c>
      <c r="AA65" s="100">
        <v>4104</v>
      </c>
      <c r="AB65" s="100">
        <v>6</v>
      </c>
      <c r="AC65" s="100">
        <v>6156</v>
      </c>
      <c r="AD65" s="100">
        <v>5</v>
      </c>
      <c r="AE65" s="100">
        <v>5130</v>
      </c>
      <c r="AF65" s="100">
        <v>7</v>
      </c>
      <c r="AG65" s="100">
        <v>7182</v>
      </c>
      <c r="AH65" s="100">
        <v>4</v>
      </c>
      <c r="AI65" s="100">
        <v>4104</v>
      </c>
      <c r="AJ65" s="100">
        <v>6</v>
      </c>
      <c r="AK65" s="100">
        <v>6156</v>
      </c>
      <c r="AL65" s="100">
        <v>3</v>
      </c>
      <c r="AM65" s="100">
        <v>3078</v>
      </c>
      <c r="AN65" s="100">
        <v>5</v>
      </c>
      <c r="AO65" s="100">
        <v>5130</v>
      </c>
      <c r="AP65" s="100">
        <v>4</v>
      </c>
      <c r="AQ65" s="100">
        <v>4104</v>
      </c>
      <c r="AR65" s="100">
        <v>4</v>
      </c>
      <c r="AS65" s="100">
        <v>4104</v>
      </c>
      <c r="AT65" s="100">
        <v>5</v>
      </c>
      <c r="AU65" s="100">
        <v>5130</v>
      </c>
      <c r="AV65" s="100">
        <v>5</v>
      </c>
      <c r="AW65" s="100">
        <v>5130</v>
      </c>
      <c r="AX65" s="100">
        <v>4</v>
      </c>
      <c r="AY65" s="100">
        <v>4104</v>
      </c>
      <c r="AZ65" s="100">
        <v>4</v>
      </c>
      <c r="BA65" s="100">
        <v>4104</v>
      </c>
      <c r="BB65" s="100">
        <v>4</v>
      </c>
      <c r="BC65" s="100">
        <v>4104</v>
      </c>
      <c r="BD65" s="100">
        <v>6</v>
      </c>
      <c r="BE65" s="100">
        <v>6156</v>
      </c>
      <c r="BF65" s="100">
        <v>6</v>
      </c>
      <c r="BG65" s="100">
        <v>6156</v>
      </c>
      <c r="BH65" s="100">
        <v>6</v>
      </c>
      <c r="BI65" s="100">
        <v>6156</v>
      </c>
      <c r="BJ65" s="100">
        <v>6</v>
      </c>
      <c r="BK65" s="100">
        <v>6156</v>
      </c>
      <c r="BL65" s="100">
        <v>3</v>
      </c>
      <c r="BM65" s="100">
        <v>3078</v>
      </c>
      <c r="BN65" s="100">
        <v>3</v>
      </c>
      <c r="BO65" s="100">
        <v>3078</v>
      </c>
      <c r="BP65" s="100">
        <v>6</v>
      </c>
      <c r="BQ65" s="100">
        <v>6156</v>
      </c>
      <c r="BR65" s="100">
        <v>4</v>
      </c>
      <c r="BS65" s="100">
        <v>4104</v>
      </c>
      <c r="BT65" s="100">
        <v>5</v>
      </c>
      <c r="BU65" s="100">
        <v>5130</v>
      </c>
      <c r="BV65" s="100">
        <v>4</v>
      </c>
      <c r="BW65" s="100">
        <v>4104</v>
      </c>
      <c r="BX65" s="100">
        <v>7</v>
      </c>
      <c r="BY65" s="100">
        <v>7182</v>
      </c>
      <c r="BZ65" s="100">
        <v>4</v>
      </c>
      <c r="CA65" s="100">
        <v>4104</v>
      </c>
      <c r="CB65" s="100">
        <v>5</v>
      </c>
      <c r="CC65" s="100">
        <v>5130</v>
      </c>
      <c r="CD65" s="100">
        <v>7</v>
      </c>
      <c r="CE65" s="100">
        <v>7182</v>
      </c>
      <c r="CF65" s="100">
        <v>5</v>
      </c>
      <c r="CG65" s="100">
        <v>5130</v>
      </c>
      <c r="CH65" s="100">
        <v>5</v>
      </c>
      <c r="CI65" s="100">
        <v>5130</v>
      </c>
      <c r="CJ65" s="100">
        <v>5</v>
      </c>
      <c r="CK65" s="100">
        <v>5130</v>
      </c>
      <c r="CL65" s="100">
        <v>7</v>
      </c>
      <c r="CM65" s="100">
        <v>7182</v>
      </c>
      <c r="CN65" s="100">
        <v>6</v>
      </c>
      <c r="CO65" s="100">
        <v>6156</v>
      </c>
      <c r="CP65" s="100">
        <v>4</v>
      </c>
      <c r="CQ65" s="100">
        <v>4104</v>
      </c>
      <c r="CR65" s="100">
        <v>4</v>
      </c>
      <c r="CS65" s="100">
        <v>4104</v>
      </c>
      <c r="CT65" s="100">
        <v>4</v>
      </c>
      <c r="CU65" s="100">
        <v>4104</v>
      </c>
    </row>
    <row r="66" spans="2:99">
      <c r="C66" s="99" t="s">
        <v>232</v>
      </c>
      <c r="D66" s="100">
        <v>3.7046285552898888</v>
      </c>
      <c r="E66" s="100">
        <v>4409.9898322170829</v>
      </c>
      <c r="F66" s="100">
        <v>5.438690919806298</v>
      </c>
      <c r="G66" s="100">
        <v>6474.2176709374162</v>
      </c>
      <c r="H66" s="100">
        <v>1.3972630313692269</v>
      </c>
      <c r="I66" s="100">
        <v>1663.3019125419275</v>
      </c>
      <c r="J66" s="100">
        <v>4.0444160246472027E-4</v>
      </c>
      <c r="K66" s="100">
        <v>0.48144728357400296</v>
      </c>
      <c r="L66" s="100">
        <v>6</v>
      </c>
      <c r="M66" s="100">
        <v>7142.4</v>
      </c>
      <c r="N66" s="100">
        <v>5</v>
      </c>
      <c r="O66" s="100">
        <v>5951.9999999999991</v>
      </c>
      <c r="P66" s="100">
        <v>4</v>
      </c>
      <c r="Q66" s="100">
        <v>4761.5999999999995</v>
      </c>
      <c r="R66" s="100">
        <v>6</v>
      </c>
      <c r="S66" s="100">
        <v>7142.4</v>
      </c>
      <c r="T66" s="100">
        <v>7</v>
      </c>
      <c r="U66" s="100">
        <v>8332.7999999999993</v>
      </c>
      <c r="V66" s="100">
        <v>5.0237974594699555</v>
      </c>
      <c r="W66" s="100">
        <v>5980.3284957530341</v>
      </c>
      <c r="X66" s="100">
        <v>5.0227872950308639</v>
      </c>
      <c r="Y66" s="100">
        <v>5979.12599600474</v>
      </c>
      <c r="Z66" s="100">
        <v>4</v>
      </c>
      <c r="AA66" s="100">
        <v>4761.5999999999995</v>
      </c>
      <c r="AB66" s="100">
        <v>6</v>
      </c>
      <c r="AC66" s="100">
        <v>7142.4</v>
      </c>
      <c r="AD66" s="100">
        <v>5</v>
      </c>
      <c r="AE66" s="100">
        <v>5951.9999999999991</v>
      </c>
      <c r="AF66" s="100">
        <v>6</v>
      </c>
      <c r="AG66" s="100">
        <v>7142.4</v>
      </c>
      <c r="AH66" s="100">
        <v>4</v>
      </c>
      <c r="AI66" s="100">
        <v>4761.5999999999995</v>
      </c>
      <c r="AJ66" s="100">
        <v>6</v>
      </c>
      <c r="AK66" s="100">
        <v>7142.4</v>
      </c>
      <c r="AL66" s="100">
        <v>3</v>
      </c>
      <c r="AM66" s="100">
        <v>3571.2</v>
      </c>
      <c r="AN66" s="100">
        <v>5</v>
      </c>
      <c r="AO66" s="100">
        <v>5951.9999999999991</v>
      </c>
      <c r="AP66" s="100">
        <v>4</v>
      </c>
      <c r="AQ66" s="100">
        <v>4761.5999999999995</v>
      </c>
      <c r="AR66" s="100">
        <v>4</v>
      </c>
      <c r="AS66" s="100">
        <v>4761.5999999999995</v>
      </c>
      <c r="AT66" s="100">
        <v>5</v>
      </c>
      <c r="AU66" s="100">
        <v>5951.9999999999991</v>
      </c>
      <c r="AV66" s="100">
        <v>5</v>
      </c>
      <c r="AW66" s="100">
        <v>5951.9999999999991</v>
      </c>
      <c r="AX66" s="100">
        <v>4</v>
      </c>
      <c r="AY66" s="100">
        <v>4761.5999999999995</v>
      </c>
      <c r="AZ66" s="100">
        <v>4</v>
      </c>
      <c r="BA66" s="100">
        <v>4761.5999999999995</v>
      </c>
      <c r="BB66" s="100">
        <v>3</v>
      </c>
      <c r="BC66" s="100">
        <v>3571.2</v>
      </c>
      <c r="BD66" s="100">
        <v>6</v>
      </c>
      <c r="BE66" s="100">
        <v>7142.4</v>
      </c>
      <c r="BF66" s="100">
        <v>6</v>
      </c>
      <c r="BG66" s="100">
        <v>7142.4</v>
      </c>
      <c r="BH66" s="100">
        <v>6</v>
      </c>
      <c r="BI66" s="100">
        <v>7142.4</v>
      </c>
      <c r="BJ66" s="100">
        <v>6</v>
      </c>
      <c r="BK66" s="100">
        <v>7142.4</v>
      </c>
      <c r="BL66" s="100">
        <v>4</v>
      </c>
      <c r="BM66" s="100">
        <v>4761.5999999999995</v>
      </c>
      <c r="BN66" s="100">
        <v>3</v>
      </c>
      <c r="BO66" s="100">
        <v>3571.2</v>
      </c>
      <c r="BP66" s="100">
        <v>5</v>
      </c>
      <c r="BQ66" s="100">
        <v>5951.9999999999991</v>
      </c>
      <c r="BR66" s="100">
        <v>4</v>
      </c>
      <c r="BS66" s="100">
        <v>4761.5999999999995</v>
      </c>
      <c r="BT66" s="100">
        <v>4</v>
      </c>
      <c r="BU66" s="100">
        <v>4761.5999999999995</v>
      </c>
      <c r="BV66" s="100">
        <v>3</v>
      </c>
      <c r="BW66" s="100">
        <v>3571.2</v>
      </c>
      <c r="BX66" s="100">
        <v>6</v>
      </c>
      <c r="BY66" s="100">
        <v>7142.4</v>
      </c>
      <c r="BZ66" s="100">
        <v>4</v>
      </c>
      <c r="CA66" s="100">
        <v>4761.5999999999995</v>
      </c>
      <c r="CB66" s="100">
        <v>5</v>
      </c>
      <c r="CC66" s="100">
        <v>5951.9999999999991</v>
      </c>
      <c r="CD66" s="100">
        <v>7</v>
      </c>
      <c r="CE66" s="100">
        <v>8332.7999999999993</v>
      </c>
      <c r="CF66" s="100">
        <v>5</v>
      </c>
      <c r="CG66" s="100">
        <v>5951.9999999999991</v>
      </c>
      <c r="CH66" s="100">
        <v>5</v>
      </c>
      <c r="CI66" s="100">
        <v>5951.9999999999991</v>
      </c>
      <c r="CJ66" s="100">
        <v>5</v>
      </c>
      <c r="CK66" s="100">
        <v>5951.9999999999991</v>
      </c>
      <c r="CL66" s="100">
        <v>6</v>
      </c>
      <c r="CM66" s="100">
        <v>7142.4</v>
      </c>
      <c r="CN66" s="100">
        <v>6</v>
      </c>
      <c r="CO66" s="100">
        <v>7142.4</v>
      </c>
      <c r="CP66" s="100">
        <v>4</v>
      </c>
      <c r="CQ66" s="100">
        <v>4761.5999999999995</v>
      </c>
      <c r="CR66" s="100">
        <v>4</v>
      </c>
      <c r="CS66" s="100">
        <v>4761.5999999999995</v>
      </c>
      <c r="CT66" s="100">
        <v>4</v>
      </c>
      <c r="CU66" s="100">
        <v>4761.5999999999995</v>
      </c>
    </row>
    <row r="67" spans="2:99">
      <c r="C67" s="99" t="s">
        <v>233</v>
      </c>
      <c r="D67" s="100">
        <v>3.7046285552898888</v>
      </c>
      <c r="E67" s="100">
        <v>4161.0387933016036</v>
      </c>
      <c r="F67" s="100">
        <v>5.438690919806298</v>
      </c>
      <c r="G67" s="100">
        <v>6108.737641126434</v>
      </c>
      <c r="H67" s="100">
        <v>1.3972630313692269</v>
      </c>
      <c r="I67" s="100">
        <v>1569.4058368339158</v>
      </c>
      <c r="J67" s="100">
        <v>4.0444160246472027E-4</v>
      </c>
      <c r="K67" s="100">
        <v>0.45426880788837382</v>
      </c>
      <c r="L67" s="100">
        <v>6</v>
      </c>
      <c r="M67" s="100">
        <v>6739.2000000000007</v>
      </c>
      <c r="N67" s="100">
        <v>5</v>
      </c>
      <c r="O67" s="100">
        <v>5616</v>
      </c>
      <c r="P67" s="100">
        <v>4</v>
      </c>
      <c r="Q67" s="100">
        <v>4492.8</v>
      </c>
      <c r="R67" s="100">
        <v>6</v>
      </c>
      <c r="S67" s="100">
        <v>6739.2000000000007</v>
      </c>
      <c r="T67" s="100">
        <v>7</v>
      </c>
      <c r="U67" s="100">
        <v>7862.4000000000005</v>
      </c>
      <c r="V67" s="100">
        <v>5.0237974594699555</v>
      </c>
      <c r="W67" s="100">
        <v>5642.7293064766545</v>
      </c>
      <c r="X67" s="100">
        <v>6.0253192167009599</v>
      </c>
      <c r="Y67" s="100">
        <v>6767.6385441985185</v>
      </c>
      <c r="Z67" s="100">
        <v>3</v>
      </c>
      <c r="AA67" s="100">
        <v>3369.6000000000004</v>
      </c>
      <c r="AB67" s="100">
        <v>6</v>
      </c>
      <c r="AC67" s="100">
        <v>6739.2000000000007</v>
      </c>
      <c r="AD67" s="100">
        <v>5</v>
      </c>
      <c r="AE67" s="100">
        <v>5616</v>
      </c>
      <c r="AF67" s="100">
        <v>7</v>
      </c>
      <c r="AG67" s="100">
        <v>7862.4000000000005</v>
      </c>
      <c r="AH67" s="100">
        <v>4</v>
      </c>
      <c r="AI67" s="100">
        <v>4492.8</v>
      </c>
      <c r="AJ67" s="100">
        <v>6</v>
      </c>
      <c r="AK67" s="100">
        <v>6739.2000000000007</v>
      </c>
      <c r="AL67" s="100">
        <v>3</v>
      </c>
      <c r="AM67" s="100">
        <v>3369.6000000000004</v>
      </c>
      <c r="AN67" s="100">
        <v>5</v>
      </c>
      <c r="AO67" s="100">
        <v>5616</v>
      </c>
      <c r="AP67" s="100">
        <v>4</v>
      </c>
      <c r="AQ67" s="100">
        <v>4492.8</v>
      </c>
      <c r="AR67" s="100">
        <v>4</v>
      </c>
      <c r="AS67" s="100">
        <v>4492.8</v>
      </c>
      <c r="AT67" s="100">
        <v>6</v>
      </c>
      <c r="AU67" s="100">
        <v>6739.2000000000007</v>
      </c>
      <c r="AV67" s="100">
        <v>5</v>
      </c>
      <c r="AW67" s="100">
        <v>5616</v>
      </c>
      <c r="AX67" s="100">
        <v>4</v>
      </c>
      <c r="AY67" s="100">
        <v>4492.8</v>
      </c>
      <c r="AZ67" s="100">
        <v>4</v>
      </c>
      <c r="BA67" s="100">
        <v>4492.8</v>
      </c>
      <c r="BB67" s="100">
        <v>3</v>
      </c>
      <c r="BC67" s="100">
        <v>3369.6000000000004</v>
      </c>
      <c r="BD67" s="100">
        <v>7</v>
      </c>
      <c r="BE67" s="100">
        <v>7862.4000000000005</v>
      </c>
      <c r="BF67" s="100">
        <v>5</v>
      </c>
      <c r="BG67" s="100">
        <v>5616</v>
      </c>
      <c r="BH67" s="100">
        <v>6</v>
      </c>
      <c r="BI67" s="100">
        <v>6739.2000000000007</v>
      </c>
      <c r="BJ67" s="100">
        <v>6</v>
      </c>
      <c r="BK67" s="100">
        <v>6739.2000000000007</v>
      </c>
      <c r="BL67" s="100">
        <v>4</v>
      </c>
      <c r="BM67" s="100">
        <v>4492.8</v>
      </c>
      <c r="BN67" s="100">
        <v>4</v>
      </c>
      <c r="BO67" s="100">
        <v>4492.8</v>
      </c>
      <c r="BP67" s="100">
        <v>6</v>
      </c>
      <c r="BQ67" s="100">
        <v>6739.2000000000007</v>
      </c>
      <c r="BR67" s="100">
        <v>5</v>
      </c>
      <c r="BS67" s="100">
        <v>5616</v>
      </c>
      <c r="BT67" s="100">
        <v>4</v>
      </c>
      <c r="BU67" s="100">
        <v>4492.8</v>
      </c>
      <c r="BV67" s="100">
        <v>3</v>
      </c>
      <c r="BW67" s="100">
        <v>3369.6000000000004</v>
      </c>
      <c r="BX67" s="100">
        <v>7</v>
      </c>
      <c r="BY67" s="100">
        <v>7862.4000000000005</v>
      </c>
      <c r="BZ67" s="100">
        <v>4</v>
      </c>
      <c r="CA67" s="100">
        <v>4492.8</v>
      </c>
      <c r="CB67" s="100">
        <v>5</v>
      </c>
      <c r="CC67" s="100">
        <v>5616</v>
      </c>
      <c r="CD67" s="100">
        <v>7</v>
      </c>
      <c r="CE67" s="100">
        <v>7862.4000000000005</v>
      </c>
      <c r="CF67" s="100">
        <v>5</v>
      </c>
      <c r="CG67" s="100">
        <v>5616</v>
      </c>
      <c r="CH67" s="100">
        <v>5</v>
      </c>
      <c r="CI67" s="100">
        <v>5616</v>
      </c>
      <c r="CJ67" s="100">
        <v>5</v>
      </c>
      <c r="CK67" s="100">
        <v>5616</v>
      </c>
      <c r="CL67" s="100">
        <v>6</v>
      </c>
      <c r="CM67" s="100">
        <v>6739.2000000000007</v>
      </c>
      <c r="CN67" s="100">
        <v>7</v>
      </c>
      <c r="CO67" s="100">
        <v>7862.4000000000005</v>
      </c>
      <c r="CP67" s="100">
        <v>4</v>
      </c>
      <c r="CQ67" s="100">
        <v>4492.8</v>
      </c>
      <c r="CR67" s="100">
        <v>4</v>
      </c>
      <c r="CS67" s="100">
        <v>4492.8</v>
      </c>
      <c r="CT67" s="100">
        <v>4</v>
      </c>
      <c r="CU67" s="100">
        <v>4492.8</v>
      </c>
    </row>
    <row r="68" spans="2:99">
      <c r="C68" s="99" t="s">
        <v>234</v>
      </c>
      <c r="D68" s="100">
        <v>4.6307856941123609</v>
      </c>
      <c r="E68" s="100">
        <v>4784.5277791568915</v>
      </c>
      <c r="F68" s="100">
        <v>5.438690919806298</v>
      </c>
      <c r="G68" s="100">
        <v>5619.2554583438678</v>
      </c>
      <c r="H68" s="100">
        <v>1.3972630313692269</v>
      </c>
      <c r="I68" s="100">
        <v>1443.6521640106853</v>
      </c>
      <c r="J68" s="100">
        <v>4.0444160246472027E-4</v>
      </c>
      <c r="K68" s="100">
        <v>0.41786906366654902</v>
      </c>
      <c r="L68" s="100">
        <v>6</v>
      </c>
      <c r="M68" s="100">
        <v>6199.2000000000007</v>
      </c>
      <c r="N68" s="100">
        <v>5</v>
      </c>
      <c r="O68" s="100">
        <v>5166</v>
      </c>
      <c r="P68" s="100">
        <v>4</v>
      </c>
      <c r="Q68" s="100">
        <v>4132.8</v>
      </c>
      <c r="R68" s="100">
        <v>7</v>
      </c>
      <c r="S68" s="100">
        <v>7232.4000000000005</v>
      </c>
      <c r="T68" s="100">
        <v>6</v>
      </c>
      <c r="U68" s="100">
        <v>6199.2000000000007</v>
      </c>
      <c r="V68" s="100">
        <v>5.0264416216332837</v>
      </c>
      <c r="W68" s="100">
        <v>5193.3194834715086</v>
      </c>
      <c r="X68" s="100">
        <v>5.0227872950308639</v>
      </c>
      <c r="Y68" s="100">
        <v>5189.5438332258891</v>
      </c>
      <c r="Z68" s="100">
        <v>4</v>
      </c>
      <c r="AA68" s="100">
        <v>4132.8</v>
      </c>
      <c r="AB68" s="100">
        <v>7</v>
      </c>
      <c r="AC68" s="100">
        <v>7232.4000000000005</v>
      </c>
      <c r="AD68" s="100">
        <v>5</v>
      </c>
      <c r="AE68" s="100">
        <v>5166</v>
      </c>
      <c r="AF68" s="100">
        <v>7</v>
      </c>
      <c r="AG68" s="100">
        <v>7232.4000000000005</v>
      </c>
      <c r="AH68" s="100">
        <v>4</v>
      </c>
      <c r="AI68" s="100">
        <v>4132.8</v>
      </c>
      <c r="AJ68" s="100">
        <v>6</v>
      </c>
      <c r="AK68" s="100">
        <v>6199.2000000000007</v>
      </c>
      <c r="AL68" s="100">
        <v>3</v>
      </c>
      <c r="AM68" s="100">
        <v>3099.6000000000004</v>
      </c>
      <c r="AN68" s="100">
        <v>6</v>
      </c>
      <c r="AO68" s="100">
        <v>6199.2000000000007</v>
      </c>
      <c r="AP68" s="100">
        <v>4</v>
      </c>
      <c r="AQ68" s="100">
        <v>4132.8</v>
      </c>
      <c r="AR68" s="100">
        <v>4</v>
      </c>
      <c r="AS68" s="100">
        <v>4132.8</v>
      </c>
      <c r="AT68" s="100">
        <v>5</v>
      </c>
      <c r="AU68" s="100">
        <v>5166</v>
      </c>
      <c r="AV68" s="100">
        <v>5</v>
      </c>
      <c r="AW68" s="100">
        <v>5166</v>
      </c>
      <c r="AX68" s="100">
        <v>5</v>
      </c>
      <c r="AY68" s="100">
        <v>5166</v>
      </c>
      <c r="AZ68" s="100">
        <v>4</v>
      </c>
      <c r="BA68" s="100">
        <v>4132.8</v>
      </c>
      <c r="BB68" s="100">
        <v>3</v>
      </c>
      <c r="BC68" s="100">
        <v>3099.6000000000004</v>
      </c>
      <c r="BD68" s="100">
        <v>6</v>
      </c>
      <c r="BE68" s="100">
        <v>6199.2000000000007</v>
      </c>
      <c r="BF68" s="100">
        <v>6</v>
      </c>
      <c r="BG68" s="100">
        <v>6199.2000000000007</v>
      </c>
      <c r="BH68" s="100">
        <v>6</v>
      </c>
      <c r="BI68" s="100">
        <v>6199.2000000000007</v>
      </c>
      <c r="BJ68" s="100">
        <v>6</v>
      </c>
      <c r="BK68" s="100">
        <v>6199.2000000000007</v>
      </c>
      <c r="BL68" s="100">
        <v>4</v>
      </c>
      <c r="BM68" s="100">
        <v>4132.8</v>
      </c>
      <c r="BN68" s="100">
        <v>3</v>
      </c>
      <c r="BO68" s="100">
        <v>3099.6000000000004</v>
      </c>
      <c r="BP68" s="100">
        <v>6</v>
      </c>
      <c r="BQ68" s="100">
        <v>6199.2000000000007</v>
      </c>
      <c r="BR68" s="100">
        <v>4</v>
      </c>
      <c r="BS68" s="100">
        <v>4132.8</v>
      </c>
      <c r="BT68" s="100">
        <v>4</v>
      </c>
      <c r="BU68" s="100">
        <v>4132.8</v>
      </c>
      <c r="BV68" s="100">
        <v>3</v>
      </c>
      <c r="BW68" s="100">
        <v>3099.6000000000004</v>
      </c>
      <c r="BX68" s="100">
        <v>7</v>
      </c>
      <c r="BY68" s="100">
        <v>7232.4000000000005</v>
      </c>
      <c r="BZ68" s="100">
        <v>4</v>
      </c>
      <c r="CA68" s="100">
        <v>4132.8</v>
      </c>
      <c r="CB68" s="100">
        <v>5</v>
      </c>
      <c r="CC68" s="100">
        <v>5166</v>
      </c>
      <c r="CD68" s="100">
        <v>6</v>
      </c>
      <c r="CE68" s="100">
        <v>6199.2000000000007</v>
      </c>
      <c r="CF68" s="100">
        <v>5</v>
      </c>
      <c r="CG68" s="100">
        <v>5166</v>
      </c>
      <c r="CH68" s="100">
        <v>5</v>
      </c>
      <c r="CI68" s="100">
        <v>5166</v>
      </c>
      <c r="CJ68" s="100">
        <v>5</v>
      </c>
      <c r="CK68" s="100">
        <v>5166</v>
      </c>
      <c r="CL68" s="100">
        <v>7</v>
      </c>
      <c r="CM68" s="100">
        <v>7232.4000000000005</v>
      </c>
      <c r="CN68" s="100">
        <v>7</v>
      </c>
      <c r="CO68" s="100">
        <v>7232.4000000000005</v>
      </c>
      <c r="CP68" s="100">
        <v>4</v>
      </c>
      <c r="CQ68" s="100">
        <v>4132.8</v>
      </c>
      <c r="CR68" s="100">
        <v>4</v>
      </c>
      <c r="CS68" s="100">
        <v>4132.8</v>
      </c>
      <c r="CT68" s="100">
        <v>5</v>
      </c>
      <c r="CU68" s="100">
        <v>5166</v>
      </c>
    </row>
    <row r="69" spans="2:99">
      <c r="C69" s="99" t="s">
        <v>235</v>
      </c>
      <c r="D69" s="100">
        <v>3.7046285552898888</v>
      </c>
      <c r="E69" s="100">
        <v>2809.5902963318517</v>
      </c>
      <c r="F69" s="100">
        <v>4.5878567995212487</v>
      </c>
      <c r="G69" s="100">
        <v>3479.4305967569148</v>
      </c>
      <c r="H69" s="100">
        <v>1.7465787892115336</v>
      </c>
      <c r="I69" s="100">
        <v>1324.6053537380271</v>
      </c>
      <c r="J69" s="100">
        <v>4.0444160246472027E-4</v>
      </c>
      <c r="K69" s="100">
        <v>0.30672851130924383</v>
      </c>
      <c r="L69" s="100">
        <v>5</v>
      </c>
      <c r="M69" s="100">
        <v>3792</v>
      </c>
      <c r="N69" s="100">
        <v>5</v>
      </c>
      <c r="O69" s="100">
        <v>3792</v>
      </c>
      <c r="P69" s="100">
        <v>4</v>
      </c>
      <c r="Q69" s="100">
        <v>3033.6</v>
      </c>
      <c r="R69" s="100">
        <v>7</v>
      </c>
      <c r="S69" s="100">
        <v>5308.8</v>
      </c>
      <c r="T69" s="100">
        <v>7</v>
      </c>
      <c r="U69" s="100">
        <v>5308.8</v>
      </c>
      <c r="V69" s="100">
        <v>6.0264416216332837</v>
      </c>
      <c r="W69" s="100">
        <v>4570.4533258466818</v>
      </c>
      <c r="X69" s="100">
        <v>6.0253192167009599</v>
      </c>
      <c r="Y69" s="100">
        <v>4569.6020939460077</v>
      </c>
      <c r="Z69" s="100">
        <v>3</v>
      </c>
      <c r="AA69" s="100">
        <v>2275.1999999999998</v>
      </c>
      <c r="AB69" s="100">
        <v>6</v>
      </c>
      <c r="AC69" s="100">
        <v>4550.3999999999996</v>
      </c>
      <c r="AD69" s="100">
        <v>5</v>
      </c>
      <c r="AE69" s="100">
        <v>3792</v>
      </c>
      <c r="AF69" s="100">
        <v>7</v>
      </c>
      <c r="AG69" s="100">
        <v>5308.8</v>
      </c>
      <c r="AH69" s="100">
        <v>3</v>
      </c>
      <c r="AI69" s="100">
        <v>2275.1999999999998</v>
      </c>
      <c r="AJ69" s="100">
        <v>6</v>
      </c>
      <c r="AK69" s="100">
        <v>4550.3999999999996</v>
      </c>
      <c r="AL69" s="100">
        <v>4</v>
      </c>
      <c r="AM69" s="100">
        <v>3033.6</v>
      </c>
      <c r="AN69" s="100">
        <v>6</v>
      </c>
      <c r="AO69" s="100">
        <v>4550.3999999999996</v>
      </c>
      <c r="AP69" s="100">
        <v>4</v>
      </c>
      <c r="AQ69" s="100">
        <v>3033.6</v>
      </c>
      <c r="AR69" s="100">
        <v>4</v>
      </c>
      <c r="AS69" s="100">
        <v>3033.6</v>
      </c>
      <c r="AT69" s="100">
        <v>6</v>
      </c>
      <c r="AU69" s="100">
        <v>4550.3999999999996</v>
      </c>
      <c r="AV69" s="100">
        <v>4</v>
      </c>
      <c r="AW69" s="100">
        <v>3033.6</v>
      </c>
      <c r="AX69" s="100">
        <v>5</v>
      </c>
      <c r="AY69" s="100">
        <v>3792</v>
      </c>
      <c r="AZ69" s="100">
        <v>4</v>
      </c>
      <c r="BA69" s="100">
        <v>3033.6</v>
      </c>
      <c r="BB69" s="100">
        <v>3</v>
      </c>
      <c r="BC69" s="100">
        <v>2275.1999999999998</v>
      </c>
      <c r="BD69" s="100">
        <v>7</v>
      </c>
      <c r="BE69" s="100">
        <v>5308.8</v>
      </c>
      <c r="BF69" s="100">
        <v>7</v>
      </c>
      <c r="BG69" s="100">
        <v>5308.8</v>
      </c>
      <c r="BH69" s="100">
        <v>6</v>
      </c>
      <c r="BI69" s="100">
        <v>4550.3999999999996</v>
      </c>
      <c r="BJ69" s="100">
        <v>6</v>
      </c>
      <c r="BK69" s="100">
        <v>4550.3999999999996</v>
      </c>
      <c r="BL69" s="100">
        <v>4</v>
      </c>
      <c r="BM69" s="100">
        <v>3033.6</v>
      </c>
      <c r="BN69" s="100">
        <v>4</v>
      </c>
      <c r="BO69" s="100">
        <v>3033.6</v>
      </c>
      <c r="BP69" s="100">
        <v>6</v>
      </c>
      <c r="BQ69" s="100">
        <v>4550.3999999999996</v>
      </c>
      <c r="BR69" s="100">
        <v>5</v>
      </c>
      <c r="BS69" s="100">
        <v>3792</v>
      </c>
      <c r="BT69" s="100">
        <v>5</v>
      </c>
      <c r="BU69" s="100">
        <v>3792</v>
      </c>
      <c r="BV69" s="100">
        <v>3</v>
      </c>
      <c r="BW69" s="100">
        <v>2275.1999999999998</v>
      </c>
      <c r="BX69" s="100">
        <v>6</v>
      </c>
      <c r="BY69" s="100">
        <v>4550.3999999999996</v>
      </c>
      <c r="BZ69" s="100">
        <v>5</v>
      </c>
      <c r="CA69" s="100">
        <v>3792</v>
      </c>
      <c r="CB69" s="100">
        <v>5</v>
      </c>
      <c r="CC69" s="100">
        <v>3792</v>
      </c>
      <c r="CD69" s="100">
        <v>6</v>
      </c>
      <c r="CE69" s="100">
        <v>4550.3999999999996</v>
      </c>
      <c r="CF69" s="100">
        <v>5</v>
      </c>
      <c r="CG69" s="100">
        <v>3792</v>
      </c>
      <c r="CH69" s="100">
        <v>6</v>
      </c>
      <c r="CI69" s="100">
        <v>4550.3999999999996</v>
      </c>
      <c r="CJ69" s="100">
        <v>5</v>
      </c>
      <c r="CK69" s="100">
        <v>3792</v>
      </c>
      <c r="CL69" s="100">
        <v>7</v>
      </c>
      <c r="CM69" s="100">
        <v>5308.8</v>
      </c>
      <c r="CN69" s="100">
        <v>6</v>
      </c>
      <c r="CO69" s="100">
        <v>4550.3999999999996</v>
      </c>
      <c r="CP69" s="100">
        <v>4</v>
      </c>
      <c r="CQ69" s="100">
        <v>3033.6</v>
      </c>
      <c r="CR69" s="100">
        <v>4</v>
      </c>
      <c r="CS69" s="100">
        <v>3033.6</v>
      </c>
      <c r="CT69" s="100">
        <v>4</v>
      </c>
      <c r="CU69" s="100">
        <v>3033.6</v>
      </c>
    </row>
    <row r="70" spans="2:99">
      <c r="C70" s="99" t="s">
        <v>236</v>
      </c>
      <c r="D70" s="100">
        <v>4.6307856941123609</v>
      </c>
      <c r="E70" s="100">
        <v>2478.3965034889352</v>
      </c>
      <c r="F70" s="100">
        <v>5.4804016945682985</v>
      </c>
      <c r="G70" s="100">
        <v>2933.110986932953</v>
      </c>
      <c r="H70" s="100">
        <v>1.7465787892115336</v>
      </c>
      <c r="I70" s="100">
        <v>934.76896798601274</v>
      </c>
      <c r="J70" s="100">
        <v>4.0444160246472027E-4</v>
      </c>
      <c r="K70" s="100">
        <v>0.21645714563911825</v>
      </c>
      <c r="L70" s="100">
        <v>5</v>
      </c>
      <c r="M70" s="100">
        <v>2675.9999999999995</v>
      </c>
      <c r="N70" s="100">
        <v>5</v>
      </c>
      <c r="O70" s="100">
        <v>2675.9999999999995</v>
      </c>
      <c r="P70" s="100">
        <v>4</v>
      </c>
      <c r="Q70" s="100">
        <v>2140.7999999999997</v>
      </c>
      <c r="R70" s="100">
        <v>6</v>
      </c>
      <c r="S70" s="100">
        <v>3211.2</v>
      </c>
      <c r="T70" s="100">
        <v>7</v>
      </c>
      <c r="U70" s="100">
        <v>3746.3999999999996</v>
      </c>
      <c r="V70" s="100">
        <v>5.0237974594699555</v>
      </c>
      <c r="W70" s="100">
        <v>2688.7364003083198</v>
      </c>
      <c r="X70" s="100">
        <v>6.0253192167009599</v>
      </c>
      <c r="Y70" s="100">
        <v>3224.7508447783534</v>
      </c>
      <c r="Z70" s="100">
        <v>4</v>
      </c>
      <c r="AA70" s="100">
        <v>2140.7999999999997</v>
      </c>
      <c r="AB70" s="100">
        <v>6</v>
      </c>
      <c r="AC70" s="100">
        <v>3211.2</v>
      </c>
      <c r="AD70" s="100">
        <v>6</v>
      </c>
      <c r="AE70" s="100">
        <v>3211.2</v>
      </c>
      <c r="AF70" s="100">
        <v>7</v>
      </c>
      <c r="AG70" s="100">
        <v>3746.3999999999996</v>
      </c>
      <c r="AH70" s="100">
        <v>4</v>
      </c>
      <c r="AI70" s="100">
        <v>2140.7999999999997</v>
      </c>
      <c r="AJ70" s="100">
        <v>7</v>
      </c>
      <c r="AK70" s="100">
        <v>3746.3999999999996</v>
      </c>
      <c r="AL70" s="100">
        <v>4</v>
      </c>
      <c r="AM70" s="100">
        <v>2140.7999999999997</v>
      </c>
      <c r="AN70" s="100">
        <v>5</v>
      </c>
      <c r="AO70" s="100">
        <v>2675.9999999999995</v>
      </c>
      <c r="AP70" s="100">
        <v>5</v>
      </c>
      <c r="AQ70" s="100">
        <v>2675.9999999999995</v>
      </c>
      <c r="AR70" s="100">
        <v>4</v>
      </c>
      <c r="AS70" s="100">
        <v>2140.7999999999997</v>
      </c>
      <c r="AT70" s="100">
        <v>5</v>
      </c>
      <c r="AU70" s="100">
        <v>2675.9999999999995</v>
      </c>
      <c r="AV70" s="100">
        <v>5</v>
      </c>
      <c r="AW70" s="100">
        <v>2675.9999999999995</v>
      </c>
      <c r="AX70" s="100">
        <v>5</v>
      </c>
      <c r="AY70" s="100">
        <v>2675.9999999999995</v>
      </c>
      <c r="AZ70" s="100">
        <v>5</v>
      </c>
      <c r="BA70" s="100">
        <v>2675.9999999999995</v>
      </c>
      <c r="BB70" s="100">
        <v>3</v>
      </c>
      <c r="BC70" s="100">
        <v>1605.6</v>
      </c>
      <c r="BD70" s="100">
        <v>6</v>
      </c>
      <c r="BE70" s="100">
        <v>3211.2</v>
      </c>
      <c r="BF70" s="100">
        <v>7</v>
      </c>
      <c r="BG70" s="100">
        <v>3746.3999999999996</v>
      </c>
      <c r="BH70" s="100">
        <v>6</v>
      </c>
      <c r="BI70" s="100">
        <v>3211.2</v>
      </c>
      <c r="BJ70" s="100">
        <v>6</v>
      </c>
      <c r="BK70" s="100">
        <v>3211.2</v>
      </c>
      <c r="BL70" s="100">
        <v>3</v>
      </c>
      <c r="BM70" s="100">
        <v>1605.6</v>
      </c>
      <c r="BN70" s="100">
        <v>4</v>
      </c>
      <c r="BO70" s="100">
        <v>2140.7999999999997</v>
      </c>
      <c r="BP70" s="100">
        <v>6</v>
      </c>
      <c r="BQ70" s="100">
        <v>3211.2</v>
      </c>
      <c r="BR70" s="100">
        <v>4</v>
      </c>
      <c r="BS70" s="100">
        <v>2140.7999999999997</v>
      </c>
      <c r="BT70" s="100">
        <v>5</v>
      </c>
      <c r="BU70" s="100">
        <v>2675.9999999999995</v>
      </c>
      <c r="BV70" s="100">
        <v>4</v>
      </c>
      <c r="BW70" s="100">
        <v>2140.7999999999997</v>
      </c>
      <c r="BX70" s="100">
        <v>7</v>
      </c>
      <c r="BY70" s="100">
        <v>3746.3999999999996</v>
      </c>
      <c r="BZ70" s="100">
        <v>5</v>
      </c>
      <c r="CA70" s="100">
        <v>2675.9999999999995</v>
      </c>
      <c r="CB70" s="100">
        <v>5</v>
      </c>
      <c r="CC70" s="100">
        <v>2675.9999999999995</v>
      </c>
      <c r="CD70" s="100">
        <v>7</v>
      </c>
      <c r="CE70" s="100">
        <v>3746.3999999999996</v>
      </c>
      <c r="CF70" s="100">
        <v>5</v>
      </c>
      <c r="CG70" s="100">
        <v>2675.9999999999995</v>
      </c>
      <c r="CH70" s="100">
        <v>6</v>
      </c>
      <c r="CI70" s="100">
        <v>3211.2</v>
      </c>
      <c r="CJ70" s="100">
        <v>6</v>
      </c>
      <c r="CK70" s="100">
        <v>3211.2</v>
      </c>
      <c r="CL70" s="100">
        <v>7</v>
      </c>
      <c r="CM70" s="100">
        <v>3746.3999999999996</v>
      </c>
      <c r="CN70" s="100">
        <v>6</v>
      </c>
      <c r="CO70" s="100">
        <v>3211.2</v>
      </c>
      <c r="CP70" s="100">
        <v>4</v>
      </c>
      <c r="CQ70" s="100">
        <v>2140.7999999999997</v>
      </c>
      <c r="CR70" s="100">
        <v>4</v>
      </c>
      <c r="CS70" s="100">
        <v>2140.7999999999997</v>
      </c>
      <c r="CT70" s="100">
        <v>4</v>
      </c>
      <c r="CU70" s="100">
        <v>2140.7999999999997</v>
      </c>
    </row>
    <row r="71" spans="2:99">
      <c r="B71" s="99" t="s">
        <v>130</v>
      </c>
      <c r="C71" s="99" t="s">
        <v>237</v>
      </c>
      <c r="D71" s="100">
        <v>3.9069631199111017</v>
      </c>
      <c r="E71" s="100">
        <v>2203.5271996298616</v>
      </c>
      <c r="F71" s="100">
        <v>3</v>
      </c>
      <c r="G71" s="100">
        <v>1692</v>
      </c>
      <c r="H71" s="100">
        <v>2.6701052665583838</v>
      </c>
      <c r="I71" s="100">
        <v>1505.9393703389285</v>
      </c>
      <c r="J71" s="100">
        <v>4.3551564556110023</v>
      </c>
      <c r="K71" s="100">
        <v>2456.3082409646054</v>
      </c>
      <c r="L71" s="100">
        <v>1.9615400559778955</v>
      </c>
      <c r="M71" s="100">
        <v>1106.308591571533</v>
      </c>
      <c r="N71" s="100">
        <v>4</v>
      </c>
      <c r="O71" s="100">
        <v>2256</v>
      </c>
      <c r="P71" s="100">
        <v>3</v>
      </c>
      <c r="Q71" s="100">
        <v>1692</v>
      </c>
      <c r="R71" s="100">
        <v>4</v>
      </c>
      <c r="S71" s="100">
        <v>2256</v>
      </c>
      <c r="T71" s="100">
        <v>4</v>
      </c>
      <c r="U71" s="100">
        <v>2256</v>
      </c>
      <c r="V71" s="100">
        <v>6</v>
      </c>
      <c r="W71" s="100">
        <v>3384</v>
      </c>
      <c r="X71" s="100">
        <v>3</v>
      </c>
      <c r="Y71" s="100">
        <v>1692</v>
      </c>
      <c r="Z71" s="100">
        <v>5.3687519855047769</v>
      </c>
      <c r="AA71" s="100">
        <v>3027.9761198246943</v>
      </c>
      <c r="AB71" s="100">
        <v>3</v>
      </c>
      <c r="AC71" s="100">
        <v>1692</v>
      </c>
      <c r="AD71" s="100">
        <v>4</v>
      </c>
      <c r="AE71" s="100">
        <v>2256</v>
      </c>
      <c r="AF71" s="100">
        <v>3</v>
      </c>
      <c r="AG71" s="100">
        <v>1692</v>
      </c>
      <c r="AH71" s="100">
        <v>4</v>
      </c>
      <c r="AI71" s="100">
        <v>2256</v>
      </c>
      <c r="AJ71" s="100">
        <v>6</v>
      </c>
      <c r="AK71" s="100">
        <v>3384</v>
      </c>
      <c r="AL71" s="100">
        <v>4.9718603346113301</v>
      </c>
      <c r="AM71" s="100">
        <v>2804.1292287207903</v>
      </c>
      <c r="AN71" s="100">
        <v>3.6116015574277793</v>
      </c>
      <c r="AO71" s="100">
        <v>2036.9432783892676</v>
      </c>
      <c r="AP71" s="100">
        <v>4.8654639108242081</v>
      </c>
      <c r="AQ71" s="100">
        <v>2744.1216457048536</v>
      </c>
      <c r="AR71" s="100">
        <v>1.5249041631612057</v>
      </c>
      <c r="AS71" s="100">
        <v>860.04594802292002</v>
      </c>
      <c r="AT71" s="100">
        <v>4</v>
      </c>
      <c r="AU71" s="100">
        <v>2256</v>
      </c>
      <c r="AV71" s="100">
        <v>4</v>
      </c>
      <c r="AW71" s="100">
        <v>2256</v>
      </c>
      <c r="AX71" s="100">
        <v>3</v>
      </c>
      <c r="AY71" s="100">
        <v>1692</v>
      </c>
      <c r="AZ71" s="100">
        <v>6</v>
      </c>
      <c r="BA71" s="100">
        <v>3384</v>
      </c>
      <c r="BB71" s="100">
        <v>4</v>
      </c>
      <c r="BC71" s="100">
        <v>2256</v>
      </c>
      <c r="BD71" s="100">
        <v>4</v>
      </c>
      <c r="BE71" s="100">
        <v>2256</v>
      </c>
      <c r="BF71" s="100">
        <v>4.4865468975550842</v>
      </c>
      <c r="BG71" s="100">
        <v>2530.4124502210675</v>
      </c>
      <c r="BH71" s="100">
        <v>6</v>
      </c>
      <c r="BI71" s="100">
        <v>3384</v>
      </c>
      <c r="BJ71" s="100">
        <v>6</v>
      </c>
      <c r="BK71" s="100">
        <v>3384</v>
      </c>
      <c r="BL71" s="100">
        <v>5</v>
      </c>
      <c r="BM71" s="100">
        <v>2820</v>
      </c>
      <c r="BN71" s="100">
        <v>3</v>
      </c>
      <c r="BO71" s="100">
        <v>1692</v>
      </c>
      <c r="BP71" s="100">
        <v>6</v>
      </c>
      <c r="BQ71" s="100">
        <v>3384</v>
      </c>
      <c r="BR71" s="100">
        <v>3</v>
      </c>
      <c r="BS71" s="100">
        <v>1692</v>
      </c>
      <c r="BT71" s="100">
        <v>4</v>
      </c>
      <c r="BU71" s="100">
        <v>2256</v>
      </c>
      <c r="BV71" s="100">
        <v>4</v>
      </c>
      <c r="BW71" s="100">
        <v>2256</v>
      </c>
      <c r="BX71" s="100">
        <v>3</v>
      </c>
      <c r="BY71" s="100">
        <v>1692</v>
      </c>
      <c r="BZ71" s="100">
        <v>3.1115824186900811</v>
      </c>
      <c r="CA71" s="100">
        <v>1754.9324841412058</v>
      </c>
      <c r="CB71" s="100">
        <v>4</v>
      </c>
      <c r="CC71" s="100">
        <v>2256</v>
      </c>
      <c r="CD71" s="100">
        <v>5.2394218947124394</v>
      </c>
      <c r="CE71" s="100">
        <v>2955.0339486178159</v>
      </c>
      <c r="CF71" s="100">
        <v>5</v>
      </c>
      <c r="CG71" s="100">
        <v>2820</v>
      </c>
      <c r="CH71" s="100">
        <v>3.3890710559024488</v>
      </c>
      <c r="CI71" s="100">
        <v>1911.4360755289811</v>
      </c>
      <c r="CJ71" s="100">
        <v>7</v>
      </c>
      <c r="CK71" s="100">
        <v>3948</v>
      </c>
      <c r="CL71" s="100">
        <v>5</v>
      </c>
      <c r="CM71" s="100">
        <v>2820</v>
      </c>
      <c r="CN71" s="100">
        <v>3</v>
      </c>
      <c r="CO71" s="100">
        <v>1692</v>
      </c>
      <c r="CP71" s="100">
        <v>5</v>
      </c>
      <c r="CQ71" s="100">
        <v>2820</v>
      </c>
      <c r="CR71" s="100">
        <v>5</v>
      </c>
      <c r="CS71" s="100">
        <v>2820</v>
      </c>
      <c r="CT71" s="100">
        <v>4</v>
      </c>
      <c r="CU71" s="100">
        <v>2256</v>
      </c>
    </row>
    <row r="72" spans="2:99">
      <c r="C72" s="99" t="s">
        <v>238</v>
      </c>
      <c r="D72" s="100">
        <v>3.9069631199111017</v>
      </c>
      <c r="E72" s="100">
        <v>290.67805612138591</v>
      </c>
      <c r="F72" s="100">
        <v>3</v>
      </c>
      <c r="G72" s="100">
        <v>223.2</v>
      </c>
      <c r="H72" s="100">
        <v>3.3376315831979801</v>
      </c>
      <c r="I72" s="100">
        <v>248.3197897899297</v>
      </c>
      <c r="J72" s="100">
        <v>4.3551564556110023</v>
      </c>
      <c r="K72" s="100">
        <v>324.02364029745854</v>
      </c>
      <c r="L72" s="100">
        <v>2.7461560783690535</v>
      </c>
      <c r="M72" s="100">
        <v>204.31401223065757</v>
      </c>
      <c r="N72" s="100">
        <v>4</v>
      </c>
      <c r="O72" s="100">
        <v>297.59999999999997</v>
      </c>
      <c r="P72" s="100">
        <v>3</v>
      </c>
      <c r="Q72" s="100">
        <v>223.2</v>
      </c>
      <c r="R72" s="100">
        <v>4</v>
      </c>
      <c r="S72" s="100">
        <v>297.59999999999997</v>
      </c>
      <c r="T72" s="100">
        <v>4</v>
      </c>
      <c r="U72" s="100">
        <v>297.59999999999997</v>
      </c>
      <c r="V72" s="100">
        <v>6</v>
      </c>
      <c r="W72" s="100">
        <v>446.4</v>
      </c>
      <c r="X72" s="100">
        <v>3</v>
      </c>
      <c r="Y72" s="100">
        <v>223.2</v>
      </c>
      <c r="Z72" s="100">
        <v>6.3277795426709131</v>
      </c>
      <c r="AA72" s="100">
        <v>470.78679797471591</v>
      </c>
      <c r="AB72" s="100">
        <v>3</v>
      </c>
      <c r="AC72" s="100">
        <v>223.2</v>
      </c>
      <c r="AD72" s="100">
        <v>5</v>
      </c>
      <c r="AE72" s="100">
        <v>371.99999999999994</v>
      </c>
      <c r="AF72" s="100">
        <v>3</v>
      </c>
      <c r="AG72" s="100">
        <v>223.2</v>
      </c>
      <c r="AH72" s="100">
        <v>4</v>
      </c>
      <c r="AI72" s="100">
        <v>297.59999999999997</v>
      </c>
      <c r="AJ72" s="100">
        <v>7</v>
      </c>
      <c r="AK72" s="100">
        <v>520.79999999999995</v>
      </c>
      <c r="AL72" s="100">
        <v>4.9718603346113301</v>
      </c>
      <c r="AM72" s="100">
        <v>369.9064088950829</v>
      </c>
      <c r="AN72" s="100">
        <v>3.6116015574277793</v>
      </c>
      <c r="AO72" s="100">
        <v>268.70315587262672</v>
      </c>
      <c r="AP72" s="100">
        <v>4.0305663332586477</v>
      </c>
      <c r="AQ72" s="100">
        <v>299.87413519444334</v>
      </c>
      <c r="AR72" s="100">
        <v>2.0332055508816076</v>
      </c>
      <c r="AS72" s="100">
        <v>151.27049298559157</v>
      </c>
      <c r="AT72" s="100">
        <v>5</v>
      </c>
      <c r="AU72" s="100">
        <v>371.99999999999994</v>
      </c>
      <c r="AV72" s="100">
        <v>3</v>
      </c>
      <c r="AW72" s="100">
        <v>223.2</v>
      </c>
      <c r="AX72" s="100">
        <v>3</v>
      </c>
      <c r="AY72" s="100">
        <v>223.2</v>
      </c>
      <c r="AZ72" s="100">
        <v>6</v>
      </c>
      <c r="BA72" s="100">
        <v>446.4</v>
      </c>
      <c r="BB72" s="100">
        <v>4</v>
      </c>
      <c r="BC72" s="100">
        <v>297.59999999999997</v>
      </c>
      <c r="BD72" s="100">
        <v>4</v>
      </c>
      <c r="BE72" s="100">
        <v>297.59999999999997</v>
      </c>
      <c r="BF72" s="100">
        <v>3.5270924723513408</v>
      </c>
      <c r="BG72" s="100">
        <v>262.41567994293973</v>
      </c>
      <c r="BH72" s="100">
        <v>6</v>
      </c>
      <c r="BI72" s="100">
        <v>446.4</v>
      </c>
      <c r="BJ72" s="100">
        <v>6</v>
      </c>
      <c r="BK72" s="100">
        <v>446.4</v>
      </c>
      <c r="BL72" s="100">
        <v>6</v>
      </c>
      <c r="BM72" s="100">
        <v>446.4</v>
      </c>
      <c r="BN72" s="100">
        <v>3</v>
      </c>
      <c r="BO72" s="100">
        <v>223.2</v>
      </c>
      <c r="BP72" s="100">
        <v>6</v>
      </c>
      <c r="BQ72" s="100">
        <v>446.4</v>
      </c>
      <c r="BR72" s="100">
        <v>3</v>
      </c>
      <c r="BS72" s="100">
        <v>223.2</v>
      </c>
      <c r="BT72" s="100">
        <v>4</v>
      </c>
      <c r="BU72" s="100">
        <v>297.59999999999997</v>
      </c>
      <c r="BV72" s="100">
        <v>4</v>
      </c>
      <c r="BW72" s="100">
        <v>297.59999999999997</v>
      </c>
      <c r="BX72" s="100">
        <v>3</v>
      </c>
      <c r="BY72" s="100">
        <v>223.2</v>
      </c>
      <c r="BZ72" s="100">
        <v>3.1239804652112011</v>
      </c>
      <c r="CA72" s="100">
        <v>232.42414661171333</v>
      </c>
      <c r="CB72" s="100">
        <v>5</v>
      </c>
      <c r="CC72" s="100">
        <v>371.99999999999994</v>
      </c>
      <c r="CD72" s="100">
        <v>4.2633640841836833</v>
      </c>
      <c r="CE72" s="100">
        <v>317.19428786326603</v>
      </c>
      <c r="CF72" s="100">
        <v>5</v>
      </c>
      <c r="CG72" s="100">
        <v>371.99999999999994</v>
      </c>
      <c r="CH72" s="100">
        <v>3.353700959911317</v>
      </c>
      <c r="CI72" s="100">
        <v>249.51535141740194</v>
      </c>
      <c r="CJ72" s="100">
        <v>6</v>
      </c>
      <c r="CK72" s="100">
        <v>446.4</v>
      </c>
      <c r="CL72" s="100">
        <v>5</v>
      </c>
      <c r="CM72" s="100">
        <v>371.99999999999994</v>
      </c>
      <c r="CN72" s="100">
        <v>4</v>
      </c>
      <c r="CO72" s="100">
        <v>297.59999999999997</v>
      </c>
      <c r="CP72" s="100">
        <v>5</v>
      </c>
      <c r="CQ72" s="100">
        <v>371.99999999999994</v>
      </c>
      <c r="CR72" s="100">
        <v>5</v>
      </c>
      <c r="CS72" s="100">
        <v>371.99999999999994</v>
      </c>
      <c r="CT72" s="100">
        <v>5</v>
      </c>
      <c r="CU72" s="100">
        <v>371.99999999999994</v>
      </c>
    </row>
    <row r="73" spans="2:99">
      <c r="C73" s="99" t="s">
        <v>239</v>
      </c>
      <c r="D73" s="100">
        <v>3.9069631199111017</v>
      </c>
      <c r="E73" s="100">
        <v>2184.7737766542878</v>
      </c>
      <c r="F73" s="100">
        <v>3</v>
      </c>
      <c r="G73" s="100">
        <v>1677.6</v>
      </c>
      <c r="H73" s="100">
        <v>3.3376315831979801</v>
      </c>
      <c r="I73" s="100">
        <v>1866.4035813243104</v>
      </c>
      <c r="J73" s="100">
        <v>4.3551564556110023</v>
      </c>
      <c r="K73" s="100">
        <v>2435.4034899776721</v>
      </c>
      <c r="L73" s="100">
        <v>2.3538480671734745</v>
      </c>
      <c r="M73" s="100">
        <v>1316.2718391634069</v>
      </c>
      <c r="N73" s="100">
        <v>5</v>
      </c>
      <c r="O73" s="100">
        <v>2795.9999999999995</v>
      </c>
      <c r="P73" s="100">
        <v>3</v>
      </c>
      <c r="Q73" s="100">
        <v>1677.6</v>
      </c>
      <c r="R73" s="100">
        <v>5</v>
      </c>
      <c r="S73" s="100">
        <v>2795.9999999999995</v>
      </c>
      <c r="T73" s="100">
        <v>4</v>
      </c>
      <c r="U73" s="100">
        <v>2236.7999999999997</v>
      </c>
      <c r="V73" s="100">
        <v>5</v>
      </c>
      <c r="W73" s="100">
        <v>2795.9999999999995</v>
      </c>
      <c r="X73" s="100">
        <v>3</v>
      </c>
      <c r="Y73" s="100">
        <v>1677.6</v>
      </c>
      <c r="Z73" s="100">
        <v>6.3687519855047769</v>
      </c>
      <c r="AA73" s="100">
        <v>3561.406110294271</v>
      </c>
      <c r="AB73" s="100">
        <v>3</v>
      </c>
      <c r="AC73" s="100">
        <v>1677.6</v>
      </c>
      <c r="AD73" s="100">
        <v>4</v>
      </c>
      <c r="AE73" s="100">
        <v>2236.7999999999997</v>
      </c>
      <c r="AF73" s="100">
        <v>3</v>
      </c>
      <c r="AG73" s="100">
        <v>1677.6</v>
      </c>
      <c r="AH73" s="100">
        <v>4</v>
      </c>
      <c r="AI73" s="100">
        <v>2236.7999999999997</v>
      </c>
      <c r="AJ73" s="100">
        <v>6</v>
      </c>
      <c r="AK73" s="100">
        <v>3355.2</v>
      </c>
      <c r="AL73" s="100">
        <v>4.9718603346113301</v>
      </c>
      <c r="AM73" s="100">
        <v>2780.2642991146554</v>
      </c>
      <c r="AN73" s="100">
        <v>3.6116015574277793</v>
      </c>
      <c r="AO73" s="100">
        <v>2019.6075909136139</v>
      </c>
      <c r="AP73" s="100">
        <v>4.8248182624126548</v>
      </c>
      <c r="AQ73" s="100">
        <v>2698.038372341156</v>
      </c>
      <c r="AR73" s="100">
        <v>1.5249041631612057</v>
      </c>
      <c r="AS73" s="100">
        <v>852.72640803974616</v>
      </c>
      <c r="AT73" s="100">
        <v>4</v>
      </c>
      <c r="AU73" s="100">
        <v>2236.7999999999997</v>
      </c>
      <c r="AV73" s="100">
        <v>3</v>
      </c>
      <c r="AW73" s="100">
        <v>1677.6</v>
      </c>
      <c r="AX73" s="100">
        <v>3</v>
      </c>
      <c r="AY73" s="100">
        <v>1677.6</v>
      </c>
      <c r="AZ73" s="100">
        <v>5</v>
      </c>
      <c r="BA73" s="100">
        <v>2795.9999999999995</v>
      </c>
      <c r="BB73" s="100">
        <v>4</v>
      </c>
      <c r="BC73" s="100">
        <v>2236.7999999999997</v>
      </c>
      <c r="BD73" s="100">
        <v>4</v>
      </c>
      <c r="BE73" s="100">
        <v>2236.7999999999997</v>
      </c>
      <c r="BF73" s="100">
        <v>4.4865468975550842</v>
      </c>
      <c r="BG73" s="100">
        <v>2508.8770251128026</v>
      </c>
      <c r="BH73" s="100">
        <v>5</v>
      </c>
      <c r="BI73" s="100">
        <v>2795.9999999999995</v>
      </c>
      <c r="BJ73" s="100">
        <v>5</v>
      </c>
      <c r="BK73" s="100">
        <v>2795.9999999999995</v>
      </c>
      <c r="BL73" s="100">
        <v>5</v>
      </c>
      <c r="BM73" s="100">
        <v>2795.9999999999995</v>
      </c>
      <c r="BN73" s="100">
        <v>3</v>
      </c>
      <c r="BO73" s="100">
        <v>1677.6</v>
      </c>
      <c r="BP73" s="100">
        <v>6</v>
      </c>
      <c r="BQ73" s="100">
        <v>3355.2</v>
      </c>
      <c r="BR73" s="100">
        <v>3</v>
      </c>
      <c r="BS73" s="100">
        <v>1677.6</v>
      </c>
      <c r="BT73" s="100">
        <v>4</v>
      </c>
      <c r="BU73" s="100">
        <v>2236.7999999999997</v>
      </c>
      <c r="BV73" s="100">
        <v>5</v>
      </c>
      <c r="BW73" s="100">
        <v>2795.9999999999995</v>
      </c>
      <c r="BX73" s="100">
        <v>3</v>
      </c>
      <c r="BY73" s="100">
        <v>1677.6</v>
      </c>
      <c r="BZ73" s="100">
        <v>3.1115824186900811</v>
      </c>
      <c r="CA73" s="100">
        <v>1739.9968885314931</v>
      </c>
      <c r="CB73" s="100">
        <v>5</v>
      </c>
      <c r="CC73" s="100">
        <v>2795.9999999999995</v>
      </c>
      <c r="CD73" s="100">
        <v>4.2633640841836833</v>
      </c>
      <c r="CE73" s="100">
        <v>2384.0731958755155</v>
      </c>
      <c r="CF73" s="100">
        <v>4</v>
      </c>
      <c r="CG73" s="100">
        <v>2236.7999999999997</v>
      </c>
      <c r="CH73" s="100">
        <v>3.3890710559024488</v>
      </c>
      <c r="CI73" s="100">
        <v>1895.1685344606492</v>
      </c>
      <c r="CJ73" s="100">
        <v>6</v>
      </c>
      <c r="CK73" s="100">
        <v>3355.2</v>
      </c>
      <c r="CL73" s="100">
        <v>5</v>
      </c>
      <c r="CM73" s="100">
        <v>2795.9999999999995</v>
      </c>
      <c r="CN73" s="100">
        <v>4</v>
      </c>
      <c r="CO73" s="100">
        <v>2236.7999999999997</v>
      </c>
      <c r="CP73" s="100">
        <v>5</v>
      </c>
      <c r="CQ73" s="100">
        <v>2795.9999999999995</v>
      </c>
      <c r="CR73" s="100">
        <v>5</v>
      </c>
      <c r="CS73" s="100">
        <v>2795.9999999999995</v>
      </c>
      <c r="CT73" s="100">
        <v>5</v>
      </c>
      <c r="CU73" s="100">
        <v>2795.9999999999995</v>
      </c>
    </row>
    <row r="74" spans="2:99">
      <c r="C74" s="99" t="s">
        <v>240</v>
      </c>
      <c r="D74" s="100">
        <v>3.9069631199111017</v>
      </c>
      <c r="E74" s="100">
        <v>1575.2875299481561</v>
      </c>
      <c r="F74" s="100">
        <v>3</v>
      </c>
      <c r="G74" s="100">
        <v>1209.5999999999999</v>
      </c>
      <c r="H74" s="100">
        <v>3.3376315831979801</v>
      </c>
      <c r="I74" s="100">
        <v>1345.7330543454254</v>
      </c>
      <c r="J74" s="100">
        <v>4.3551564556110023</v>
      </c>
      <c r="K74" s="100">
        <v>1755.9990829023561</v>
      </c>
      <c r="L74" s="100">
        <v>2.3538480671734745</v>
      </c>
      <c r="M74" s="100">
        <v>949.07154068434488</v>
      </c>
      <c r="N74" s="100">
        <v>4</v>
      </c>
      <c r="O74" s="100">
        <v>1612.8</v>
      </c>
      <c r="P74" s="100">
        <v>3</v>
      </c>
      <c r="Q74" s="100">
        <v>1209.5999999999999</v>
      </c>
      <c r="R74" s="100">
        <v>4</v>
      </c>
      <c r="S74" s="100">
        <v>1612.8</v>
      </c>
      <c r="T74" s="100">
        <v>3</v>
      </c>
      <c r="U74" s="100">
        <v>1209.5999999999999</v>
      </c>
      <c r="V74" s="100">
        <v>5</v>
      </c>
      <c r="W74" s="100">
        <v>2016</v>
      </c>
      <c r="X74" s="100">
        <v>3</v>
      </c>
      <c r="Y74" s="100">
        <v>1209.5999999999999</v>
      </c>
      <c r="Z74" s="100">
        <v>6.3277795426709131</v>
      </c>
      <c r="AA74" s="100">
        <v>2551.360711604912</v>
      </c>
      <c r="AB74" s="100">
        <v>3</v>
      </c>
      <c r="AC74" s="100">
        <v>1209.5999999999999</v>
      </c>
      <c r="AD74" s="100">
        <v>5</v>
      </c>
      <c r="AE74" s="100">
        <v>2016</v>
      </c>
      <c r="AF74" s="100">
        <v>3</v>
      </c>
      <c r="AG74" s="100">
        <v>1209.5999999999999</v>
      </c>
      <c r="AH74" s="100">
        <v>5</v>
      </c>
      <c r="AI74" s="100">
        <v>2016</v>
      </c>
      <c r="AJ74" s="100">
        <v>6</v>
      </c>
      <c r="AK74" s="100">
        <v>2419.1999999999998</v>
      </c>
      <c r="AL74" s="100">
        <v>4.1432169455094421</v>
      </c>
      <c r="AM74" s="100">
        <v>1670.5450724294069</v>
      </c>
      <c r="AN74" s="100">
        <v>3.6116015574277793</v>
      </c>
      <c r="AO74" s="100">
        <v>1456.1977479548807</v>
      </c>
      <c r="AP74" s="100">
        <v>4.0305663332586477</v>
      </c>
      <c r="AQ74" s="100">
        <v>1625.1243455698866</v>
      </c>
      <c r="AR74" s="100">
        <v>1.5249041631612057</v>
      </c>
      <c r="AS74" s="100">
        <v>614.84135858659806</v>
      </c>
      <c r="AT74" s="100">
        <v>4</v>
      </c>
      <c r="AU74" s="100">
        <v>1612.8</v>
      </c>
      <c r="AV74" s="100">
        <v>4</v>
      </c>
      <c r="AW74" s="100">
        <v>1612.8</v>
      </c>
      <c r="AX74" s="100">
        <v>3</v>
      </c>
      <c r="AY74" s="100">
        <v>1209.5999999999999</v>
      </c>
      <c r="AZ74" s="100">
        <v>6</v>
      </c>
      <c r="BA74" s="100">
        <v>2419.1999999999998</v>
      </c>
      <c r="BB74" s="100">
        <v>4</v>
      </c>
      <c r="BC74" s="100">
        <v>1612.8</v>
      </c>
      <c r="BD74" s="100">
        <v>4</v>
      </c>
      <c r="BE74" s="100">
        <v>1612.8</v>
      </c>
      <c r="BF74" s="100">
        <v>4.5270924723513408</v>
      </c>
      <c r="BG74" s="100">
        <v>1825.3236848520605</v>
      </c>
      <c r="BH74" s="100">
        <v>6</v>
      </c>
      <c r="BI74" s="100">
        <v>2419.1999999999998</v>
      </c>
      <c r="BJ74" s="100">
        <v>5</v>
      </c>
      <c r="BK74" s="100">
        <v>2016</v>
      </c>
      <c r="BL74" s="100">
        <v>6</v>
      </c>
      <c r="BM74" s="100">
        <v>2419.1999999999998</v>
      </c>
      <c r="BN74" s="100">
        <v>4</v>
      </c>
      <c r="BO74" s="100">
        <v>1612.8</v>
      </c>
      <c r="BP74" s="100">
        <v>6</v>
      </c>
      <c r="BQ74" s="100">
        <v>2419.1999999999998</v>
      </c>
      <c r="BR74" s="100">
        <v>4</v>
      </c>
      <c r="BS74" s="100">
        <v>1612.8</v>
      </c>
      <c r="BT74" s="100">
        <v>4</v>
      </c>
      <c r="BU74" s="100">
        <v>1612.8</v>
      </c>
      <c r="BV74" s="100">
        <v>5</v>
      </c>
      <c r="BW74" s="100">
        <v>2016</v>
      </c>
      <c r="BX74" s="100">
        <v>3</v>
      </c>
      <c r="BY74" s="100">
        <v>1209.5999999999999</v>
      </c>
      <c r="BZ74" s="100">
        <v>4.1115824186900811</v>
      </c>
      <c r="CA74" s="100">
        <v>1657.7900312158406</v>
      </c>
      <c r="CB74" s="100">
        <v>5</v>
      </c>
      <c r="CC74" s="100">
        <v>2016</v>
      </c>
      <c r="CD74" s="100">
        <v>5.2873062736549272</v>
      </c>
      <c r="CE74" s="100">
        <v>2131.8418895376667</v>
      </c>
      <c r="CF74" s="100">
        <v>4</v>
      </c>
      <c r="CG74" s="100">
        <v>1612.8</v>
      </c>
      <c r="CH74" s="100">
        <v>3.3183308639201856</v>
      </c>
      <c r="CI74" s="100">
        <v>1337.9510043326188</v>
      </c>
      <c r="CJ74" s="100">
        <v>6</v>
      </c>
      <c r="CK74" s="100">
        <v>2419.1999999999998</v>
      </c>
      <c r="CL74" s="100">
        <v>5</v>
      </c>
      <c r="CM74" s="100">
        <v>2016</v>
      </c>
      <c r="CN74" s="100">
        <v>3</v>
      </c>
      <c r="CO74" s="100">
        <v>1209.5999999999999</v>
      </c>
      <c r="CP74" s="100">
        <v>4</v>
      </c>
      <c r="CQ74" s="100">
        <v>1612.8</v>
      </c>
      <c r="CR74" s="100">
        <v>5</v>
      </c>
      <c r="CS74" s="100">
        <v>2016</v>
      </c>
      <c r="CT74" s="100">
        <v>5</v>
      </c>
      <c r="CU74" s="100">
        <v>2016</v>
      </c>
    </row>
    <row r="75" spans="2:99">
      <c r="C75" s="99" t="s">
        <v>241</v>
      </c>
      <c r="D75" s="100">
        <v>3.9069631199111017</v>
      </c>
      <c r="E75" s="100">
        <v>2512.9586787268204</v>
      </c>
      <c r="F75" s="100">
        <v>3.4271205534462035</v>
      </c>
      <c r="G75" s="100">
        <v>2204.323939976598</v>
      </c>
      <c r="H75" s="100">
        <v>2.6701052665583838</v>
      </c>
      <c r="I75" s="100">
        <v>1717.4117074503522</v>
      </c>
      <c r="J75" s="100">
        <v>4.3551564556110023</v>
      </c>
      <c r="K75" s="100">
        <v>2801.2366322489966</v>
      </c>
      <c r="L75" s="100">
        <v>1.9615400559778955</v>
      </c>
      <c r="M75" s="100">
        <v>1261.6625640049822</v>
      </c>
      <c r="N75" s="100">
        <v>5</v>
      </c>
      <c r="O75" s="100">
        <v>3215.9999999999995</v>
      </c>
      <c r="P75" s="100">
        <v>3</v>
      </c>
      <c r="Q75" s="100">
        <v>1929.6</v>
      </c>
      <c r="R75" s="100">
        <v>4</v>
      </c>
      <c r="S75" s="100">
        <v>2572.7999999999997</v>
      </c>
      <c r="T75" s="100">
        <v>3</v>
      </c>
      <c r="U75" s="100">
        <v>1929.6</v>
      </c>
      <c r="V75" s="100">
        <v>6</v>
      </c>
      <c r="W75" s="100">
        <v>3859.2</v>
      </c>
      <c r="X75" s="100">
        <v>3</v>
      </c>
      <c r="Y75" s="100">
        <v>1929.6</v>
      </c>
      <c r="Z75" s="100">
        <v>5.3687519855047769</v>
      </c>
      <c r="AA75" s="100">
        <v>3453.1812770766724</v>
      </c>
      <c r="AB75" s="100">
        <v>3</v>
      </c>
      <c r="AC75" s="100">
        <v>1929.6</v>
      </c>
      <c r="AD75" s="100">
        <v>4</v>
      </c>
      <c r="AE75" s="100">
        <v>2572.7999999999997</v>
      </c>
      <c r="AF75" s="100">
        <v>3</v>
      </c>
      <c r="AG75" s="100">
        <v>1929.6</v>
      </c>
      <c r="AH75" s="100">
        <v>4</v>
      </c>
      <c r="AI75" s="100">
        <v>2572.7999999999997</v>
      </c>
      <c r="AJ75" s="100">
        <v>6</v>
      </c>
      <c r="AK75" s="100">
        <v>3859.2</v>
      </c>
      <c r="AL75" s="100">
        <v>4.9718603346113301</v>
      </c>
      <c r="AM75" s="100">
        <v>3197.9005672220073</v>
      </c>
      <c r="AN75" s="100">
        <v>3.6116015574277793</v>
      </c>
      <c r="AO75" s="100">
        <v>2322.9821217375475</v>
      </c>
      <c r="AP75" s="100">
        <v>4.0305663332586477</v>
      </c>
      <c r="AQ75" s="100">
        <v>2592.460265551962</v>
      </c>
      <c r="AR75" s="100">
        <v>1.5249041631612057</v>
      </c>
      <c r="AS75" s="100">
        <v>980.81835774528736</v>
      </c>
      <c r="AT75" s="100">
        <v>4</v>
      </c>
      <c r="AU75" s="100">
        <v>2572.7999999999997</v>
      </c>
      <c r="AV75" s="100">
        <v>4</v>
      </c>
      <c r="AW75" s="100">
        <v>2572.7999999999997</v>
      </c>
      <c r="AX75" s="100">
        <v>3</v>
      </c>
      <c r="AY75" s="100">
        <v>1929.6</v>
      </c>
      <c r="AZ75" s="100">
        <v>5</v>
      </c>
      <c r="BA75" s="100">
        <v>3215.9999999999995</v>
      </c>
      <c r="BB75" s="100">
        <v>4</v>
      </c>
      <c r="BC75" s="100">
        <v>2572.7999999999997</v>
      </c>
      <c r="BD75" s="100">
        <v>4</v>
      </c>
      <c r="BE75" s="100">
        <v>2572.7999999999997</v>
      </c>
      <c r="BF75" s="100">
        <v>4.4865468975550842</v>
      </c>
      <c r="BG75" s="100">
        <v>2885.7469645074298</v>
      </c>
      <c r="BH75" s="100">
        <v>6</v>
      </c>
      <c r="BI75" s="100">
        <v>3859.2</v>
      </c>
      <c r="BJ75" s="100">
        <v>5</v>
      </c>
      <c r="BK75" s="100">
        <v>3215.9999999999995</v>
      </c>
      <c r="BL75" s="100">
        <v>5</v>
      </c>
      <c r="BM75" s="100">
        <v>3215.9999999999995</v>
      </c>
      <c r="BN75" s="100">
        <v>4</v>
      </c>
      <c r="BO75" s="100">
        <v>2572.7999999999997</v>
      </c>
      <c r="BP75" s="100">
        <v>6</v>
      </c>
      <c r="BQ75" s="100">
        <v>3859.2</v>
      </c>
      <c r="BR75" s="100">
        <v>3</v>
      </c>
      <c r="BS75" s="100">
        <v>1929.6</v>
      </c>
      <c r="BT75" s="100">
        <v>4</v>
      </c>
      <c r="BU75" s="100">
        <v>2572.7999999999997</v>
      </c>
      <c r="BV75" s="100">
        <v>5</v>
      </c>
      <c r="BW75" s="100">
        <v>3215.9999999999995</v>
      </c>
      <c r="BX75" s="100">
        <v>3</v>
      </c>
      <c r="BY75" s="100">
        <v>1929.6</v>
      </c>
      <c r="BZ75" s="100">
        <v>3.0991843721689611</v>
      </c>
      <c r="CA75" s="100">
        <v>1993.3953881790756</v>
      </c>
      <c r="CB75" s="100">
        <v>5</v>
      </c>
      <c r="CC75" s="100">
        <v>3215.9999999999995</v>
      </c>
      <c r="CD75" s="100">
        <v>5.2394218947124394</v>
      </c>
      <c r="CE75" s="100">
        <v>3369.9961626790405</v>
      </c>
      <c r="CF75" s="100">
        <v>5</v>
      </c>
      <c r="CG75" s="100">
        <v>3215.9999999999995</v>
      </c>
      <c r="CH75" s="100">
        <v>3.353700959911317</v>
      </c>
      <c r="CI75" s="100">
        <v>2157.1004574149588</v>
      </c>
      <c r="CJ75" s="100">
        <v>6</v>
      </c>
      <c r="CK75" s="100">
        <v>3859.2</v>
      </c>
      <c r="CL75" s="100">
        <v>5</v>
      </c>
      <c r="CM75" s="100">
        <v>3215.9999999999995</v>
      </c>
      <c r="CN75" s="100">
        <v>4</v>
      </c>
      <c r="CO75" s="100">
        <v>2572.7999999999997</v>
      </c>
      <c r="CP75" s="100">
        <v>4</v>
      </c>
      <c r="CQ75" s="100">
        <v>2572.7999999999997</v>
      </c>
      <c r="CR75" s="100">
        <v>5</v>
      </c>
      <c r="CS75" s="100">
        <v>3215.9999999999995</v>
      </c>
      <c r="CT75" s="100">
        <v>5</v>
      </c>
      <c r="CU75" s="100">
        <v>3215.9999999999995</v>
      </c>
    </row>
    <row r="76" spans="2:99">
      <c r="C76" s="99" t="s">
        <v>242</v>
      </c>
      <c r="D76" s="100">
        <v>3.9069631199111017</v>
      </c>
      <c r="E76" s="100">
        <v>3042.7428777867658</v>
      </c>
      <c r="F76" s="100">
        <v>3</v>
      </c>
      <c r="G76" s="100">
        <v>2336.3999999999996</v>
      </c>
      <c r="H76" s="100">
        <v>3.3376315831979801</v>
      </c>
      <c r="I76" s="100">
        <v>2599.3474769945869</v>
      </c>
      <c r="J76" s="100">
        <v>4.3551564556110023</v>
      </c>
      <c r="K76" s="100">
        <v>3391.7958476298486</v>
      </c>
      <c r="L76" s="100">
        <v>2.3538480671734745</v>
      </c>
      <c r="M76" s="100">
        <v>1833.1768747147019</v>
      </c>
      <c r="N76" s="100">
        <v>5</v>
      </c>
      <c r="O76" s="100">
        <v>3894</v>
      </c>
      <c r="P76" s="100">
        <v>3</v>
      </c>
      <c r="Q76" s="100">
        <v>2336.3999999999996</v>
      </c>
      <c r="R76" s="100">
        <v>4</v>
      </c>
      <c r="S76" s="100">
        <v>3115.2</v>
      </c>
      <c r="T76" s="100">
        <v>4</v>
      </c>
      <c r="U76" s="100">
        <v>3115.2</v>
      </c>
      <c r="V76" s="100">
        <v>6</v>
      </c>
      <c r="W76" s="100">
        <v>4672.7999999999993</v>
      </c>
      <c r="X76" s="100">
        <v>3</v>
      </c>
      <c r="Y76" s="100">
        <v>2336.3999999999996</v>
      </c>
      <c r="Z76" s="100">
        <v>5.3687519855047769</v>
      </c>
      <c r="AA76" s="100">
        <v>4181.1840463111203</v>
      </c>
      <c r="AB76" s="100">
        <v>3</v>
      </c>
      <c r="AC76" s="100">
        <v>2336.3999999999996</v>
      </c>
      <c r="AD76" s="100">
        <v>5</v>
      </c>
      <c r="AE76" s="100">
        <v>3894</v>
      </c>
      <c r="AF76" s="100">
        <v>3</v>
      </c>
      <c r="AG76" s="100">
        <v>2336.3999999999996</v>
      </c>
      <c r="AH76" s="100">
        <v>4</v>
      </c>
      <c r="AI76" s="100">
        <v>3115.2</v>
      </c>
      <c r="AJ76" s="100">
        <v>6</v>
      </c>
      <c r="AK76" s="100">
        <v>4672.7999999999993</v>
      </c>
      <c r="AL76" s="100">
        <v>4.9718603346113301</v>
      </c>
      <c r="AM76" s="100">
        <v>3872.0848285953039</v>
      </c>
      <c r="AN76" s="100">
        <v>3.6116015574277793</v>
      </c>
      <c r="AO76" s="100">
        <v>2812.7152929247545</v>
      </c>
      <c r="AP76" s="100">
        <v>3.9899206848470947</v>
      </c>
      <c r="AQ76" s="100">
        <v>3107.3502293589172</v>
      </c>
      <c r="AR76" s="100">
        <v>1.5249041631612057</v>
      </c>
      <c r="AS76" s="100">
        <v>1187.5953622699469</v>
      </c>
      <c r="AT76" s="100">
        <v>4</v>
      </c>
      <c r="AU76" s="100">
        <v>3115.2</v>
      </c>
      <c r="AV76" s="100">
        <v>4</v>
      </c>
      <c r="AW76" s="100">
        <v>3115.2</v>
      </c>
      <c r="AX76" s="100">
        <v>3</v>
      </c>
      <c r="AY76" s="100">
        <v>2336.3999999999996</v>
      </c>
      <c r="AZ76" s="100">
        <v>5</v>
      </c>
      <c r="BA76" s="100">
        <v>3894</v>
      </c>
      <c r="BB76" s="100">
        <v>4</v>
      </c>
      <c r="BC76" s="100">
        <v>3115.2</v>
      </c>
      <c r="BD76" s="100">
        <v>5</v>
      </c>
      <c r="BE76" s="100">
        <v>3894</v>
      </c>
      <c r="BF76" s="100">
        <v>4.5270924723513408</v>
      </c>
      <c r="BG76" s="100">
        <v>3525.699617467224</v>
      </c>
      <c r="BH76" s="100">
        <v>5</v>
      </c>
      <c r="BI76" s="100">
        <v>3894</v>
      </c>
      <c r="BJ76" s="100">
        <v>5</v>
      </c>
      <c r="BK76" s="100">
        <v>3894</v>
      </c>
      <c r="BL76" s="100">
        <v>5</v>
      </c>
      <c r="BM76" s="100">
        <v>3894</v>
      </c>
      <c r="BN76" s="100">
        <v>4</v>
      </c>
      <c r="BO76" s="100">
        <v>3115.2</v>
      </c>
      <c r="BP76" s="100">
        <v>5</v>
      </c>
      <c r="BQ76" s="100">
        <v>3894</v>
      </c>
      <c r="BR76" s="100">
        <v>3</v>
      </c>
      <c r="BS76" s="100">
        <v>2336.3999999999996</v>
      </c>
      <c r="BT76" s="100">
        <v>4</v>
      </c>
      <c r="BU76" s="100">
        <v>3115.2</v>
      </c>
      <c r="BV76" s="100">
        <v>4</v>
      </c>
      <c r="BW76" s="100">
        <v>3115.2</v>
      </c>
      <c r="BX76" s="100">
        <v>3</v>
      </c>
      <c r="BY76" s="100">
        <v>2336.3999999999996</v>
      </c>
      <c r="BZ76" s="100">
        <v>3.1115824186900811</v>
      </c>
      <c r="CA76" s="100">
        <v>2423.3003876758348</v>
      </c>
      <c r="CB76" s="100">
        <v>5</v>
      </c>
      <c r="CC76" s="100">
        <v>3894</v>
      </c>
      <c r="CD76" s="100">
        <v>5.2394218947124394</v>
      </c>
      <c r="CE76" s="100">
        <v>4080.4617716020475</v>
      </c>
      <c r="CF76" s="100">
        <v>5</v>
      </c>
      <c r="CG76" s="100">
        <v>3894</v>
      </c>
      <c r="CH76" s="100">
        <v>3.353700959911317</v>
      </c>
      <c r="CI76" s="100">
        <v>2611.8623075789337</v>
      </c>
      <c r="CJ76" s="100">
        <v>7</v>
      </c>
      <c r="CK76" s="100">
        <v>5451.5999999999995</v>
      </c>
      <c r="CL76" s="100">
        <v>5</v>
      </c>
      <c r="CM76" s="100">
        <v>3894</v>
      </c>
      <c r="CN76" s="100">
        <v>4</v>
      </c>
      <c r="CO76" s="100">
        <v>3115.2</v>
      </c>
      <c r="CP76" s="100">
        <v>4</v>
      </c>
      <c r="CQ76" s="100">
        <v>3115.2</v>
      </c>
      <c r="CR76" s="100">
        <v>5</v>
      </c>
      <c r="CS76" s="100">
        <v>3894</v>
      </c>
      <c r="CT76" s="100">
        <v>5</v>
      </c>
      <c r="CU76" s="100">
        <v>3894</v>
      </c>
    </row>
    <row r="77" spans="2:99">
      <c r="C77" s="99" t="s">
        <v>243</v>
      </c>
      <c r="D77" s="100">
        <v>3.9069631199111017</v>
      </c>
      <c r="E77" s="100">
        <v>1087.6985325832507</v>
      </c>
      <c r="F77" s="100">
        <v>3</v>
      </c>
      <c r="G77" s="100">
        <v>835.19999999999993</v>
      </c>
      <c r="H77" s="100">
        <v>2.6701052665583838</v>
      </c>
      <c r="I77" s="100">
        <v>743.35730620985396</v>
      </c>
      <c r="J77" s="100">
        <v>4.3551564556110023</v>
      </c>
      <c r="K77" s="100">
        <v>1212.4755572421029</v>
      </c>
      <c r="L77" s="100">
        <v>2.3538480671734745</v>
      </c>
      <c r="M77" s="100">
        <v>655.31130190109525</v>
      </c>
      <c r="N77" s="100">
        <v>5</v>
      </c>
      <c r="O77" s="100">
        <v>1392</v>
      </c>
      <c r="P77" s="100">
        <v>3</v>
      </c>
      <c r="Q77" s="100">
        <v>835.19999999999993</v>
      </c>
      <c r="R77" s="100">
        <v>4</v>
      </c>
      <c r="S77" s="100">
        <v>1113.5999999999999</v>
      </c>
      <c r="T77" s="100">
        <v>3</v>
      </c>
      <c r="U77" s="100">
        <v>835.19999999999993</v>
      </c>
      <c r="V77" s="100">
        <v>6</v>
      </c>
      <c r="W77" s="100">
        <v>1670.3999999999999</v>
      </c>
      <c r="X77" s="100">
        <v>3</v>
      </c>
      <c r="Y77" s="100">
        <v>835.19999999999993</v>
      </c>
      <c r="Z77" s="100">
        <v>6.3687519855047769</v>
      </c>
      <c r="AA77" s="100">
        <v>1773.0605527645298</v>
      </c>
      <c r="AB77" s="100">
        <v>3</v>
      </c>
      <c r="AC77" s="100">
        <v>835.19999999999993</v>
      </c>
      <c r="AD77" s="100">
        <v>5</v>
      </c>
      <c r="AE77" s="100">
        <v>1392</v>
      </c>
      <c r="AF77" s="100">
        <v>3</v>
      </c>
      <c r="AG77" s="100">
        <v>835.19999999999993</v>
      </c>
      <c r="AH77" s="100">
        <v>4</v>
      </c>
      <c r="AI77" s="100">
        <v>1113.5999999999999</v>
      </c>
      <c r="AJ77" s="100">
        <v>6</v>
      </c>
      <c r="AK77" s="100">
        <v>1670.3999999999999</v>
      </c>
      <c r="AL77" s="100">
        <v>4.9718603346113301</v>
      </c>
      <c r="AM77" s="100">
        <v>1384.1659171557942</v>
      </c>
      <c r="AN77" s="100">
        <v>4.213535150332409</v>
      </c>
      <c r="AO77" s="100">
        <v>1173.0481858525425</v>
      </c>
      <c r="AP77" s="100">
        <v>4.8654639108242081</v>
      </c>
      <c r="AQ77" s="100">
        <v>1354.5451527734594</v>
      </c>
      <c r="AR77" s="100">
        <v>1.5249041631612057</v>
      </c>
      <c r="AS77" s="100">
        <v>424.53331902407962</v>
      </c>
      <c r="AT77" s="100">
        <v>4</v>
      </c>
      <c r="AU77" s="100">
        <v>1113.5999999999999</v>
      </c>
      <c r="AV77" s="100">
        <v>3</v>
      </c>
      <c r="AW77" s="100">
        <v>835.19999999999993</v>
      </c>
      <c r="AX77" s="100">
        <v>3</v>
      </c>
      <c r="AY77" s="100">
        <v>835.19999999999993</v>
      </c>
      <c r="AZ77" s="100">
        <v>6</v>
      </c>
      <c r="BA77" s="100">
        <v>1670.3999999999999</v>
      </c>
      <c r="BB77" s="100">
        <v>4</v>
      </c>
      <c r="BC77" s="100">
        <v>1113.5999999999999</v>
      </c>
      <c r="BD77" s="100">
        <v>4</v>
      </c>
      <c r="BE77" s="100">
        <v>1113.5999999999999</v>
      </c>
      <c r="BF77" s="100">
        <v>4.5270924723513408</v>
      </c>
      <c r="BG77" s="100">
        <v>1260.3425443026131</v>
      </c>
      <c r="BH77" s="100">
        <v>6</v>
      </c>
      <c r="BI77" s="100">
        <v>1670.3999999999999</v>
      </c>
      <c r="BJ77" s="100">
        <v>5</v>
      </c>
      <c r="BK77" s="100">
        <v>1392</v>
      </c>
      <c r="BL77" s="100">
        <v>6</v>
      </c>
      <c r="BM77" s="100">
        <v>1670.3999999999999</v>
      </c>
      <c r="BN77" s="100">
        <v>4</v>
      </c>
      <c r="BO77" s="100">
        <v>1113.5999999999999</v>
      </c>
      <c r="BP77" s="100">
        <v>6</v>
      </c>
      <c r="BQ77" s="100">
        <v>1670.3999999999999</v>
      </c>
      <c r="BR77" s="100">
        <v>4</v>
      </c>
      <c r="BS77" s="100">
        <v>1113.5999999999999</v>
      </c>
      <c r="BT77" s="100">
        <v>4</v>
      </c>
      <c r="BU77" s="100">
        <v>1113.5999999999999</v>
      </c>
      <c r="BV77" s="100">
        <v>4</v>
      </c>
      <c r="BW77" s="100">
        <v>1113.5999999999999</v>
      </c>
      <c r="BX77" s="100">
        <v>3</v>
      </c>
      <c r="BY77" s="100">
        <v>835.19999999999993</v>
      </c>
      <c r="BZ77" s="100">
        <v>4.1115824186900811</v>
      </c>
      <c r="CA77" s="100">
        <v>1144.6645453633184</v>
      </c>
      <c r="CB77" s="100">
        <v>5</v>
      </c>
      <c r="CC77" s="100">
        <v>1392</v>
      </c>
      <c r="CD77" s="100">
        <v>4.2633640841836833</v>
      </c>
      <c r="CE77" s="100">
        <v>1186.9205610367374</v>
      </c>
      <c r="CF77" s="100">
        <v>4</v>
      </c>
      <c r="CG77" s="100">
        <v>1113.5999999999999</v>
      </c>
      <c r="CH77" s="100">
        <v>3.353700959911317</v>
      </c>
      <c r="CI77" s="100">
        <v>933.67034723931056</v>
      </c>
      <c r="CJ77" s="100">
        <v>6</v>
      </c>
      <c r="CK77" s="100">
        <v>1670.3999999999999</v>
      </c>
      <c r="CL77" s="100">
        <v>5</v>
      </c>
      <c r="CM77" s="100">
        <v>1392</v>
      </c>
      <c r="CN77" s="100">
        <v>4</v>
      </c>
      <c r="CO77" s="100">
        <v>1113.5999999999999</v>
      </c>
      <c r="CP77" s="100">
        <v>5</v>
      </c>
      <c r="CQ77" s="100">
        <v>1392</v>
      </c>
      <c r="CR77" s="100">
        <v>5</v>
      </c>
      <c r="CS77" s="100">
        <v>1392</v>
      </c>
      <c r="CT77" s="100">
        <v>5</v>
      </c>
      <c r="CU77" s="100">
        <v>1392</v>
      </c>
    </row>
    <row r="78" spans="2:99">
      <c r="C78" s="99" t="s">
        <v>244</v>
      </c>
      <c r="D78" s="100">
        <v>3.9069631199111017</v>
      </c>
      <c r="E78" s="100">
        <v>2156.6436421909279</v>
      </c>
      <c r="F78" s="100">
        <v>3.3844084981015832</v>
      </c>
      <c r="G78" s="100">
        <v>1868.1934909520739</v>
      </c>
      <c r="H78" s="100">
        <v>3.3376315831979801</v>
      </c>
      <c r="I78" s="100">
        <v>1842.3726339252851</v>
      </c>
      <c r="J78" s="100">
        <v>4.3551564556110023</v>
      </c>
      <c r="K78" s="100">
        <v>2404.0463634972734</v>
      </c>
      <c r="L78" s="100">
        <v>2.3538480671734745</v>
      </c>
      <c r="M78" s="100">
        <v>1299.324133079758</v>
      </c>
      <c r="N78" s="100">
        <v>4</v>
      </c>
      <c r="O78" s="100">
        <v>2208</v>
      </c>
      <c r="P78" s="100">
        <v>3</v>
      </c>
      <c r="Q78" s="100">
        <v>1656</v>
      </c>
      <c r="R78" s="100">
        <v>4</v>
      </c>
      <c r="S78" s="100">
        <v>2208</v>
      </c>
      <c r="T78" s="100">
        <v>4</v>
      </c>
      <c r="U78" s="100">
        <v>2208</v>
      </c>
      <c r="V78" s="100">
        <v>5</v>
      </c>
      <c r="W78" s="100">
        <v>2760</v>
      </c>
      <c r="X78" s="100">
        <v>3</v>
      </c>
      <c r="Y78" s="100">
        <v>1656</v>
      </c>
      <c r="Z78" s="100">
        <v>6.3277795426709131</v>
      </c>
      <c r="AA78" s="100">
        <v>3492.9343075543438</v>
      </c>
      <c r="AB78" s="100">
        <v>3</v>
      </c>
      <c r="AC78" s="100">
        <v>1656</v>
      </c>
      <c r="AD78" s="100">
        <v>5</v>
      </c>
      <c r="AE78" s="100">
        <v>2760</v>
      </c>
      <c r="AF78" s="100">
        <v>3</v>
      </c>
      <c r="AG78" s="100">
        <v>1656</v>
      </c>
      <c r="AH78" s="100">
        <v>4</v>
      </c>
      <c r="AI78" s="100">
        <v>2208</v>
      </c>
      <c r="AJ78" s="100">
        <v>6</v>
      </c>
      <c r="AK78" s="100">
        <v>3312</v>
      </c>
      <c r="AL78" s="100">
        <v>4.9718603346113301</v>
      </c>
      <c r="AM78" s="100">
        <v>2744.4669047054545</v>
      </c>
      <c r="AN78" s="100">
        <v>3.6116015574277793</v>
      </c>
      <c r="AO78" s="100">
        <v>1993.6040597001343</v>
      </c>
      <c r="AP78" s="100">
        <v>3.9899206848470947</v>
      </c>
      <c r="AQ78" s="100">
        <v>2202.4362180355961</v>
      </c>
      <c r="AR78" s="100">
        <v>2.0332055508816076</v>
      </c>
      <c r="AS78" s="100">
        <v>1122.3294640866475</v>
      </c>
      <c r="AT78" s="100">
        <v>4</v>
      </c>
      <c r="AU78" s="100">
        <v>2208</v>
      </c>
      <c r="AV78" s="100">
        <v>4</v>
      </c>
      <c r="AW78" s="100">
        <v>2208</v>
      </c>
      <c r="AX78" s="100">
        <v>3</v>
      </c>
      <c r="AY78" s="100">
        <v>1656</v>
      </c>
      <c r="AZ78" s="100">
        <v>6</v>
      </c>
      <c r="BA78" s="100">
        <v>3312</v>
      </c>
      <c r="BB78" s="100">
        <v>4</v>
      </c>
      <c r="BC78" s="100">
        <v>2208</v>
      </c>
      <c r="BD78" s="100">
        <v>5</v>
      </c>
      <c r="BE78" s="100">
        <v>2760</v>
      </c>
      <c r="BF78" s="100">
        <v>3.4865468975550837</v>
      </c>
      <c r="BG78" s="100">
        <v>1924.5738874504061</v>
      </c>
      <c r="BH78" s="100">
        <v>6</v>
      </c>
      <c r="BI78" s="100">
        <v>3312</v>
      </c>
      <c r="BJ78" s="100">
        <v>5</v>
      </c>
      <c r="BK78" s="100">
        <v>2760</v>
      </c>
      <c r="BL78" s="100">
        <v>5</v>
      </c>
      <c r="BM78" s="100">
        <v>2760</v>
      </c>
      <c r="BN78" s="100">
        <v>4</v>
      </c>
      <c r="BO78" s="100">
        <v>2208</v>
      </c>
      <c r="BP78" s="100">
        <v>6</v>
      </c>
      <c r="BQ78" s="100">
        <v>3312</v>
      </c>
      <c r="BR78" s="100">
        <v>3</v>
      </c>
      <c r="BS78" s="100">
        <v>1656</v>
      </c>
      <c r="BT78" s="100">
        <v>4</v>
      </c>
      <c r="BU78" s="100">
        <v>2208</v>
      </c>
      <c r="BV78" s="100">
        <v>4</v>
      </c>
      <c r="BW78" s="100">
        <v>2208</v>
      </c>
      <c r="BX78" s="100">
        <v>3</v>
      </c>
      <c r="BY78" s="100">
        <v>1656</v>
      </c>
      <c r="BZ78" s="100">
        <v>3.0991843721689611</v>
      </c>
      <c r="CA78" s="100">
        <v>1710.7497734372666</v>
      </c>
      <c r="CB78" s="100">
        <v>5</v>
      </c>
      <c r="CC78" s="100">
        <v>2760</v>
      </c>
      <c r="CD78" s="100">
        <v>5.2394218947124394</v>
      </c>
      <c r="CE78" s="100">
        <v>2892.1608858812665</v>
      </c>
      <c r="CF78" s="100">
        <v>5</v>
      </c>
      <c r="CG78" s="100">
        <v>2760</v>
      </c>
      <c r="CH78" s="100">
        <v>3.3890710559024488</v>
      </c>
      <c r="CI78" s="100">
        <v>1870.7672228581519</v>
      </c>
      <c r="CJ78" s="100">
        <v>6</v>
      </c>
      <c r="CK78" s="100">
        <v>3312</v>
      </c>
      <c r="CL78" s="100">
        <v>5</v>
      </c>
      <c r="CM78" s="100">
        <v>2760</v>
      </c>
      <c r="CN78" s="100">
        <v>3</v>
      </c>
      <c r="CO78" s="100">
        <v>1656</v>
      </c>
      <c r="CP78" s="100">
        <v>4</v>
      </c>
      <c r="CQ78" s="100">
        <v>2208</v>
      </c>
      <c r="CR78" s="100">
        <v>5</v>
      </c>
      <c r="CS78" s="100">
        <v>2760</v>
      </c>
      <c r="CT78" s="100">
        <v>5</v>
      </c>
      <c r="CU78" s="100">
        <v>2760</v>
      </c>
    </row>
    <row r="79" spans="2:99">
      <c r="C79" s="99" t="s">
        <v>245</v>
      </c>
      <c r="D79" s="100">
        <v>3.9069631199111017</v>
      </c>
      <c r="E79" s="100">
        <v>2958.3524743966859</v>
      </c>
      <c r="F79" s="100">
        <v>3.4271205534462035</v>
      </c>
      <c r="G79" s="100">
        <v>2595.015683069465</v>
      </c>
      <c r="H79" s="100">
        <v>2.6701052665583838</v>
      </c>
      <c r="I79" s="100">
        <v>2021.803707838008</v>
      </c>
      <c r="J79" s="100">
        <v>4.3551564556110023</v>
      </c>
      <c r="K79" s="100">
        <v>3297.7244681886505</v>
      </c>
      <c r="L79" s="100">
        <v>2.3538480671734745</v>
      </c>
      <c r="M79" s="100">
        <v>1782.3337564637548</v>
      </c>
      <c r="N79" s="100">
        <v>5</v>
      </c>
      <c r="O79" s="100">
        <v>3785.9999999999995</v>
      </c>
      <c r="P79" s="100">
        <v>3</v>
      </c>
      <c r="Q79" s="100">
        <v>2271.6</v>
      </c>
      <c r="R79" s="100">
        <v>4</v>
      </c>
      <c r="S79" s="100">
        <v>3028.7999999999997</v>
      </c>
      <c r="T79" s="100">
        <v>4</v>
      </c>
      <c r="U79" s="100">
        <v>3028.7999999999997</v>
      </c>
      <c r="V79" s="100">
        <v>5</v>
      </c>
      <c r="W79" s="100">
        <v>3785.9999999999995</v>
      </c>
      <c r="X79" s="100">
        <v>3</v>
      </c>
      <c r="Y79" s="100">
        <v>2271.6</v>
      </c>
      <c r="Z79" s="100">
        <v>5.3277795426709131</v>
      </c>
      <c r="AA79" s="100">
        <v>4034.1946697104149</v>
      </c>
      <c r="AB79" s="100">
        <v>3</v>
      </c>
      <c r="AC79" s="100">
        <v>2271.6</v>
      </c>
      <c r="AD79" s="100">
        <v>4</v>
      </c>
      <c r="AE79" s="100">
        <v>3028.7999999999997</v>
      </c>
      <c r="AF79" s="100">
        <v>3</v>
      </c>
      <c r="AG79" s="100">
        <v>2271.6</v>
      </c>
      <c r="AH79" s="100">
        <v>5</v>
      </c>
      <c r="AI79" s="100">
        <v>3785.9999999999995</v>
      </c>
      <c r="AJ79" s="100">
        <v>6</v>
      </c>
      <c r="AK79" s="100">
        <v>4543.2</v>
      </c>
      <c r="AL79" s="100">
        <v>4.9718603346113301</v>
      </c>
      <c r="AM79" s="100">
        <v>3764.6926453676988</v>
      </c>
      <c r="AN79" s="100">
        <v>3.6116015574277793</v>
      </c>
      <c r="AO79" s="100">
        <v>2734.7046992843143</v>
      </c>
      <c r="AP79" s="100">
        <v>4.8248182624126548</v>
      </c>
      <c r="AQ79" s="100">
        <v>3653.352388298862</v>
      </c>
      <c r="AR79" s="100">
        <v>1.5249041631612057</v>
      </c>
      <c r="AS79" s="100">
        <v>1154.6574323456648</v>
      </c>
      <c r="AT79" s="100">
        <v>4</v>
      </c>
      <c r="AU79" s="100">
        <v>3028.7999999999997</v>
      </c>
      <c r="AV79" s="100">
        <v>3</v>
      </c>
      <c r="AW79" s="100">
        <v>2271.6</v>
      </c>
      <c r="AX79" s="100">
        <v>3</v>
      </c>
      <c r="AY79" s="100">
        <v>2271.6</v>
      </c>
      <c r="AZ79" s="100">
        <v>5</v>
      </c>
      <c r="BA79" s="100">
        <v>3785.9999999999995</v>
      </c>
      <c r="BB79" s="100">
        <v>4</v>
      </c>
      <c r="BC79" s="100">
        <v>3028.7999999999997</v>
      </c>
      <c r="BD79" s="100">
        <v>4</v>
      </c>
      <c r="BE79" s="100">
        <v>3028.7999999999997</v>
      </c>
      <c r="BF79" s="100">
        <v>3.4460013227588266</v>
      </c>
      <c r="BG79" s="100">
        <v>2609.3122015929835</v>
      </c>
      <c r="BH79" s="100">
        <v>6</v>
      </c>
      <c r="BI79" s="100">
        <v>4543.2</v>
      </c>
      <c r="BJ79" s="100">
        <v>5</v>
      </c>
      <c r="BK79" s="100">
        <v>3785.9999999999995</v>
      </c>
      <c r="BL79" s="100">
        <v>5</v>
      </c>
      <c r="BM79" s="100">
        <v>3785.9999999999995</v>
      </c>
      <c r="BN79" s="100">
        <v>4</v>
      </c>
      <c r="BO79" s="100">
        <v>3028.7999999999997</v>
      </c>
      <c r="BP79" s="100">
        <v>6</v>
      </c>
      <c r="BQ79" s="100">
        <v>4543.2</v>
      </c>
      <c r="BR79" s="100">
        <v>3</v>
      </c>
      <c r="BS79" s="100">
        <v>2271.6</v>
      </c>
      <c r="BT79" s="100">
        <v>4</v>
      </c>
      <c r="BU79" s="100">
        <v>3028.7999999999997</v>
      </c>
      <c r="BV79" s="100">
        <v>4</v>
      </c>
      <c r="BW79" s="100">
        <v>3028.7999999999997</v>
      </c>
      <c r="BX79" s="100">
        <v>3</v>
      </c>
      <c r="BY79" s="100">
        <v>2271.6</v>
      </c>
      <c r="BZ79" s="100">
        <v>3.1115824186900811</v>
      </c>
      <c r="CA79" s="100">
        <v>2356.0902074321293</v>
      </c>
      <c r="CB79" s="100">
        <v>5</v>
      </c>
      <c r="CC79" s="100">
        <v>3785.9999999999995</v>
      </c>
      <c r="CD79" s="100">
        <v>4.2633640841836833</v>
      </c>
      <c r="CE79" s="100">
        <v>3228.2192845438849</v>
      </c>
      <c r="CF79" s="100">
        <v>4</v>
      </c>
      <c r="CG79" s="100">
        <v>3028.7999999999997</v>
      </c>
      <c r="CH79" s="100">
        <v>4.3537009599113174</v>
      </c>
      <c r="CI79" s="100">
        <v>3296.6223668448492</v>
      </c>
      <c r="CJ79" s="100">
        <v>6</v>
      </c>
      <c r="CK79" s="100">
        <v>4543.2</v>
      </c>
      <c r="CL79" s="100">
        <v>5</v>
      </c>
      <c r="CM79" s="100">
        <v>3785.9999999999995</v>
      </c>
      <c r="CN79" s="100">
        <v>3</v>
      </c>
      <c r="CO79" s="100">
        <v>2271.6</v>
      </c>
      <c r="CP79" s="100">
        <v>4</v>
      </c>
      <c r="CQ79" s="100">
        <v>3028.7999999999997</v>
      </c>
      <c r="CR79" s="100">
        <v>4</v>
      </c>
      <c r="CS79" s="100">
        <v>3028.7999999999997</v>
      </c>
      <c r="CT79" s="100">
        <v>5</v>
      </c>
      <c r="CU79" s="100">
        <v>3785.9999999999995</v>
      </c>
    </row>
    <row r="80" spans="2:99">
      <c r="C80" s="99" t="s">
        <v>246</v>
      </c>
      <c r="D80" s="100">
        <v>3.9069631199111017</v>
      </c>
      <c r="E80" s="100">
        <v>3145.8867041524186</v>
      </c>
      <c r="F80" s="100">
        <v>3.3844084981015832</v>
      </c>
      <c r="G80" s="100">
        <v>2725.1257226713947</v>
      </c>
      <c r="H80" s="100">
        <v>2.6701052665583838</v>
      </c>
      <c r="I80" s="100">
        <v>2149.9687606328102</v>
      </c>
      <c r="J80" s="100">
        <v>4.3551564556110023</v>
      </c>
      <c r="K80" s="100">
        <v>3506.7719780579787</v>
      </c>
      <c r="L80" s="100">
        <v>2.3538480671734745</v>
      </c>
      <c r="M80" s="100">
        <v>1895.3184636880815</v>
      </c>
      <c r="N80" s="100">
        <v>5</v>
      </c>
      <c r="O80" s="100">
        <v>4025.9999999999995</v>
      </c>
      <c r="P80" s="100">
        <v>3</v>
      </c>
      <c r="Q80" s="100">
        <v>2415.6</v>
      </c>
      <c r="R80" s="100">
        <v>4</v>
      </c>
      <c r="S80" s="100">
        <v>3220.7999999999997</v>
      </c>
      <c r="T80" s="100">
        <v>3</v>
      </c>
      <c r="U80" s="100">
        <v>2415.6</v>
      </c>
      <c r="V80" s="100">
        <v>6</v>
      </c>
      <c r="W80" s="100">
        <v>4831.2</v>
      </c>
      <c r="X80" s="100">
        <v>3</v>
      </c>
      <c r="Y80" s="100">
        <v>2415.6</v>
      </c>
      <c r="Z80" s="100">
        <v>6.3687519855047769</v>
      </c>
      <c r="AA80" s="100">
        <v>5128.1190987284463</v>
      </c>
      <c r="AB80" s="100">
        <v>3</v>
      </c>
      <c r="AC80" s="100">
        <v>2415.6</v>
      </c>
      <c r="AD80" s="100">
        <v>4</v>
      </c>
      <c r="AE80" s="100">
        <v>3220.7999999999997</v>
      </c>
      <c r="AF80" s="100">
        <v>4</v>
      </c>
      <c r="AG80" s="100">
        <v>3220.7999999999997</v>
      </c>
      <c r="AH80" s="100">
        <v>4</v>
      </c>
      <c r="AI80" s="100">
        <v>3220.7999999999997</v>
      </c>
      <c r="AJ80" s="100">
        <v>6</v>
      </c>
      <c r="AK80" s="100">
        <v>4831.2</v>
      </c>
      <c r="AL80" s="100">
        <v>4.1432169455094421</v>
      </c>
      <c r="AM80" s="100">
        <v>3336.1182845242024</v>
      </c>
      <c r="AN80" s="100">
        <v>3.6116015574277793</v>
      </c>
      <c r="AO80" s="100">
        <v>2908.0615740408475</v>
      </c>
      <c r="AP80" s="100">
        <v>3.9899206848470947</v>
      </c>
      <c r="AQ80" s="100">
        <v>3212.6841354388803</v>
      </c>
      <c r="AR80" s="100">
        <v>1.5249041631612057</v>
      </c>
      <c r="AS80" s="100">
        <v>1227.8528321774027</v>
      </c>
      <c r="AT80" s="100">
        <v>4</v>
      </c>
      <c r="AU80" s="100">
        <v>3220.7999999999997</v>
      </c>
      <c r="AV80" s="100">
        <v>4</v>
      </c>
      <c r="AW80" s="100">
        <v>3220.7999999999997</v>
      </c>
      <c r="AX80" s="100">
        <v>3</v>
      </c>
      <c r="AY80" s="100">
        <v>2415.6</v>
      </c>
      <c r="AZ80" s="100">
        <v>5</v>
      </c>
      <c r="BA80" s="100">
        <v>4025.9999999999995</v>
      </c>
      <c r="BB80" s="100">
        <v>4</v>
      </c>
      <c r="BC80" s="100">
        <v>3220.7999999999997</v>
      </c>
      <c r="BD80" s="100">
        <v>5</v>
      </c>
      <c r="BE80" s="100">
        <v>4025.9999999999995</v>
      </c>
      <c r="BF80" s="100">
        <v>4.4865468975550842</v>
      </c>
      <c r="BG80" s="100">
        <v>3612.5675619113536</v>
      </c>
      <c r="BH80" s="100">
        <v>6</v>
      </c>
      <c r="BI80" s="100">
        <v>4831.2</v>
      </c>
      <c r="BJ80" s="100">
        <v>5</v>
      </c>
      <c r="BK80" s="100">
        <v>4025.9999999999995</v>
      </c>
      <c r="BL80" s="100">
        <v>5</v>
      </c>
      <c r="BM80" s="100">
        <v>4025.9999999999995</v>
      </c>
      <c r="BN80" s="100">
        <v>3</v>
      </c>
      <c r="BO80" s="100">
        <v>2415.6</v>
      </c>
      <c r="BP80" s="100">
        <v>6</v>
      </c>
      <c r="BQ80" s="100">
        <v>4831.2</v>
      </c>
      <c r="BR80" s="100">
        <v>3</v>
      </c>
      <c r="BS80" s="100">
        <v>2415.6</v>
      </c>
      <c r="BT80" s="100">
        <v>4</v>
      </c>
      <c r="BU80" s="100">
        <v>3220.7999999999997</v>
      </c>
      <c r="BV80" s="100">
        <v>4</v>
      </c>
      <c r="BW80" s="100">
        <v>3220.7999999999997</v>
      </c>
      <c r="BX80" s="100">
        <v>3</v>
      </c>
      <c r="BY80" s="100">
        <v>2415.6</v>
      </c>
      <c r="BZ80" s="100">
        <v>3.1115824186900811</v>
      </c>
      <c r="CA80" s="100">
        <v>2505.4461635292532</v>
      </c>
      <c r="CB80" s="100">
        <v>5</v>
      </c>
      <c r="CC80" s="100">
        <v>4025.9999999999995</v>
      </c>
      <c r="CD80" s="100">
        <v>4.2633640841836833</v>
      </c>
      <c r="CE80" s="100">
        <v>3432.8607605847014</v>
      </c>
      <c r="CF80" s="100">
        <v>4</v>
      </c>
      <c r="CG80" s="100">
        <v>3220.7999999999997</v>
      </c>
      <c r="CH80" s="100">
        <v>3.353700959911317</v>
      </c>
      <c r="CI80" s="100">
        <v>2700.4000129205924</v>
      </c>
      <c r="CJ80" s="100">
        <v>6</v>
      </c>
      <c r="CK80" s="100">
        <v>4831.2</v>
      </c>
      <c r="CL80" s="100">
        <v>5</v>
      </c>
      <c r="CM80" s="100">
        <v>4025.9999999999995</v>
      </c>
      <c r="CN80" s="100">
        <v>3</v>
      </c>
      <c r="CO80" s="100">
        <v>2415.6</v>
      </c>
      <c r="CP80" s="100">
        <v>4</v>
      </c>
      <c r="CQ80" s="100">
        <v>3220.7999999999997</v>
      </c>
      <c r="CR80" s="100">
        <v>5</v>
      </c>
      <c r="CS80" s="100">
        <v>4025.9999999999995</v>
      </c>
      <c r="CT80" s="100">
        <v>5</v>
      </c>
      <c r="CU80" s="100">
        <v>4025.9999999999995</v>
      </c>
    </row>
    <row r="81" spans="2:99">
      <c r="C81" s="99" t="s">
        <v>247</v>
      </c>
      <c r="D81" s="100">
        <v>4.8837038998888769</v>
      </c>
      <c r="E81" s="100">
        <v>3680.3592589562577</v>
      </c>
      <c r="F81" s="100">
        <v>3</v>
      </c>
      <c r="G81" s="100">
        <v>2260.8000000000002</v>
      </c>
      <c r="H81" s="100">
        <v>2.6701052665583838</v>
      </c>
      <c r="I81" s="100">
        <v>2012.1913288783981</v>
      </c>
      <c r="J81" s="100">
        <v>4.3551564556110023</v>
      </c>
      <c r="K81" s="100">
        <v>3282.0459049484516</v>
      </c>
      <c r="L81" s="100">
        <v>2.3538480671734745</v>
      </c>
      <c r="M81" s="100">
        <v>1773.8599034219305</v>
      </c>
      <c r="N81" s="100">
        <v>4</v>
      </c>
      <c r="O81" s="100">
        <v>3014.4</v>
      </c>
      <c r="P81" s="100">
        <v>3</v>
      </c>
      <c r="Q81" s="100">
        <v>2260.8000000000002</v>
      </c>
      <c r="R81" s="100">
        <v>5</v>
      </c>
      <c r="S81" s="100">
        <v>3768</v>
      </c>
      <c r="T81" s="100">
        <v>4</v>
      </c>
      <c r="U81" s="100">
        <v>3014.4</v>
      </c>
      <c r="V81" s="100">
        <v>5</v>
      </c>
      <c r="W81" s="100">
        <v>3768</v>
      </c>
      <c r="X81" s="100">
        <v>3</v>
      </c>
      <c r="Y81" s="100">
        <v>2260.8000000000002</v>
      </c>
      <c r="Z81" s="100">
        <v>6.3687519855047769</v>
      </c>
      <c r="AA81" s="100">
        <v>4799.4914962763996</v>
      </c>
      <c r="AB81" s="100">
        <v>3</v>
      </c>
      <c r="AC81" s="100">
        <v>2260.8000000000002</v>
      </c>
      <c r="AD81" s="100">
        <v>5</v>
      </c>
      <c r="AE81" s="100">
        <v>3768</v>
      </c>
      <c r="AF81" s="100">
        <v>3</v>
      </c>
      <c r="AG81" s="100">
        <v>2260.8000000000002</v>
      </c>
      <c r="AH81" s="100">
        <v>4</v>
      </c>
      <c r="AI81" s="100">
        <v>3014.4</v>
      </c>
      <c r="AJ81" s="100">
        <v>6</v>
      </c>
      <c r="AK81" s="100">
        <v>4521.6000000000004</v>
      </c>
      <c r="AL81" s="100">
        <v>4.9718603346113301</v>
      </c>
      <c r="AM81" s="100">
        <v>3746.7939481630983</v>
      </c>
      <c r="AN81" s="100">
        <v>3.6116015574277793</v>
      </c>
      <c r="AO81" s="100">
        <v>2721.7029336775745</v>
      </c>
      <c r="AP81" s="100">
        <v>3.9492750364355405</v>
      </c>
      <c r="AQ81" s="100">
        <v>2976.1736674578233</v>
      </c>
      <c r="AR81" s="100">
        <v>1.5249041631612057</v>
      </c>
      <c r="AS81" s="100">
        <v>1149.1677773582846</v>
      </c>
      <c r="AT81" s="100">
        <v>4</v>
      </c>
      <c r="AU81" s="100">
        <v>3014.4</v>
      </c>
      <c r="AV81" s="100">
        <v>4</v>
      </c>
      <c r="AW81" s="100">
        <v>3014.4</v>
      </c>
      <c r="AX81" s="100">
        <v>3</v>
      </c>
      <c r="AY81" s="100">
        <v>2260.8000000000002</v>
      </c>
      <c r="AZ81" s="100">
        <v>6</v>
      </c>
      <c r="BA81" s="100">
        <v>4521.6000000000004</v>
      </c>
      <c r="BB81" s="100">
        <v>4</v>
      </c>
      <c r="BC81" s="100">
        <v>3014.4</v>
      </c>
      <c r="BD81" s="100">
        <v>5</v>
      </c>
      <c r="BE81" s="100">
        <v>3768</v>
      </c>
      <c r="BF81" s="100">
        <v>4.4865468975550842</v>
      </c>
      <c r="BG81" s="100">
        <v>3381.0617419975115</v>
      </c>
      <c r="BH81" s="100">
        <v>6</v>
      </c>
      <c r="BI81" s="100">
        <v>4521.6000000000004</v>
      </c>
      <c r="BJ81" s="100">
        <v>6</v>
      </c>
      <c r="BK81" s="100">
        <v>4521.6000000000004</v>
      </c>
      <c r="BL81" s="100">
        <v>5</v>
      </c>
      <c r="BM81" s="100">
        <v>3768</v>
      </c>
      <c r="BN81" s="100">
        <v>4</v>
      </c>
      <c r="BO81" s="100">
        <v>3014.4</v>
      </c>
      <c r="BP81" s="100">
        <v>6</v>
      </c>
      <c r="BQ81" s="100">
        <v>4521.6000000000004</v>
      </c>
      <c r="BR81" s="100">
        <v>3</v>
      </c>
      <c r="BS81" s="100">
        <v>2260.8000000000002</v>
      </c>
      <c r="BT81" s="100">
        <v>4</v>
      </c>
      <c r="BU81" s="100">
        <v>3014.4</v>
      </c>
      <c r="BV81" s="100">
        <v>5</v>
      </c>
      <c r="BW81" s="100">
        <v>3768</v>
      </c>
      <c r="BX81" s="100">
        <v>3</v>
      </c>
      <c r="BY81" s="100">
        <v>2260.8000000000002</v>
      </c>
      <c r="BZ81" s="100">
        <v>3.1115824186900811</v>
      </c>
      <c r="CA81" s="100">
        <v>2344.8885107248452</v>
      </c>
      <c r="CB81" s="100">
        <v>5</v>
      </c>
      <c r="CC81" s="100">
        <v>3768</v>
      </c>
      <c r="CD81" s="100">
        <v>4.2394218947124394</v>
      </c>
      <c r="CE81" s="100">
        <v>3194.8283398552944</v>
      </c>
      <c r="CF81" s="100">
        <v>4</v>
      </c>
      <c r="CG81" s="100">
        <v>3014.4</v>
      </c>
      <c r="CH81" s="100">
        <v>4.3537009599113174</v>
      </c>
      <c r="CI81" s="100">
        <v>3280.9490433891688</v>
      </c>
      <c r="CJ81" s="100">
        <v>6</v>
      </c>
      <c r="CK81" s="100">
        <v>4521.6000000000004</v>
      </c>
      <c r="CL81" s="100">
        <v>5</v>
      </c>
      <c r="CM81" s="100">
        <v>3768</v>
      </c>
      <c r="CN81" s="100">
        <v>3</v>
      </c>
      <c r="CO81" s="100">
        <v>2260.8000000000002</v>
      </c>
      <c r="CP81" s="100">
        <v>4</v>
      </c>
      <c r="CQ81" s="100">
        <v>3014.4</v>
      </c>
      <c r="CR81" s="100">
        <v>4</v>
      </c>
      <c r="CS81" s="100">
        <v>3014.4</v>
      </c>
      <c r="CT81" s="100">
        <v>5</v>
      </c>
      <c r="CU81" s="100">
        <v>3768</v>
      </c>
    </row>
    <row r="82" spans="2:99">
      <c r="C82" s="99" t="s">
        <v>248</v>
      </c>
      <c r="D82" s="100">
        <v>3.9069631199111017</v>
      </c>
      <c r="E82" s="100">
        <v>1987.8628354107682</v>
      </c>
      <c r="F82" s="100">
        <v>3</v>
      </c>
      <c r="G82" s="100">
        <v>1526.3999999999996</v>
      </c>
      <c r="H82" s="100">
        <v>2.6701052665583838</v>
      </c>
      <c r="I82" s="100">
        <v>1358.5495596249054</v>
      </c>
      <c r="J82" s="100">
        <v>4.3551564556110023</v>
      </c>
      <c r="K82" s="100">
        <v>2215.9036046148776</v>
      </c>
      <c r="L82" s="100">
        <v>2.3538480671734745</v>
      </c>
      <c r="M82" s="100">
        <v>1197.6378965778636</v>
      </c>
      <c r="N82" s="100">
        <v>5</v>
      </c>
      <c r="O82" s="100">
        <v>2543.9999999999995</v>
      </c>
      <c r="P82" s="100">
        <v>3</v>
      </c>
      <c r="Q82" s="100">
        <v>1526.3999999999996</v>
      </c>
      <c r="R82" s="100">
        <v>4</v>
      </c>
      <c r="S82" s="100">
        <v>2035.1999999999996</v>
      </c>
      <c r="T82" s="100">
        <v>4</v>
      </c>
      <c r="U82" s="100">
        <v>2035.1999999999996</v>
      </c>
      <c r="V82" s="100">
        <v>5</v>
      </c>
      <c r="W82" s="100">
        <v>2543.9999999999995</v>
      </c>
      <c r="X82" s="100">
        <v>3</v>
      </c>
      <c r="Y82" s="100">
        <v>1526.3999999999996</v>
      </c>
      <c r="Z82" s="100">
        <v>6.3277795426709131</v>
      </c>
      <c r="AA82" s="100">
        <v>3219.5742313109599</v>
      </c>
      <c r="AB82" s="100">
        <v>3</v>
      </c>
      <c r="AC82" s="100">
        <v>1526.3999999999996</v>
      </c>
      <c r="AD82" s="100">
        <v>5</v>
      </c>
      <c r="AE82" s="100">
        <v>2543.9999999999995</v>
      </c>
      <c r="AF82" s="100">
        <v>3</v>
      </c>
      <c r="AG82" s="100">
        <v>1526.3999999999996</v>
      </c>
      <c r="AH82" s="100">
        <v>4</v>
      </c>
      <c r="AI82" s="100">
        <v>2035.1999999999996</v>
      </c>
      <c r="AJ82" s="100">
        <v>6</v>
      </c>
      <c r="AK82" s="100">
        <v>3052.7999999999993</v>
      </c>
      <c r="AL82" s="100">
        <v>4.9718603346113301</v>
      </c>
      <c r="AM82" s="100">
        <v>2529.6825382502443</v>
      </c>
      <c r="AN82" s="100">
        <v>3.6116015574277793</v>
      </c>
      <c r="AO82" s="100">
        <v>1837.5828724192538</v>
      </c>
      <c r="AP82" s="100">
        <v>4.0305663332586477</v>
      </c>
      <c r="AQ82" s="100">
        <v>2050.7521503619996</v>
      </c>
      <c r="AR82" s="100">
        <v>1.5249041631612057</v>
      </c>
      <c r="AS82" s="100">
        <v>775.87123821642126</v>
      </c>
      <c r="AT82" s="100">
        <v>4</v>
      </c>
      <c r="AU82" s="100">
        <v>2035.1999999999996</v>
      </c>
      <c r="AV82" s="100">
        <v>4</v>
      </c>
      <c r="AW82" s="100">
        <v>2035.1999999999996</v>
      </c>
      <c r="AX82" s="100">
        <v>3</v>
      </c>
      <c r="AY82" s="100">
        <v>1526.3999999999996</v>
      </c>
      <c r="AZ82" s="100">
        <v>5</v>
      </c>
      <c r="BA82" s="100">
        <v>2543.9999999999995</v>
      </c>
      <c r="BB82" s="100">
        <v>4</v>
      </c>
      <c r="BC82" s="100">
        <v>2035.1999999999996</v>
      </c>
      <c r="BD82" s="100">
        <v>5</v>
      </c>
      <c r="BE82" s="100">
        <v>2543.9999999999995</v>
      </c>
      <c r="BF82" s="100">
        <v>4.4865468975550842</v>
      </c>
      <c r="BG82" s="100">
        <v>2282.7550614760262</v>
      </c>
      <c r="BH82" s="100">
        <v>6</v>
      </c>
      <c r="BI82" s="100">
        <v>3052.7999999999993</v>
      </c>
      <c r="BJ82" s="100">
        <v>5</v>
      </c>
      <c r="BK82" s="100">
        <v>2543.9999999999995</v>
      </c>
      <c r="BL82" s="100">
        <v>6</v>
      </c>
      <c r="BM82" s="100">
        <v>3052.7999999999993</v>
      </c>
      <c r="BN82" s="100">
        <v>3</v>
      </c>
      <c r="BO82" s="100">
        <v>1526.3999999999996</v>
      </c>
      <c r="BP82" s="100">
        <v>6</v>
      </c>
      <c r="BQ82" s="100">
        <v>3052.7999999999993</v>
      </c>
      <c r="BR82" s="100">
        <v>4</v>
      </c>
      <c r="BS82" s="100">
        <v>2035.1999999999996</v>
      </c>
      <c r="BT82" s="100">
        <v>5</v>
      </c>
      <c r="BU82" s="100">
        <v>2543.9999999999995</v>
      </c>
      <c r="BV82" s="100">
        <v>5</v>
      </c>
      <c r="BW82" s="100">
        <v>2543.9999999999995</v>
      </c>
      <c r="BX82" s="100">
        <v>3</v>
      </c>
      <c r="BY82" s="100">
        <v>1526.3999999999996</v>
      </c>
      <c r="BZ82" s="100">
        <v>4.1115824186900811</v>
      </c>
      <c r="CA82" s="100">
        <v>2091.973134629513</v>
      </c>
      <c r="CB82" s="100">
        <v>5</v>
      </c>
      <c r="CC82" s="100">
        <v>2543.9999999999995</v>
      </c>
      <c r="CD82" s="100">
        <v>4.2633640841836833</v>
      </c>
      <c r="CE82" s="100">
        <v>2169.1996460326577</v>
      </c>
      <c r="CF82" s="100">
        <v>4</v>
      </c>
      <c r="CG82" s="100">
        <v>2035.1999999999996</v>
      </c>
      <c r="CH82" s="100">
        <v>4.3537009599113174</v>
      </c>
      <c r="CI82" s="100">
        <v>2215.1630484028778</v>
      </c>
      <c r="CJ82" s="100">
        <v>6</v>
      </c>
      <c r="CK82" s="100">
        <v>3052.7999999999993</v>
      </c>
      <c r="CL82" s="100">
        <v>5</v>
      </c>
      <c r="CM82" s="100">
        <v>2543.9999999999995</v>
      </c>
      <c r="CN82" s="100">
        <v>3</v>
      </c>
      <c r="CO82" s="100">
        <v>1526.3999999999996</v>
      </c>
      <c r="CP82" s="100">
        <v>4</v>
      </c>
      <c r="CQ82" s="100">
        <v>2035.1999999999996</v>
      </c>
      <c r="CR82" s="100">
        <v>5</v>
      </c>
      <c r="CS82" s="100">
        <v>2543.9999999999995</v>
      </c>
      <c r="CT82" s="100">
        <v>5</v>
      </c>
      <c r="CU82" s="100">
        <v>2543.9999999999995</v>
      </c>
    </row>
    <row r="83" spans="2:99">
      <c r="C83" s="99" t="s">
        <v>249</v>
      </c>
      <c r="D83" s="100">
        <v>3.9069631199111017</v>
      </c>
      <c r="E83" s="100">
        <v>3361.551068371512</v>
      </c>
      <c r="F83" s="100">
        <v>3.4271205534462035</v>
      </c>
      <c r="G83" s="100">
        <v>2948.6945241851136</v>
      </c>
      <c r="H83" s="100">
        <v>2.6701052665583838</v>
      </c>
      <c r="I83" s="100">
        <v>2297.3585713468333</v>
      </c>
      <c r="J83" s="100">
        <v>4.3551564556110023</v>
      </c>
      <c r="K83" s="100">
        <v>3747.1766144077064</v>
      </c>
      <c r="L83" s="100">
        <v>2.3538480671734745</v>
      </c>
      <c r="M83" s="100">
        <v>2025.2508769960575</v>
      </c>
      <c r="N83" s="100">
        <v>4</v>
      </c>
      <c r="O83" s="100">
        <v>3441.6</v>
      </c>
      <c r="P83" s="100">
        <v>3</v>
      </c>
      <c r="Q83" s="100">
        <v>2581.1999999999998</v>
      </c>
      <c r="R83" s="100">
        <v>4</v>
      </c>
      <c r="S83" s="100">
        <v>3441.6</v>
      </c>
      <c r="T83" s="100">
        <v>3</v>
      </c>
      <c r="U83" s="100">
        <v>2581.1999999999998</v>
      </c>
      <c r="V83" s="100">
        <v>5</v>
      </c>
      <c r="W83" s="100">
        <v>4302</v>
      </c>
      <c r="X83" s="100">
        <v>3</v>
      </c>
      <c r="Y83" s="100">
        <v>2581.1999999999998</v>
      </c>
      <c r="Z83" s="100">
        <v>5.3687519855047769</v>
      </c>
      <c r="AA83" s="100">
        <v>4619.2742083283101</v>
      </c>
      <c r="AB83" s="100">
        <v>3</v>
      </c>
      <c r="AC83" s="100">
        <v>2581.1999999999998</v>
      </c>
      <c r="AD83" s="100">
        <v>4</v>
      </c>
      <c r="AE83" s="100">
        <v>3441.6</v>
      </c>
      <c r="AF83" s="100">
        <v>3</v>
      </c>
      <c r="AG83" s="100">
        <v>2581.1999999999998</v>
      </c>
      <c r="AH83" s="100">
        <v>5</v>
      </c>
      <c r="AI83" s="100">
        <v>4302</v>
      </c>
      <c r="AJ83" s="100">
        <v>6</v>
      </c>
      <c r="AK83" s="100">
        <v>5162.3999999999996</v>
      </c>
      <c r="AL83" s="100">
        <v>4.9718603346113301</v>
      </c>
      <c r="AM83" s="100">
        <v>4277.7886318995879</v>
      </c>
      <c r="AN83" s="100">
        <v>3.6116015574277793</v>
      </c>
      <c r="AO83" s="100">
        <v>3107.4219800108613</v>
      </c>
      <c r="AP83" s="100">
        <v>3.9899206848470947</v>
      </c>
      <c r="AQ83" s="100">
        <v>3432.9277572424403</v>
      </c>
      <c r="AR83" s="100">
        <v>1.5249041631612057</v>
      </c>
      <c r="AS83" s="100">
        <v>1312.0275419839013</v>
      </c>
      <c r="AT83" s="100">
        <v>4</v>
      </c>
      <c r="AU83" s="100">
        <v>3441.6</v>
      </c>
      <c r="AV83" s="100">
        <v>3</v>
      </c>
      <c r="AW83" s="100">
        <v>2581.1999999999998</v>
      </c>
      <c r="AX83" s="100">
        <v>3</v>
      </c>
      <c r="AY83" s="100">
        <v>2581.1999999999998</v>
      </c>
      <c r="AZ83" s="100">
        <v>6</v>
      </c>
      <c r="BA83" s="100">
        <v>5162.3999999999996</v>
      </c>
      <c r="BB83" s="100">
        <v>4</v>
      </c>
      <c r="BC83" s="100">
        <v>3441.6</v>
      </c>
      <c r="BD83" s="100">
        <v>4</v>
      </c>
      <c r="BE83" s="100">
        <v>3441.6</v>
      </c>
      <c r="BF83" s="100">
        <v>4.4865468975550842</v>
      </c>
      <c r="BG83" s="100">
        <v>3860.2249506563944</v>
      </c>
      <c r="BH83" s="100">
        <v>6</v>
      </c>
      <c r="BI83" s="100">
        <v>5162.3999999999996</v>
      </c>
      <c r="BJ83" s="100">
        <v>5</v>
      </c>
      <c r="BK83" s="100">
        <v>4302</v>
      </c>
      <c r="BL83" s="100">
        <v>5</v>
      </c>
      <c r="BM83" s="100">
        <v>4302</v>
      </c>
      <c r="BN83" s="100">
        <v>4</v>
      </c>
      <c r="BO83" s="100">
        <v>3441.6</v>
      </c>
      <c r="BP83" s="100">
        <v>6</v>
      </c>
      <c r="BQ83" s="100">
        <v>5162.3999999999996</v>
      </c>
      <c r="BR83" s="100">
        <v>4</v>
      </c>
      <c r="BS83" s="100">
        <v>3441.6</v>
      </c>
      <c r="BT83" s="100">
        <v>4</v>
      </c>
      <c r="BU83" s="100">
        <v>3441.6</v>
      </c>
      <c r="BV83" s="100">
        <v>5</v>
      </c>
      <c r="BW83" s="100">
        <v>4302</v>
      </c>
      <c r="BX83" s="100">
        <v>3</v>
      </c>
      <c r="BY83" s="100">
        <v>2581.1999999999998</v>
      </c>
      <c r="BZ83" s="100">
        <v>4.0991843721689607</v>
      </c>
      <c r="CA83" s="100">
        <v>3526.9382338141736</v>
      </c>
      <c r="CB83" s="100">
        <v>4</v>
      </c>
      <c r="CC83" s="100">
        <v>3441.6</v>
      </c>
      <c r="CD83" s="100">
        <v>4.2394218947124394</v>
      </c>
      <c r="CE83" s="100">
        <v>3647.5985982105826</v>
      </c>
      <c r="CF83" s="100">
        <v>4</v>
      </c>
      <c r="CG83" s="100">
        <v>3441.6</v>
      </c>
      <c r="CH83" s="100">
        <v>3.3183308639201856</v>
      </c>
      <c r="CI83" s="100">
        <v>2855.0918753169276</v>
      </c>
      <c r="CJ83" s="100">
        <v>6</v>
      </c>
      <c r="CK83" s="100">
        <v>5162.3999999999996</v>
      </c>
      <c r="CL83" s="100">
        <v>5</v>
      </c>
      <c r="CM83" s="100">
        <v>4302</v>
      </c>
      <c r="CN83" s="100">
        <v>4</v>
      </c>
      <c r="CO83" s="100">
        <v>3441.6</v>
      </c>
      <c r="CP83" s="100">
        <v>4</v>
      </c>
      <c r="CQ83" s="100">
        <v>3441.6</v>
      </c>
      <c r="CR83" s="100">
        <v>5</v>
      </c>
      <c r="CS83" s="100">
        <v>4302</v>
      </c>
      <c r="CT83" s="100">
        <v>5</v>
      </c>
      <c r="CU83" s="100">
        <v>4302</v>
      </c>
    </row>
    <row r="84" spans="2:99">
      <c r="C84" s="99" t="s">
        <v>250</v>
      </c>
      <c r="D84" s="100">
        <v>3.9069631199111017</v>
      </c>
      <c r="E84" s="100">
        <v>3052.1195892745523</v>
      </c>
      <c r="F84" s="100">
        <v>3.4271205534462035</v>
      </c>
      <c r="G84" s="100">
        <v>2677.2665763521741</v>
      </c>
      <c r="H84" s="100">
        <v>2.6701052665583838</v>
      </c>
      <c r="I84" s="100">
        <v>2085.8862342354091</v>
      </c>
      <c r="J84" s="100">
        <v>4.3551564556110023</v>
      </c>
      <c r="K84" s="100">
        <v>3402.2482231233148</v>
      </c>
      <c r="L84" s="100">
        <v>2.3538480671734745</v>
      </c>
      <c r="M84" s="100">
        <v>1838.8261100759182</v>
      </c>
      <c r="N84" s="100">
        <v>4</v>
      </c>
      <c r="O84" s="100">
        <v>3124.7999999999997</v>
      </c>
      <c r="P84" s="100">
        <v>3</v>
      </c>
      <c r="Q84" s="100">
        <v>2343.6</v>
      </c>
      <c r="R84" s="100">
        <v>5</v>
      </c>
      <c r="S84" s="100">
        <v>3905.9999999999995</v>
      </c>
      <c r="T84" s="100">
        <v>4</v>
      </c>
      <c r="U84" s="100">
        <v>3124.7999999999997</v>
      </c>
      <c r="V84" s="100">
        <v>5</v>
      </c>
      <c r="W84" s="100">
        <v>3905.9999999999995</v>
      </c>
      <c r="X84" s="100">
        <v>3</v>
      </c>
      <c r="Y84" s="100">
        <v>2343.6</v>
      </c>
      <c r="Z84" s="100">
        <v>6.3277795426709131</v>
      </c>
      <c r="AA84" s="100">
        <v>4943.2613787345172</v>
      </c>
      <c r="AB84" s="100">
        <v>3</v>
      </c>
      <c r="AC84" s="100">
        <v>2343.6</v>
      </c>
      <c r="AD84" s="100">
        <v>4</v>
      </c>
      <c r="AE84" s="100">
        <v>3124.7999999999997</v>
      </c>
      <c r="AF84" s="100">
        <v>4</v>
      </c>
      <c r="AG84" s="100">
        <v>3124.7999999999997</v>
      </c>
      <c r="AH84" s="100">
        <v>4</v>
      </c>
      <c r="AI84" s="100">
        <v>3124.7999999999997</v>
      </c>
      <c r="AJ84" s="100">
        <v>5</v>
      </c>
      <c r="AK84" s="100">
        <v>3905.9999999999995</v>
      </c>
      <c r="AL84" s="100">
        <v>4.1432169455094421</v>
      </c>
      <c r="AM84" s="100">
        <v>3236.6810778319759</v>
      </c>
      <c r="AN84" s="100">
        <v>3.0096679645231492</v>
      </c>
      <c r="AO84" s="100">
        <v>2351.1526138854838</v>
      </c>
      <c r="AP84" s="100">
        <v>3.9899206848470947</v>
      </c>
      <c r="AQ84" s="100">
        <v>3116.9260390025502</v>
      </c>
      <c r="AR84" s="100">
        <v>1.5249041631612057</v>
      </c>
      <c r="AS84" s="100">
        <v>1191.2551322615338</v>
      </c>
      <c r="AT84" s="100">
        <v>4</v>
      </c>
      <c r="AU84" s="100">
        <v>3124.7999999999997</v>
      </c>
      <c r="AV84" s="100">
        <v>4</v>
      </c>
      <c r="AW84" s="100">
        <v>3124.7999999999997</v>
      </c>
      <c r="AX84" s="100">
        <v>3</v>
      </c>
      <c r="AY84" s="100">
        <v>2343.6</v>
      </c>
      <c r="AZ84" s="100">
        <v>6</v>
      </c>
      <c r="BA84" s="100">
        <v>4687.2</v>
      </c>
      <c r="BB84" s="100">
        <v>4</v>
      </c>
      <c r="BC84" s="100">
        <v>3124.7999999999997</v>
      </c>
      <c r="BD84" s="100">
        <v>4</v>
      </c>
      <c r="BE84" s="100">
        <v>3124.7999999999997</v>
      </c>
      <c r="BF84" s="100">
        <v>4.4865468975550842</v>
      </c>
      <c r="BG84" s="100">
        <v>3504.8904363700312</v>
      </c>
      <c r="BH84" s="100">
        <v>5</v>
      </c>
      <c r="BI84" s="100">
        <v>3905.9999999999995</v>
      </c>
      <c r="BJ84" s="100">
        <v>5</v>
      </c>
      <c r="BK84" s="100">
        <v>3905.9999999999995</v>
      </c>
      <c r="BL84" s="100">
        <v>5</v>
      </c>
      <c r="BM84" s="100">
        <v>3905.9999999999995</v>
      </c>
      <c r="BN84" s="100">
        <v>4</v>
      </c>
      <c r="BO84" s="100">
        <v>3124.7999999999997</v>
      </c>
      <c r="BP84" s="100">
        <v>5</v>
      </c>
      <c r="BQ84" s="100">
        <v>3905.9999999999995</v>
      </c>
      <c r="BR84" s="100">
        <v>3</v>
      </c>
      <c r="BS84" s="100">
        <v>2343.6</v>
      </c>
      <c r="BT84" s="100">
        <v>4</v>
      </c>
      <c r="BU84" s="100">
        <v>3124.7999999999997</v>
      </c>
      <c r="BV84" s="100">
        <v>4</v>
      </c>
      <c r="BW84" s="100">
        <v>3124.7999999999997</v>
      </c>
      <c r="BX84" s="100">
        <v>3</v>
      </c>
      <c r="BY84" s="100">
        <v>2343.6</v>
      </c>
      <c r="BZ84" s="100">
        <v>3.1115824186900811</v>
      </c>
      <c r="CA84" s="100">
        <v>2430.768185480691</v>
      </c>
      <c r="CB84" s="100">
        <v>5</v>
      </c>
      <c r="CC84" s="100">
        <v>3905.9999999999995</v>
      </c>
      <c r="CD84" s="100">
        <v>4.2394218947124394</v>
      </c>
      <c r="CE84" s="100">
        <v>3311.8363841493574</v>
      </c>
      <c r="CF84" s="100">
        <v>5</v>
      </c>
      <c r="CG84" s="100">
        <v>3905.9999999999995</v>
      </c>
      <c r="CH84" s="100">
        <v>4.3890710559024484</v>
      </c>
      <c r="CI84" s="100">
        <v>3428.7423088709925</v>
      </c>
      <c r="CJ84" s="100">
        <v>6</v>
      </c>
      <c r="CK84" s="100">
        <v>4687.2</v>
      </c>
      <c r="CL84" s="100">
        <v>5</v>
      </c>
      <c r="CM84" s="100">
        <v>3905.9999999999995</v>
      </c>
      <c r="CN84" s="100">
        <v>3</v>
      </c>
      <c r="CO84" s="100">
        <v>2343.6</v>
      </c>
      <c r="CP84" s="100">
        <v>4</v>
      </c>
      <c r="CQ84" s="100">
        <v>3124.7999999999997</v>
      </c>
      <c r="CR84" s="100">
        <v>5</v>
      </c>
      <c r="CS84" s="100">
        <v>3905.9999999999995</v>
      </c>
      <c r="CT84" s="100">
        <v>4</v>
      </c>
      <c r="CU84" s="100">
        <v>3124.7999999999997</v>
      </c>
    </row>
    <row r="85" spans="2:99">
      <c r="C85" s="99" t="s">
        <v>251</v>
      </c>
      <c r="D85" s="100">
        <v>4.8837038998888769</v>
      </c>
      <c r="E85" s="100">
        <v>732.55558498333153</v>
      </c>
      <c r="F85" s="100">
        <v>3</v>
      </c>
      <c r="G85" s="100">
        <v>450</v>
      </c>
      <c r="H85" s="100">
        <v>3.3376315831979801</v>
      </c>
      <c r="I85" s="100">
        <v>500.64473747969703</v>
      </c>
      <c r="J85" s="100">
        <v>5.2261877467332027</v>
      </c>
      <c r="K85" s="100">
        <v>783.92816200998038</v>
      </c>
      <c r="L85" s="100">
        <v>2.3538480671734745</v>
      </c>
      <c r="M85" s="100">
        <v>353.07721007602117</v>
      </c>
      <c r="N85" s="100">
        <v>4</v>
      </c>
      <c r="O85" s="100">
        <v>600</v>
      </c>
      <c r="P85" s="100">
        <v>3</v>
      </c>
      <c r="Q85" s="100">
        <v>450</v>
      </c>
      <c r="R85" s="100">
        <v>5</v>
      </c>
      <c r="S85" s="100">
        <v>750</v>
      </c>
      <c r="T85" s="100">
        <v>4</v>
      </c>
      <c r="U85" s="100">
        <v>600</v>
      </c>
      <c r="V85" s="100">
        <v>6</v>
      </c>
      <c r="W85" s="100">
        <v>900</v>
      </c>
      <c r="X85" s="100">
        <v>3</v>
      </c>
      <c r="Y85" s="100">
        <v>450</v>
      </c>
      <c r="Z85" s="100">
        <v>6.3277795426709131</v>
      </c>
      <c r="AA85" s="100">
        <v>949.16693140063694</v>
      </c>
      <c r="AB85" s="100">
        <v>3</v>
      </c>
      <c r="AC85" s="100">
        <v>450</v>
      </c>
      <c r="AD85" s="100">
        <v>5</v>
      </c>
      <c r="AE85" s="100">
        <v>750</v>
      </c>
      <c r="AF85" s="100">
        <v>3</v>
      </c>
      <c r="AG85" s="100">
        <v>450</v>
      </c>
      <c r="AH85" s="100">
        <v>4</v>
      </c>
      <c r="AI85" s="100">
        <v>600</v>
      </c>
      <c r="AJ85" s="100">
        <v>7</v>
      </c>
      <c r="AK85" s="100">
        <v>1050</v>
      </c>
      <c r="AL85" s="100">
        <v>4.1432169455094421</v>
      </c>
      <c r="AM85" s="100">
        <v>621.48254182641631</v>
      </c>
      <c r="AN85" s="100">
        <v>4.213535150332409</v>
      </c>
      <c r="AO85" s="100">
        <v>632.03027254986137</v>
      </c>
      <c r="AP85" s="100">
        <v>3.9899206848470947</v>
      </c>
      <c r="AQ85" s="100">
        <v>598.48810272706419</v>
      </c>
      <c r="AR85" s="100">
        <v>1.5249041631612057</v>
      </c>
      <c r="AS85" s="100">
        <v>228.73562447418087</v>
      </c>
      <c r="AT85" s="100">
        <v>4</v>
      </c>
      <c r="AU85" s="100">
        <v>600</v>
      </c>
      <c r="AV85" s="100">
        <v>4</v>
      </c>
      <c r="AW85" s="100">
        <v>600</v>
      </c>
      <c r="AX85" s="100">
        <v>3</v>
      </c>
      <c r="AY85" s="100">
        <v>450</v>
      </c>
      <c r="AZ85" s="100">
        <v>6</v>
      </c>
      <c r="BA85" s="100">
        <v>900</v>
      </c>
      <c r="BB85" s="100">
        <v>4</v>
      </c>
      <c r="BC85" s="100">
        <v>600</v>
      </c>
      <c r="BD85" s="100">
        <v>4</v>
      </c>
      <c r="BE85" s="100">
        <v>600</v>
      </c>
      <c r="BF85" s="100">
        <v>3.4865468975550837</v>
      </c>
      <c r="BG85" s="100">
        <v>522.98203463326251</v>
      </c>
      <c r="BH85" s="100">
        <v>6</v>
      </c>
      <c r="BI85" s="100">
        <v>900</v>
      </c>
      <c r="BJ85" s="100">
        <v>6</v>
      </c>
      <c r="BK85" s="100">
        <v>900</v>
      </c>
      <c r="BL85" s="100">
        <v>5</v>
      </c>
      <c r="BM85" s="100">
        <v>750</v>
      </c>
      <c r="BN85" s="100">
        <v>4</v>
      </c>
      <c r="BO85" s="100">
        <v>600</v>
      </c>
      <c r="BP85" s="100">
        <v>6</v>
      </c>
      <c r="BQ85" s="100">
        <v>900</v>
      </c>
      <c r="BR85" s="100">
        <v>4</v>
      </c>
      <c r="BS85" s="100">
        <v>600</v>
      </c>
      <c r="BT85" s="100">
        <v>5</v>
      </c>
      <c r="BU85" s="100">
        <v>750</v>
      </c>
      <c r="BV85" s="100">
        <v>4</v>
      </c>
      <c r="BW85" s="100">
        <v>600</v>
      </c>
      <c r="BX85" s="100">
        <v>4</v>
      </c>
      <c r="BY85" s="100">
        <v>600</v>
      </c>
      <c r="BZ85" s="100">
        <v>3.1115824186900811</v>
      </c>
      <c r="CA85" s="100">
        <v>466.73736280351216</v>
      </c>
      <c r="CB85" s="100">
        <v>5</v>
      </c>
      <c r="CC85" s="100">
        <v>750</v>
      </c>
      <c r="CD85" s="100">
        <v>5.2394218947124394</v>
      </c>
      <c r="CE85" s="100">
        <v>785.91328420686591</v>
      </c>
      <c r="CF85" s="100">
        <v>5</v>
      </c>
      <c r="CG85" s="100">
        <v>750</v>
      </c>
      <c r="CH85" s="100">
        <v>3.353700959911317</v>
      </c>
      <c r="CI85" s="100">
        <v>503.05514398669754</v>
      </c>
      <c r="CJ85" s="100">
        <v>7</v>
      </c>
      <c r="CK85" s="100">
        <v>1050</v>
      </c>
      <c r="CL85" s="100">
        <v>5</v>
      </c>
      <c r="CM85" s="100">
        <v>750</v>
      </c>
      <c r="CN85" s="100">
        <v>4</v>
      </c>
      <c r="CO85" s="100">
        <v>600</v>
      </c>
      <c r="CP85" s="100">
        <v>5</v>
      </c>
      <c r="CQ85" s="100">
        <v>750</v>
      </c>
      <c r="CR85" s="100">
        <v>5</v>
      </c>
      <c r="CS85" s="100">
        <v>750</v>
      </c>
      <c r="CT85" s="100">
        <v>5</v>
      </c>
      <c r="CU85" s="100">
        <v>750</v>
      </c>
    </row>
    <row r="86" spans="2:99">
      <c r="C86" s="99" t="s">
        <v>252</v>
      </c>
      <c r="D86" s="100">
        <v>3.9069631199111017</v>
      </c>
      <c r="E86" s="100">
        <v>2109.7600847519948</v>
      </c>
      <c r="F86" s="100">
        <v>3.4271205534462035</v>
      </c>
      <c r="G86" s="100">
        <v>1850.6450988609499</v>
      </c>
      <c r="H86" s="100">
        <v>2.6701052665583838</v>
      </c>
      <c r="I86" s="100">
        <v>1441.8568439415271</v>
      </c>
      <c r="J86" s="100">
        <v>4.3551564556110023</v>
      </c>
      <c r="K86" s="100">
        <v>2351.784486029941</v>
      </c>
      <c r="L86" s="100">
        <v>2.3538480671734745</v>
      </c>
      <c r="M86" s="100">
        <v>1271.0779562736761</v>
      </c>
      <c r="N86" s="100">
        <v>4</v>
      </c>
      <c r="O86" s="100">
        <v>2160</v>
      </c>
      <c r="P86" s="100">
        <v>3</v>
      </c>
      <c r="Q86" s="100">
        <v>1620</v>
      </c>
      <c r="R86" s="100">
        <v>5</v>
      </c>
      <c r="S86" s="100">
        <v>2700</v>
      </c>
      <c r="T86" s="100">
        <v>4</v>
      </c>
      <c r="U86" s="100">
        <v>2160</v>
      </c>
      <c r="V86" s="100">
        <v>6</v>
      </c>
      <c r="W86" s="100">
        <v>3240</v>
      </c>
      <c r="X86" s="100">
        <v>3</v>
      </c>
      <c r="Y86" s="100">
        <v>1620</v>
      </c>
      <c r="Z86" s="100">
        <v>6.3277795426709131</v>
      </c>
      <c r="AA86" s="100">
        <v>3417.0009530422931</v>
      </c>
      <c r="AB86" s="100">
        <v>3</v>
      </c>
      <c r="AC86" s="100">
        <v>1620</v>
      </c>
      <c r="AD86" s="100">
        <v>5</v>
      </c>
      <c r="AE86" s="100">
        <v>2700</v>
      </c>
      <c r="AF86" s="100">
        <v>3</v>
      </c>
      <c r="AG86" s="100">
        <v>1620</v>
      </c>
      <c r="AH86" s="100">
        <v>4</v>
      </c>
      <c r="AI86" s="100">
        <v>2160</v>
      </c>
      <c r="AJ86" s="100">
        <v>6</v>
      </c>
      <c r="AK86" s="100">
        <v>3240</v>
      </c>
      <c r="AL86" s="100">
        <v>4.9718603346113301</v>
      </c>
      <c r="AM86" s="100">
        <v>2684.8045806901182</v>
      </c>
      <c r="AN86" s="100">
        <v>3.6116015574277793</v>
      </c>
      <c r="AO86" s="100">
        <v>1950.2648410110007</v>
      </c>
      <c r="AP86" s="100">
        <v>4.8248182624126548</v>
      </c>
      <c r="AQ86" s="100">
        <v>2605.4018617028337</v>
      </c>
      <c r="AR86" s="100">
        <v>1.5249041631612057</v>
      </c>
      <c r="AS86" s="100">
        <v>823.44824810705109</v>
      </c>
      <c r="AT86" s="100">
        <v>4</v>
      </c>
      <c r="AU86" s="100">
        <v>2160</v>
      </c>
      <c r="AV86" s="100">
        <v>4</v>
      </c>
      <c r="AW86" s="100">
        <v>2160</v>
      </c>
      <c r="AX86" s="100">
        <v>4</v>
      </c>
      <c r="AY86" s="100">
        <v>2160</v>
      </c>
      <c r="AZ86" s="100">
        <v>6</v>
      </c>
      <c r="BA86" s="100">
        <v>3240</v>
      </c>
      <c r="BB86" s="100">
        <v>4</v>
      </c>
      <c r="BC86" s="100">
        <v>2160</v>
      </c>
      <c r="BD86" s="100">
        <v>4</v>
      </c>
      <c r="BE86" s="100">
        <v>2160</v>
      </c>
      <c r="BF86" s="100">
        <v>4.4460013227588266</v>
      </c>
      <c r="BG86" s="100">
        <v>2400.8407142897663</v>
      </c>
      <c r="BH86" s="100">
        <v>6</v>
      </c>
      <c r="BI86" s="100">
        <v>3240</v>
      </c>
      <c r="BJ86" s="100">
        <v>5</v>
      </c>
      <c r="BK86" s="100">
        <v>2700</v>
      </c>
      <c r="BL86" s="100">
        <v>6</v>
      </c>
      <c r="BM86" s="100">
        <v>3240</v>
      </c>
      <c r="BN86" s="100">
        <v>3</v>
      </c>
      <c r="BO86" s="100">
        <v>1620</v>
      </c>
      <c r="BP86" s="100">
        <v>6</v>
      </c>
      <c r="BQ86" s="100">
        <v>3240</v>
      </c>
      <c r="BR86" s="100">
        <v>4</v>
      </c>
      <c r="BS86" s="100">
        <v>2160</v>
      </c>
      <c r="BT86" s="100">
        <v>4</v>
      </c>
      <c r="BU86" s="100">
        <v>2160</v>
      </c>
      <c r="BV86" s="100">
        <v>5</v>
      </c>
      <c r="BW86" s="100">
        <v>2700</v>
      </c>
      <c r="BX86" s="100">
        <v>3</v>
      </c>
      <c r="BY86" s="100">
        <v>1620</v>
      </c>
      <c r="BZ86" s="100">
        <v>3.0991843721689611</v>
      </c>
      <c r="CA86" s="100">
        <v>1673.5595609712391</v>
      </c>
      <c r="CB86" s="100">
        <v>5</v>
      </c>
      <c r="CC86" s="100">
        <v>2700</v>
      </c>
      <c r="CD86" s="100">
        <v>5.2394218947124394</v>
      </c>
      <c r="CE86" s="100">
        <v>2829.2878231447171</v>
      </c>
      <c r="CF86" s="100">
        <v>5</v>
      </c>
      <c r="CG86" s="100">
        <v>2700</v>
      </c>
      <c r="CH86" s="100">
        <v>3.3183308639201856</v>
      </c>
      <c r="CI86" s="100">
        <v>1791.8986665169002</v>
      </c>
      <c r="CJ86" s="100">
        <v>6</v>
      </c>
      <c r="CK86" s="100">
        <v>3240</v>
      </c>
      <c r="CL86" s="100">
        <v>5</v>
      </c>
      <c r="CM86" s="100">
        <v>2700</v>
      </c>
      <c r="CN86" s="100">
        <v>3</v>
      </c>
      <c r="CO86" s="100">
        <v>1620</v>
      </c>
      <c r="CP86" s="100">
        <v>4</v>
      </c>
      <c r="CQ86" s="100">
        <v>2160</v>
      </c>
      <c r="CR86" s="100">
        <v>5</v>
      </c>
      <c r="CS86" s="100">
        <v>2700</v>
      </c>
      <c r="CT86" s="100">
        <v>5</v>
      </c>
      <c r="CU86" s="100">
        <v>2700</v>
      </c>
    </row>
    <row r="87" spans="2:99">
      <c r="B87" s="99" t="s">
        <v>131</v>
      </c>
      <c r="C87" s="99" t="s">
        <v>253</v>
      </c>
      <c r="D87" s="100">
        <v>2.7007145190307029</v>
      </c>
      <c r="E87" s="100">
        <v>2900.5673934389752</v>
      </c>
      <c r="F87" s="100">
        <v>1.6501877994911114</v>
      </c>
      <c r="G87" s="100">
        <v>1772.3016966534535</v>
      </c>
      <c r="H87" s="100">
        <v>3.3602537680051969</v>
      </c>
      <c r="I87" s="100">
        <v>3608.9125468375814</v>
      </c>
      <c r="J87" s="100">
        <v>3.1661304879331671</v>
      </c>
      <c r="K87" s="100">
        <v>3400.4241440402216</v>
      </c>
      <c r="L87" s="100">
        <v>2.2713625498732242</v>
      </c>
      <c r="M87" s="100">
        <v>2439.4433785638425</v>
      </c>
      <c r="N87" s="100">
        <v>1.3098949151461106</v>
      </c>
      <c r="O87" s="100">
        <v>1406.8271388669227</v>
      </c>
      <c r="P87" s="100">
        <v>2.946734598514678</v>
      </c>
      <c r="Q87" s="100">
        <v>3164.7929588047641</v>
      </c>
      <c r="R87" s="100">
        <v>3.5627073144903827</v>
      </c>
      <c r="S87" s="100">
        <v>3826.3476557626709</v>
      </c>
      <c r="T87" s="100">
        <v>2.946734598514678</v>
      </c>
      <c r="U87" s="100">
        <v>3164.7929588047641</v>
      </c>
      <c r="V87" s="100">
        <v>4.9675315781040359</v>
      </c>
      <c r="W87" s="100">
        <v>5335.128914883735</v>
      </c>
      <c r="X87" s="100">
        <v>2.3130482843556703</v>
      </c>
      <c r="Y87" s="100">
        <v>2484.2138573979901</v>
      </c>
      <c r="Z87" s="100">
        <v>3.0352521701184929</v>
      </c>
      <c r="AA87" s="100">
        <v>3259.8608307072614</v>
      </c>
      <c r="AB87" s="100">
        <v>2.6253288795691425</v>
      </c>
      <c r="AC87" s="100">
        <v>2819.6032166572591</v>
      </c>
      <c r="AD87" s="100">
        <v>1.2756826926520803</v>
      </c>
      <c r="AE87" s="100">
        <v>1370.0832119083343</v>
      </c>
      <c r="AF87" s="100">
        <v>1.6698953905184883</v>
      </c>
      <c r="AG87" s="100">
        <v>1793.4676494168564</v>
      </c>
      <c r="AH87" s="100">
        <v>3.4911756672408241</v>
      </c>
      <c r="AI87" s="100">
        <v>3749.522666616645</v>
      </c>
      <c r="AJ87" s="100">
        <v>3.9548294012306</v>
      </c>
      <c r="AK87" s="100">
        <v>4247.4867769216644</v>
      </c>
      <c r="AL87" s="100">
        <v>3.2741495539051981</v>
      </c>
      <c r="AM87" s="100">
        <v>3516.4366208941829</v>
      </c>
      <c r="AN87" s="100">
        <v>2.9246380964099197E-4</v>
      </c>
      <c r="AO87" s="100">
        <v>0.31410613155442535</v>
      </c>
      <c r="AP87" s="100">
        <v>2.8878315891542292</v>
      </c>
      <c r="AQ87" s="100">
        <v>3101.5311267516422</v>
      </c>
      <c r="AR87" s="100">
        <v>0.22036639428030033</v>
      </c>
      <c r="AS87" s="100">
        <v>236.67350745704255</v>
      </c>
      <c r="AT87" s="100">
        <v>3.0659666342927276</v>
      </c>
      <c r="AU87" s="100">
        <v>3292.8481652303894</v>
      </c>
      <c r="AV87" s="100">
        <v>6</v>
      </c>
      <c r="AW87" s="100">
        <v>6444</v>
      </c>
      <c r="AX87" s="100">
        <v>4.8558404090805833</v>
      </c>
      <c r="AY87" s="100">
        <v>5215.1725993525461</v>
      </c>
      <c r="AZ87" s="100">
        <v>2.4282558684666427</v>
      </c>
      <c r="BA87" s="100">
        <v>2607.9468027331741</v>
      </c>
      <c r="BB87" s="100">
        <v>2.7519512080687898</v>
      </c>
      <c r="BC87" s="100">
        <v>2955.59559746588</v>
      </c>
      <c r="BD87" s="100">
        <v>3.8703693712697036</v>
      </c>
      <c r="BE87" s="100">
        <v>4156.7767047436619</v>
      </c>
      <c r="BF87" s="100">
        <v>3.5009685154630961</v>
      </c>
      <c r="BG87" s="100">
        <v>3760.0401856073649</v>
      </c>
      <c r="BH87" s="100">
        <v>0.27965145384661083</v>
      </c>
      <c r="BI87" s="100">
        <v>300.34566143126005</v>
      </c>
      <c r="BJ87" s="100">
        <v>4</v>
      </c>
      <c r="BK87" s="100">
        <v>4296</v>
      </c>
      <c r="BL87" s="100">
        <v>5.4305348489638741</v>
      </c>
      <c r="BM87" s="100">
        <v>5832.3944277872006</v>
      </c>
      <c r="BN87" s="100">
        <v>4.1143672730861098</v>
      </c>
      <c r="BO87" s="100">
        <v>4418.8304512944824</v>
      </c>
      <c r="BP87" s="100">
        <v>0.24750760857688545</v>
      </c>
      <c r="BQ87" s="100">
        <v>265.82317161157499</v>
      </c>
      <c r="BR87" s="100">
        <v>7.2943920607287165</v>
      </c>
      <c r="BS87" s="100">
        <v>7834.1770732226414</v>
      </c>
      <c r="BT87" s="100">
        <v>1.6055245949006887</v>
      </c>
      <c r="BU87" s="100">
        <v>1724.3334149233397</v>
      </c>
      <c r="BV87" s="100">
        <v>5.986812538664152</v>
      </c>
      <c r="BW87" s="100">
        <v>6429.8366665252988</v>
      </c>
      <c r="BX87" s="100">
        <v>4.4719152522486629</v>
      </c>
      <c r="BY87" s="100">
        <v>4802.8369809150636</v>
      </c>
      <c r="BZ87" s="100">
        <v>3.706564971754811</v>
      </c>
      <c r="CA87" s="100">
        <v>3980.8507796646672</v>
      </c>
      <c r="CB87" s="100">
        <v>3.4517695681809469E-4</v>
      </c>
      <c r="CC87" s="100">
        <v>0.37072005162263372</v>
      </c>
      <c r="CD87" s="100">
        <v>3.2380164683177513</v>
      </c>
      <c r="CE87" s="100">
        <v>3477.6296869732651</v>
      </c>
      <c r="CF87" s="100">
        <v>0.24469502211578445</v>
      </c>
      <c r="CG87" s="100">
        <v>262.80245375235251</v>
      </c>
      <c r="CH87" s="100">
        <v>7</v>
      </c>
      <c r="CI87" s="100">
        <v>7518</v>
      </c>
      <c r="CJ87" s="100">
        <v>6.9870909922827265</v>
      </c>
      <c r="CK87" s="100">
        <v>7504.1357257116479</v>
      </c>
      <c r="CL87" s="100">
        <v>3.0661397352004065</v>
      </c>
      <c r="CM87" s="100">
        <v>3293.0340756052365</v>
      </c>
      <c r="CN87" s="100">
        <v>0.32415512607166286</v>
      </c>
      <c r="CO87" s="100">
        <v>348.14260540096592</v>
      </c>
      <c r="CP87" s="100">
        <v>6</v>
      </c>
      <c r="CQ87" s="100">
        <v>6444</v>
      </c>
      <c r="CR87" s="100">
        <v>5.6622327818998679</v>
      </c>
      <c r="CS87" s="100">
        <v>6081.2380077604585</v>
      </c>
      <c r="CT87" s="100">
        <v>3.6854056058096685</v>
      </c>
      <c r="CU87" s="100">
        <v>3958.1256206395838</v>
      </c>
    </row>
    <row r="88" spans="2:99">
      <c r="C88" s="99" t="s">
        <v>254</v>
      </c>
      <c r="D88" s="100">
        <v>2.7293548475055545</v>
      </c>
      <c r="E88" s="100">
        <v>2708.6117506645123</v>
      </c>
      <c r="F88" s="100">
        <v>1.6501877994911114</v>
      </c>
      <c r="G88" s="100">
        <v>1637.646372214979</v>
      </c>
      <c r="H88" s="100">
        <v>3.3602537680051969</v>
      </c>
      <c r="I88" s="100">
        <v>3334.7158393683571</v>
      </c>
      <c r="J88" s="100">
        <v>3.1661304879331671</v>
      </c>
      <c r="K88" s="100">
        <v>3142.0678962248749</v>
      </c>
      <c r="L88" s="100">
        <v>2.3015329027502132</v>
      </c>
      <c r="M88" s="100">
        <v>2284.0412526893115</v>
      </c>
      <c r="N88" s="100">
        <v>1.7287521255950089</v>
      </c>
      <c r="O88" s="100">
        <v>1715.6136094404867</v>
      </c>
      <c r="P88" s="100">
        <v>3.6834182481433473</v>
      </c>
      <c r="Q88" s="100">
        <v>3655.4242694574577</v>
      </c>
      <c r="R88" s="100">
        <v>3.5627073144903827</v>
      </c>
      <c r="S88" s="100">
        <v>3535.6307389002559</v>
      </c>
      <c r="T88" s="100">
        <v>2.946734598514678</v>
      </c>
      <c r="U88" s="100">
        <v>2924.3394155659662</v>
      </c>
      <c r="V88" s="100">
        <v>4.9675315781040359</v>
      </c>
      <c r="W88" s="100">
        <v>4929.7783381104455</v>
      </c>
      <c r="X88" s="100">
        <v>2.9976417385215068</v>
      </c>
      <c r="Y88" s="100">
        <v>2974.8596613087434</v>
      </c>
      <c r="Z88" s="100">
        <v>3.0141547573596745</v>
      </c>
      <c r="AA88" s="100">
        <v>2991.2471812037411</v>
      </c>
      <c r="AB88" s="100">
        <v>2.6521193350123133</v>
      </c>
      <c r="AC88" s="100">
        <v>2631.9632280662195</v>
      </c>
      <c r="AD88" s="100">
        <v>1.2660832872015491</v>
      </c>
      <c r="AE88" s="100">
        <v>1256.4610542188173</v>
      </c>
      <c r="AF88" s="100">
        <v>1.6848149531387737</v>
      </c>
      <c r="AG88" s="100">
        <v>1672.0103594949189</v>
      </c>
      <c r="AH88" s="100">
        <v>3.5138729680401113</v>
      </c>
      <c r="AI88" s="100">
        <v>3487.1675334830065</v>
      </c>
      <c r="AJ88" s="100">
        <v>3.9331086101665051</v>
      </c>
      <c r="AK88" s="100">
        <v>3903.2169847292398</v>
      </c>
      <c r="AL88" s="100">
        <v>3.8198411462227311</v>
      </c>
      <c r="AM88" s="100">
        <v>3790.8103535114383</v>
      </c>
      <c r="AN88" s="100">
        <v>2.9246380964099197E-4</v>
      </c>
      <c r="AO88" s="100">
        <v>0.29024108468772042</v>
      </c>
      <c r="AP88" s="100">
        <v>2.8817963114818999</v>
      </c>
      <c r="AQ88" s="100">
        <v>2859.8946595146372</v>
      </c>
      <c r="AR88" s="100">
        <v>0.27402085860912251</v>
      </c>
      <c r="AS88" s="100">
        <v>271.93830008369315</v>
      </c>
      <c r="AT88" s="100">
        <v>3.0659666342927276</v>
      </c>
      <c r="AU88" s="100">
        <v>3042.6652878721029</v>
      </c>
      <c r="AV88" s="100">
        <v>6</v>
      </c>
      <c r="AW88" s="100">
        <v>5954.4</v>
      </c>
      <c r="AX88" s="100">
        <v>3.907738695198129</v>
      </c>
      <c r="AY88" s="100">
        <v>3878.0398811146233</v>
      </c>
      <c r="AZ88" s="100">
        <v>2.4532251109803029</v>
      </c>
      <c r="BA88" s="100">
        <v>2434.5806001368524</v>
      </c>
      <c r="BB88" s="100">
        <v>3.362474463302509</v>
      </c>
      <c r="BC88" s="100">
        <v>3336.9196573814097</v>
      </c>
      <c r="BD88" s="100">
        <v>3.8703693712697036</v>
      </c>
      <c r="BE88" s="100">
        <v>3840.9545640480537</v>
      </c>
      <c r="BF88" s="100">
        <v>3.5009685154630961</v>
      </c>
      <c r="BG88" s="100">
        <v>3474.3611547455766</v>
      </c>
      <c r="BH88" s="100">
        <v>0.23304287820550901</v>
      </c>
      <c r="BI88" s="100">
        <v>231.27175233114713</v>
      </c>
      <c r="BJ88" s="100">
        <v>4</v>
      </c>
      <c r="BK88" s="100">
        <v>3969.6</v>
      </c>
      <c r="BL88" s="100">
        <v>5.4305348489638741</v>
      </c>
      <c r="BM88" s="100">
        <v>5389.2627841117483</v>
      </c>
      <c r="BN88" s="100">
        <v>4.1224953359004877</v>
      </c>
      <c r="BO88" s="100">
        <v>4091.1643713476437</v>
      </c>
      <c r="BP88" s="100">
        <v>0.24750760857688545</v>
      </c>
      <c r="BQ88" s="100">
        <v>245.6265507517011</v>
      </c>
      <c r="BR88" s="100">
        <v>7.2943920607287165</v>
      </c>
      <c r="BS88" s="100">
        <v>7238.9546810671782</v>
      </c>
      <c r="BT88" s="100">
        <v>1.6055245949006887</v>
      </c>
      <c r="BU88" s="100">
        <v>1593.3226079794433</v>
      </c>
      <c r="BV88" s="100">
        <v>5.986812538664152</v>
      </c>
      <c r="BW88" s="100">
        <v>5941.3127633703043</v>
      </c>
      <c r="BX88" s="100">
        <v>4.4719152522486629</v>
      </c>
      <c r="BY88" s="100">
        <v>4437.9286963315726</v>
      </c>
      <c r="BZ88" s="100">
        <v>3.6913912555072073</v>
      </c>
      <c r="CA88" s="100">
        <v>3663.3366819653525</v>
      </c>
      <c r="CB88" s="100">
        <v>3.4274272071387507E-4</v>
      </c>
      <c r="CC88" s="100">
        <v>0.34013787603644963</v>
      </c>
      <c r="CD88" s="100">
        <v>3.774955734653747</v>
      </c>
      <c r="CE88" s="100">
        <v>3746.2660710703785</v>
      </c>
      <c r="CF88" s="100">
        <v>0.24469502211578445</v>
      </c>
      <c r="CG88" s="100">
        <v>242.83533994770448</v>
      </c>
      <c r="CH88" s="100">
        <v>6</v>
      </c>
      <c r="CI88" s="100">
        <v>5954.4</v>
      </c>
      <c r="CJ88" s="100">
        <v>7.2553923837117003</v>
      </c>
      <c r="CK88" s="100">
        <v>7200.2514015954912</v>
      </c>
      <c r="CL88" s="100">
        <v>2.5711542378659087</v>
      </c>
      <c r="CM88" s="100">
        <v>2551.6134656581276</v>
      </c>
      <c r="CN88" s="100">
        <v>0.27784725091856821</v>
      </c>
      <c r="CO88" s="100">
        <v>275.73561181158709</v>
      </c>
      <c r="CP88" s="100">
        <v>7</v>
      </c>
      <c r="CQ88" s="100">
        <v>6946.8</v>
      </c>
      <c r="CR88" s="100">
        <v>5.69774935410737</v>
      </c>
      <c r="CS88" s="100">
        <v>5654.4464590161542</v>
      </c>
      <c r="CT88" s="100">
        <v>3.6854056058096685</v>
      </c>
      <c r="CU88" s="100">
        <v>3657.3965232055148</v>
      </c>
    </row>
    <row r="89" spans="2:99">
      <c r="C89" s="99" t="s">
        <v>255</v>
      </c>
      <c r="D89" s="100">
        <v>2.7293548475055545</v>
      </c>
      <c r="E89" s="100">
        <v>2898.5748480508987</v>
      </c>
      <c r="F89" s="100">
        <v>1.6501877994911114</v>
      </c>
      <c r="G89" s="100">
        <v>1752.4994430595602</v>
      </c>
      <c r="H89" s="100">
        <v>3.3602537680051969</v>
      </c>
      <c r="I89" s="100">
        <v>3568.589501621519</v>
      </c>
      <c r="J89" s="100">
        <v>3.9231987665609851</v>
      </c>
      <c r="K89" s="100">
        <v>4166.4370900877666</v>
      </c>
      <c r="L89" s="100">
        <v>2.7066663024764206</v>
      </c>
      <c r="M89" s="100">
        <v>2874.4796132299589</v>
      </c>
      <c r="N89" s="100">
        <v>1.304562586766169</v>
      </c>
      <c r="O89" s="100">
        <v>1385.4454671456715</v>
      </c>
      <c r="P89" s="100">
        <v>3.6834182481433473</v>
      </c>
      <c r="Q89" s="100">
        <v>3911.7901795282346</v>
      </c>
      <c r="R89" s="100">
        <v>4.2506383065006501</v>
      </c>
      <c r="S89" s="100">
        <v>4514.1778815036905</v>
      </c>
      <c r="T89" s="100">
        <v>2.946734598514678</v>
      </c>
      <c r="U89" s="100">
        <v>3129.4321436225882</v>
      </c>
      <c r="V89" s="100">
        <v>4.9675315781040359</v>
      </c>
      <c r="W89" s="100">
        <v>5275.5185359464858</v>
      </c>
      <c r="X89" s="100">
        <v>2.9976417385215068</v>
      </c>
      <c r="Y89" s="100">
        <v>3183.4955263098404</v>
      </c>
      <c r="Z89" s="100">
        <v>3.0352521701184929</v>
      </c>
      <c r="AA89" s="100">
        <v>3223.4378046658394</v>
      </c>
      <c r="AB89" s="100">
        <v>2.6253288795691425</v>
      </c>
      <c r="AC89" s="100">
        <v>2788.0992701024293</v>
      </c>
      <c r="AD89" s="100">
        <v>1.2756826926520803</v>
      </c>
      <c r="AE89" s="100">
        <v>1354.7750195965093</v>
      </c>
      <c r="AF89" s="100">
        <v>1.6848149531387737</v>
      </c>
      <c r="AG89" s="100">
        <v>1789.2734802333778</v>
      </c>
      <c r="AH89" s="100">
        <v>3.5138729680401113</v>
      </c>
      <c r="AI89" s="100">
        <v>3731.7330920585982</v>
      </c>
      <c r="AJ89" s="100">
        <v>3.7810630727178407</v>
      </c>
      <c r="AK89" s="100">
        <v>4015.488983226347</v>
      </c>
      <c r="AL89" s="100">
        <v>3.2741495539051981</v>
      </c>
      <c r="AM89" s="100">
        <v>3477.1468262473204</v>
      </c>
      <c r="AN89" s="100">
        <v>3.4802496461294242E-4</v>
      </c>
      <c r="AO89" s="100">
        <v>0.36960251241894487</v>
      </c>
      <c r="AP89" s="100">
        <v>3.4472920739680863</v>
      </c>
      <c r="AQ89" s="100">
        <v>3661.0241825541075</v>
      </c>
      <c r="AR89" s="100">
        <v>0.26108665043784579</v>
      </c>
      <c r="AS89" s="100">
        <v>277.27402276499225</v>
      </c>
      <c r="AT89" s="100">
        <v>3.0659666342927276</v>
      </c>
      <c r="AU89" s="100">
        <v>3256.0565656188769</v>
      </c>
      <c r="AV89" s="100">
        <v>6</v>
      </c>
      <c r="AW89" s="100">
        <v>6372</v>
      </c>
      <c r="AX89" s="100">
        <v>4.8654513957196093</v>
      </c>
      <c r="AY89" s="100">
        <v>5167.1093822542252</v>
      </c>
      <c r="AZ89" s="100">
        <v>2.4532251109803029</v>
      </c>
      <c r="BA89" s="100">
        <v>2605.3250678610816</v>
      </c>
      <c r="BB89" s="100">
        <v>2.7519512080687898</v>
      </c>
      <c r="BC89" s="100">
        <v>2922.5721829690547</v>
      </c>
      <c r="BD89" s="100">
        <v>3.8703693712697036</v>
      </c>
      <c r="BE89" s="100">
        <v>4110.332272288425</v>
      </c>
      <c r="BF89" s="100">
        <v>2.6433813412854157</v>
      </c>
      <c r="BG89" s="100">
        <v>2807.2709844451115</v>
      </c>
      <c r="BH89" s="100">
        <v>0.27965145384661083</v>
      </c>
      <c r="BI89" s="100">
        <v>296.98984398510072</v>
      </c>
      <c r="BJ89" s="100">
        <v>4</v>
      </c>
      <c r="BK89" s="100">
        <v>4248</v>
      </c>
      <c r="BL89" s="100">
        <v>5.4305348489638741</v>
      </c>
      <c r="BM89" s="100">
        <v>5767.2280095996339</v>
      </c>
      <c r="BN89" s="100">
        <v>4.1224953359004877</v>
      </c>
      <c r="BO89" s="100">
        <v>4378.0900467263182</v>
      </c>
      <c r="BP89" s="100">
        <v>0.24750760857688545</v>
      </c>
      <c r="BQ89" s="100">
        <v>262.85308030865235</v>
      </c>
      <c r="BR89" s="100">
        <v>7.2575930531376267</v>
      </c>
      <c r="BS89" s="100">
        <v>7707.5638224321592</v>
      </c>
      <c r="BT89" s="100">
        <v>1.6055245949006887</v>
      </c>
      <c r="BU89" s="100">
        <v>1705.0671197845313</v>
      </c>
      <c r="BV89" s="100">
        <v>6.9846146284415109</v>
      </c>
      <c r="BW89" s="100">
        <v>7417.6607354048847</v>
      </c>
      <c r="BX89" s="100">
        <v>5.2172344609567736</v>
      </c>
      <c r="BY89" s="100">
        <v>5540.7029975360938</v>
      </c>
      <c r="BZ89" s="100">
        <v>3.196564753822472</v>
      </c>
      <c r="CA89" s="100">
        <v>3394.7517685594653</v>
      </c>
      <c r="CB89" s="100">
        <v>3.4517695681809469E-4</v>
      </c>
      <c r="CC89" s="100">
        <v>0.36657792814081658</v>
      </c>
      <c r="CD89" s="100">
        <v>3.2380164683177513</v>
      </c>
      <c r="CE89" s="100">
        <v>3438.7734893534516</v>
      </c>
      <c r="CF89" s="100">
        <v>0.24469502211578445</v>
      </c>
      <c r="CG89" s="100">
        <v>259.86611348696306</v>
      </c>
      <c r="CH89" s="100">
        <v>6</v>
      </c>
      <c r="CI89" s="100">
        <v>6372</v>
      </c>
      <c r="CJ89" s="100">
        <v>8.2535482397520905</v>
      </c>
      <c r="CK89" s="100">
        <v>8765.2682306167208</v>
      </c>
      <c r="CL89" s="100">
        <v>3.0604793380713819</v>
      </c>
      <c r="CM89" s="100">
        <v>3250.2290570318078</v>
      </c>
      <c r="CN89" s="100">
        <v>0.32415512607166286</v>
      </c>
      <c r="CO89" s="100">
        <v>344.25274388810595</v>
      </c>
      <c r="CP89" s="100">
        <v>6</v>
      </c>
      <c r="CQ89" s="100">
        <v>6372</v>
      </c>
      <c r="CR89" s="100">
        <v>4.9395969169895357</v>
      </c>
      <c r="CS89" s="100">
        <v>5245.8519258428869</v>
      </c>
      <c r="CT89" s="100">
        <v>3.7165475782364008</v>
      </c>
      <c r="CU89" s="100">
        <v>3946.9735280870577</v>
      </c>
    </row>
    <row r="90" spans="2:99">
      <c r="C90" s="99" t="s">
        <v>256</v>
      </c>
      <c r="D90" s="100">
        <v>2.0899766283414443</v>
      </c>
      <c r="E90" s="100">
        <v>2317.3660855049934</v>
      </c>
      <c r="F90" s="100">
        <v>1.6501877994911114</v>
      </c>
      <c r="G90" s="100">
        <v>1829.7282320757442</v>
      </c>
      <c r="H90" s="100">
        <v>3.3602537680051969</v>
      </c>
      <c r="I90" s="100">
        <v>3725.8493779641622</v>
      </c>
      <c r="J90" s="100">
        <v>3.1661304879331671</v>
      </c>
      <c r="K90" s="100">
        <v>3510.6054850202954</v>
      </c>
      <c r="L90" s="100">
        <v>2.3015329027502132</v>
      </c>
      <c r="M90" s="100">
        <v>2551.9396825694362</v>
      </c>
      <c r="N90" s="100">
        <v>1.7287521255950089</v>
      </c>
      <c r="O90" s="100">
        <v>1916.8403568597457</v>
      </c>
      <c r="P90" s="100">
        <v>3.6834182481433473</v>
      </c>
      <c r="Q90" s="100">
        <v>4084.1741535413435</v>
      </c>
      <c r="R90" s="100">
        <v>3.5802862222673895</v>
      </c>
      <c r="S90" s="100">
        <v>3969.821363250081</v>
      </c>
      <c r="T90" s="100">
        <v>2.946734598514678</v>
      </c>
      <c r="U90" s="100">
        <v>3267.3393228330747</v>
      </c>
      <c r="V90" s="100">
        <v>4.9675315781040359</v>
      </c>
      <c r="W90" s="100">
        <v>5507.9990138017547</v>
      </c>
      <c r="X90" s="100">
        <v>2.9976417385215068</v>
      </c>
      <c r="Y90" s="100">
        <v>3323.7851596726468</v>
      </c>
      <c r="Z90" s="100">
        <v>3.0352521701184929</v>
      </c>
      <c r="AA90" s="100">
        <v>3365.4876062273847</v>
      </c>
      <c r="AB90" s="100">
        <v>2.6521193350123133</v>
      </c>
      <c r="AC90" s="100">
        <v>2940.6699186616529</v>
      </c>
      <c r="AD90" s="100">
        <v>1.2756826926520803</v>
      </c>
      <c r="AE90" s="100">
        <v>1414.4769696126266</v>
      </c>
      <c r="AF90" s="100">
        <v>1.6848149531387737</v>
      </c>
      <c r="AG90" s="100">
        <v>1868.1228200402722</v>
      </c>
      <c r="AH90" s="100">
        <v>2.935793240299855</v>
      </c>
      <c r="AI90" s="100">
        <v>3255.2075448444789</v>
      </c>
      <c r="AJ90" s="100">
        <v>3.9331086101665051</v>
      </c>
      <c r="AK90" s="100">
        <v>4361.0308269526204</v>
      </c>
      <c r="AL90" s="100">
        <v>3.2741495539051981</v>
      </c>
      <c r="AM90" s="100">
        <v>3630.3770253700836</v>
      </c>
      <c r="AN90" s="100">
        <v>3.461927102652875E-4</v>
      </c>
      <c r="AO90" s="100">
        <v>0.38385847714215077</v>
      </c>
      <c r="AP90" s="100">
        <v>3.4472920739680863</v>
      </c>
      <c r="AQ90" s="100">
        <v>3822.3574516158142</v>
      </c>
      <c r="AR90" s="100">
        <v>0.27258372436786954</v>
      </c>
      <c r="AS90" s="100">
        <v>302.24083357909376</v>
      </c>
      <c r="AT90" s="100">
        <v>3.0659666342927276</v>
      </c>
      <c r="AU90" s="100">
        <v>3399.5438041037764</v>
      </c>
      <c r="AV90" s="100">
        <v>6</v>
      </c>
      <c r="AW90" s="100">
        <v>6652.7999999999993</v>
      </c>
      <c r="AX90" s="100">
        <v>4.8750623823586352</v>
      </c>
      <c r="AY90" s="100">
        <v>5405.4691695592546</v>
      </c>
      <c r="AZ90" s="100">
        <v>2.4532251109803029</v>
      </c>
      <c r="BA90" s="100">
        <v>2720.1360030549599</v>
      </c>
      <c r="BB90" s="100">
        <v>3.3882959788970024</v>
      </c>
      <c r="BC90" s="100">
        <v>3756.942581400996</v>
      </c>
      <c r="BD90" s="100">
        <v>4.6098242050750935</v>
      </c>
      <c r="BE90" s="100">
        <v>5111.3730785872631</v>
      </c>
      <c r="BF90" s="100">
        <v>2.6433813412854157</v>
      </c>
      <c r="BG90" s="100">
        <v>2930.9812312172689</v>
      </c>
      <c r="BH90" s="100">
        <v>0.27965145384661083</v>
      </c>
      <c r="BI90" s="100">
        <v>310.07753202512208</v>
      </c>
      <c r="BJ90" s="100">
        <v>5</v>
      </c>
      <c r="BK90" s="100">
        <v>5544</v>
      </c>
      <c r="BL90" s="100">
        <v>5.3913953172398852</v>
      </c>
      <c r="BM90" s="100">
        <v>5977.9791277555842</v>
      </c>
      <c r="BN90" s="100">
        <v>4.1224953359004877</v>
      </c>
      <c r="BO90" s="100">
        <v>4571.0228284464602</v>
      </c>
      <c r="BP90" s="100">
        <v>0.24750760857688545</v>
      </c>
      <c r="BQ90" s="100">
        <v>274.43643639005057</v>
      </c>
      <c r="BR90" s="100">
        <v>7.2943920607287165</v>
      </c>
      <c r="BS90" s="100">
        <v>8088.0219169360007</v>
      </c>
      <c r="BT90" s="100">
        <v>1.6055245949006887</v>
      </c>
      <c r="BU90" s="100">
        <v>1780.2056708258835</v>
      </c>
      <c r="BV90" s="100">
        <v>5.986812538664152</v>
      </c>
      <c r="BW90" s="100">
        <v>6638.177742870811</v>
      </c>
      <c r="BX90" s="100">
        <v>4.4719152522486629</v>
      </c>
      <c r="BY90" s="100">
        <v>4958.4596316933175</v>
      </c>
      <c r="BZ90" s="100">
        <v>3.706564971754811</v>
      </c>
      <c r="CA90" s="100">
        <v>4109.8392406817347</v>
      </c>
      <c r="CB90" s="100">
        <v>3.4274272071387507E-4</v>
      </c>
      <c r="CC90" s="100">
        <v>0.38003312872754469</v>
      </c>
      <c r="CD90" s="100">
        <v>3.243476758418343</v>
      </c>
      <c r="CE90" s="100">
        <v>3596.3670297342587</v>
      </c>
      <c r="CF90" s="100">
        <v>0.24469502211578445</v>
      </c>
      <c r="CG90" s="100">
        <v>271.31784052198179</v>
      </c>
      <c r="CH90" s="100">
        <v>6</v>
      </c>
      <c r="CI90" s="100">
        <v>6652.7999999999993</v>
      </c>
      <c r="CJ90" s="100">
        <v>7.2852036494260313</v>
      </c>
      <c r="CK90" s="100">
        <v>8077.8338064835834</v>
      </c>
      <c r="CL90" s="100">
        <v>2.5711542378659087</v>
      </c>
      <c r="CM90" s="100">
        <v>2850.8958189457194</v>
      </c>
      <c r="CN90" s="100">
        <v>0.27784725091856821</v>
      </c>
      <c r="CO90" s="100">
        <v>308.07703181850843</v>
      </c>
      <c r="CP90" s="100">
        <v>7</v>
      </c>
      <c r="CQ90" s="100">
        <v>7761.5999999999995</v>
      </c>
      <c r="CR90" s="100">
        <v>5.69774935410737</v>
      </c>
      <c r="CS90" s="100">
        <v>6317.6644838342518</v>
      </c>
      <c r="CT90" s="100">
        <v>3.7165475782364008</v>
      </c>
      <c r="CU90" s="100">
        <v>4120.9079547485208</v>
      </c>
    </row>
    <row r="91" spans="2:99">
      <c r="C91" s="99" t="s">
        <v>257</v>
      </c>
      <c r="D91" s="100">
        <v>2.7007145190307029</v>
      </c>
      <c r="E91" s="100">
        <v>3069.0919794264905</v>
      </c>
      <c r="F91" s="100">
        <v>1.6501877994911114</v>
      </c>
      <c r="G91" s="100">
        <v>1875.2734153416989</v>
      </c>
      <c r="H91" s="100">
        <v>3.3602537680051969</v>
      </c>
      <c r="I91" s="100">
        <v>3818.5923819611053</v>
      </c>
      <c r="J91" s="100">
        <v>3.1661304879331671</v>
      </c>
      <c r="K91" s="100">
        <v>3597.9906864872505</v>
      </c>
      <c r="L91" s="100">
        <v>2.0299997268573158</v>
      </c>
      <c r="M91" s="100">
        <v>2306.8916896006535</v>
      </c>
      <c r="N91" s="100">
        <v>1.304562586766169</v>
      </c>
      <c r="O91" s="100">
        <v>1482.5049236010743</v>
      </c>
      <c r="P91" s="100">
        <v>3.6834182481433473</v>
      </c>
      <c r="Q91" s="100">
        <v>4185.8364971900992</v>
      </c>
      <c r="R91" s="100">
        <v>4.2506383065006501</v>
      </c>
      <c r="S91" s="100">
        <v>4830.4253715073382</v>
      </c>
      <c r="T91" s="100">
        <v>2.946734598514678</v>
      </c>
      <c r="U91" s="100">
        <v>3348.6691977520795</v>
      </c>
      <c r="V91" s="100">
        <v>4.9675315781040359</v>
      </c>
      <c r="W91" s="100">
        <v>5645.1028853574253</v>
      </c>
      <c r="X91" s="100">
        <v>2.9976417385215068</v>
      </c>
      <c r="Y91" s="100">
        <v>3406.5200716558402</v>
      </c>
      <c r="Z91" s="100">
        <v>3.0352521701184929</v>
      </c>
      <c r="AA91" s="100">
        <v>3449.2605661226548</v>
      </c>
      <c r="AB91" s="100">
        <v>2.6253288795691425</v>
      </c>
      <c r="AC91" s="100">
        <v>2983.4237387423732</v>
      </c>
      <c r="AD91" s="100">
        <v>1.0726683159939316</v>
      </c>
      <c r="AE91" s="100">
        <v>1218.9802742955037</v>
      </c>
      <c r="AF91" s="100">
        <v>1.6848149531387737</v>
      </c>
      <c r="AG91" s="100">
        <v>1914.6237127469021</v>
      </c>
      <c r="AH91" s="100">
        <v>2.9584905410991418</v>
      </c>
      <c r="AI91" s="100">
        <v>3362.0286509050643</v>
      </c>
      <c r="AJ91" s="100">
        <v>3.0248504581742721</v>
      </c>
      <c r="AK91" s="100">
        <v>3437.4400606692425</v>
      </c>
      <c r="AL91" s="100">
        <v>3.2741495539051981</v>
      </c>
      <c r="AM91" s="100">
        <v>3720.7435530578668</v>
      </c>
      <c r="AN91" s="100">
        <v>2.9063155529333699E-4</v>
      </c>
      <c r="AO91" s="100">
        <v>0.33027369943534812</v>
      </c>
      <c r="AP91" s="100">
        <v>3.4472920739680863</v>
      </c>
      <c r="AQ91" s="100">
        <v>3917.5027128573329</v>
      </c>
      <c r="AR91" s="100">
        <v>0.2218035285215533</v>
      </c>
      <c r="AS91" s="100">
        <v>252.05752981189315</v>
      </c>
      <c r="AT91" s="100">
        <v>3.0659666342927276</v>
      </c>
      <c r="AU91" s="100">
        <v>3484.1644832102552</v>
      </c>
      <c r="AV91" s="100">
        <v>6</v>
      </c>
      <c r="AW91" s="100">
        <v>6818.4</v>
      </c>
      <c r="AX91" s="100">
        <v>3.907738695198129</v>
      </c>
      <c r="AY91" s="100">
        <v>4440.7542532231537</v>
      </c>
      <c r="AZ91" s="100">
        <v>2.4532251109803029</v>
      </c>
      <c r="BA91" s="100">
        <v>2787.8450161180158</v>
      </c>
      <c r="BB91" s="100">
        <v>2.7261296924742973</v>
      </c>
      <c r="BC91" s="100">
        <v>3097.9737825277912</v>
      </c>
      <c r="BD91" s="100">
        <v>4.6098242050750935</v>
      </c>
      <c r="BE91" s="100">
        <v>5238.604226647336</v>
      </c>
      <c r="BF91" s="100">
        <v>2.6332927957493619</v>
      </c>
      <c r="BG91" s="100">
        <v>2992.4739330895745</v>
      </c>
      <c r="BH91" s="100">
        <v>0.23304287820550901</v>
      </c>
      <c r="BI91" s="100">
        <v>264.82992679274042</v>
      </c>
      <c r="BJ91" s="100">
        <v>5</v>
      </c>
      <c r="BK91" s="100">
        <v>5681.9999999999991</v>
      </c>
      <c r="BL91" s="100">
        <v>5.4305348489638741</v>
      </c>
      <c r="BM91" s="100">
        <v>6171.259802362546</v>
      </c>
      <c r="BN91" s="100">
        <v>4.1143672730861098</v>
      </c>
      <c r="BO91" s="100">
        <v>4675.5669691350549</v>
      </c>
      <c r="BP91" s="100">
        <v>0.24750760857688545</v>
      </c>
      <c r="BQ91" s="100">
        <v>281.26764638677258</v>
      </c>
      <c r="BR91" s="100">
        <v>6.2943920607287165</v>
      </c>
      <c r="BS91" s="100">
        <v>7152.9471378121125</v>
      </c>
      <c r="BT91" s="100">
        <v>1.6055245949006887</v>
      </c>
      <c r="BU91" s="100">
        <v>1824.5181496451423</v>
      </c>
      <c r="BV91" s="100">
        <v>5.986812538664152</v>
      </c>
      <c r="BW91" s="100">
        <v>6803.4137689379413</v>
      </c>
      <c r="BX91" s="100">
        <v>4.4719152522486629</v>
      </c>
      <c r="BY91" s="100">
        <v>5081.8844926553802</v>
      </c>
      <c r="BZ91" s="100">
        <v>3.196564753822472</v>
      </c>
      <c r="CA91" s="100">
        <v>3632.5761862438567</v>
      </c>
      <c r="CB91" s="100">
        <v>3.4274272071387507E-4</v>
      </c>
      <c r="CC91" s="100">
        <v>0.3894928278192476</v>
      </c>
      <c r="CD91" s="100">
        <v>3.774955734653747</v>
      </c>
      <c r="CE91" s="100">
        <v>4289.8596968605179</v>
      </c>
      <c r="CF91" s="100">
        <v>0.20391251842982039</v>
      </c>
      <c r="CG91" s="100">
        <v>231.72618594364786</v>
      </c>
      <c r="CH91" s="100">
        <v>6</v>
      </c>
      <c r="CI91" s="100">
        <v>6818.4</v>
      </c>
      <c r="CJ91" s="100">
        <v>7.2852036494260313</v>
      </c>
      <c r="CK91" s="100">
        <v>8278.905427207741</v>
      </c>
      <c r="CL91" s="100">
        <v>2.5711542378659087</v>
      </c>
      <c r="CM91" s="100">
        <v>2921.8596759108182</v>
      </c>
      <c r="CN91" s="100">
        <v>0.32415512607166286</v>
      </c>
      <c r="CO91" s="100">
        <v>368.36988526783762</v>
      </c>
      <c r="CP91" s="100">
        <v>6</v>
      </c>
      <c r="CQ91" s="100">
        <v>6818.4</v>
      </c>
      <c r="CR91" s="100">
        <v>5.69774935410737</v>
      </c>
      <c r="CS91" s="100">
        <v>6474.922366007615</v>
      </c>
      <c r="CT91" s="100">
        <v>3.6854056058096685</v>
      </c>
      <c r="CU91" s="100">
        <v>4188.0949304421065</v>
      </c>
    </row>
    <row r="92" spans="2:99">
      <c r="C92" s="99" t="s">
        <v>258</v>
      </c>
      <c r="D92" s="100">
        <v>2.7293548475055545</v>
      </c>
      <c r="E92" s="100">
        <v>2141.997684322359</v>
      </c>
      <c r="F92" s="100">
        <v>1.6501877994911114</v>
      </c>
      <c r="G92" s="100">
        <v>1295.0673850406242</v>
      </c>
      <c r="H92" s="100">
        <v>3.3602537680051969</v>
      </c>
      <c r="I92" s="100">
        <v>2637.1271571304783</v>
      </c>
      <c r="J92" s="100">
        <v>3.9231987665609851</v>
      </c>
      <c r="K92" s="100">
        <v>3078.9263919970608</v>
      </c>
      <c r="L92" s="100">
        <v>2.9480291254923299</v>
      </c>
      <c r="M92" s="100">
        <v>2313.6132576863802</v>
      </c>
      <c r="N92" s="100">
        <v>1.7340844539749505</v>
      </c>
      <c r="O92" s="100">
        <v>1360.909479479541</v>
      </c>
      <c r="P92" s="100">
        <v>2.946734598514678</v>
      </c>
      <c r="Q92" s="100">
        <v>2312.597312914319</v>
      </c>
      <c r="R92" s="100">
        <v>4.2506383065006501</v>
      </c>
      <c r="S92" s="100">
        <v>3335.9009429417101</v>
      </c>
      <c r="T92" s="100">
        <v>2.946734598514678</v>
      </c>
      <c r="U92" s="100">
        <v>2312.597312914319</v>
      </c>
      <c r="V92" s="100">
        <v>4.9675315781040359</v>
      </c>
      <c r="W92" s="100">
        <v>3898.5187824960472</v>
      </c>
      <c r="X92" s="100">
        <v>2.9976417385215068</v>
      </c>
      <c r="Y92" s="100">
        <v>2352.5492363916783</v>
      </c>
      <c r="Z92" s="100">
        <v>3.0563495828773117</v>
      </c>
      <c r="AA92" s="100">
        <v>2398.6231526421143</v>
      </c>
      <c r="AB92" s="100">
        <v>2.6521193350123133</v>
      </c>
      <c r="AC92" s="100">
        <v>2081.3832541176635</v>
      </c>
      <c r="AD92" s="100">
        <v>1.2660832872015491</v>
      </c>
      <c r="AE92" s="100">
        <v>993.62216379577569</v>
      </c>
      <c r="AF92" s="100">
        <v>1.6698953905184883</v>
      </c>
      <c r="AG92" s="100">
        <v>1310.5339024789096</v>
      </c>
      <c r="AH92" s="100">
        <v>3.5138729680401113</v>
      </c>
      <c r="AI92" s="100">
        <v>2757.6875053178792</v>
      </c>
      <c r="AJ92" s="100">
        <v>3.7810630727178407</v>
      </c>
      <c r="AK92" s="100">
        <v>2967.3782994689614</v>
      </c>
      <c r="AL92" s="100">
        <v>3.8198411462227311</v>
      </c>
      <c r="AM92" s="100">
        <v>2997.8113315555993</v>
      </c>
      <c r="AN92" s="100">
        <v>2.9246380964099197E-4</v>
      </c>
      <c r="AO92" s="100">
        <v>0.22952559780625048</v>
      </c>
      <c r="AP92" s="100">
        <v>3.4472920739680863</v>
      </c>
      <c r="AQ92" s="100">
        <v>2705.4348196501542</v>
      </c>
      <c r="AR92" s="100">
        <v>0.26108665043784579</v>
      </c>
      <c r="AS92" s="100">
        <v>204.90080326362136</v>
      </c>
      <c r="AT92" s="100">
        <v>3.0659666342927276</v>
      </c>
      <c r="AU92" s="100">
        <v>2406.1706145929325</v>
      </c>
      <c r="AV92" s="100">
        <v>6</v>
      </c>
      <c r="AW92" s="100">
        <v>4708.7999999999993</v>
      </c>
      <c r="AX92" s="100">
        <v>3.9173496818371554</v>
      </c>
      <c r="AY92" s="100">
        <v>3074.3360303057993</v>
      </c>
      <c r="AZ92" s="100">
        <v>2.4781943534939628</v>
      </c>
      <c r="BA92" s="100">
        <v>1944.886928622062</v>
      </c>
      <c r="BB92" s="100">
        <v>3.3882959788970024</v>
      </c>
      <c r="BC92" s="100">
        <v>2659.1346842383673</v>
      </c>
      <c r="BD92" s="100">
        <v>4.6386734054488858</v>
      </c>
      <c r="BE92" s="100">
        <v>3640.4308885962855</v>
      </c>
      <c r="BF92" s="100">
        <v>2.6433813412854157</v>
      </c>
      <c r="BG92" s="100">
        <v>2074.5256766407942</v>
      </c>
      <c r="BH92" s="100">
        <v>0.27965145384661083</v>
      </c>
      <c r="BI92" s="100">
        <v>219.47046097882017</v>
      </c>
      <c r="BJ92" s="100">
        <v>5</v>
      </c>
      <c r="BK92" s="100">
        <v>3924</v>
      </c>
      <c r="BL92" s="100">
        <v>6.3913953172398852</v>
      </c>
      <c r="BM92" s="100">
        <v>5015.9670449698615</v>
      </c>
      <c r="BN92" s="100">
        <v>4.1143672730861098</v>
      </c>
      <c r="BO92" s="100">
        <v>3228.9554359179788</v>
      </c>
      <c r="BP92" s="100">
        <v>0.2970091302922625</v>
      </c>
      <c r="BQ92" s="100">
        <v>233.0927654533676</v>
      </c>
      <c r="BR92" s="100">
        <v>7.2943920607287165</v>
      </c>
      <c r="BS92" s="100">
        <v>5724.6388892598961</v>
      </c>
      <c r="BT92" s="100">
        <v>1.6055245949006887</v>
      </c>
      <c r="BU92" s="100">
        <v>1260.0157020780605</v>
      </c>
      <c r="BV92" s="100">
        <v>5.986812538664152</v>
      </c>
      <c r="BW92" s="100">
        <v>4698.4504803436266</v>
      </c>
      <c r="BX92" s="100">
        <v>5.2172344609567736</v>
      </c>
      <c r="BY92" s="100">
        <v>4094.4856049588757</v>
      </c>
      <c r="BZ92" s="100">
        <v>3.7217386880024157</v>
      </c>
      <c r="CA92" s="100">
        <v>2920.8205223442956</v>
      </c>
      <c r="CB92" s="100">
        <v>3.4517695681809469E-4</v>
      </c>
      <c r="CC92" s="100">
        <v>0.2708948757108407</v>
      </c>
      <c r="CD92" s="100">
        <v>3.7694954445531552</v>
      </c>
      <c r="CE92" s="100">
        <v>2958.3000248853159</v>
      </c>
      <c r="CF92" s="100">
        <v>0.24469502211578445</v>
      </c>
      <c r="CG92" s="100">
        <v>192.03665335646764</v>
      </c>
      <c r="CH92" s="100">
        <v>6</v>
      </c>
      <c r="CI92" s="100">
        <v>4708.7999999999993</v>
      </c>
      <c r="CJ92" s="100">
        <v>6.9870909922827265</v>
      </c>
      <c r="CK92" s="100">
        <v>5483.4690107434835</v>
      </c>
      <c r="CL92" s="100">
        <v>2.5654938407368841</v>
      </c>
      <c r="CM92" s="100">
        <v>2013.3995662103066</v>
      </c>
      <c r="CN92" s="100">
        <v>0.27784725091856821</v>
      </c>
      <c r="CO92" s="100">
        <v>218.05452252089231</v>
      </c>
      <c r="CP92" s="100">
        <v>6</v>
      </c>
      <c r="CQ92" s="100">
        <v>4708.7999999999993</v>
      </c>
      <c r="CR92" s="100">
        <v>4.9040803447820327</v>
      </c>
      <c r="CS92" s="100">
        <v>3848.722254584939</v>
      </c>
      <c r="CT92" s="100">
        <v>3.6854056058096685</v>
      </c>
      <c r="CU92" s="100">
        <v>2892.3063194394276</v>
      </c>
    </row>
    <row r="93" spans="2:99">
      <c r="C93" s="99" t="s">
        <v>259</v>
      </c>
      <c r="D93" s="100">
        <v>2.7293548475055545</v>
      </c>
      <c r="E93" s="100">
        <v>1893.0805222298527</v>
      </c>
      <c r="F93" s="100">
        <v>1.6501877994911114</v>
      </c>
      <c r="G93" s="100">
        <v>1144.5702577270349</v>
      </c>
      <c r="H93" s="100">
        <v>4.0323045216062372</v>
      </c>
      <c r="I93" s="100">
        <v>2796.8064161860862</v>
      </c>
      <c r="J93" s="100">
        <v>3.1661304879331671</v>
      </c>
      <c r="K93" s="100">
        <v>2196.028106430445</v>
      </c>
      <c r="L93" s="100">
        <v>2.9480291254923299</v>
      </c>
      <c r="M93" s="100">
        <v>2044.7530014414801</v>
      </c>
      <c r="N93" s="100">
        <v>1.7340844539749505</v>
      </c>
      <c r="O93" s="100">
        <v>1202.7609772770256</v>
      </c>
      <c r="P93" s="100">
        <v>2.946734598514678</v>
      </c>
      <c r="Q93" s="100">
        <v>2043.8551175297807</v>
      </c>
      <c r="R93" s="100">
        <v>4.2506383065006501</v>
      </c>
      <c r="S93" s="100">
        <v>2948.2427293888509</v>
      </c>
      <c r="T93" s="100">
        <v>3.6834182481433473</v>
      </c>
      <c r="U93" s="100">
        <v>2554.8188969122257</v>
      </c>
      <c r="V93" s="100">
        <v>4.9675315781040359</v>
      </c>
      <c r="W93" s="100">
        <v>3445.4799025729594</v>
      </c>
      <c r="X93" s="100">
        <v>2.9976417385215068</v>
      </c>
      <c r="Y93" s="100">
        <v>2079.1643098385171</v>
      </c>
      <c r="Z93" s="100">
        <v>3.0352521701184929</v>
      </c>
      <c r="AA93" s="100">
        <v>2105.2509051941865</v>
      </c>
      <c r="AB93" s="100">
        <v>2.6521193350123133</v>
      </c>
      <c r="AC93" s="100">
        <v>1839.5099707645406</v>
      </c>
      <c r="AD93" s="100">
        <v>1.2660832872015491</v>
      </c>
      <c r="AE93" s="100">
        <v>878.15536800299446</v>
      </c>
      <c r="AF93" s="100">
        <v>1.5356193269359177</v>
      </c>
      <c r="AG93" s="100">
        <v>1065.1055651627526</v>
      </c>
      <c r="AH93" s="100">
        <v>3.5138729680401113</v>
      </c>
      <c r="AI93" s="100">
        <v>2437.2222906326215</v>
      </c>
      <c r="AJ93" s="100">
        <v>3.7810630727178407</v>
      </c>
      <c r="AK93" s="100">
        <v>2622.5453472370946</v>
      </c>
      <c r="AL93" s="100">
        <v>3.8198411462227311</v>
      </c>
      <c r="AM93" s="100">
        <v>2649.4418190200863</v>
      </c>
      <c r="AN93" s="100">
        <v>2.9063155529333699E-4</v>
      </c>
      <c r="AO93" s="100">
        <v>0.20158204675145855</v>
      </c>
      <c r="AP93" s="100">
        <v>2.8817963114818999</v>
      </c>
      <c r="AQ93" s="100">
        <v>1998.8139216438458</v>
      </c>
      <c r="AR93" s="100">
        <v>0.27402085860912251</v>
      </c>
      <c r="AS93" s="100">
        <v>190.06086753128739</v>
      </c>
      <c r="AT93" s="100">
        <v>3.5769610733415158</v>
      </c>
      <c r="AU93" s="100">
        <v>2480.9802004696753</v>
      </c>
      <c r="AV93" s="100">
        <v>5</v>
      </c>
      <c r="AW93" s="100">
        <v>3468</v>
      </c>
      <c r="AX93" s="100">
        <v>4.8654513957196093</v>
      </c>
      <c r="AY93" s="100">
        <v>3374.677088071121</v>
      </c>
      <c r="AZ93" s="100">
        <v>2.4781943534939628</v>
      </c>
      <c r="BA93" s="100">
        <v>1718.8756035834126</v>
      </c>
      <c r="BB93" s="100">
        <v>2.7519512080687898</v>
      </c>
      <c r="BC93" s="100">
        <v>1908.7533579165126</v>
      </c>
      <c r="BD93" s="100">
        <v>3.8703693712697036</v>
      </c>
      <c r="BE93" s="100">
        <v>2684.4881959126665</v>
      </c>
      <c r="BF93" s="100">
        <v>3.4908799699270427</v>
      </c>
      <c r="BG93" s="100">
        <v>2421.2743471413969</v>
      </c>
      <c r="BH93" s="100">
        <v>0.27965145384661083</v>
      </c>
      <c r="BI93" s="100">
        <v>193.96624838800929</v>
      </c>
      <c r="BJ93" s="100">
        <v>5</v>
      </c>
      <c r="BK93" s="100">
        <v>3468</v>
      </c>
      <c r="BL93" s="100">
        <v>5.3913953172398852</v>
      </c>
      <c r="BM93" s="100">
        <v>3739.4717920375847</v>
      </c>
      <c r="BN93" s="100">
        <v>4.7906124119836884</v>
      </c>
      <c r="BO93" s="100">
        <v>3322.7687689518862</v>
      </c>
      <c r="BP93" s="100">
        <v>0.24750760857688545</v>
      </c>
      <c r="BQ93" s="100">
        <v>171.67127730892776</v>
      </c>
      <c r="BR93" s="100">
        <v>7.2943920607287165</v>
      </c>
      <c r="BS93" s="100">
        <v>5059.3903333214375</v>
      </c>
      <c r="BT93" s="100">
        <v>1.6055245949006887</v>
      </c>
      <c r="BU93" s="100">
        <v>1113.5918590231176</v>
      </c>
      <c r="BV93" s="100">
        <v>5.986812538664152</v>
      </c>
      <c r="BW93" s="100">
        <v>4152.4531768174556</v>
      </c>
      <c r="BX93" s="100">
        <v>4.4719152522486629</v>
      </c>
      <c r="BY93" s="100">
        <v>3101.7204189596728</v>
      </c>
      <c r="BZ93" s="100">
        <v>4.2165651896871505</v>
      </c>
      <c r="CA93" s="100">
        <v>2924.6096155670075</v>
      </c>
      <c r="CB93" s="100">
        <v>3.4517695681809469E-4</v>
      </c>
      <c r="CC93" s="100">
        <v>0.23941473724903048</v>
      </c>
      <c r="CD93" s="100">
        <v>3.243476758418343</v>
      </c>
      <c r="CE93" s="100">
        <v>2249.6754796389628</v>
      </c>
      <c r="CF93" s="100">
        <v>0.20391251842982039</v>
      </c>
      <c r="CG93" s="100">
        <v>141.43372278292344</v>
      </c>
      <c r="CH93" s="100">
        <v>7</v>
      </c>
      <c r="CI93" s="100">
        <v>4855.2</v>
      </c>
      <c r="CJ93" s="100">
        <v>7.2553923837117003</v>
      </c>
      <c r="CK93" s="100">
        <v>5032.3401573424353</v>
      </c>
      <c r="CL93" s="100">
        <v>3.0661397352004065</v>
      </c>
      <c r="CM93" s="100">
        <v>2126.6745203350019</v>
      </c>
      <c r="CN93" s="100">
        <v>0.32415512607166286</v>
      </c>
      <c r="CO93" s="100">
        <v>224.83399544330535</v>
      </c>
      <c r="CP93" s="100">
        <v>7</v>
      </c>
      <c r="CQ93" s="100">
        <v>4855.2</v>
      </c>
      <c r="CR93" s="100">
        <v>4.9751134891970379</v>
      </c>
      <c r="CS93" s="100">
        <v>3450.7387161070656</v>
      </c>
      <c r="CT93" s="100">
        <v>4.3539743876327917</v>
      </c>
      <c r="CU93" s="100">
        <v>3019.9166352621046</v>
      </c>
    </row>
    <row r="94" spans="2:99">
      <c r="C94" s="99" t="s">
        <v>260</v>
      </c>
      <c r="D94" s="100">
        <v>2.7007145190307029</v>
      </c>
      <c r="E94" s="100">
        <v>3221.4122782998224</v>
      </c>
      <c r="F94" s="100">
        <v>1.6501877994911114</v>
      </c>
      <c r="G94" s="100">
        <v>1968.3440072329977</v>
      </c>
      <c r="H94" s="100">
        <v>3.3602537680051969</v>
      </c>
      <c r="I94" s="100">
        <v>4008.1106944765988</v>
      </c>
      <c r="J94" s="100">
        <v>3.9231987665609851</v>
      </c>
      <c r="K94" s="100">
        <v>4679.5914887539429</v>
      </c>
      <c r="L94" s="100">
        <v>2.2713625498732242</v>
      </c>
      <c r="M94" s="100">
        <v>2709.2812494887817</v>
      </c>
      <c r="N94" s="100">
        <v>1.7287521255950089</v>
      </c>
      <c r="O94" s="100">
        <v>2062.0555354097264</v>
      </c>
      <c r="P94" s="100">
        <v>3.6834182481433473</v>
      </c>
      <c r="Q94" s="100">
        <v>4393.5812863853844</v>
      </c>
      <c r="R94" s="100">
        <v>3.5451284067133759</v>
      </c>
      <c r="S94" s="100">
        <v>4228.6291635277148</v>
      </c>
      <c r="T94" s="100">
        <v>2.946734598514678</v>
      </c>
      <c r="U94" s="100">
        <v>3514.8650291083077</v>
      </c>
      <c r="V94" s="100">
        <v>3.9740252624832286</v>
      </c>
      <c r="W94" s="100">
        <v>4740.217333089995</v>
      </c>
      <c r="X94" s="100">
        <v>2.9652332482892363</v>
      </c>
      <c r="Y94" s="100">
        <v>3536.9302185594011</v>
      </c>
      <c r="Z94" s="100">
        <v>2.5434417502712896</v>
      </c>
      <c r="AA94" s="100">
        <v>3033.8173197235942</v>
      </c>
      <c r="AB94" s="100">
        <v>2.6789097904554833</v>
      </c>
      <c r="AC94" s="100">
        <v>3195.4035980553003</v>
      </c>
      <c r="AD94" s="100">
        <v>1.2756826926520803</v>
      </c>
      <c r="AE94" s="100">
        <v>1521.6343157954013</v>
      </c>
      <c r="AF94" s="100">
        <v>1.6848149531387737</v>
      </c>
      <c r="AG94" s="100">
        <v>2009.6472761039292</v>
      </c>
      <c r="AH94" s="100">
        <v>3.4911756672408241</v>
      </c>
      <c r="AI94" s="100">
        <v>4164.2743358848547</v>
      </c>
      <c r="AJ94" s="100">
        <v>3.9331086101665051</v>
      </c>
      <c r="AK94" s="100">
        <v>4691.4119502066069</v>
      </c>
      <c r="AL94" s="100">
        <v>3.8198411462227311</v>
      </c>
      <c r="AM94" s="100">
        <v>4556.3065192144732</v>
      </c>
      <c r="AN94" s="100">
        <v>2.9063155529333699E-4</v>
      </c>
      <c r="AO94" s="100">
        <v>0.34666531915389237</v>
      </c>
      <c r="AP94" s="100">
        <v>3.4472920739680863</v>
      </c>
      <c r="AQ94" s="100">
        <v>4111.9299858291333</v>
      </c>
      <c r="AR94" s="100">
        <v>0.27258372436786954</v>
      </c>
      <c r="AS94" s="100">
        <v>325.13786642599479</v>
      </c>
      <c r="AT94" s="100">
        <v>3.0659666342927276</v>
      </c>
      <c r="AU94" s="100">
        <v>3657.0850013843656</v>
      </c>
      <c r="AV94" s="100">
        <v>5</v>
      </c>
      <c r="AW94" s="100">
        <v>5964</v>
      </c>
      <c r="AX94" s="100">
        <v>4.8654513957196093</v>
      </c>
      <c r="AY94" s="100">
        <v>5803.5104248143498</v>
      </c>
      <c r="AZ94" s="100">
        <v>2.4532251109803029</v>
      </c>
      <c r="BA94" s="100">
        <v>2926.2069123773053</v>
      </c>
      <c r="BB94" s="100">
        <v>2.7261296924742973</v>
      </c>
      <c r="BC94" s="100">
        <v>3251.7274971833417</v>
      </c>
      <c r="BD94" s="100">
        <v>3.8703693712697036</v>
      </c>
      <c r="BE94" s="100">
        <v>4616.5765860505026</v>
      </c>
      <c r="BF94" s="100">
        <v>3.4807914243909885</v>
      </c>
      <c r="BG94" s="100">
        <v>4151.8880110135706</v>
      </c>
      <c r="BH94" s="100">
        <v>0.23304287820550901</v>
      </c>
      <c r="BI94" s="100">
        <v>277.97354512353115</v>
      </c>
      <c r="BJ94" s="100">
        <v>4</v>
      </c>
      <c r="BK94" s="100">
        <v>4771.2</v>
      </c>
      <c r="BL94" s="100">
        <v>5.4305348489638741</v>
      </c>
      <c r="BM94" s="100">
        <v>6477.5419678441085</v>
      </c>
      <c r="BN94" s="100">
        <v>4.1143672730861098</v>
      </c>
      <c r="BO94" s="100">
        <v>4907.617283337112</v>
      </c>
      <c r="BP94" s="100">
        <v>0.2970091302922625</v>
      </c>
      <c r="BQ94" s="100">
        <v>354.27249061261068</v>
      </c>
      <c r="BR94" s="100">
        <v>7.2943920607287165</v>
      </c>
      <c r="BS94" s="100">
        <v>8700.7508500372132</v>
      </c>
      <c r="BT94" s="100">
        <v>1.2844196759205508</v>
      </c>
      <c r="BU94" s="100">
        <v>1532.0557894380329</v>
      </c>
      <c r="BV94" s="100">
        <v>6.9846146284415109</v>
      </c>
      <c r="BW94" s="100">
        <v>8331.2483288050335</v>
      </c>
      <c r="BX94" s="100">
        <v>4.4719152522486629</v>
      </c>
      <c r="BY94" s="100">
        <v>5334.1005128822053</v>
      </c>
      <c r="BZ94" s="100">
        <v>3.6913912555072073</v>
      </c>
      <c r="CA94" s="100">
        <v>4403.0914895689966</v>
      </c>
      <c r="CB94" s="100">
        <v>3.4274272071387507E-4</v>
      </c>
      <c r="CC94" s="100">
        <v>0.40882351726751015</v>
      </c>
      <c r="CD94" s="100">
        <v>3.7694954445531552</v>
      </c>
      <c r="CE94" s="100">
        <v>4496.2541662630038</v>
      </c>
      <c r="CF94" s="100">
        <v>0.20391251842982039</v>
      </c>
      <c r="CG94" s="100">
        <v>243.22685198308974</v>
      </c>
      <c r="CH94" s="100">
        <v>7</v>
      </c>
      <c r="CI94" s="100">
        <v>8349.6</v>
      </c>
      <c r="CJ94" s="100">
        <v>5.9889351362423371</v>
      </c>
      <c r="CK94" s="100">
        <v>7143.6018305098596</v>
      </c>
      <c r="CL94" s="100">
        <v>2.5711542378659087</v>
      </c>
      <c r="CM94" s="100">
        <v>3066.8727749264558</v>
      </c>
      <c r="CN94" s="100">
        <v>0.32415512607166286</v>
      </c>
      <c r="CO94" s="100">
        <v>386.65223437827945</v>
      </c>
      <c r="CP94" s="100">
        <v>6</v>
      </c>
      <c r="CQ94" s="100">
        <v>7156.7999999999993</v>
      </c>
      <c r="CR94" s="100">
        <v>5.69774935410737</v>
      </c>
      <c r="CS94" s="100">
        <v>6796.2754295792711</v>
      </c>
      <c r="CT94" s="100">
        <v>3.6854056058096685</v>
      </c>
      <c r="CU94" s="100">
        <v>4395.9518066097726</v>
      </c>
    </row>
    <row r="95" spans="2:99">
      <c r="B95" s="99" t="s">
        <v>132</v>
      </c>
      <c r="C95" s="99" t="s">
        <v>261</v>
      </c>
      <c r="D95" s="100">
        <v>6.0121669287506654</v>
      </c>
      <c r="E95" s="100">
        <v>1976.8004861732188</v>
      </c>
      <c r="F95" s="100">
        <v>2.3102629192875557</v>
      </c>
      <c r="G95" s="100">
        <v>759.61444786174832</v>
      </c>
      <c r="H95" s="100">
        <v>6.7205075360103939</v>
      </c>
      <c r="I95" s="100">
        <v>2209.7028778402178</v>
      </c>
      <c r="J95" s="100">
        <v>4.5424096717669089</v>
      </c>
      <c r="K95" s="100">
        <v>1493.5443000769596</v>
      </c>
      <c r="L95" s="100">
        <v>6.3011916507108658</v>
      </c>
      <c r="M95" s="100">
        <v>2071.8318147537329</v>
      </c>
      <c r="N95" s="100">
        <v>4.2845540153279291</v>
      </c>
      <c r="O95" s="100">
        <v>1408.761360239823</v>
      </c>
      <c r="P95" s="100">
        <v>5.1567855474006858</v>
      </c>
      <c r="Q95" s="100">
        <v>1695.5510879853455</v>
      </c>
      <c r="R95" s="100">
        <v>4.9913060218419369</v>
      </c>
      <c r="S95" s="100">
        <v>1641.1414199816288</v>
      </c>
      <c r="T95" s="100">
        <v>5.1567855474006858</v>
      </c>
      <c r="U95" s="100">
        <v>1695.5510879853455</v>
      </c>
      <c r="V95" s="100">
        <v>5.9610378937248427</v>
      </c>
      <c r="W95" s="100">
        <v>1959.9892594567284</v>
      </c>
      <c r="X95" s="100">
        <v>5.2134645521803664</v>
      </c>
      <c r="Y95" s="100">
        <v>1714.1871447569044</v>
      </c>
      <c r="Z95" s="100">
        <v>4.4051963658660105</v>
      </c>
      <c r="AA95" s="100">
        <v>1448.4285650967443</v>
      </c>
      <c r="AB95" s="100">
        <v>3.9647837747968846</v>
      </c>
      <c r="AC95" s="100">
        <v>1303.6209051532157</v>
      </c>
      <c r="AD95" s="100">
        <v>1.8271293899233394</v>
      </c>
      <c r="AE95" s="100">
        <v>600.76014340679399</v>
      </c>
      <c r="AF95" s="100">
        <v>4.2229531490737742</v>
      </c>
      <c r="AG95" s="100">
        <v>1388.5069954154569</v>
      </c>
      <c r="AH95" s="100">
        <v>6.109206696350661</v>
      </c>
      <c r="AI95" s="100">
        <v>2008.7071617600975</v>
      </c>
      <c r="AJ95" s="100">
        <v>4.732762806838263</v>
      </c>
      <c r="AK95" s="100">
        <v>1556.132410888421</v>
      </c>
      <c r="AL95" s="100">
        <v>5.4569159231753295</v>
      </c>
      <c r="AM95" s="100">
        <v>1794.2339555400483</v>
      </c>
      <c r="AN95" s="100">
        <v>4.0908288262785775E-4</v>
      </c>
      <c r="AO95" s="100">
        <v>0.13450645180803963</v>
      </c>
      <c r="AP95" s="100">
        <v>5.7273809569298226</v>
      </c>
      <c r="AQ95" s="100">
        <v>1883.1628586385257</v>
      </c>
      <c r="AR95" s="100">
        <v>0.43067284887182994</v>
      </c>
      <c r="AS95" s="100">
        <v>141.6052327090577</v>
      </c>
      <c r="AT95" s="100">
        <v>5.1099443904878799</v>
      </c>
      <c r="AU95" s="100">
        <v>1680.1497155924149</v>
      </c>
      <c r="AV95" s="100">
        <v>8</v>
      </c>
      <c r="AW95" s="100">
        <v>2630.4</v>
      </c>
      <c r="AX95" s="100">
        <v>10.534839705736282</v>
      </c>
      <c r="AY95" s="100">
        <v>3463.8552952460896</v>
      </c>
      <c r="AZ95" s="100">
        <v>5.9910494691576126</v>
      </c>
      <c r="BA95" s="100">
        <v>1969.857065459023</v>
      </c>
      <c r="BB95" s="100">
        <v>5.0907581666256965</v>
      </c>
      <c r="BC95" s="100">
        <v>1673.8412851865291</v>
      </c>
      <c r="BD95" s="100">
        <v>4.4367290028323429</v>
      </c>
      <c r="BE95" s="100">
        <v>1458.7964961312744</v>
      </c>
      <c r="BF95" s="100">
        <v>5.1858772272102964</v>
      </c>
      <c r="BG95" s="100">
        <v>1705.1164323067455</v>
      </c>
      <c r="BH95" s="100">
        <v>0.37286860512881448</v>
      </c>
      <c r="BI95" s="100">
        <v>122.5991973663542</v>
      </c>
      <c r="BJ95" s="100">
        <v>7</v>
      </c>
      <c r="BK95" s="100">
        <v>2301.6</v>
      </c>
      <c r="BL95" s="100">
        <v>10</v>
      </c>
      <c r="BM95" s="100">
        <v>3288</v>
      </c>
      <c r="BN95" s="100">
        <v>5.4993698021387765</v>
      </c>
      <c r="BO95" s="100">
        <v>1808.1927909432297</v>
      </c>
      <c r="BP95" s="100">
        <v>0.44551369543839381</v>
      </c>
      <c r="BQ95" s="100">
        <v>146.48490306014389</v>
      </c>
      <c r="BR95" s="100">
        <v>10.367990075910896</v>
      </c>
      <c r="BS95" s="100">
        <v>3408.9951369595028</v>
      </c>
      <c r="BT95" s="100">
        <v>3.2110491898013773</v>
      </c>
      <c r="BU95" s="100">
        <v>1055.7929736066928</v>
      </c>
      <c r="BV95" s="100">
        <v>10.975822987550947</v>
      </c>
      <c r="BW95" s="100">
        <v>3608.8505983067516</v>
      </c>
      <c r="BX95" s="100">
        <v>5.2172344609567736</v>
      </c>
      <c r="BY95" s="100">
        <v>1715.4266907625872</v>
      </c>
      <c r="BZ95" s="100">
        <v>4.7720865563623018</v>
      </c>
      <c r="CA95" s="100">
        <v>1569.0620597319248</v>
      </c>
      <c r="CB95" s="100">
        <v>3.7714697052680473E-4</v>
      </c>
      <c r="CC95" s="100">
        <v>0.1240059239092134</v>
      </c>
      <c r="CD95" s="100">
        <v>4.8542945574263312</v>
      </c>
      <c r="CE95" s="100">
        <v>1596.0920504817777</v>
      </c>
      <c r="CF95" s="100">
        <v>0.4893900442315689</v>
      </c>
      <c r="CG95" s="100">
        <v>160.91144654333985</v>
      </c>
      <c r="CH95" s="100">
        <v>7</v>
      </c>
      <c r="CI95" s="100">
        <v>2301.6</v>
      </c>
      <c r="CJ95" s="100">
        <v>7.2255811179973701</v>
      </c>
      <c r="CK95" s="100">
        <v>2375.7710715975354</v>
      </c>
      <c r="CL95" s="100">
        <v>6.0586943077234938</v>
      </c>
      <c r="CM95" s="100">
        <v>1992.0986883794849</v>
      </c>
      <c r="CN95" s="100">
        <v>0.37046300122475756</v>
      </c>
      <c r="CO95" s="100">
        <v>121.80823480270028</v>
      </c>
      <c r="CP95" s="100">
        <v>10</v>
      </c>
      <c r="CQ95" s="100">
        <v>3288</v>
      </c>
      <c r="CR95" s="100">
        <v>5.3070670598248428</v>
      </c>
      <c r="CS95" s="100">
        <v>1744.9636492704085</v>
      </c>
      <c r="CT95" s="100">
        <v>5.0848271143093786</v>
      </c>
      <c r="CU95" s="100">
        <v>1671.8911551849237</v>
      </c>
    </row>
    <row r="96" spans="2:99">
      <c r="C96" s="99" t="s">
        <v>262</v>
      </c>
      <c r="D96" s="100">
        <v>5.3727887095865539</v>
      </c>
      <c r="E96" s="100">
        <v>3733.0135954207376</v>
      </c>
      <c r="F96" s="100">
        <v>2.640300479185778</v>
      </c>
      <c r="G96" s="100">
        <v>1834.4807729382785</v>
      </c>
      <c r="H96" s="100">
        <v>6.7205075360103939</v>
      </c>
      <c r="I96" s="100">
        <v>4669.4086360200217</v>
      </c>
      <c r="J96" s="100">
        <v>4.5424096717669089</v>
      </c>
      <c r="K96" s="100">
        <v>3156.0662399436483</v>
      </c>
      <c r="L96" s="100">
        <v>5.6245250750917606</v>
      </c>
      <c r="M96" s="100">
        <v>3907.9200221737551</v>
      </c>
      <c r="N96" s="100">
        <v>4.2845540153279291</v>
      </c>
      <c r="O96" s="100">
        <v>2976.908129849845</v>
      </c>
      <c r="P96" s="100">
        <v>5.1567855474006858</v>
      </c>
      <c r="Q96" s="100">
        <v>3582.9345983339963</v>
      </c>
      <c r="R96" s="100">
        <v>4.1275859520616036</v>
      </c>
      <c r="S96" s="100">
        <v>2867.8467194924019</v>
      </c>
      <c r="T96" s="100">
        <v>5.1567855474006858</v>
      </c>
      <c r="U96" s="100">
        <v>3582.9345983339963</v>
      </c>
      <c r="V96" s="100">
        <v>4.9675315781040359</v>
      </c>
      <c r="W96" s="100">
        <v>3451.440940466684</v>
      </c>
      <c r="X96" s="100">
        <v>5.1486475717158262</v>
      </c>
      <c r="Y96" s="100">
        <v>3577.2803328281557</v>
      </c>
      <c r="Z96" s="100">
        <v>3.9555807715364444</v>
      </c>
      <c r="AA96" s="100">
        <v>2748.3375200635214</v>
      </c>
      <c r="AB96" s="100">
        <v>3.9915742302400545</v>
      </c>
      <c r="AC96" s="100">
        <v>2773.3457751707897</v>
      </c>
      <c r="AD96" s="100">
        <v>1.9231234444286516</v>
      </c>
      <c r="AE96" s="100">
        <v>1336.1861691890269</v>
      </c>
      <c r="AF96" s="100">
        <v>4.606857980807753</v>
      </c>
      <c r="AG96" s="100">
        <v>3200.8449250652266</v>
      </c>
      <c r="AH96" s="100">
        <v>5.5538242694096915</v>
      </c>
      <c r="AI96" s="100">
        <v>3858.7971023858536</v>
      </c>
      <c r="AJ96" s="100">
        <v>3.9765501922946953</v>
      </c>
      <c r="AK96" s="100">
        <v>2762.9070736063541</v>
      </c>
      <c r="AL96" s="100">
        <v>5.4569159231753295</v>
      </c>
      <c r="AM96" s="100">
        <v>3791.4651834222186</v>
      </c>
      <c r="AN96" s="100">
        <v>4.0725062828020277E-4</v>
      </c>
      <c r="AO96" s="100">
        <v>0.28295773652908485</v>
      </c>
      <c r="AP96" s="100">
        <v>5.7334162346021529</v>
      </c>
      <c r="AQ96" s="100">
        <v>3983.5775998015756</v>
      </c>
      <c r="AR96" s="100">
        <v>0.37845551878426081</v>
      </c>
      <c r="AS96" s="100">
        <v>262.95089445130441</v>
      </c>
      <c r="AT96" s="100">
        <v>5.6209388295366676</v>
      </c>
      <c r="AU96" s="100">
        <v>3905.4282987620763</v>
      </c>
      <c r="AV96" s="100">
        <v>7</v>
      </c>
      <c r="AW96" s="100">
        <v>4863.5999999999995</v>
      </c>
      <c r="AX96" s="100">
        <v>9.5771270052148019</v>
      </c>
      <c r="AY96" s="100">
        <v>6654.1878432232443</v>
      </c>
      <c r="AZ96" s="100">
        <v>5.9910494691576126</v>
      </c>
      <c r="BA96" s="100">
        <v>4162.5811711707092</v>
      </c>
      <c r="BB96" s="100">
        <v>5.7271029374539077</v>
      </c>
      <c r="BC96" s="100">
        <v>3979.191120942975</v>
      </c>
      <c r="BD96" s="100">
        <v>3.6972741690269531</v>
      </c>
      <c r="BE96" s="100">
        <v>2568.8660926399266</v>
      </c>
      <c r="BF96" s="100">
        <v>4.3282900530326156</v>
      </c>
      <c r="BG96" s="100">
        <v>3007.2959288470611</v>
      </c>
      <c r="BH96" s="100">
        <v>0.37286860512881448</v>
      </c>
      <c r="BI96" s="100">
        <v>259.06910684350026</v>
      </c>
      <c r="BJ96" s="100">
        <v>7</v>
      </c>
      <c r="BK96" s="100">
        <v>4863.5999999999995</v>
      </c>
      <c r="BL96" s="100">
        <v>10</v>
      </c>
      <c r="BM96" s="100">
        <v>6948</v>
      </c>
      <c r="BN96" s="100">
        <v>5.4993698021387765</v>
      </c>
      <c r="BO96" s="100">
        <v>3820.9621385260216</v>
      </c>
      <c r="BP96" s="100">
        <v>0.39601217372301672</v>
      </c>
      <c r="BQ96" s="100">
        <v>275.149258302752</v>
      </c>
      <c r="BR96" s="100">
        <v>9.2943920607287165</v>
      </c>
      <c r="BS96" s="100">
        <v>6457.7436037943116</v>
      </c>
      <c r="BT96" s="100">
        <v>2.8899442708212395</v>
      </c>
      <c r="BU96" s="100">
        <v>2007.9332793665972</v>
      </c>
      <c r="BV96" s="100">
        <v>10.975822987550947</v>
      </c>
      <c r="BW96" s="100">
        <v>7626.0018117503969</v>
      </c>
      <c r="BX96" s="100">
        <v>5.2172344609567736</v>
      </c>
      <c r="BY96" s="100">
        <v>3624.9345034727662</v>
      </c>
      <c r="BZ96" s="100">
        <v>4.7720865563623018</v>
      </c>
      <c r="CA96" s="100">
        <v>3315.6457393605269</v>
      </c>
      <c r="CB96" s="100">
        <v>4.3102510917349113E-4</v>
      </c>
      <c r="CC96" s="100">
        <v>0.29947624585374161</v>
      </c>
      <c r="CD96" s="100">
        <v>4.8433739772251467</v>
      </c>
      <c r="CE96" s="100">
        <v>3365.1762393760318</v>
      </c>
      <c r="CF96" s="100">
        <v>0.4893900442315689</v>
      </c>
      <c r="CG96" s="100">
        <v>340.02820273209403</v>
      </c>
      <c r="CH96" s="100">
        <v>7</v>
      </c>
      <c r="CI96" s="100">
        <v>4863.5999999999995</v>
      </c>
      <c r="CJ96" s="100">
        <v>8.2535482397520905</v>
      </c>
      <c r="CK96" s="100">
        <v>5734.5653169797524</v>
      </c>
      <c r="CL96" s="100">
        <v>6.0586943077234938</v>
      </c>
      <c r="CM96" s="100">
        <v>4209.5808050062833</v>
      </c>
      <c r="CN96" s="100">
        <v>0.37046300122475756</v>
      </c>
      <c r="CO96" s="100">
        <v>257.39769325096154</v>
      </c>
      <c r="CP96" s="100">
        <v>10</v>
      </c>
      <c r="CQ96" s="100">
        <v>6948</v>
      </c>
      <c r="CR96" s="100">
        <v>5.3070670598248428</v>
      </c>
      <c r="CS96" s="100">
        <v>3687.3501931663004</v>
      </c>
      <c r="CT96" s="100">
        <v>5.0536851418826467</v>
      </c>
      <c r="CU96" s="100">
        <v>3511.3004365800625</v>
      </c>
    </row>
    <row r="97" spans="2:99">
      <c r="C97" s="99" t="s">
        <v>263</v>
      </c>
      <c r="D97" s="100">
        <v>6.0121669287506654</v>
      </c>
      <c r="E97" s="100">
        <v>2359.1743028417609</v>
      </c>
      <c r="F97" s="100">
        <v>2.3102629192875557</v>
      </c>
      <c r="G97" s="100">
        <v>906.54716952843683</v>
      </c>
      <c r="H97" s="100">
        <v>7.3925582896114337</v>
      </c>
      <c r="I97" s="100">
        <v>2900.8398728435263</v>
      </c>
      <c r="J97" s="100">
        <v>5.2994779503947269</v>
      </c>
      <c r="K97" s="100">
        <v>2079.5151477348909</v>
      </c>
      <c r="L97" s="100">
        <v>4.9780288523496452</v>
      </c>
      <c r="M97" s="100">
        <v>1953.3785216620006</v>
      </c>
      <c r="N97" s="100">
        <v>4.7087435541567686</v>
      </c>
      <c r="O97" s="100">
        <v>1847.710970651116</v>
      </c>
      <c r="P97" s="100">
        <v>5.1567855474006858</v>
      </c>
      <c r="Q97" s="100">
        <v>2023.5226488000289</v>
      </c>
      <c r="R97" s="100">
        <v>4.1275859520616036</v>
      </c>
      <c r="S97" s="100">
        <v>1619.6647275889732</v>
      </c>
      <c r="T97" s="100">
        <v>5.1567855474006858</v>
      </c>
      <c r="U97" s="100">
        <v>2023.5226488000289</v>
      </c>
      <c r="V97" s="100">
        <v>5.9610378937248427</v>
      </c>
      <c r="W97" s="100">
        <v>2339.1112694976282</v>
      </c>
      <c r="X97" s="100">
        <v>5.1810560619480972</v>
      </c>
      <c r="Y97" s="100">
        <v>2033.0463987084331</v>
      </c>
      <c r="Z97" s="100">
        <v>3.9344833587776256</v>
      </c>
      <c r="AA97" s="100">
        <v>1543.8912699843402</v>
      </c>
      <c r="AB97" s="100">
        <v>3.3486372380693541</v>
      </c>
      <c r="AC97" s="100">
        <v>1314.0052522184144</v>
      </c>
      <c r="AD97" s="100">
        <v>2.1357372265373318</v>
      </c>
      <c r="AE97" s="100">
        <v>838.06328769324898</v>
      </c>
      <c r="AF97" s="100">
        <v>3.839048317339794</v>
      </c>
      <c r="AG97" s="100">
        <v>1506.442559724135</v>
      </c>
      <c r="AH97" s="100">
        <v>6.109206696350661</v>
      </c>
      <c r="AI97" s="100">
        <v>2397.2527076479992</v>
      </c>
      <c r="AJ97" s="100">
        <v>4.732762806838263</v>
      </c>
      <c r="AK97" s="100">
        <v>1857.1361254033343</v>
      </c>
      <c r="AL97" s="100">
        <v>5.4569159231753295</v>
      </c>
      <c r="AM97" s="100">
        <v>2141.293808253999</v>
      </c>
      <c r="AN97" s="100">
        <v>4.0908288262785775E-4</v>
      </c>
      <c r="AO97" s="100">
        <v>0.16052412314317138</v>
      </c>
      <c r="AP97" s="100">
        <v>5.7334162346021529</v>
      </c>
      <c r="AQ97" s="100">
        <v>2249.7925304578848</v>
      </c>
      <c r="AR97" s="100">
        <v>0.37845551878426081</v>
      </c>
      <c r="AS97" s="100">
        <v>148.50594557094394</v>
      </c>
      <c r="AT97" s="100">
        <v>5.1099443904878799</v>
      </c>
      <c r="AU97" s="100">
        <v>2005.142178827444</v>
      </c>
      <c r="AV97" s="100">
        <v>8</v>
      </c>
      <c r="AW97" s="100">
        <v>3139.2</v>
      </c>
      <c r="AX97" s="100">
        <v>10.534839705736282</v>
      </c>
      <c r="AY97" s="100">
        <v>4133.8711005309169</v>
      </c>
      <c r="AZ97" s="100">
        <v>5.9910494691576126</v>
      </c>
      <c r="BA97" s="100">
        <v>2350.887811697447</v>
      </c>
      <c r="BB97" s="100">
        <v>6.3634477082821208</v>
      </c>
      <c r="BC97" s="100">
        <v>2497.0168807299042</v>
      </c>
      <c r="BD97" s="100">
        <v>3.6972741690269531</v>
      </c>
      <c r="BE97" s="100">
        <v>1450.8103839261762</v>
      </c>
      <c r="BF97" s="100">
        <v>5.1757886816742431</v>
      </c>
      <c r="BG97" s="100">
        <v>2030.9794786889729</v>
      </c>
      <c r="BH97" s="100">
        <v>0.46608575641101802</v>
      </c>
      <c r="BI97" s="100">
        <v>182.89205081568346</v>
      </c>
      <c r="BJ97" s="100">
        <v>7</v>
      </c>
      <c r="BK97" s="100">
        <v>2746.7999999999997</v>
      </c>
      <c r="BL97" s="100">
        <v>10.508813912411851</v>
      </c>
      <c r="BM97" s="100">
        <v>4123.6585792304104</v>
      </c>
      <c r="BN97" s="100">
        <v>6.175614941036355</v>
      </c>
      <c r="BO97" s="100">
        <v>2423.3113028626653</v>
      </c>
      <c r="BP97" s="100">
        <v>0.44551369543839381</v>
      </c>
      <c r="BQ97" s="100">
        <v>174.81957409002572</v>
      </c>
      <c r="BR97" s="100">
        <v>9.3679900759108961</v>
      </c>
      <c r="BS97" s="100">
        <v>3675.9993057874353</v>
      </c>
      <c r="BT97" s="100">
        <v>2.8899442708212395</v>
      </c>
      <c r="BU97" s="100">
        <v>1134.0141318702542</v>
      </c>
      <c r="BV97" s="100">
        <v>9.9780208977735878</v>
      </c>
      <c r="BW97" s="100">
        <v>3915.3754002863557</v>
      </c>
      <c r="BX97" s="100">
        <v>5.9625536696648842</v>
      </c>
      <c r="BY97" s="100">
        <v>2339.7060599765005</v>
      </c>
      <c r="BZ97" s="100">
        <v>5.2820867742946405</v>
      </c>
      <c r="CA97" s="100">
        <v>2072.6908502332167</v>
      </c>
      <c r="CB97" s="100">
        <v>3.7714697052680473E-4</v>
      </c>
      <c r="CC97" s="100">
        <v>0.14799247123471818</v>
      </c>
      <c r="CD97" s="100">
        <v>5.3803132435611429</v>
      </c>
      <c r="CE97" s="100">
        <v>2111.2349167733923</v>
      </c>
      <c r="CF97" s="100">
        <v>0.44860754054560487</v>
      </c>
      <c r="CG97" s="100">
        <v>176.03359891009535</v>
      </c>
      <c r="CH97" s="100">
        <v>8</v>
      </c>
      <c r="CI97" s="100">
        <v>3139.2</v>
      </c>
      <c r="CJ97" s="100">
        <v>8.2237369740377595</v>
      </c>
      <c r="CK97" s="100">
        <v>3226.9943886124165</v>
      </c>
      <c r="CL97" s="100">
        <v>5.5637088103889951</v>
      </c>
      <c r="CM97" s="100">
        <v>2183.1993371966414</v>
      </c>
      <c r="CN97" s="100">
        <v>0.37046300122475756</v>
      </c>
      <c r="CO97" s="100">
        <v>145.36968168059485</v>
      </c>
      <c r="CP97" s="100">
        <v>11</v>
      </c>
      <c r="CQ97" s="100">
        <v>4316.3999999999996</v>
      </c>
      <c r="CR97" s="100">
        <v>5.3070670598248428</v>
      </c>
      <c r="CS97" s="100">
        <v>2082.493114275268</v>
      </c>
      <c r="CT97" s="100">
        <v>5.0536851418826467</v>
      </c>
      <c r="CU97" s="100">
        <v>1983.0660496747505</v>
      </c>
    </row>
    <row r="98" spans="2:99">
      <c r="C98" s="99" t="s">
        <v>264</v>
      </c>
      <c r="D98" s="100">
        <v>5.9835266002758125</v>
      </c>
      <c r="E98" s="100">
        <v>3144.9415811049671</v>
      </c>
      <c r="F98" s="100">
        <v>2.640300479185778</v>
      </c>
      <c r="G98" s="100">
        <v>1387.741931860045</v>
      </c>
      <c r="H98" s="100">
        <v>6.7205075360103939</v>
      </c>
      <c r="I98" s="100">
        <v>3532.2987609270631</v>
      </c>
      <c r="J98" s="100">
        <v>4.5424096717669089</v>
      </c>
      <c r="K98" s="100">
        <v>2387.4905234806874</v>
      </c>
      <c r="L98" s="100">
        <v>6.3313620035878557</v>
      </c>
      <c r="M98" s="100">
        <v>3327.7638690857771</v>
      </c>
      <c r="N98" s="100">
        <v>4.7087435541567686</v>
      </c>
      <c r="O98" s="100">
        <v>2474.9156120647976</v>
      </c>
      <c r="P98" s="100">
        <v>5.1567855474006858</v>
      </c>
      <c r="Q98" s="100">
        <v>2710.4064837138008</v>
      </c>
      <c r="R98" s="100">
        <v>4.9913060218419369</v>
      </c>
      <c r="S98" s="100">
        <v>2623.4304450801224</v>
      </c>
      <c r="T98" s="100">
        <v>5.1567855474006858</v>
      </c>
      <c r="U98" s="100">
        <v>2710.4064837138008</v>
      </c>
      <c r="V98" s="100">
        <v>5.9610378937248427</v>
      </c>
      <c r="W98" s="100">
        <v>3133.1215169417774</v>
      </c>
      <c r="X98" s="100">
        <v>5.2134645521803664</v>
      </c>
      <c r="Y98" s="100">
        <v>2740.1969686260009</v>
      </c>
      <c r="Z98" s="100">
        <v>3.9344833587776256</v>
      </c>
      <c r="AA98" s="100">
        <v>2067.96445337352</v>
      </c>
      <c r="AB98" s="100">
        <v>3.9647837747968846</v>
      </c>
      <c r="AC98" s="100">
        <v>2083.8903520332428</v>
      </c>
      <c r="AD98" s="100">
        <v>2.1261378210868007</v>
      </c>
      <c r="AE98" s="100">
        <v>1117.4980387632224</v>
      </c>
      <c r="AF98" s="100">
        <v>4.606857980807753</v>
      </c>
      <c r="AG98" s="100">
        <v>2421.3645547125552</v>
      </c>
      <c r="AH98" s="100">
        <v>6.109206696350661</v>
      </c>
      <c r="AI98" s="100">
        <v>3210.9990396019075</v>
      </c>
      <c r="AJ98" s="100">
        <v>4.732762806838263</v>
      </c>
      <c r="AK98" s="100">
        <v>2487.540131274191</v>
      </c>
      <c r="AL98" s="100">
        <v>5.4569159231753295</v>
      </c>
      <c r="AM98" s="100">
        <v>2868.1550092209532</v>
      </c>
      <c r="AN98" s="100">
        <v>4.0725062828020277E-4</v>
      </c>
      <c r="AO98" s="100">
        <v>0.21405093022407459</v>
      </c>
      <c r="AP98" s="100">
        <v>5.1558499167713059</v>
      </c>
      <c r="AQ98" s="100">
        <v>2709.9147162549984</v>
      </c>
      <c r="AR98" s="100">
        <v>0.48289017895939906</v>
      </c>
      <c r="AS98" s="100">
        <v>253.80707806106017</v>
      </c>
      <c r="AT98" s="100">
        <v>5.1099443904878799</v>
      </c>
      <c r="AU98" s="100">
        <v>2685.7867716404298</v>
      </c>
      <c r="AV98" s="100">
        <v>7</v>
      </c>
      <c r="AW98" s="100">
        <v>3679.2000000000003</v>
      </c>
      <c r="AX98" s="100">
        <v>9.5771270052148019</v>
      </c>
      <c r="AY98" s="100">
        <v>5033.7379539409003</v>
      </c>
      <c r="AZ98" s="100">
        <v>5.9910494691576126</v>
      </c>
      <c r="BA98" s="100">
        <v>3148.8956009892413</v>
      </c>
      <c r="BB98" s="100">
        <v>5.0907581666256965</v>
      </c>
      <c r="BC98" s="100">
        <v>2675.7024923784661</v>
      </c>
      <c r="BD98" s="100">
        <v>4.782919407317844</v>
      </c>
      <c r="BE98" s="100">
        <v>2513.9024404862589</v>
      </c>
      <c r="BF98" s="100">
        <v>5.1858772272102964</v>
      </c>
      <c r="BG98" s="100">
        <v>2725.6970706217321</v>
      </c>
      <c r="BH98" s="100">
        <v>0.46608575641101802</v>
      </c>
      <c r="BI98" s="100">
        <v>244.97467356963108</v>
      </c>
      <c r="BJ98" s="100">
        <v>7</v>
      </c>
      <c r="BK98" s="100">
        <v>3679.2000000000003</v>
      </c>
      <c r="BL98" s="100">
        <v>9</v>
      </c>
      <c r="BM98" s="100">
        <v>4730.4000000000005</v>
      </c>
      <c r="BN98" s="100">
        <v>6.1674868782219772</v>
      </c>
      <c r="BO98" s="100">
        <v>3241.6311031934715</v>
      </c>
      <c r="BP98" s="100">
        <v>0.44551369543839381</v>
      </c>
      <c r="BQ98" s="100">
        <v>234.16199832241981</v>
      </c>
      <c r="BR98" s="100">
        <v>10.367990075910896</v>
      </c>
      <c r="BS98" s="100">
        <v>5449.4155838987672</v>
      </c>
      <c r="BT98" s="100">
        <v>2.5688393518411017</v>
      </c>
      <c r="BU98" s="100">
        <v>1350.1819633276832</v>
      </c>
      <c r="BV98" s="100">
        <v>10.975822987550947</v>
      </c>
      <c r="BW98" s="100">
        <v>5768.8925622567776</v>
      </c>
      <c r="BX98" s="100">
        <v>5.2172344609567736</v>
      </c>
      <c r="BY98" s="100">
        <v>2742.1784326788802</v>
      </c>
      <c r="BZ98" s="100">
        <v>4.7720865563623018</v>
      </c>
      <c r="CA98" s="100">
        <v>2508.208694024026</v>
      </c>
      <c r="CB98" s="100">
        <v>3.7714697052680473E-4</v>
      </c>
      <c r="CC98" s="100">
        <v>0.19822844770888856</v>
      </c>
      <c r="CD98" s="100">
        <v>4.8542945574263312</v>
      </c>
      <c r="CE98" s="100">
        <v>2551.4172193832796</v>
      </c>
      <c r="CF98" s="100">
        <v>0.40782503685964078</v>
      </c>
      <c r="CG98" s="100">
        <v>214.3528393734272</v>
      </c>
      <c r="CH98" s="100">
        <v>7</v>
      </c>
      <c r="CI98" s="100">
        <v>3679.2000000000003</v>
      </c>
      <c r="CJ98" s="100">
        <v>8.2237369740377595</v>
      </c>
      <c r="CK98" s="100">
        <v>4322.3961535542467</v>
      </c>
      <c r="CL98" s="100">
        <v>5.5637088103889951</v>
      </c>
      <c r="CM98" s="100">
        <v>2924.2853507404561</v>
      </c>
      <c r="CN98" s="100">
        <v>0.41677087637785226</v>
      </c>
      <c r="CO98" s="100">
        <v>219.05477262419916</v>
      </c>
      <c r="CP98" s="100">
        <v>11</v>
      </c>
      <c r="CQ98" s="100">
        <v>5781.6</v>
      </c>
      <c r="CR98" s="100">
        <v>4.5489146227070076</v>
      </c>
      <c r="CS98" s="100">
        <v>2390.9095256948035</v>
      </c>
      <c r="CT98" s="100">
        <v>5.0848271143093786</v>
      </c>
      <c r="CU98" s="100">
        <v>2672.5851312810096</v>
      </c>
    </row>
    <row r="99" spans="2:99">
      <c r="C99" s="99" t="s">
        <v>265</v>
      </c>
      <c r="D99" s="100">
        <v>4.6761298334727401</v>
      </c>
      <c r="E99" s="100">
        <v>19679.024791186679</v>
      </c>
      <c r="F99" s="100">
        <v>1.9802253593893335</v>
      </c>
      <c r="G99" s="100">
        <v>8333.5804024540703</v>
      </c>
      <c r="H99" s="100">
        <v>6.0484567824093549</v>
      </c>
      <c r="I99" s="100">
        <v>25454.325523091527</v>
      </c>
      <c r="J99" s="100">
        <v>4.5424096717669089</v>
      </c>
      <c r="K99" s="100">
        <v>19116.276862663857</v>
      </c>
      <c r="L99" s="100">
        <v>4.2410215709765628</v>
      </c>
      <c r="M99" s="100">
        <v>17847.915179297765</v>
      </c>
      <c r="N99" s="100">
        <v>3.3935163106307167</v>
      </c>
      <c r="O99" s="100">
        <v>14281.274041658307</v>
      </c>
      <c r="P99" s="100">
        <v>4.4201018977720166</v>
      </c>
      <c r="Q99" s="100">
        <v>18601.556826583754</v>
      </c>
      <c r="R99" s="100">
        <v>3.4396549600513362</v>
      </c>
      <c r="S99" s="100">
        <v>14475.443933880042</v>
      </c>
      <c r="T99" s="100">
        <v>4.4201018977720166</v>
      </c>
      <c r="U99" s="100">
        <v>18601.556826583754</v>
      </c>
      <c r="V99" s="100">
        <v>4.9675315781040359</v>
      </c>
      <c r="W99" s="100">
        <v>20905.359893293022</v>
      </c>
      <c r="X99" s="100">
        <v>3.7470521731518831</v>
      </c>
      <c r="Y99" s="100">
        <v>15769.094365492383</v>
      </c>
      <c r="Z99" s="100">
        <v>3.4426729389304227</v>
      </c>
      <c r="AA99" s="100">
        <v>14488.144796194789</v>
      </c>
      <c r="AB99" s="100">
        <v>3.2950563271830138</v>
      </c>
      <c r="AC99" s="100">
        <v>13866.915047316994</v>
      </c>
      <c r="AD99" s="100">
        <v>1.4211006366070418</v>
      </c>
      <c r="AE99" s="100">
        <v>5980.5599190970743</v>
      </c>
      <c r="AF99" s="100">
        <v>3.839048317339794</v>
      </c>
      <c r="AG99" s="100">
        <v>16156.250938692789</v>
      </c>
      <c r="AH99" s="100">
        <v>4.998441842468722</v>
      </c>
      <c r="AI99" s="100">
        <v>21035.442649845369</v>
      </c>
      <c r="AJ99" s="100">
        <v>3.7810630727178407</v>
      </c>
      <c r="AK99" s="100">
        <v>15912.22583522576</v>
      </c>
      <c r="AL99" s="100">
        <v>3.8198411462227311</v>
      </c>
      <c r="AM99" s="100">
        <v>16075.419479763739</v>
      </c>
      <c r="AN99" s="100">
        <v>3.3336692983170266E-4</v>
      </c>
      <c r="AO99" s="100">
        <v>1.4029413875037373</v>
      </c>
      <c r="AP99" s="100">
        <v>4.0188231141266026</v>
      </c>
      <c r="AQ99" s="100">
        <v>16912.815193490394</v>
      </c>
      <c r="AR99" s="100">
        <v>0.37558125030175482</v>
      </c>
      <c r="AS99" s="100">
        <v>1580.5961337699048</v>
      </c>
      <c r="AT99" s="100">
        <v>4.5989499514390921</v>
      </c>
      <c r="AU99" s="100">
        <v>19354.220975636275</v>
      </c>
      <c r="AV99" s="100">
        <v>6</v>
      </c>
      <c r="AW99" s="100">
        <v>25250.399999999998</v>
      </c>
      <c r="AX99" s="100">
        <v>8.619414304693322</v>
      </c>
      <c r="AY99" s="100">
        <v>36273.943159871371</v>
      </c>
      <c r="AZ99" s="100">
        <v>5.4464086083251031</v>
      </c>
      <c r="BA99" s="100">
        <v>22920.665987275363</v>
      </c>
      <c r="BB99" s="100">
        <v>4.4544133957974843</v>
      </c>
      <c r="BC99" s="100">
        <v>18745.953334874132</v>
      </c>
      <c r="BD99" s="100">
        <v>3.6972741690269531</v>
      </c>
      <c r="BE99" s="100">
        <v>15559.608612933029</v>
      </c>
      <c r="BF99" s="100">
        <v>4.3182015074965623</v>
      </c>
      <c r="BG99" s="100">
        <v>18172.719224148532</v>
      </c>
      <c r="BH99" s="100">
        <v>0.37286860512881448</v>
      </c>
      <c r="BI99" s="100">
        <v>1569.1802378241027</v>
      </c>
      <c r="BJ99" s="100">
        <v>5</v>
      </c>
      <c r="BK99" s="100">
        <v>21042</v>
      </c>
      <c r="BL99" s="100">
        <v>8</v>
      </c>
      <c r="BM99" s="100">
        <v>33667.199999999997</v>
      </c>
      <c r="BN99" s="100">
        <v>4.7987404747980662</v>
      </c>
      <c r="BO99" s="100">
        <v>20195.019414140181</v>
      </c>
      <c r="BP99" s="100">
        <v>0.34651065200763964</v>
      </c>
      <c r="BQ99" s="100">
        <v>1458.2554279089507</v>
      </c>
      <c r="BR99" s="100">
        <v>7.2943920607287165</v>
      </c>
      <c r="BS99" s="100">
        <v>30697.719548370729</v>
      </c>
      <c r="BT99" s="100">
        <v>2.2477344328609639</v>
      </c>
      <c r="BU99" s="100">
        <v>9459.3655872520794</v>
      </c>
      <c r="BV99" s="100">
        <v>8.9802188079962288</v>
      </c>
      <c r="BW99" s="100">
        <v>37792.352831571327</v>
      </c>
      <c r="BX99" s="100">
        <v>4.4719152522486629</v>
      </c>
      <c r="BY99" s="100">
        <v>18819.608147563271</v>
      </c>
      <c r="BZ99" s="100">
        <v>4.2317389059347548</v>
      </c>
      <c r="CA99" s="100">
        <v>17808.85001173582</v>
      </c>
      <c r="CB99" s="100">
        <v>3.2326883188011837E-4</v>
      </c>
      <c r="CC99" s="100">
        <v>1.36044455208429</v>
      </c>
      <c r="CD99" s="100">
        <v>4.3064347108891514</v>
      </c>
      <c r="CE99" s="100">
        <v>18123.199837305903</v>
      </c>
      <c r="CF99" s="100">
        <v>0.40782503685964078</v>
      </c>
      <c r="CG99" s="100">
        <v>1716.2908851201121</v>
      </c>
      <c r="CH99" s="100">
        <v>6</v>
      </c>
      <c r="CI99" s="100">
        <v>25250.399999999998</v>
      </c>
      <c r="CJ99" s="100">
        <v>7.165958586568709</v>
      </c>
      <c r="CK99" s="100">
        <v>30157.220115715751</v>
      </c>
      <c r="CL99" s="100">
        <v>4.5454358300748758</v>
      </c>
      <c r="CM99" s="100">
        <v>19129.012147287107</v>
      </c>
      <c r="CN99" s="100">
        <v>0.32415512607166286</v>
      </c>
      <c r="CO99" s="100">
        <v>1364.1744325599859</v>
      </c>
      <c r="CP99" s="100">
        <v>9</v>
      </c>
      <c r="CQ99" s="100">
        <v>37875.599999999999</v>
      </c>
      <c r="CR99" s="100">
        <v>4.5489146227070076</v>
      </c>
      <c r="CS99" s="100">
        <v>19143.65229820017</v>
      </c>
      <c r="CT99" s="100">
        <v>3.6542636333829357</v>
      </c>
      <c r="CU99" s="100">
        <v>15378.603074728746</v>
      </c>
    </row>
    <row r="100" spans="2:99">
      <c r="C100" s="99" t="s">
        <v>266</v>
      </c>
      <c r="D100" s="100">
        <v>6.0121669287506654</v>
      </c>
      <c r="E100" s="100">
        <v>1947.9420849152157</v>
      </c>
      <c r="F100" s="100">
        <v>2.640300479185778</v>
      </c>
      <c r="G100" s="100">
        <v>855.45735525619205</v>
      </c>
      <c r="H100" s="100">
        <v>7.3925582896114337</v>
      </c>
      <c r="I100" s="100">
        <v>2395.1888858341044</v>
      </c>
      <c r="J100" s="100">
        <v>4.5424096717669089</v>
      </c>
      <c r="K100" s="100">
        <v>1471.7407336524784</v>
      </c>
      <c r="L100" s="100">
        <v>5.6546954279687505</v>
      </c>
      <c r="M100" s="100">
        <v>1832.1213186618752</v>
      </c>
      <c r="N100" s="100">
        <v>4.2845540153279291</v>
      </c>
      <c r="O100" s="100">
        <v>1388.195500966249</v>
      </c>
      <c r="P100" s="100">
        <v>5.1567855474006858</v>
      </c>
      <c r="Q100" s="100">
        <v>1670.7985173578222</v>
      </c>
      <c r="R100" s="100">
        <v>4.1275859520616036</v>
      </c>
      <c r="S100" s="100">
        <v>1337.3378484679595</v>
      </c>
      <c r="T100" s="100">
        <v>4.4201018977720166</v>
      </c>
      <c r="U100" s="100">
        <v>1432.1130148781333</v>
      </c>
      <c r="V100" s="100">
        <v>5.9610378937248427</v>
      </c>
      <c r="W100" s="100">
        <v>1931.376277566849</v>
      </c>
      <c r="X100" s="100">
        <v>5.1810560619480972</v>
      </c>
      <c r="Y100" s="100">
        <v>1678.6621640711835</v>
      </c>
      <c r="Z100" s="100">
        <v>3.9555807715364444</v>
      </c>
      <c r="AA100" s="100">
        <v>1281.6081699778081</v>
      </c>
      <c r="AB100" s="100">
        <v>3.9915742302400545</v>
      </c>
      <c r="AC100" s="100">
        <v>1293.2700505977778</v>
      </c>
      <c r="AD100" s="100">
        <v>2.0301437665814883</v>
      </c>
      <c r="AE100" s="100">
        <v>657.76658037240225</v>
      </c>
      <c r="AF100" s="100">
        <v>3.839048317339794</v>
      </c>
      <c r="AG100" s="100">
        <v>1243.8516548180933</v>
      </c>
      <c r="AH100" s="100">
        <v>5.5538242694096915</v>
      </c>
      <c r="AI100" s="100">
        <v>1799.43906328874</v>
      </c>
      <c r="AJ100" s="100">
        <v>4.732762806838263</v>
      </c>
      <c r="AK100" s="100">
        <v>1533.4151494155972</v>
      </c>
      <c r="AL100" s="100">
        <v>5.4569159231753295</v>
      </c>
      <c r="AM100" s="100">
        <v>1768.0407591088067</v>
      </c>
      <c r="AN100" s="100">
        <v>4.6281178325215317E-4</v>
      </c>
      <c r="AO100" s="100">
        <v>0.14995101777369763</v>
      </c>
      <c r="AP100" s="100">
        <v>5.1618851944436361</v>
      </c>
      <c r="AQ100" s="100">
        <v>1672.450802999738</v>
      </c>
      <c r="AR100" s="100">
        <v>0.43210998311308296</v>
      </c>
      <c r="AS100" s="100">
        <v>140.00363452863888</v>
      </c>
      <c r="AT100" s="100">
        <v>5.1099443904878799</v>
      </c>
      <c r="AU100" s="100">
        <v>1655.6219825180731</v>
      </c>
      <c r="AV100" s="100">
        <v>8</v>
      </c>
      <c r="AW100" s="100">
        <v>2592</v>
      </c>
      <c r="AX100" s="100">
        <v>9.5771270052148019</v>
      </c>
      <c r="AY100" s="100">
        <v>3102.9891496895957</v>
      </c>
      <c r="AZ100" s="100">
        <v>6.535690329990123</v>
      </c>
      <c r="BA100" s="100">
        <v>2117.5636669167998</v>
      </c>
      <c r="BB100" s="100">
        <v>5.7271029374539077</v>
      </c>
      <c r="BC100" s="100">
        <v>1855.5813517350662</v>
      </c>
      <c r="BD100" s="100">
        <v>3.6972741690269531</v>
      </c>
      <c r="BE100" s="100">
        <v>1197.9168307647328</v>
      </c>
      <c r="BF100" s="100">
        <v>5.1757886816742431</v>
      </c>
      <c r="BG100" s="100">
        <v>1676.9555328624547</v>
      </c>
      <c r="BH100" s="100">
        <v>0.46608575641101802</v>
      </c>
      <c r="BI100" s="100">
        <v>151.01178507716983</v>
      </c>
      <c r="BJ100" s="100">
        <v>7</v>
      </c>
      <c r="BK100" s="100">
        <v>2268</v>
      </c>
      <c r="BL100" s="100">
        <v>10.469674380687863</v>
      </c>
      <c r="BM100" s="100">
        <v>3392.1744993428674</v>
      </c>
      <c r="BN100" s="100">
        <v>6.1674868782219772</v>
      </c>
      <c r="BO100" s="100">
        <v>1998.2657485439206</v>
      </c>
      <c r="BP100" s="100">
        <v>0.44551369543839381</v>
      </c>
      <c r="BQ100" s="100">
        <v>144.34643732203961</v>
      </c>
      <c r="BR100" s="100">
        <v>9.3679900759108961</v>
      </c>
      <c r="BS100" s="100">
        <v>3035.2287845951305</v>
      </c>
      <c r="BT100" s="100">
        <v>2.8899442708212395</v>
      </c>
      <c r="BU100" s="100">
        <v>936.3419437460816</v>
      </c>
      <c r="BV100" s="100">
        <v>10.975822987550947</v>
      </c>
      <c r="BW100" s="100">
        <v>3556.1666479665068</v>
      </c>
      <c r="BX100" s="100">
        <v>5.9625536696648842</v>
      </c>
      <c r="BY100" s="100">
        <v>1931.8673889714225</v>
      </c>
      <c r="BZ100" s="100">
        <v>5.2669130580470371</v>
      </c>
      <c r="CA100" s="100">
        <v>1706.47983080724</v>
      </c>
      <c r="CB100" s="100">
        <v>4.3102510917349113E-4</v>
      </c>
      <c r="CC100" s="100">
        <v>0.13965213537221113</v>
      </c>
      <c r="CD100" s="100">
        <v>4.8433739772251467</v>
      </c>
      <c r="CE100" s="100">
        <v>1569.2531686209475</v>
      </c>
      <c r="CF100" s="100">
        <v>0.4893900442315689</v>
      </c>
      <c r="CG100" s="100">
        <v>158.56237433102834</v>
      </c>
      <c r="CH100" s="100">
        <v>7</v>
      </c>
      <c r="CI100" s="100">
        <v>2268</v>
      </c>
      <c r="CJ100" s="100">
        <v>8.2237369740377595</v>
      </c>
      <c r="CK100" s="100">
        <v>2664.4907795882341</v>
      </c>
      <c r="CL100" s="100">
        <v>6.0586943077234938</v>
      </c>
      <c r="CM100" s="100">
        <v>1963.0169557024119</v>
      </c>
      <c r="CN100" s="100">
        <v>0.37046300122475756</v>
      </c>
      <c r="CO100" s="100">
        <v>120.03001239682145</v>
      </c>
      <c r="CP100" s="100">
        <v>11</v>
      </c>
      <c r="CQ100" s="100">
        <v>3564</v>
      </c>
      <c r="CR100" s="100">
        <v>4.5489146227070076</v>
      </c>
      <c r="CS100" s="100">
        <v>1473.8483377570706</v>
      </c>
      <c r="CT100" s="100">
        <v>4.4162583324862563</v>
      </c>
      <c r="CU100" s="100">
        <v>1430.867699725547</v>
      </c>
    </row>
    <row r="101" spans="2:99">
      <c r="C101" s="99" t="s">
        <v>267</v>
      </c>
      <c r="D101" s="100">
        <v>5.3727887095865539</v>
      </c>
      <c r="E101" s="100">
        <v>3887.7499102568304</v>
      </c>
      <c r="F101" s="100">
        <v>2.3102629192875557</v>
      </c>
      <c r="G101" s="100">
        <v>1671.7062483964753</v>
      </c>
      <c r="H101" s="100">
        <v>6.7205075360103939</v>
      </c>
      <c r="I101" s="100">
        <v>4862.9592530571208</v>
      </c>
      <c r="J101" s="100">
        <v>4.5424096717669089</v>
      </c>
      <c r="K101" s="100">
        <v>3286.8876384905352</v>
      </c>
      <c r="L101" s="100">
        <v>5.6245250750917606</v>
      </c>
      <c r="M101" s="100">
        <v>4069.906344336398</v>
      </c>
      <c r="N101" s="100">
        <v>4.2418953882883956</v>
      </c>
      <c r="O101" s="100">
        <v>3069.435502965483</v>
      </c>
      <c r="P101" s="100">
        <v>5.1567855474006858</v>
      </c>
      <c r="Q101" s="100">
        <v>3731.4500220991363</v>
      </c>
      <c r="R101" s="100">
        <v>4.1275859520616036</v>
      </c>
      <c r="S101" s="100">
        <v>2986.7211949117764</v>
      </c>
      <c r="T101" s="100">
        <v>5.1567855474006858</v>
      </c>
      <c r="U101" s="100">
        <v>3731.4500220991363</v>
      </c>
      <c r="V101" s="100">
        <v>5.9610378937248427</v>
      </c>
      <c r="W101" s="100">
        <v>4313.4070198992968</v>
      </c>
      <c r="X101" s="100">
        <v>5.2134645521803664</v>
      </c>
      <c r="Y101" s="100">
        <v>3772.4629499577131</v>
      </c>
      <c r="Z101" s="100">
        <v>3.9133859460188072</v>
      </c>
      <c r="AA101" s="100">
        <v>2831.7260705392091</v>
      </c>
      <c r="AB101" s="100">
        <v>3.9647837747968846</v>
      </c>
      <c r="AC101" s="100">
        <v>2868.9175394430258</v>
      </c>
      <c r="AD101" s="100">
        <v>2.0301437665814883</v>
      </c>
      <c r="AE101" s="100">
        <v>1469.0120294983649</v>
      </c>
      <c r="AF101" s="100">
        <v>4.2229531490737742</v>
      </c>
      <c r="AG101" s="100">
        <v>3055.7288986697831</v>
      </c>
      <c r="AH101" s="100">
        <v>5.5538242694096915</v>
      </c>
      <c r="AI101" s="100">
        <v>4018.7472413448531</v>
      </c>
      <c r="AJ101" s="100">
        <v>3.7810630727178407</v>
      </c>
      <c r="AK101" s="100">
        <v>2735.9772394186298</v>
      </c>
      <c r="AL101" s="100">
        <v>4.911224330857797</v>
      </c>
      <c r="AM101" s="100">
        <v>3553.761925808702</v>
      </c>
      <c r="AN101" s="100">
        <v>4.4448923977560357E-4</v>
      </c>
      <c r="AO101" s="100">
        <v>0.32163241390162672</v>
      </c>
      <c r="AP101" s="100">
        <v>5.1558499167713059</v>
      </c>
      <c r="AQ101" s="100">
        <v>3730.7729997757169</v>
      </c>
      <c r="AR101" s="100">
        <v>0.42923571463057697</v>
      </c>
      <c r="AS101" s="100">
        <v>310.5949631066855</v>
      </c>
      <c r="AT101" s="100">
        <v>6.1319332685854553</v>
      </c>
      <c r="AU101" s="100">
        <v>4437.0669131484356</v>
      </c>
      <c r="AV101" s="100">
        <v>7</v>
      </c>
      <c r="AW101" s="100">
        <v>5065.2</v>
      </c>
      <c r="AX101" s="100">
        <v>9.5771270052148019</v>
      </c>
      <c r="AY101" s="100">
        <v>6930.0091009734306</v>
      </c>
      <c r="AZ101" s="100">
        <v>5.7210702759753644</v>
      </c>
      <c r="BA101" s="100">
        <v>4139.7664516957739</v>
      </c>
      <c r="BB101" s="100">
        <v>5.7271029374539077</v>
      </c>
      <c r="BC101" s="100">
        <v>4144.131685541648</v>
      </c>
      <c r="BD101" s="100">
        <v>4.4367290028323429</v>
      </c>
      <c r="BE101" s="100">
        <v>3210.4171064494835</v>
      </c>
      <c r="BF101" s="100">
        <v>5.1858772272102964</v>
      </c>
      <c r="BG101" s="100">
        <v>3752.5007616093708</v>
      </c>
      <c r="BH101" s="100">
        <v>0.37286860512881448</v>
      </c>
      <c r="BI101" s="100">
        <v>269.80772267121017</v>
      </c>
      <c r="BJ101" s="100">
        <v>6</v>
      </c>
      <c r="BK101" s="100">
        <v>4341.6000000000004</v>
      </c>
      <c r="BL101" s="100">
        <v>10</v>
      </c>
      <c r="BM101" s="100">
        <v>7236</v>
      </c>
      <c r="BN101" s="100">
        <v>6.175614941036355</v>
      </c>
      <c r="BO101" s="100">
        <v>4468.6749713339068</v>
      </c>
      <c r="BP101" s="100">
        <v>0.39601217372301672</v>
      </c>
      <c r="BQ101" s="100">
        <v>286.55440890597492</v>
      </c>
      <c r="BR101" s="100">
        <v>10.367990075910896</v>
      </c>
      <c r="BS101" s="100">
        <v>7502.2776189291244</v>
      </c>
      <c r="BT101" s="100">
        <v>3.2110491898013773</v>
      </c>
      <c r="BU101" s="100">
        <v>2323.5151937402766</v>
      </c>
      <c r="BV101" s="100">
        <v>9.9780208977735878</v>
      </c>
      <c r="BW101" s="100">
        <v>7220.0959216289684</v>
      </c>
      <c r="BX101" s="100">
        <v>5.2172344609567736</v>
      </c>
      <c r="BY101" s="100">
        <v>3775.1908559483213</v>
      </c>
      <c r="BZ101" s="100">
        <v>5.2517393417994329</v>
      </c>
      <c r="CA101" s="100">
        <v>3800.15858772607</v>
      </c>
      <c r="CB101" s="100">
        <v>3.7714697052680473E-4</v>
      </c>
      <c r="CC101" s="100">
        <v>0.27290354787319593</v>
      </c>
      <c r="CD101" s="100">
        <v>4.8488342673257385</v>
      </c>
      <c r="CE101" s="100">
        <v>3508.6164758369046</v>
      </c>
      <c r="CF101" s="100">
        <v>0.4893900442315689</v>
      </c>
      <c r="CG101" s="100">
        <v>354.12263600596327</v>
      </c>
      <c r="CH101" s="100">
        <v>7</v>
      </c>
      <c r="CI101" s="100">
        <v>5065.2</v>
      </c>
      <c r="CJ101" s="100">
        <v>8.2237369740377595</v>
      </c>
      <c r="CK101" s="100">
        <v>5950.6960744137232</v>
      </c>
      <c r="CL101" s="100">
        <v>5.0574025187964482</v>
      </c>
      <c r="CM101" s="100">
        <v>3659.5364626011101</v>
      </c>
      <c r="CN101" s="100">
        <v>0.41677087637785226</v>
      </c>
      <c r="CO101" s="100">
        <v>301.57540614701389</v>
      </c>
      <c r="CP101" s="100">
        <v>9</v>
      </c>
      <c r="CQ101" s="100">
        <v>6512.4000000000005</v>
      </c>
      <c r="CR101" s="100">
        <v>4.5489146227070076</v>
      </c>
      <c r="CS101" s="100">
        <v>3291.5946209907906</v>
      </c>
      <c r="CT101" s="100">
        <v>5.0225431694559139</v>
      </c>
      <c r="CU101" s="100">
        <v>3634.3122374182994</v>
      </c>
    </row>
    <row r="102" spans="2:99">
      <c r="C102" s="99" t="s">
        <v>268</v>
      </c>
      <c r="D102" s="100">
        <v>5.3727887095865539</v>
      </c>
      <c r="E102" s="100">
        <v>2856.1744780162121</v>
      </c>
      <c r="F102" s="100">
        <v>2.640300479185778</v>
      </c>
      <c r="G102" s="100">
        <v>1403.5837347351596</v>
      </c>
      <c r="H102" s="100">
        <v>7.3925582896114337</v>
      </c>
      <c r="I102" s="100">
        <v>3929.8839867574384</v>
      </c>
      <c r="J102" s="100">
        <v>5.2994779503947269</v>
      </c>
      <c r="K102" s="100">
        <v>2817.2024784298369</v>
      </c>
      <c r="L102" s="100">
        <v>6.3011916507108658</v>
      </c>
      <c r="M102" s="100">
        <v>3349.7134815178965</v>
      </c>
      <c r="N102" s="100">
        <v>4.6660849271172351</v>
      </c>
      <c r="O102" s="100">
        <v>2480.4907472555224</v>
      </c>
      <c r="P102" s="100">
        <v>4.4201018977720166</v>
      </c>
      <c r="Q102" s="100">
        <v>2349.7261688556041</v>
      </c>
      <c r="R102" s="100">
        <v>4.1275859520616036</v>
      </c>
      <c r="S102" s="100">
        <v>2194.2246921159485</v>
      </c>
      <c r="T102" s="100">
        <v>5.1567855474006858</v>
      </c>
      <c r="U102" s="100">
        <v>2741.3471969982047</v>
      </c>
      <c r="V102" s="100">
        <v>5.9610378937248427</v>
      </c>
      <c r="W102" s="100">
        <v>3168.8877443041265</v>
      </c>
      <c r="X102" s="100">
        <v>5.1810560619480972</v>
      </c>
      <c r="Y102" s="100">
        <v>2754.2494025316087</v>
      </c>
      <c r="Z102" s="100">
        <v>3.9344833587776256</v>
      </c>
      <c r="AA102" s="100">
        <v>2091.5713535261857</v>
      </c>
      <c r="AB102" s="100">
        <v>3.3486372380693541</v>
      </c>
      <c r="AC102" s="100">
        <v>1780.1355557576687</v>
      </c>
      <c r="AD102" s="100">
        <v>2.0301437665814883</v>
      </c>
      <c r="AE102" s="100">
        <v>1079.2244263147193</v>
      </c>
      <c r="AF102" s="100">
        <v>4.2229531490737742</v>
      </c>
      <c r="AG102" s="100">
        <v>2244.9218940476185</v>
      </c>
      <c r="AH102" s="100">
        <v>5.5538242694096915</v>
      </c>
      <c r="AI102" s="100">
        <v>2952.4129816181921</v>
      </c>
      <c r="AJ102" s="100">
        <v>4.732762806838263</v>
      </c>
      <c r="AK102" s="100">
        <v>2515.9367081152209</v>
      </c>
      <c r="AL102" s="100">
        <v>4.911224330857797</v>
      </c>
      <c r="AM102" s="100">
        <v>2610.8068542840051</v>
      </c>
      <c r="AN102" s="100">
        <v>4.6464403759980815E-4</v>
      </c>
      <c r="AO102" s="100">
        <v>0.24700477038805801</v>
      </c>
      <c r="AP102" s="100">
        <v>5.7213456792574933</v>
      </c>
      <c r="AQ102" s="100">
        <v>3041.4673630932834</v>
      </c>
      <c r="AR102" s="100">
        <v>0.48145304471814609</v>
      </c>
      <c r="AS102" s="100">
        <v>255.94043857216647</v>
      </c>
      <c r="AT102" s="100">
        <v>5.6209388295366676</v>
      </c>
      <c r="AU102" s="100">
        <v>2988.0910817816925</v>
      </c>
      <c r="AV102" s="100">
        <v>7</v>
      </c>
      <c r="AW102" s="100">
        <v>3721.2000000000003</v>
      </c>
      <c r="AX102" s="100">
        <v>9.5771270052148019</v>
      </c>
      <c r="AY102" s="100">
        <v>5091.2007159721888</v>
      </c>
      <c r="AZ102" s="100">
        <v>6.535690329990123</v>
      </c>
      <c r="BA102" s="100">
        <v>3474.3729794227497</v>
      </c>
      <c r="BB102" s="100">
        <v>5.7271029374539077</v>
      </c>
      <c r="BC102" s="100">
        <v>3044.5279215504975</v>
      </c>
      <c r="BD102" s="100">
        <v>4.4367290028323429</v>
      </c>
      <c r="BE102" s="100">
        <v>2358.5651379056735</v>
      </c>
      <c r="BF102" s="100">
        <v>5.1858772272102964</v>
      </c>
      <c r="BG102" s="100">
        <v>2756.8123339849935</v>
      </c>
      <c r="BH102" s="100">
        <v>0.41947718076991625</v>
      </c>
      <c r="BI102" s="100">
        <v>222.9940692972875</v>
      </c>
      <c r="BJ102" s="100">
        <v>6</v>
      </c>
      <c r="BK102" s="100">
        <v>3189.6000000000004</v>
      </c>
      <c r="BL102" s="100">
        <v>10.508813912411851</v>
      </c>
      <c r="BM102" s="100">
        <v>5586.4854758381398</v>
      </c>
      <c r="BN102" s="100">
        <v>5.4993698021387765</v>
      </c>
      <c r="BO102" s="100">
        <v>2923.4649868169736</v>
      </c>
      <c r="BP102" s="100">
        <v>0.44551369543839381</v>
      </c>
      <c r="BQ102" s="100">
        <v>236.83508049505016</v>
      </c>
      <c r="BR102" s="100">
        <v>9.3311910683198054</v>
      </c>
      <c r="BS102" s="100">
        <v>4960.4611719188088</v>
      </c>
      <c r="BT102" s="100">
        <v>2.8899442708212395</v>
      </c>
      <c r="BU102" s="100">
        <v>1536.294374368571</v>
      </c>
      <c r="BV102" s="100">
        <v>9.9780208977735878</v>
      </c>
      <c r="BW102" s="100">
        <v>5304.3159092564392</v>
      </c>
      <c r="BX102" s="100">
        <v>5.2172344609567736</v>
      </c>
      <c r="BY102" s="100">
        <v>2773.4818394446211</v>
      </c>
      <c r="BZ102" s="100">
        <v>4.7569128401146976</v>
      </c>
      <c r="CA102" s="100">
        <v>2528.7748658049732</v>
      </c>
      <c r="CB102" s="100">
        <v>4.3102510917349113E-4</v>
      </c>
      <c r="CC102" s="100">
        <v>0.2291329480366279</v>
      </c>
      <c r="CD102" s="100">
        <v>4.8488342673257385</v>
      </c>
      <c r="CE102" s="100">
        <v>2577.6402965103625</v>
      </c>
      <c r="CF102" s="100">
        <v>0.4893900442315689</v>
      </c>
      <c r="CG102" s="100">
        <v>260.15974751350205</v>
      </c>
      <c r="CH102" s="100">
        <v>8</v>
      </c>
      <c r="CI102" s="100">
        <v>4252.8</v>
      </c>
      <c r="CJ102" s="100">
        <v>8.2535482397520905</v>
      </c>
      <c r="CK102" s="100">
        <v>4387.5862442522111</v>
      </c>
      <c r="CL102" s="100">
        <v>6.0643547048525184</v>
      </c>
      <c r="CM102" s="100">
        <v>3223.8109610995989</v>
      </c>
      <c r="CN102" s="100">
        <v>0.32415512607166286</v>
      </c>
      <c r="CO102" s="100">
        <v>172.32086501969599</v>
      </c>
      <c r="CP102" s="100">
        <v>9</v>
      </c>
      <c r="CQ102" s="100">
        <v>4784.4000000000005</v>
      </c>
      <c r="CR102" s="100">
        <v>5.3070670598248428</v>
      </c>
      <c r="CS102" s="100">
        <v>2821.2368490028866</v>
      </c>
      <c r="CT102" s="100">
        <v>5.0848271143093786</v>
      </c>
      <c r="CU102" s="100">
        <v>2703.0940939668658</v>
      </c>
    </row>
    <row r="103" spans="2:99">
      <c r="C103" s="99" t="s">
        <v>269</v>
      </c>
      <c r="D103" s="100">
        <v>5.9835266002758125</v>
      </c>
      <c r="E103" s="100">
        <v>3525.4938728825082</v>
      </c>
      <c r="F103" s="100">
        <v>2.640300479185778</v>
      </c>
      <c r="G103" s="100">
        <v>1555.6650423362603</v>
      </c>
      <c r="H103" s="100">
        <v>6.7205075360103939</v>
      </c>
      <c r="I103" s="100">
        <v>3959.7230402173236</v>
      </c>
      <c r="J103" s="100">
        <v>4.5424096717669089</v>
      </c>
      <c r="K103" s="100">
        <v>2676.3877786050625</v>
      </c>
      <c r="L103" s="100">
        <v>5.6245250750917606</v>
      </c>
      <c r="M103" s="100">
        <v>3313.9701742440648</v>
      </c>
      <c r="N103" s="100">
        <v>4.6660849271172351</v>
      </c>
      <c r="O103" s="100">
        <v>2749.2572390574746</v>
      </c>
      <c r="P103" s="100">
        <v>5.1567855474006858</v>
      </c>
      <c r="Q103" s="100">
        <v>3038.3780445284838</v>
      </c>
      <c r="R103" s="100">
        <v>4.1275859520616036</v>
      </c>
      <c r="S103" s="100">
        <v>2431.9736429546965</v>
      </c>
      <c r="T103" s="100">
        <v>5.1567855474006858</v>
      </c>
      <c r="U103" s="100">
        <v>3038.3780445284838</v>
      </c>
      <c r="V103" s="100">
        <v>5.9610378937248427</v>
      </c>
      <c r="W103" s="100">
        <v>3512.2435269826769</v>
      </c>
      <c r="X103" s="100">
        <v>5.1486475717158262</v>
      </c>
      <c r="Y103" s="100">
        <v>3033.5831492549646</v>
      </c>
      <c r="Z103" s="100">
        <v>3.9344833587776256</v>
      </c>
      <c r="AA103" s="100">
        <v>2318.1975949917769</v>
      </c>
      <c r="AB103" s="100">
        <v>3.9915742302400545</v>
      </c>
      <c r="AC103" s="100">
        <v>2351.83553645744</v>
      </c>
      <c r="AD103" s="100">
        <v>1.9231234444286516</v>
      </c>
      <c r="AE103" s="100">
        <v>1133.1043334573615</v>
      </c>
      <c r="AF103" s="100">
        <v>4.2229531490737742</v>
      </c>
      <c r="AG103" s="100">
        <v>2488.1639954342672</v>
      </c>
      <c r="AH103" s="100">
        <v>6.109206696350661</v>
      </c>
      <c r="AI103" s="100">
        <v>3599.5445854898089</v>
      </c>
      <c r="AJ103" s="100">
        <v>3.9765501922946953</v>
      </c>
      <c r="AK103" s="100">
        <v>2342.9833733000341</v>
      </c>
      <c r="AL103" s="100">
        <v>4.911224330857797</v>
      </c>
      <c r="AM103" s="100">
        <v>2893.6933757414135</v>
      </c>
      <c r="AN103" s="100">
        <v>4.6281178325215317E-4</v>
      </c>
      <c r="AO103" s="100">
        <v>0.27268870269216861</v>
      </c>
      <c r="AP103" s="100">
        <v>5.1679204721159646</v>
      </c>
      <c r="AQ103" s="100">
        <v>3044.9387421707261</v>
      </c>
      <c r="AR103" s="100">
        <v>0.37845551878426081</v>
      </c>
      <c r="AS103" s="100">
        <v>222.98599166768645</v>
      </c>
      <c r="AT103" s="100">
        <v>5.1099443904878799</v>
      </c>
      <c r="AU103" s="100">
        <v>3010.7792348754583</v>
      </c>
      <c r="AV103" s="100">
        <v>8</v>
      </c>
      <c r="AW103" s="100">
        <v>4713.5999999999995</v>
      </c>
      <c r="AX103" s="100">
        <v>10.534839705736282</v>
      </c>
      <c r="AY103" s="100">
        <v>6207.1275546198167</v>
      </c>
      <c r="AZ103" s="100">
        <v>5.4464086083251031</v>
      </c>
      <c r="BA103" s="100">
        <v>3209.0239520251503</v>
      </c>
      <c r="BB103" s="100">
        <v>5.7271029374539077</v>
      </c>
      <c r="BC103" s="100">
        <v>3374.4090507478422</v>
      </c>
      <c r="BD103" s="100">
        <v>4.4367290028323429</v>
      </c>
      <c r="BE103" s="100">
        <v>2614.1207284688162</v>
      </c>
      <c r="BF103" s="100">
        <v>5.1757886816742431</v>
      </c>
      <c r="BG103" s="100">
        <v>3049.5746912424638</v>
      </c>
      <c r="BH103" s="100">
        <v>0.41947718076991625</v>
      </c>
      <c r="BI103" s="100">
        <v>247.15595490963463</v>
      </c>
      <c r="BJ103" s="100">
        <v>6</v>
      </c>
      <c r="BK103" s="100">
        <v>3535.2</v>
      </c>
      <c r="BL103" s="100">
        <v>10.508813912411851</v>
      </c>
      <c r="BM103" s="100">
        <v>6191.7931571930621</v>
      </c>
      <c r="BN103" s="100">
        <v>5.4912417393243986</v>
      </c>
      <c r="BO103" s="100">
        <v>3235.4396328099351</v>
      </c>
      <c r="BP103" s="100">
        <v>0.39601217372301672</v>
      </c>
      <c r="BQ103" s="100">
        <v>233.33037275760142</v>
      </c>
      <c r="BR103" s="100">
        <v>8.3679900759108961</v>
      </c>
      <c r="BS103" s="100">
        <v>4930.4197527266997</v>
      </c>
      <c r="BT103" s="100">
        <v>3.2110491898013773</v>
      </c>
      <c r="BU103" s="100">
        <v>1891.9501826309713</v>
      </c>
      <c r="BV103" s="100">
        <v>9.9780208977735878</v>
      </c>
      <c r="BW103" s="100">
        <v>5879.0499129681975</v>
      </c>
      <c r="BX103" s="100">
        <v>5.2172344609567736</v>
      </c>
      <c r="BY103" s="100">
        <v>3073.9945443957308</v>
      </c>
      <c r="BZ103" s="100">
        <v>5.2669130580470371</v>
      </c>
      <c r="CA103" s="100">
        <v>3103.2651738013137</v>
      </c>
      <c r="CB103" s="100">
        <v>4.6023594242412623E-4</v>
      </c>
      <c r="CC103" s="100">
        <v>0.27117101727629517</v>
      </c>
      <c r="CD103" s="100">
        <v>4.8488342673257385</v>
      </c>
      <c r="CE103" s="100">
        <v>2856.9331503083249</v>
      </c>
      <c r="CF103" s="100">
        <v>0.40782503685964078</v>
      </c>
      <c r="CG103" s="100">
        <v>240.29051171770033</v>
      </c>
      <c r="CH103" s="100">
        <v>8</v>
      </c>
      <c r="CI103" s="100">
        <v>4713.5999999999995</v>
      </c>
      <c r="CJ103" s="100">
        <v>8.2237369740377595</v>
      </c>
      <c r="CK103" s="100">
        <v>4845.4258251030469</v>
      </c>
      <c r="CL103" s="100">
        <v>5.0574025187964482</v>
      </c>
      <c r="CM103" s="100">
        <v>2979.8215640748667</v>
      </c>
      <c r="CN103" s="100">
        <v>0.32415512607166286</v>
      </c>
      <c r="CO103" s="100">
        <v>190.99220028142372</v>
      </c>
      <c r="CP103" s="100">
        <v>9</v>
      </c>
      <c r="CQ103" s="100">
        <v>5302.7999999999993</v>
      </c>
      <c r="CR103" s="100">
        <v>5.3070670598248428</v>
      </c>
      <c r="CS103" s="100">
        <v>3126.923911648797</v>
      </c>
      <c r="CT103" s="100">
        <v>4.4162583324862563</v>
      </c>
      <c r="CU103" s="100">
        <v>2602.0594095009019</v>
      </c>
    </row>
    <row r="104" spans="2:99">
      <c r="C104" s="99" t="s">
        <v>270</v>
      </c>
      <c r="D104" s="100">
        <v>6.0121669287506654</v>
      </c>
      <c r="E104" s="100">
        <v>3802.0943657419207</v>
      </c>
      <c r="F104" s="100">
        <v>2.640300479185778</v>
      </c>
      <c r="G104" s="100">
        <v>1669.726023037086</v>
      </c>
      <c r="H104" s="100">
        <v>7.3925582896114337</v>
      </c>
      <c r="I104" s="100">
        <v>4675.0538623502707</v>
      </c>
      <c r="J104" s="100">
        <v>4.5424096717669089</v>
      </c>
      <c r="K104" s="100">
        <v>2872.6198764253932</v>
      </c>
      <c r="L104" s="100">
        <v>4.9478584994726562</v>
      </c>
      <c r="M104" s="100">
        <v>3129.0257150665075</v>
      </c>
      <c r="N104" s="100">
        <v>4.6660849271172351</v>
      </c>
      <c r="O104" s="100">
        <v>2950.8321079089392</v>
      </c>
      <c r="P104" s="100">
        <v>5.1567855474006858</v>
      </c>
      <c r="Q104" s="100">
        <v>3261.1511801761935</v>
      </c>
      <c r="R104" s="100">
        <v>4.9913060218419369</v>
      </c>
      <c r="S104" s="100">
        <v>3156.501928212841</v>
      </c>
      <c r="T104" s="100">
        <v>5.1567855474006858</v>
      </c>
      <c r="U104" s="100">
        <v>3261.1511801761935</v>
      </c>
      <c r="V104" s="100">
        <v>5.9610378937248427</v>
      </c>
      <c r="W104" s="100">
        <v>3769.7603639915906</v>
      </c>
      <c r="X104" s="100">
        <v>5.1810560619480972</v>
      </c>
      <c r="Y104" s="100">
        <v>3276.4998535759764</v>
      </c>
      <c r="Z104" s="100">
        <v>3.9344833587776256</v>
      </c>
      <c r="AA104" s="100">
        <v>2488.1672760909705</v>
      </c>
      <c r="AB104" s="100">
        <v>3.9915742302400545</v>
      </c>
      <c r="AC104" s="100">
        <v>2524.2715432038103</v>
      </c>
      <c r="AD104" s="100">
        <v>1.8271293899233394</v>
      </c>
      <c r="AE104" s="100">
        <v>1155.4766261875197</v>
      </c>
      <c r="AF104" s="100">
        <v>4.2229531490737742</v>
      </c>
      <c r="AG104" s="100">
        <v>2670.5955714742545</v>
      </c>
      <c r="AH104" s="100">
        <v>6.109206696350661</v>
      </c>
      <c r="AI104" s="100">
        <v>3863.4623147721577</v>
      </c>
      <c r="AJ104" s="100">
        <v>4.5372756872614088</v>
      </c>
      <c r="AK104" s="100">
        <v>2869.373144624115</v>
      </c>
      <c r="AL104" s="100">
        <v>5.4569159231753295</v>
      </c>
      <c r="AM104" s="100">
        <v>3450.9536298160783</v>
      </c>
      <c r="AN104" s="100">
        <v>4.1091513697551267E-4</v>
      </c>
      <c r="AO104" s="100">
        <v>0.25986273262331422</v>
      </c>
      <c r="AP104" s="100">
        <v>5.1679204721159646</v>
      </c>
      <c r="AQ104" s="100">
        <v>3268.1929065661361</v>
      </c>
      <c r="AR104" s="100">
        <v>0.48289017895939906</v>
      </c>
      <c r="AS104" s="100">
        <v>305.37974917392398</v>
      </c>
      <c r="AT104" s="100">
        <v>5.1099443904878799</v>
      </c>
      <c r="AU104" s="100">
        <v>3231.5288325445349</v>
      </c>
      <c r="AV104" s="100">
        <v>7</v>
      </c>
      <c r="AW104" s="100">
        <v>4426.8</v>
      </c>
      <c r="AX104" s="100">
        <v>10.534839705736282</v>
      </c>
      <c r="AY104" s="100">
        <v>6662.232629907624</v>
      </c>
      <c r="AZ104" s="100">
        <v>5.4464086083251031</v>
      </c>
      <c r="BA104" s="100">
        <v>3444.3088039047952</v>
      </c>
      <c r="BB104" s="100">
        <v>5.0907581666256965</v>
      </c>
      <c r="BC104" s="100">
        <v>3219.3954645740905</v>
      </c>
      <c r="BD104" s="100">
        <v>4.4367290028323429</v>
      </c>
      <c r="BE104" s="100">
        <v>2805.7874213911737</v>
      </c>
      <c r="BF104" s="100">
        <v>5.1757886816742431</v>
      </c>
      <c r="BG104" s="100">
        <v>3273.1687622907912</v>
      </c>
      <c r="BH104" s="100">
        <v>0.41947718076991625</v>
      </c>
      <c r="BI104" s="100">
        <v>265.27736911889502</v>
      </c>
      <c r="BJ104" s="100">
        <v>6</v>
      </c>
      <c r="BK104" s="100">
        <v>3794.3999999999996</v>
      </c>
      <c r="BL104" s="100">
        <v>10</v>
      </c>
      <c r="BM104" s="100">
        <v>6324</v>
      </c>
      <c r="BN104" s="100">
        <v>6.1674868782219772</v>
      </c>
      <c r="BO104" s="100">
        <v>3900.318701787578</v>
      </c>
      <c r="BP104" s="100">
        <v>0.44551369543839381</v>
      </c>
      <c r="BQ104" s="100">
        <v>281.74286099524022</v>
      </c>
      <c r="BR104" s="100">
        <v>9.3311910683198054</v>
      </c>
      <c r="BS104" s="100">
        <v>5901.0452316054443</v>
      </c>
      <c r="BT104" s="100">
        <v>2.8899442708212395</v>
      </c>
      <c r="BU104" s="100">
        <v>1827.6007568673517</v>
      </c>
      <c r="BV104" s="100">
        <v>9.9780208977735878</v>
      </c>
      <c r="BW104" s="100">
        <v>6310.1004157520165</v>
      </c>
      <c r="BX104" s="100">
        <v>5.2172344609567736</v>
      </c>
      <c r="BY104" s="100">
        <v>3299.3790731090635</v>
      </c>
      <c r="BZ104" s="100">
        <v>5.2669130580470371</v>
      </c>
      <c r="CA104" s="100">
        <v>3330.795817908946</v>
      </c>
      <c r="CB104" s="100">
        <v>4.6023594242412623E-4</v>
      </c>
      <c r="CC104" s="100">
        <v>0.2910532099890174</v>
      </c>
      <c r="CD104" s="100">
        <v>4.8488342673257385</v>
      </c>
      <c r="CE104" s="100">
        <v>3066.4027906567972</v>
      </c>
      <c r="CF104" s="100">
        <v>0.40782503685964078</v>
      </c>
      <c r="CG104" s="100">
        <v>257.90855331003684</v>
      </c>
      <c r="CH104" s="100">
        <v>8</v>
      </c>
      <c r="CI104" s="100">
        <v>5059.2</v>
      </c>
      <c r="CJ104" s="100">
        <v>8.2535482397520905</v>
      </c>
      <c r="CK104" s="100">
        <v>5219.5439068192218</v>
      </c>
      <c r="CL104" s="100">
        <v>5.5637088103889951</v>
      </c>
      <c r="CM104" s="100">
        <v>3518.4894516900004</v>
      </c>
      <c r="CN104" s="100">
        <v>0.41677087637785226</v>
      </c>
      <c r="CO104" s="100">
        <v>263.56590222135378</v>
      </c>
      <c r="CP104" s="100">
        <v>10</v>
      </c>
      <c r="CQ104" s="100">
        <v>6324</v>
      </c>
      <c r="CR104" s="100">
        <v>4.5489146227070076</v>
      </c>
      <c r="CS104" s="100">
        <v>2876.7336073999113</v>
      </c>
      <c r="CT104" s="100">
        <v>5.0536851418826467</v>
      </c>
      <c r="CU104" s="100">
        <v>3195.9504837265858</v>
      </c>
    </row>
    <row r="105" spans="2:99">
      <c r="C105" s="99" t="s">
        <v>271</v>
      </c>
      <c r="D105" s="100">
        <v>5.9835266002758125</v>
      </c>
      <c r="E105" s="100">
        <v>3331.6276110335721</v>
      </c>
      <c r="F105" s="100">
        <v>2.3102629192875557</v>
      </c>
      <c r="G105" s="100">
        <v>1286.3543934593108</v>
      </c>
      <c r="H105" s="100">
        <v>6.7205075360103939</v>
      </c>
      <c r="I105" s="100">
        <v>3741.9785960505869</v>
      </c>
      <c r="J105" s="100">
        <v>4.5424096717669089</v>
      </c>
      <c r="K105" s="100">
        <v>2529.2137052398148</v>
      </c>
      <c r="L105" s="100">
        <v>5.6546954279687505</v>
      </c>
      <c r="M105" s="100">
        <v>3148.5344142929998</v>
      </c>
      <c r="N105" s="100">
        <v>4.2418953882883956</v>
      </c>
      <c r="O105" s="100">
        <v>2361.8873521989785</v>
      </c>
      <c r="P105" s="100">
        <v>5.1567855474006858</v>
      </c>
      <c r="Q105" s="100">
        <v>2871.2981927927017</v>
      </c>
      <c r="R105" s="100">
        <v>4.8155169440718701</v>
      </c>
      <c r="S105" s="100">
        <v>2681.279834459217</v>
      </c>
      <c r="T105" s="100">
        <v>4.4201018977720166</v>
      </c>
      <c r="U105" s="100">
        <v>2461.1127366794585</v>
      </c>
      <c r="V105" s="100">
        <v>5.9610378937248427</v>
      </c>
      <c r="W105" s="100">
        <v>3319.1058992259923</v>
      </c>
      <c r="X105" s="100">
        <v>5.8980580063462025</v>
      </c>
      <c r="Y105" s="100">
        <v>3284.0386979335653</v>
      </c>
      <c r="Z105" s="100">
        <v>3.4637703516892406</v>
      </c>
      <c r="AA105" s="100">
        <v>1928.627331820569</v>
      </c>
      <c r="AB105" s="100">
        <v>3.9915742302400545</v>
      </c>
      <c r="AC105" s="100">
        <v>2222.5085313976624</v>
      </c>
      <c r="AD105" s="100">
        <v>2.0301437665814883</v>
      </c>
      <c r="AE105" s="100">
        <v>1130.3840492325726</v>
      </c>
      <c r="AF105" s="100">
        <v>4.2229531490737742</v>
      </c>
      <c r="AG105" s="100">
        <v>2351.3403134042774</v>
      </c>
      <c r="AH105" s="100">
        <v>5.5538242694096915</v>
      </c>
      <c r="AI105" s="100">
        <v>3092.3693532073162</v>
      </c>
      <c r="AJ105" s="100">
        <v>4.5372756872614088</v>
      </c>
      <c r="AK105" s="100">
        <v>2526.3551026671521</v>
      </c>
      <c r="AL105" s="100">
        <v>5.4569159231753295</v>
      </c>
      <c r="AM105" s="100">
        <v>3038.4107860240233</v>
      </c>
      <c r="AN105" s="100">
        <v>4.0908288262785775E-4</v>
      </c>
      <c r="AO105" s="100">
        <v>0.22777734904719119</v>
      </c>
      <c r="AP105" s="100">
        <v>5.1618851944436361</v>
      </c>
      <c r="AQ105" s="100">
        <v>2874.1376762662162</v>
      </c>
      <c r="AR105" s="100">
        <v>0.43067284887182994</v>
      </c>
      <c r="AS105" s="100">
        <v>239.79864225183488</v>
      </c>
      <c r="AT105" s="100">
        <v>5.6209388295366676</v>
      </c>
      <c r="AU105" s="100">
        <v>3129.7387402860163</v>
      </c>
      <c r="AV105" s="100">
        <v>7</v>
      </c>
      <c r="AW105" s="100">
        <v>3897.5999999999995</v>
      </c>
      <c r="AX105" s="100">
        <v>11.492552406257763</v>
      </c>
      <c r="AY105" s="100">
        <v>6399.0531798043221</v>
      </c>
      <c r="AZ105" s="100">
        <v>5.4464086083251031</v>
      </c>
      <c r="BA105" s="100">
        <v>3032.5603131154171</v>
      </c>
      <c r="BB105" s="100">
        <v>5.0907581666256965</v>
      </c>
      <c r="BC105" s="100">
        <v>2834.5341471771876</v>
      </c>
      <c r="BD105" s="100">
        <v>4.072313773886246</v>
      </c>
      <c r="BE105" s="100">
        <v>2267.4643092998617</v>
      </c>
      <c r="BF105" s="100">
        <v>4.3383785985686698</v>
      </c>
      <c r="BG105" s="100">
        <v>2415.609203683035</v>
      </c>
      <c r="BH105" s="100">
        <v>0.41947718076991625</v>
      </c>
      <c r="BI105" s="100">
        <v>233.56489425268936</v>
      </c>
      <c r="BJ105" s="100">
        <v>6</v>
      </c>
      <c r="BK105" s="100">
        <v>3340.7999999999997</v>
      </c>
      <c r="BL105" s="100">
        <v>9</v>
      </c>
      <c r="BM105" s="100">
        <v>5011.2</v>
      </c>
      <c r="BN105" s="100">
        <v>5.4912417393243986</v>
      </c>
      <c r="BO105" s="100">
        <v>3057.5234004558247</v>
      </c>
      <c r="BP105" s="100">
        <v>0.39601217372301672</v>
      </c>
      <c r="BQ105" s="100">
        <v>220.4995783289757</v>
      </c>
      <c r="BR105" s="100">
        <v>8.3311910683198054</v>
      </c>
      <c r="BS105" s="100">
        <v>4638.8071868404677</v>
      </c>
      <c r="BT105" s="100">
        <v>2.8899442708212395</v>
      </c>
      <c r="BU105" s="100">
        <v>1609.120969993266</v>
      </c>
      <c r="BV105" s="100">
        <v>10.975822987550947</v>
      </c>
      <c r="BW105" s="100">
        <v>6111.3382394683667</v>
      </c>
      <c r="BX105" s="100">
        <v>5.2172344609567736</v>
      </c>
      <c r="BY105" s="100">
        <v>2904.9561478607311</v>
      </c>
      <c r="BZ105" s="100">
        <v>5.2820867742946405</v>
      </c>
      <c r="CA105" s="100">
        <v>2941.0659159272554</v>
      </c>
      <c r="CB105" s="100">
        <v>3.7714697052680473E-4</v>
      </c>
      <c r="CC105" s="100">
        <v>0.20999543318932484</v>
      </c>
      <c r="CD105" s="100">
        <v>4.8542945574263312</v>
      </c>
      <c r="CE105" s="100">
        <v>2702.8712095749811</v>
      </c>
      <c r="CF105" s="100">
        <v>0.40782503685964078</v>
      </c>
      <c r="CG105" s="100">
        <v>227.07698052344796</v>
      </c>
      <c r="CH105" s="100">
        <v>7</v>
      </c>
      <c r="CI105" s="100">
        <v>3897.5999999999995</v>
      </c>
      <c r="CJ105" s="100">
        <v>8.2535482397520905</v>
      </c>
      <c r="CK105" s="100">
        <v>4595.5756598939633</v>
      </c>
      <c r="CL105" s="100">
        <v>6.0530339105944684</v>
      </c>
      <c r="CM105" s="100">
        <v>3370.3292814189999</v>
      </c>
      <c r="CN105" s="100">
        <v>0.41677087637785226</v>
      </c>
      <c r="CO105" s="100">
        <v>232.05802396718812</v>
      </c>
      <c r="CP105" s="100">
        <v>10</v>
      </c>
      <c r="CQ105" s="100">
        <v>5568</v>
      </c>
      <c r="CR105" s="100">
        <v>5.3070670598248428</v>
      </c>
      <c r="CS105" s="100">
        <v>2954.9749389104722</v>
      </c>
      <c r="CT105" s="100">
        <v>4.4162583324862563</v>
      </c>
      <c r="CU105" s="100">
        <v>2458.9726395283474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196.59517858165927</v>
      </c>
      <c r="E109" s="100">
        <f>SUM(L$6:L$19)+SUM(N$6:N$19)+SUM(P$6:P$19)+SUM(R$6:R$19)</f>
        <v>305</v>
      </c>
      <c r="F109" s="100">
        <f>SUM(T$6:T$19)+SUM(V$6:V$19)+SUM(X$6:X$19)+SUM(Z$6:Z$19)</f>
        <v>398.59254284786147</v>
      </c>
      <c r="G109" s="100">
        <f>SUM(AB$6:AB$19)+SUM(AD$6:AD$19)+SUM(AF$6:AF$19)+SUM(AH$6:AH$19)</f>
        <v>484</v>
      </c>
      <c r="H109" s="100">
        <f>SUM(AJ$6:AJ$19)+SUM(AL$6:AL$19)+SUM(AN$6:AN$19)+SUM(AP$6:AP$19)</f>
        <v>331</v>
      </c>
      <c r="I109" s="100">
        <f>SUM(AR$6:AR$19)+SUM(AT$6:AT$19)+SUM(AV$6:AV$19)+SUM(AX$6:AX$19)</f>
        <v>350</v>
      </c>
      <c r="J109" s="100">
        <f>SUM(AZ$6:AZ$19)+SUM(BB$6:BB$19)+SUM(BD$6:BD$19)+SUM(BF$6:BF$19)</f>
        <v>401</v>
      </c>
      <c r="K109" s="100">
        <f>SUM(BH$6:BH$19)+SUM(BJ$6:BJ$19)+SUM(BL$6:BL$19)+SUM(BN$6:BN$19)</f>
        <v>434</v>
      </c>
      <c r="L109" s="100">
        <f>SUM(BP$6:BP$19)+SUM(BR$6:BR$19)+SUM(BT$6:BT$19)+SUM(BV$6:BV$19)</f>
        <v>396</v>
      </c>
      <c r="M109" s="100">
        <f>SUM(BX$6:BX$19)+SUM(BZ$6:BZ$19)+SUM(CB$6:CB$19)+SUM(CD$6:CD$19)</f>
        <v>432</v>
      </c>
      <c r="N109" s="100">
        <f>SUM(CF$6:CF$19)+SUM(CH$6:CH$19)+SUM(CJ$6:CJ$19)+SUM(CL$6:CL$19)</f>
        <v>468</v>
      </c>
      <c r="O109" s="100">
        <f>SUM(CN$6:CN$19)+SUM(CP$6:CP$19)+SUM(CR$6:CR$19)+SUM(CT$6:CT$19)</f>
        <v>468</v>
      </c>
    </row>
    <row r="110" spans="2:99">
      <c r="C110" s="99" t="s">
        <v>127</v>
      </c>
      <c r="D110" s="100">
        <f>SUM(D$20:D$36)+SUM(F$20:F$36)+SUM(H$20:H$36)+SUM(J$20:J$36)</f>
        <v>368.94890189602296</v>
      </c>
      <c r="E110" s="100">
        <f>SUM(L$20:L$36)+SUM(N$20:N$36)+SUM(P$20:P$36)+SUM(R$20:R$36)</f>
        <v>691</v>
      </c>
      <c r="F110" s="100">
        <f>SUM(T$20:T$36)+SUM(V$20:V$36)+SUM(X$20:X$36)+SUM(Z$20:Z$36)</f>
        <v>789.29239998177661</v>
      </c>
      <c r="G110" s="100">
        <f>SUM(AB$20:AB$36)+SUM(AD$20:AD$36)+SUM(AF$20:AF$36)+SUM(AH$20:AH$36)</f>
        <v>715</v>
      </c>
      <c r="H110" s="100">
        <f>SUM(AJ$20:AJ$36)+SUM(AL$20:AL$36)+SUM(AN$20:AN$36)+SUM(AP$20:AP$36)</f>
        <v>822</v>
      </c>
      <c r="I110" s="100">
        <f>SUM(AR$20:AR$36)+SUM(AT$20:AT$36)+SUM(AV$20:AV$36)+SUM(AX$20:AX$36)</f>
        <v>866</v>
      </c>
      <c r="J110" s="100">
        <f>SUM(AZ$20:AZ$36)+SUM(BB$20:BB$36)+SUM(BD$20:BD$36)+SUM(BF$20:BF$36)</f>
        <v>787</v>
      </c>
      <c r="K110" s="100">
        <f>SUM(BH$20:BH$36)+SUM(BJ$20:BJ$36)+SUM(BL$20:BL$36)+SUM(BN$20:BN$36)</f>
        <v>751</v>
      </c>
      <c r="L110" s="100">
        <f>SUM(BP$20:BP$36)+SUM(BR$20:BR$36)+SUM(BT$20:BT$36)+SUM(BV$20:BV$36)</f>
        <v>719</v>
      </c>
      <c r="M110" s="100">
        <f>SUM(BX$20:BX$36)+SUM(BZ$20:BZ$36)+SUM(CB$20:CB$36)+SUM(CD$20:CD$36)</f>
        <v>966</v>
      </c>
      <c r="N110" s="100">
        <f>SUM(CF$20:CF$36)+SUM(CH$20:CH$36)+SUM(CJ$20:CJ$36)+SUM(CL$20:CL$36)</f>
        <v>783</v>
      </c>
      <c r="O110" s="100">
        <f>SUM(CN$20:CN$36)+SUM(CP$20:CP$36)+SUM(CR$20:CR$36)+SUM(CT$20:CT$36)</f>
        <v>718</v>
      </c>
    </row>
    <row r="111" spans="2:99">
      <c r="C111" s="99" t="s">
        <v>128</v>
      </c>
      <c r="D111" s="100">
        <f>SUM(D$37:D$48)+SUM(F$37:F$48)+SUM(H$37:H$48)+SUM(J$37:J$48)</f>
        <v>146.38780997481115</v>
      </c>
      <c r="E111" s="100">
        <f>SUM(L$37:L$48)+SUM(N$37:N$48)+SUM(P$37:P$48)+SUM(R$37:R$48)</f>
        <v>345</v>
      </c>
      <c r="F111" s="100">
        <f>SUM(T$37:T$48)+SUM(V$37:V$48)+SUM(X$37:X$48)+SUM(Z$37:Z$48)</f>
        <v>307.67913977743666</v>
      </c>
      <c r="G111" s="100">
        <f>SUM(AB$37:AB$48)+SUM(AD$37:AD$48)+SUM(AF$37:AF$48)+SUM(AH$37:AH$48)</f>
        <v>296</v>
      </c>
      <c r="H111" s="100">
        <f>SUM(AJ$37:AJ$48)+SUM(AL$37:AL$48)+SUM(AN$37:AN$48)+SUM(AP$37:AP$48)</f>
        <v>306</v>
      </c>
      <c r="I111" s="100">
        <f>SUM(AR$37:AR$48)+SUM(AT$37:AT$48)+SUM(AV$37:AV$48)+SUM(AX$37:AX$48)</f>
        <v>332</v>
      </c>
      <c r="J111" s="100">
        <f>SUM(AZ$37:AZ$48)+SUM(BB$37:BB$48)+SUM(BD$37:BD$48)+SUM(BF$37:BF$48)</f>
        <v>329</v>
      </c>
      <c r="K111" s="100">
        <f>SUM(BH$37:BH$48)+SUM(BJ$37:BJ$48)+SUM(BL$37:BL$48)+SUM(BN$37:BN$48)</f>
        <v>380</v>
      </c>
      <c r="L111" s="100">
        <f>SUM(BP$37:BP$48)+SUM(BR$37:BR$48)+SUM(BT$37:BT$48)+SUM(BV$37:BV$48)</f>
        <v>301</v>
      </c>
      <c r="M111" s="100">
        <f>SUM(BX$37:BX$48)+SUM(BZ$37:BZ$48)+SUM(CB$37:CB$48)+SUM(CD$37:CD$48)</f>
        <v>392</v>
      </c>
      <c r="N111" s="100">
        <f>SUM(CF$37:CF$48)+SUM(CH$37:CH$48)+SUM(CJ$37:CJ$48)+SUM(CL$37:CL$48)</f>
        <v>326</v>
      </c>
      <c r="O111" s="100">
        <f>SUM(CN$37:CN$48)+SUM(CP$37:CP$48)+SUM(CR$37:CR$48)+SUM(CT$37:CT$48)</f>
        <v>380</v>
      </c>
    </row>
    <row r="112" spans="2:99">
      <c r="C112" s="99" t="s">
        <v>129</v>
      </c>
      <c r="D112" s="100">
        <f>SUM(D$49:D$70)+SUM(F$49:F$70)+SUM(H$49:H$70)+SUM(J$49:J$70)</f>
        <v>258.86586281288686</v>
      </c>
      <c r="E112" s="100">
        <f>SUM(L$49:L$70)+SUM(N$49:N$70)+SUM(P$49:P$70)+SUM(R$49:R$70)</f>
        <v>430.32123928002579</v>
      </c>
      <c r="F112" s="100">
        <f>SUM(T$49:T$70)+SUM(V$49:V$70)+SUM(X$49:X$70)+SUM(Z$49:Z$70)</f>
        <v>464.70384844211139</v>
      </c>
      <c r="G112" s="100">
        <f>SUM(AB$49:AB$70)+SUM(AD$49:AD$70)+SUM(AF$49:AF$70)+SUM(AH$49:AH$70)</f>
        <v>452.65719134921994</v>
      </c>
      <c r="H112" s="100">
        <f>SUM(AJ$49:AJ$70)+SUM(AL$49:AL$70)+SUM(AN$49:AN$70)+SUM(AP$49:AP$70)</f>
        <v>405.13762142227415</v>
      </c>
      <c r="I112" s="100">
        <f>SUM(AR$49:AR$70)+SUM(AT$49:AT$70)+SUM(AV$49:AV$70)+SUM(AX$49:AX$70)</f>
        <v>395.61842790464897</v>
      </c>
      <c r="J112" s="100">
        <f>SUM(AZ$49:AZ$70)+SUM(BB$49:BB$70)+SUM(BD$49:BD$70)+SUM(BF$49:BF$70)</f>
        <v>428.32362592057677</v>
      </c>
      <c r="K112" s="100">
        <f>SUM(BH$49:BH$70)+SUM(BJ$49:BJ$70)+SUM(BL$49:BL$70)+SUM(BN$49:BN$70)</f>
        <v>411.47950517212314</v>
      </c>
      <c r="L112" s="100">
        <f>SUM(BP$49:BP$70)+SUM(BR$49:BR$70)+SUM(BT$49:BT$70)+SUM(BV$49:BV$70)</f>
        <v>380.17322226533838</v>
      </c>
      <c r="M112" s="100">
        <f>SUM(BX$49:BX$70)+SUM(BZ$49:BZ$70)+SUM(CB$49:CB$70)+SUM(CD$49:CD$70)</f>
        <v>476.58039396561765</v>
      </c>
      <c r="N112" s="100">
        <f>SUM(CF$49:CF$70)+SUM(CH$49:CH$70)+SUM(CJ$49:CJ$70)+SUM(CL$49:CL$70)</f>
        <v>470.03821333326022</v>
      </c>
      <c r="O112" s="100">
        <f>SUM(CN$49:CN$70)+SUM(CP$49:CP$70)+SUM(CR$49:CR$70)+SUM(CT$49:CT$70)</f>
        <v>396.0649762693468</v>
      </c>
    </row>
    <row r="113" spans="2:15">
      <c r="C113" s="99" t="s">
        <v>130</v>
      </c>
      <c r="D113" s="100">
        <f>SUM(D$71:D$86)+SUM(F$71:F$86)+SUM(H$71:H$86)+SUM(J$71:J$86)</f>
        <v>232.64968798763729</v>
      </c>
      <c r="E113" s="100">
        <f>SUM(L$71:L$86)+SUM(N$71:N$86)+SUM(P$71:P$86)+SUM(R$71:R$86)</f>
        <v>225.26926106358002</v>
      </c>
      <c r="F113" s="100">
        <f>SUM(T$71:T$86)+SUM(V$71:V$86)+SUM(X$71:X$86)+SUM(Z$71:Z$86)</f>
        <v>291.57225222540552</v>
      </c>
      <c r="G113" s="100">
        <f>SUM(AB$71:AB$86)+SUM(AD$71:AD$86)+SUM(AF$71:AF$86)+SUM(AH$71:AH$86)</f>
        <v>238</v>
      </c>
      <c r="H113" s="100">
        <f>SUM(AJ$71:AJ$86)+SUM(AL$71:AL$86)+SUM(AN$71:AN$86)+SUM(AP$71:AP$86)</f>
        <v>299.83919739656187</v>
      </c>
      <c r="I113" s="100">
        <f>SUM(AR$71:AR$86)+SUM(AT$71:AT$86)+SUM(AV$71:AV$86)+SUM(AX$71:AX$86)</f>
        <v>198.41506938602009</v>
      </c>
      <c r="J113" s="100">
        <f>SUM(AZ$71:AZ$86)+SUM(BB$71:BB$86)+SUM(BD$71:BD$86)+SUM(BF$71:BF$86)</f>
        <v>290.86584151047384</v>
      </c>
      <c r="K113" s="100">
        <f>SUM(BH$71:BH$86)+SUM(BJ$71:BJ$86)+SUM(BL$71:BL$86)+SUM(BN$71:BN$86)</f>
        <v>320</v>
      </c>
      <c r="L113" s="100">
        <f>SUM(BP$71:BP$86)+SUM(BR$71:BR$86)+SUM(BT$71:BT$86)+SUM(BV$71:BV$86)</f>
        <v>285</v>
      </c>
      <c r="M113" s="100">
        <f>SUM(BX$71:BX$86)+SUM(BZ$71:BZ$86)+SUM(CB$71:CB$86)+SUM(CD$71:CD$86)</f>
        <v>255.77041239064692</v>
      </c>
      <c r="N113" s="100">
        <f>SUM(CF$71:CF$86)+SUM(CH$71:CH$86)+SUM(CJ$71:CJ$86)+SUM(CL$71:CL$86)</f>
        <v>308.69458545457223</v>
      </c>
      <c r="O113" s="100">
        <f>SUM(CN$71:CN$86)+SUM(CP$71:CP$86)+SUM(CR$71:CR$86)+SUM(CT$71:CT$86)</f>
        <v>280</v>
      </c>
    </row>
    <row r="114" spans="2:15">
      <c r="C114" s="99" t="s">
        <v>131</v>
      </c>
      <c r="D114" s="100">
        <f>SUM(D$87:D$94)+SUM(F$87:F$94)+SUM(H$87:H$94)+SUM(J$87:J$94)</f>
        <v>89.465371608376074</v>
      </c>
      <c r="E114" s="100">
        <f>SUM(L$87:L$94)+SUM(N$87:N$94)+SUM(P$87:P$94)+SUM(R$87:R$94)</f>
        <v>90.862638079203549</v>
      </c>
      <c r="F114" s="100">
        <f>SUM(T$87:T$94)+SUM(V$87:V$94)+SUM(X$87:X$94)+SUM(Z$87:Z$94)</f>
        <v>110.11164565183225</v>
      </c>
      <c r="G114" s="100">
        <f>SUM(AB$87:AB$94)+SUM(AD$87:AD$94)+SUM(AF$87:AF$94)+SUM(AH$87:AH$94)</f>
        <v>71.368634579126919</v>
      </c>
      <c r="H114" s="100">
        <f>SUM(AJ$87:AJ$94)+SUM(AL$87:AL$94)+SUM(AN$87:AN$94)+SUM(AP$87:AP$94)</f>
        <v>84.388485794297779</v>
      </c>
      <c r="I114" s="100">
        <f>SUM(AR$87:AR$94)+SUM(AT$87:AT$94)+SUM(AV$87:AV$94)+SUM(AX$87:AX$94)</f>
        <v>109.1563639538536</v>
      </c>
      <c r="J114" s="100">
        <f>SUM(AZ$87:AZ$94)+SUM(BB$87:BB$94)+SUM(BD$87:BD$94)+SUM(BF$87:BF$94)</f>
        <v>101.245163477405</v>
      </c>
      <c r="K114" s="100">
        <f>SUM(BH$87:BH$94)+SUM(BJ$87:BJ$94)+SUM(BL$87:BL$94)+SUM(BN$87:BN$94)</f>
        <v>116.03981361241821</v>
      </c>
      <c r="L114" s="100">
        <f>SUM(BP$87:BP$94)+SUM(BR$87:BR$94)+SUM(BT$87:BT$94)+SUM(BV$87:BV$94)</f>
        <v>121.8105977193778</v>
      </c>
      <c r="M114" s="100">
        <f>SUM(BX$87:BX$94)+SUM(BZ$87:BZ$94)+SUM(CB$87:CB$94)+SUM(CD$87:CD$94)</f>
        <v>94.447946765860181</v>
      </c>
      <c r="N114" s="100">
        <f>SUM(CF$87:CF$94)+SUM(CH$87:CH$94)+SUM(CJ$87:CJ$94)+SUM(CL$87:CL$94)</f>
        <v>132.17593969337642</v>
      </c>
      <c r="O114" s="100">
        <f>SUM(CN$87:CN$94)+SUM(CP$87:CP$94)+SUM(CR$87:CR$94)+SUM(CT$87:CT$94)</f>
        <v>126.94043590556591</v>
      </c>
    </row>
    <row r="115" spans="2:15">
      <c r="C115" s="99" t="s">
        <v>132</v>
      </c>
      <c r="D115" s="100">
        <f>SUM(D$95:D$105)+SUM(F$95:F$105)+SUM(H$95:H$105)+SUM(J$95:J$105)</f>
        <v>217.27920149332581</v>
      </c>
      <c r="E115" s="100">
        <f>SUM(L$95:L$105)+SUM(N$95:N$105)+SUM(P$95:P$105)+SUM(R$95:R$105)</f>
        <v>212.67621073604661</v>
      </c>
      <c r="F115" s="100">
        <f>SUM(T$95:T$105)+SUM(V$95:V$105)+SUM(X$95:X$105)+SUM(Z$95:Z$105)</f>
        <v>217.21462143898196</v>
      </c>
      <c r="G115" s="100">
        <f>SUM(AB$95:AB$105)+SUM(AD$95:AD$105)+SUM(AF$95:AF$105)+SUM(AH$95:AH$105)</f>
        <v>172.5307861775218</v>
      </c>
      <c r="H115" s="100">
        <f>SUM(AJ$95:AJ$105)+SUM(AL$95:AL$105)+SUM(AN$95:AN$105)+SUM(AP$95:AP$105)</f>
        <v>162.91583171475781</v>
      </c>
      <c r="I115" s="100">
        <f>SUM(AR$95:AR$105)+SUM(AT$95:AT$105)+SUM(AV$95:AV$105)+SUM(AX$95:AX$105)</f>
        <v>253.0711992163109</v>
      </c>
      <c r="J115" s="100">
        <f>SUM(AZ$95:AZ$105)+SUM(BB$95:BB$105)+SUM(BD$95:BD$105)+SUM(BF$95:BF$105)</f>
        <v>224.61820036984804</v>
      </c>
      <c r="K115" s="100">
        <f>SUM(BH$95:BH$105)+SUM(BJ$95:BJ$105)+SUM(BL$95:BL$105)+SUM(BN$95:BN$105)</f>
        <v>245.69678040735323</v>
      </c>
      <c r="L115" s="100">
        <f>SUM(BP$95:BP$105)+SUM(BR$95:BR$105)+SUM(BT$95:BT$105)+SUM(BV$95:BV$105)</f>
        <v>251.93276451506486</v>
      </c>
      <c r="M115" s="100">
        <f>SUM(BX$95:BX$105)+SUM(BZ$95:BZ$105)+SUM(CB$95:CB$105)+SUM(CD$95:CD$105)</f>
        <v>166.39260096027823</v>
      </c>
      <c r="N115" s="100">
        <f>SUM(CF$95:CF$105)+SUM(CH$95:CH$105)+SUM(CJ$95:CJ$105)+SUM(CL$95:CL$105)</f>
        <v>235.10393931721714</v>
      </c>
      <c r="O115" s="100">
        <f>SUM(CN$95:CN$105)+SUM(CP$95:CP$105)+SUM(CR$95:CR$105)+SUM(CT$95:CT$105)</f>
        <v>220.04949492998324</v>
      </c>
    </row>
    <row r="116" spans="2:15">
      <c r="C116" s="99" t="s">
        <v>278</v>
      </c>
      <c r="D116" s="100">
        <f t="shared" ref="D116:O116" si="0">SUM(D$109:D$115)</f>
        <v>1510.1920143547193</v>
      </c>
      <c r="E116" s="100">
        <f t="shared" si="0"/>
        <v>2300.1293491588558</v>
      </c>
      <c r="F116" s="100">
        <f t="shared" si="0"/>
        <v>2579.1664503654056</v>
      </c>
      <c r="G116" s="100">
        <f t="shared" si="0"/>
        <v>2429.5566121058687</v>
      </c>
      <c r="H116" s="100">
        <f t="shared" si="0"/>
        <v>2411.2811363278915</v>
      </c>
      <c r="I116" s="100">
        <f t="shared" si="0"/>
        <v>2504.2610604608335</v>
      </c>
      <c r="J116" s="100">
        <f t="shared" si="0"/>
        <v>2562.052831278304</v>
      </c>
      <c r="K116" s="100">
        <f t="shared" si="0"/>
        <v>2658.2160991918945</v>
      </c>
      <c r="L116" s="100">
        <f t="shared" si="0"/>
        <v>2454.9165844997806</v>
      </c>
      <c r="M116" s="100">
        <f t="shared" si="0"/>
        <v>2783.191354082403</v>
      </c>
      <c r="N116" s="100">
        <f t="shared" si="0"/>
        <v>2723.012677798426</v>
      </c>
      <c r="O116" s="100">
        <f t="shared" si="0"/>
        <v>2589.0549071048958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1494123.3572206104</v>
      </c>
      <c r="E120" s="100">
        <f>E109*pricing!E24*2000</f>
        <v>2318000</v>
      </c>
      <c r="F120" s="100">
        <f>F109*pricing!F24*2000</f>
        <v>3029303.3256437471</v>
      </c>
      <c r="G120" s="100">
        <f>G109*pricing!G24*2000</f>
        <v>3678399.9999999995</v>
      </c>
      <c r="H120" s="100">
        <f>H109*pricing!H24*2000</f>
        <v>2515600</v>
      </c>
      <c r="I120" s="100">
        <f>I109*pricing!I24*2000</f>
        <v>2660000</v>
      </c>
      <c r="J120" s="100">
        <f>J109*pricing!J24*2000</f>
        <v>3047600</v>
      </c>
      <c r="K120" s="100">
        <f>K109*pricing!K24*2000</f>
        <v>3298399.9999999995</v>
      </c>
      <c r="L120" s="100">
        <f>L109*pricing!L24*2000</f>
        <v>3009600</v>
      </c>
      <c r="M120" s="100">
        <f>M109*pricing!M24*2000</f>
        <v>3283200</v>
      </c>
      <c r="N120" s="100">
        <f>N109*pricing!N24*2000</f>
        <v>3556799.9999999995</v>
      </c>
      <c r="O120" s="100">
        <f>O109*pricing!O24*2000</f>
        <v>3556799.9999999995</v>
      </c>
    </row>
    <row r="121" spans="2:15">
      <c r="C121" s="99" t="s">
        <v>127</v>
      </c>
      <c r="D121" s="100">
        <f>D110*pricing!D25*2000</f>
        <v>2804011.6544097746</v>
      </c>
      <c r="E121" s="100">
        <f>E110*pricing!E25*2000</f>
        <v>5251599.9999999991</v>
      </c>
      <c r="F121" s="100">
        <f>F110*pricing!F25*2000</f>
        <v>5998622.2398615014</v>
      </c>
      <c r="G121" s="100">
        <f>G110*pricing!G25*2000</f>
        <v>5434000</v>
      </c>
      <c r="H121" s="100">
        <f>H110*pricing!H25*2000</f>
        <v>6247200</v>
      </c>
      <c r="I121" s="100">
        <f>I110*pricing!I25*2000</f>
        <v>6581599.9999999991</v>
      </c>
      <c r="J121" s="100">
        <f>J110*pricing!J25*2000</f>
        <v>5981200</v>
      </c>
      <c r="K121" s="100">
        <f>K110*pricing!K25*2000</f>
        <v>5707599.9999999991</v>
      </c>
      <c r="L121" s="100">
        <f>L110*pricing!L25*2000</f>
        <v>5464400</v>
      </c>
      <c r="M121" s="100">
        <f>M110*pricing!M25*2000</f>
        <v>7341599.9999999991</v>
      </c>
      <c r="N121" s="100">
        <f>N110*pricing!N25*2000</f>
        <v>5950799.9999999991</v>
      </c>
      <c r="O121" s="100">
        <f>O110*pricing!O25*2000</f>
        <v>5456800</v>
      </c>
    </row>
    <row r="122" spans="2:15">
      <c r="C122" s="99" t="s">
        <v>128</v>
      </c>
      <c r="D122" s="100">
        <f>D111*pricing!D26*2000</f>
        <v>1112547.3558085647</v>
      </c>
      <c r="E122" s="100">
        <f>E111*pricing!E26*2000</f>
        <v>2622000</v>
      </c>
      <c r="F122" s="100">
        <f>F111*pricing!F26*2000</f>
        <v>2338361.4623085186</v>
      </c>
      <c r="G122" s="100">
        <f>G111*pricing!G26*2000</f>
        <v>2249600</v>
      </c>
      <c r="H122" s="100">
        <f>H111*pricing!H26*2000</f>
        <v>2325600</v>
      </c>
      <c r="I122" s="100">
        <f>I111*pricing!I26*2000</f>
        <v>2523200</v>
      </c>
      <c r="J122" s="100">
        <f>J111*pricing!J26*2000</f>
        <v>2500400</v>
      </c>
      <c r="K122" s="100">
        <f>K111*pricing!K26*2000</f>
        <v>2888000</v>
      </c>
      <c r="L122" s="100">
        <f>L111*pricing!L26*2000</f>
        <v>2287600</v>
      </c>
      <c r="M122" s="100">
        <f>M111*pricing!M26*2000</f>
        <v>2979200</v>
      </c>
      <c r="N122" s="100">
        <f>N111*pricing!N26*2000</f>
        <v>2477600</v>
      </c>
      <c r="O122" s="100">
        <f>O111*pricing!O26*2000</f>
        <v>2888000</v>
      </c>
    </row>
    <row r="123" spans="2:15">
      <c r="C123" s="99" t="s">
        <v>129</v>
      </c>
      <c r="D123" s="100">
        <f>D112*pricing!D27*2000</f>
        <v>1967380.55737794</v>
      </c>
      <c r="E123" s="100">
        <f>E112*pricing!E27*2000</f>
        <v>3270441.4185281959</v>
      </c>
      <c r="F123" s="100">
        <f>F112*pricing!F27*2000</f>
        <v>3531749.2481600465</v>
      </c>
      <c r="G123" s="100">
        <f>G112*pricing!G27*2000</f>
        <v>3440194.6542540714</v>
      </c>
      <c r="H123" s="100">
        <f>H112*pricing!H27*2000</f>
        <v>3079045.9228092832</v>
      </c>
      <c r="I123" s="100">
        <f>I112*pricing!I27*2000</f>
        <v>3006700.052075332</v>
      </c>
      <c r="J123" s="100">
        <f>J112*pricing!J27*2000</f>
        <v>3255259.5569963832</v>
      </c>
      <c r="K123" s="100">
        <f>K112*pricing!K27*2000</f>
        <v>3127244.2393081356</v>
      </c>
      <c r="L123" s="100">
        <f>L112*pricing!L27*2000</f>
        <v>2889316.4892165712</v>
      </c>
      <c r="M123" s="100">
        <f>M112*pricing!M27*2000</f>
        <v>3622010.9941386939</v>
      </c>
      <c r="N123" s="100">
        <f>N112*pricing!N27*2000</f>
        <v>3572290.4213327775</v>
      </c>
      <c r="O123" s="100">
        <f>O112*pricing!O27*2000</f>
        <v>3010093.8196470356</v>
      </c>
    </row>
    <row r="124" spans="2:15">
      <c r="C124" s="99" t="s">
        <v>130</v>
      </c>
      <c r="D124" s="100">
        <f>D113*pricing!D28*2000</f>
        <v>1768137.6287060434</v>
      </c>
      <c r="E124" s="100">
        <f>E113*pricing!E28*2000</f>
        <v>1712046.3840832082</v>
      </c>
      <c r="F124" s="100">
        <f>F113*pricing!F28*2000</f>
        <v>2215949.1169130821</v>
      </c>
      <c r="G124" s="100">
        <f>G113*pricing!G28*2000</f>
        <v>1808800</v>
      </c>
      <c r="H124" s="100">
        <f>H113*pricing!H28*2000</f>
        <v>2278777.9002138702</v>
      </c>
      <c r="I124" s="100">
        <f>I113*pricing!I28*2000</f>
        <v>1507954.5273337525</v>
      </c>
      <c r="J124" s="100">
        <f>J113*pricing!J28*2000</f>
        <v>2210580.3954796009</v>
      </c>
      <c r="K124" s="100">
        <f>K113*pricing!K28*2000</f>
        <v>2432000</v>
      </c>
      <c r="L124" s="100">
        <f>L113*pricing!L28*2000</f>
        <v>2166000</v>
      </c>
      <c r="M124" s="100">
        <f>M113*pricing!M28*2000</f>
        <v>1943855.1341689164</v>
      </c>
      <c r="N124" s="100">
        <f>N113*pricing!N28*2000</f>
        <v>2346078.8494547489</v>
      </c>
      <c r="O124" s="100">
        <f>O113*pricing!O28*2000</f>
        <v>2128000</v>
      </c>
    </row>
    <row r="125" spans="2:15">
      <c r="C125" s="99" t="s">
        <v>131</v>
      </c>
      <c r="D125" s="100">
        <f>D114*pricing!D29*2000</f>
        <v>679936.82422365819</v>
      </c>
      <c r="E125" s="100">
        <f>E114*pricing!E29*2000</f>
        <v>690556.04940194695</v>
      </c>
      <c r="F125" s="100">
        <f>F114*pricing!F29*2000</f>
        <v>836848.50695392501</v>
      </c>
      <c r="G125" s="100">
        <f>G114*pricing!G29*2000</f>
        <v>542401.62280136452</v>
      </c>
      <c r="H125" s="100">
        <f>H114*pricing!H29*2000</f>
        <v>641352.49203666311</v>
      </c>
      <c r="I125" s="100">
        <f>I114*pricing!I29*2000</f>
        <v>829588.36604928726</v>
      </c>
      <c r="J125" s="100">
        <f>J114*pricing!J29*2000</f>
        <v>769463.24242827797</v>
      </c>
      <c r="K125" s="100">
        <f>K114*pricing!K29*2000</f>
        <v>881902.58345437841</v>
      </c>
      <c r="L125" s="100">
        <f>L114*pricing!L29*2000</f>
        <v>925760.54266727122</v>
      </c>
      <c r="M125" s="100">
        <f>M114*pricing!M29*2000</f>
        <v>717804.39542053745</v>
      </c>
      <c r="N125" s="100">
        <f>N114*pricing!N29*2000</f>
        <v>1004537.1416696607</v>
      </c>
      <c r="O125" s="100">
        <f>O114*pricing!O29*2000</f>
        <v>964747.31288230093</v>
      </c>
    </row>
    <row r="126" spans="2:15">
      <c r="C126" s="99" t="s">
        <v>132</v>
      </c>
      <c r="D126" s="100">
        <f>D115*pricing!D30*2000</f>
        <v>1651321.9313492761</v>
      </c>
      <c r="E126" s="100">
        <f>E115*pricing!E30*2000</f>
        <v>1616339.2015939541</v>
      </c>
      <c r="F126" s="100">
        <f>F115*pricing!F30*2000</f>
        <v>1650831.1229362627</v>
      </c>
      <c r="G126" s="100">
        <f>G115*pricing!G30*2000</f>
        <v>1311233.9749491657</v>
      </c>
      <c r="H126" s="100">
        <f>H115*pricing!H30*2000</f>
        <v>1238160.3210321593</v>
      </c>
      <c r="I126" s="100">
        <f>I115*pricing!I30*2000</f>
        <v>1923341.1140439627</v>
      </c>
      <c r="J126" s="100">
        <f>J115*pricing!J30*2000</f>
        <v>1707098.322810845</v>
      </c>
      <c r="K126" s="100">
        <f>K115*pricing!K30*2000</f>
        <v>1867295.5310958843</v>
      </c>
      <c r="L126" s="100">
        <f>L115*pricing!L30*2000</f>
        <v>1914689.010314493</v>
      </c>
      <c r="M126" s="100">
        <f>M115*pricing!M30*2000</f>
        <v>1264583.7672981145</v>
      </c>
      <c r="N126" s="100">
        <f>N115*pricing!N30*2000</f>
        <v>1786789.93881085</v>
      </c>
      <c r="O126" s="100">
        <f>O115*pricing!O30*2000</f>
        <v>1672376.1614678726</v>
      </c>
    </row>
    <row r="127" spans="2:15">
      <c r="C127" s="99" t="s">
        <v>278</v>
      </c>
      <c r="D127" s="100">
        <f t="shared" ref="D127:O127" si="1">SUM(D$120:D$126)</f>
        <v>11477459.309095867</v>
      </c>
      <c r="E127" s="100">
        <f t="shared" si="1"/>
        <v>17480983.053607304</v>
      </c>
      <c r="F127" s="100">
        <f t="shared" si="1"/>
        <v>19601665.022777081</v>
      </c>
      <c r="G127" s="100">
        <f t="shared" si="1"/>
        <v>18464630.252004601</v>
      </c>
      <c r="H127" s="100">
        <f t="shared" si="1"/>
        <v>18325736.636091977</v>
      </c>
      <c r="I127" s="100">
        <f t="shared" si="1"/>
        <v>19032384.059502333</v>
      </c>
      <c r="J127" s="100">
        <f t="shared" si="1"/>
        <v>19471601.517715104</v>
      </c>
      <c r="K127" s="100">
        <f t="shared" si="1"/>
        <v>20202442.353858396</v>
      </c>
      <c r="L127" s="100">
        <f t="shared" si="1"/>
        <v>18657366.042198338</v>
      </c>
      <c r="M127" s="100">
        <f t="shared" si="1"/>
        <v>21152254.291026261</v>
      </c>
      <c r="N127" s="100">
        <f t="shared" si="1"/>
        <v>20694896.351268038</v>
      </c>
      <c r="O127" s="100">
        <f t="shared" si="1"/>
        <v>19676817.29399721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99133.499331940722</v>
      </c>
      <c r="E131" s="106">
        <f>SUM(M$6:M$19)+SUM(O$6:O$19)+SUM(Q$6:Q$19)+SUM(S$6:S$19)</f>
        <v>154880.40000000002</v>
      </c>
      <c r="F131" s="106">
        <f>SUM(U$6:U$19)+SUM(W$6:W$19)+SUM(Y$6:Y$19)+SUM(AA$6:AA$19)</f>
        <v>201815.75500992883</v>
      </c>
      <c r="G131" s="106">
        <f>SUM(AC$6:AC$19)+SUM(AE$6:AE$19)+SUM(AG$6:AG$19)+SUM(AI$6:AI$19)</f>
        <v>244295.99999999994</v>
      </c>
      <c r="H131" s="106">
        <f>SUM(AK$6:AK$19)+SUM(AM$6:AM$19)+SUM(AO$6:AO$19)+SUM(AQ$6:AQ$19)</f>
        <v>166998</v>
      </c>
      <c r="I131" s="106">
        <f>SUM(AS$6:AS$19)+SUM(AU$6:AU$19)+SUM(AW$6:AW$19)+SUM(AY$6:AY$19)</f>
        <v>176298</v>
      </c>
      <c r="J131" s="106">
        <f>SUM(BA$6:BA$19)+SUM(BC$6:BC$19)+SUM(BE$6:BE$19)+SUM(BG$6:BG$19)</f>
        <v>201644.39999999997</v>
      </c>
      <c r="K131" s="106">
        <f>SUM(BI$6:BI$19)+SUM(BK$6:BK$19)+SUM(BM$6:BM$19)+SUM(BO$6:BO$19)</f>
        <v>218281.19999999995</v>
      </c>
      <c r="L131" s="106">
        <f>SUM(BQ$6:BQ$19)+SUM(BS$6:BS$19)+SUM(BU$6:BU$19)+SUM(BW$6:BW$19)</f>
        <v>201142.8</v>
      </c>
      <c r="M131" s="106">
        <f>SUM(BY$6:BY$19)+SUM(CA$6:CA$19)+SUM(CC$6:CC$19)+SUM(CE$6:CE$19)</f>
        <v>218377.2</v>
      </c>
      <c r="N131" s="106">
        <f>SUM(CG$6:CG$19)+SUM(CI$6:CI$19)+SUM(CK$6:CK$19)+SUM(CM$6:CM$19)</f>
        <v>237199.19999999998</v>
      </c>
      <c r="O131" s="106">
        <f>SUM(CO$6:CO$19)+SUM(CQ$6:CQ$19)+SUM(CS$6:CS$19)+SUM(CU$6:CU$19)</f>
        <v>237350.39999999997</v>
      </c>
    </row>
    <row r="132" spans="2:15">
      <c r="C132" s="105" t="s">
        <v>127</v>
      </c>
      <c r="D132" s="106">
        <f>SUM(E$20:E$36)+SUM(G$20:G$36)+SUM(I$20:I$36)+SUM(K$20:K$36)</f>
        <v>157124.98709206283</v>
      </c>
      <c r="E132" s="106">
        <f>SUM(M$20:M$36)+SUM(O$20:O$36)+SUM(Q$20:Q$36)+SUM(S$20:S$36)</f>
        <v>297578.39999999997</v>
      </c>
      <c r="F132" s="106">
        <f>SUM(U$20:U$36)+SUM(W$20:W$36)+SUM(Y$20:Y$36)+SUM(AA$20:AA$36)</f>
        <v>340052.01788620313</v>
      </c>
      <c r="G132" s="106">
        <f>SUM(AC$20:AC$36)+SUM(AE$20:AE$36)+SUM(AG$20:AG$36)+SUM(AI$20:AI$36)</f>
        <v>305293.19999999995</v>
      </c>
      <c r="H132" s="106">
        <f>SUM(AK$20:AK$36)+SUM(AM$20:AM$36)+SUM(AO$20:AO$36)+SUM(AQ$20:AQ$36)</f>
        <v>354579.6</v>
      </c>
      <c r="I132" s="106">
        <f>SUM(AS$20:AS$36)+SUM(AU$20:AU$36)+SUM(AW$20:AW$36)+SUM(AY$20:AY$36)</f>
        <v>370677.6</v>
      </c>
      <c r="J132" s="106">
        <f>SUM(BA$20:BA$36)+SUM(BC$20:BC$36)+SUM(BE$20:BE$36)+SUM(BG$20:BG$36)</f>
        <v>337039.19999999995</v>
      </c>
      <c r="K132" s="106">
        <f>SUM(BI$20:BI$36)+SUM(BK$20:BK$36)+SUM(BM$20:BM$36)+SUM(BO$20:BO$36)</f>
        <v>323136</v>
      </c>
      <c r="L132" s="106">
        <f>SUM(BQ$20:BQ$36)+SUM(BS$20:BS$36)+SUM(BU$20:BU$36)+SUM(BW$20:BW$36)</f>
        <v>308244</v>
      </c>
      <c r="M132" s="106">
        <f>SUM(BY$20:BY$36)+SUM(CA$20:CA$36)+SUM(CC$20:CC$36)+SUM(CE$20:CE$36)</f>
        <v>414417.60000000003</v>
      </c>
      <c r="N132" s="106">
        <f>SUM(CG$20:CG$36)+SUM(CI$20:CI$36)+SUM(CK$20:CK$36)+SUM(CM$20:CM$36)</f>
        <v>333380.40000000002</v>
      </c>
      <c r="O132" s="106">
        <f>SUM(CO$20:CO$36)+SUM(CQ$20:CQ$36)+SUM(CS$20:CS$36)+SUM(CU$20:CU$36)</f>
        <v>306718.79999999993</v>
      </c>
    </row>
    <row r="133" spans="2:15">
      <c r="C133" s="105" t="s">
        <v>128</v>
      </c>
      <c r="D133" s="106">
        <f>SUM(E$37:E$48)+SUM(G$37:G$48)+SUM(I$37:I$48)+SUM(K$37:K$48)</f>
        <v>153211.62614609548</v>
      </c>
      <c r="E133" s="106">
        <f>SUM(M$37:M$48)+SUM(O$37:O$48)+SUM(Q$37:Q$48)+SUM(S$37:S$48)</f>
        <v>362904</v>
      </c>
      <c r="F133" s="106">
        <f>SUM(U$37:U$48)+SUM(W$37:W$48)+SUM(Y$37:Y$48)+SUM(AA$37:AA$48)</f>
        <v>324696.8163811884</v>
      </c>
      <c r="G133" s="106">
        <f>SUM(AC$37:AC$48)+SUM(AE$37:AE$48)+SUM(AG$37:AG$48)+SUM(AI$37:AI$48)</f>
        <v>310934.40000000002</v>
      </c>
      <c r="H133" s="106">
        <f>SUM(AK$37:AK$48)+SUM(AM$37:AM$48)+SUM(AO$37:AO$48)+SUM(AQ$37:AQ$48)</f>
        <v>321780</v>
      </c>
      <c r="I133" s="106">
        <f>SUM(AS$37:AS$48)+SUM(AU$37:AU$48)+SUM(AW$37:AW$48)+SUM(AY$37:AY$48)</f>
        <v>347922</v>
      </c>
      <c r="J133" s="106">
        <f>SUM(BA$37:BA$48)+SUM(BC$37:BC$48)+SUM(BE$37:BE$48)+SUM(BG$37:BG$48)</f>
        <v>344737.19999999995</v>
      </c>
      <c r="K133" s="106">
        <f>SUM(BI$37:BI$48)+SUM(BK$37:BK$48)+SUM(BM$37:BM$48)+SUM(BO$37:BO$48)</f>
        <v>401586</v>
      </c>
      <c r="L133" s="106">
        <f>SUM(BQ$37:BQ$48)+SUM(BS$37:BS$48)+SUM(BU$37:BU$48)+SUM(BW$37:BW$48)</f>
        <v>316056</v>
      </c>
      <c r="M133" s="106">
        <f>SUM(BY$37:BY$48)+SUM(CA$37:CA$48)+SUM(CC$37:CC$48)+SUM(CE$37:CE$48)</f>
        <v>413703.6</v>
      </c>
      <c r="N133" s="106">
        <f>SUM(CG$37:CG$48)+SUM(CI$37:CI$48)+SUM(CK$37:CK$48)+SUM(CM$37:CM$48)</f>
        <v>342885.6</v>
      </c>
      <c r="O133" s="106">
        <f>SUM(CO$37:CO$48)+SUM(CQ$37:CQ$48)+SUM(CS$37:CS$48)+SUM(CU$37:CU$48)</f>
        <v>400630.8</v>
      </c>
    </row>
    <row r="134" spans="2:15">
      <c r="C134" s="105" t="s">
        <v>129</v>
      </c>
      <c r="D134" s="106">
        <f>SUM(E$49:E$70)+SUM(G$49:G$70)+SUM(I$49:I$70)+SUM(K$49:K$70)</f>
        <v>222967.13548496127</v>
      </c>
      <c r="E134" s="106">
        <f>SUM(M$49:M$70)+SUM(O$49:O$70)+SUM(Q$49:Q$70)+SUM(S$49:S$70)</f>
        <v>355707.91425115778</v>
      </c>
      <c r="F134" s="106">
        <f>SUM(U$49:U$70)+SUM(W$49:W$70)+SUM(Y$49:Y$70)+SUM(AA$49:AA$70)</f>
        <v>384177.16905040754</v>
      </c>
      <c r="G134" s="106">
        <f>SUM(AC$49:AC$70)+SUM(AE$49:AE$70)+SUM(AG$49:AG$70)+SUM(AI$49:AI$70)</f>
        <v>369342.64820554375</v>
      </c>
      <c r="H134" s="106">
        <f>SUM(AK$49:AK$70)+SUM(AM$49:AM$70)+SUM(AO$49:AO$70)+SUM(AQ$49:AQ$70)</f>
        <v>329683.59495805966</v>
      </c>
      <c r="I134" s="106">
        <f>SUM(AS$49:AS$70)+SUM(AU$49:AU$70)+SUM(AW$49:AW$70)+SUM(AY$49:AY$70)</f>
        <v>323067.018312737</v>
      </c>
      <c r="J134" s="106">
        <f>SUM(BA$49:BA$70)+SUM(BC$49:BC$70)+SUM(BE$49:BE$70)+SUM(BG$49:BG$70)</f>
        <v>355342.23312585393</v>
      </c>
      <c r="K134" s="106">
        <f>SUM(BI$49:BI$70)+SUM(BK$49:BK$70)+SUM(BM$49:BM$70)+SUM(BO$49:BO$70)</f>
        <v>340112.84323974326</v>
      </c>
      <c r="L134" s="106">
        <f>SUM(BQ$49:BQ$70)+SUM(BS$49:BS$70)+SUM(BU$49:BU$70)+SUM(BW$49:BW$70)</f>
        <v>309683.95904994581</v>
      </c>
      <c r="M134" s="106">
        <f>SUM(BY$49:BY$70)+SUM(CA$49:CA$70)+SUM(CC$49:CC$70)+SUM(CE$49:CE$70)</f>
        <v>390829.42148714472</v>
      </c>
      <c r="N134" s="106">
        <f>SUM(CG$49:CG$70)+SUM(CI$49:CI$70)+SUM(CK$49:CK$70)+SUM(CM$49:CM$70)</f>
        <v>386761.79426957463</v>
      </c>
      <c r="O134" s="106">
        <f>SUM(CO$49:CO$70)+SUM(CQ$49:CQ$70)+SUM(CS$49:CS$70)+SUM(CU$49:CU$70)</f>
        <v>327052.17152513511</v>
      </c>
    </row>
    <row r="135" spans="2:15">
      <c r="C135" s="105" t="s">
        <v>130</v>
      </c>
      <c r="D135" s="106">
        <f>SUM(E$71:E$86)+SUM(G$71:G$86)+SUM(I$71:I$86)+SUM(K$71:K$86)</f>
        <v>130269.23989050421</v>
      </c>
      <c r="E135" s="106">
        <f>SUM(M$71:M$86)+SUM(O$71:O$86)+SUM(Q$71:Q$86)+SUM(S$71:S$86)</f>
        <v>126983.22303092378</v>
      </c>
      <c r="F135" s="106">
        <f>SUM(U$71:U$86)+SUM(W$71:W$86)+SUM(Y$71:Y$86)+SUM(AA$71:AA$86)</f>
        <v>162580.77289093722</v>
      </c>
      <c r="G135" s="106">
        <f>SUM(AC$71:AC$86)+SUM(AE$71:AE$86)+SUM(AG$71:AG$86)+SUM(AI$71:AI$86)</f>
        <v>133780.79999999999</v>
      </c>
      <c r="H135" s="106">
        <f>SUM(AK$71:AK$86)+SUM(AM$71:AM$86)+SUM(AO$71:AO$86)+SUM(AQ$71:AQ$86)</f>
        <v>167119.68716237915</v>
      </c>
      <c r="I135" s="106">
        <f>SUM(AS$71:AS$86)+SUM(AU$71:AU$86)+SUM(AW$71:AW$86)+SUM(AY$71:AY$86)</f>
        <v>111247.57653768527</v>
      </c>
      <c r="J135" s="106">
        <f>SUM(BA$71:BA$86)+SUM(BC$71:BC$86)+SUM(BE$71:BE$86)+SUM(BG$71:BG$86)</f>
        <v>164378.42655678387</v>
      </c>
      <c r="K135" s="106">
        <f>SUM(BI$71:BI$86)+SUM(BK$71:BK$86)+SUM(BM$71:BM$86)+SUM(BO$71:BO$86)</f>
        <v>178368</v>
      </c>
      <c r="L135" s="106">
        <f>SUM(BQ$71:BQ$86)+SUM(BS$71:BS$86)+SUM(BU$71:BU$86)+SUM(BW$71:BW$86)</f>
        <v>159271.20000000001</v>
      </c>
      <c r="M135" s="106">
        <f>SUM(BY$71:BY$86)+SUM(CA$71:CA$86)+SUM(CC$71:CC$86)+SUM(CE$71:CE$86)</f>
        <v>142773.48182836251</v>
      </c>
      <c r="N135" s="106">
        <f>SUM(CG$71:CG$86)+SUM(CI$71:CI$86)+SUM(CK$71:CK$86)+SUM(CM$71:CM$86)</f>
        <v>173759.79376708</v>
      </c>
      <c r="O135" s="106">
        <f>SUM(CO$71:CO$86)+SUM(CQ$71:CQ$86)+SUM(CS$71:CS$86)+SUM(CU$71:CU$86)</f>
        <v>155277.6</v>
      </c>
    </row>
    <row r="136" spans="2:15">
      <c r="C136" s="105" t="s">
        <v>131</v>
      </c>
      <c r="D136" s="106">
        <f>SUM(E$87:E$94)+SUM(G$87:G$94)+SUM(I$87:I$94)+SUM(K$87:K$94)</f>
        <v>89696.908555871749</v>
      </c>
      <c r="E136" s="106">
        <f>SUM(M$87:M$94)+SUM(O$87:O$94)+SUM(Q$87:Q$94)+SUM(S$87:S$94)</f>
        <v>90998.628235483731</v>
      </c>
      <c r="F136" s="106">
        <f>SUM(U$87:U$94)+SUM(W$87:W$94)+SUM(Y$87:Y$94)+SUM(AA$87:AA$94)</f>
        <v>110163.10139139362</v>
      </c>
      <c r="G136" s="106">
        <f>SUM(AC$87:AC$94)+SUM(AE$87:AE$94)+SUM(AG$87:AG$94)+SUM(AI$87:AI$94)</f>
        <v>71655.872957814456</v>
      </c>
      <c r="H136" s="106">
        <f>SUM(AK$87:AK$94)+SUM(AM$87:AM$94)+SUM(AO$87:AO$94)+SUM(AQ$87:AQ$94)</f>
        <v>84766.027993568438</v>
      </c>
      <c r="I136" s="106">
        <f>SUM(AS$87:AS$94)+SUM(AU$87:AU$94)+SUM(AW$87:AW$94)+SUM(AY$87:AY$94)</f>
        <v>109821.26668209507</v>
      </c>
      <c r="J136" s="106">
        <f>SUM(BA$87:BA$94)+SUM(BC$87:BC$94)+SUM(BE$87:BE$94)+SUM(BG$87:BG$94)</f>
        <v>101647.77431634507</v>
      </c>
      <c r="K136" s="106">
        <f>SUM(BI$87:BI$94)+SUM(BK$87:BK$94)+SUM(BM$87:BM$94)+SUM(BO$87:BO$94)</f>
        <v>115962.84608268093</v>
      </c>
      <c r="L136" s="106">
        <f>SUM(BQ$87:BQ$94)+SUM(BS$87:BS$94)+SUM(BU$87:BU$94)+SUM(BW$87:BW$94)</f>
        <v>122541.15209968519</v>
      </c>
      <c r="M136" s="106">
        <f>SUM(BY$87:BY$94)+SUM(CA$87:CA$94)+SUM(CC$87:CC$94)+SUM(CE$87:CE$94)</f>
        <v>94637.887360249282</v>
      </c>
      <c r="N136" s="106">
        <f>SUM(CG$87:CG$94)+SUM(CI$87:CI$94)+SUM(CK$87:CK$94)+SUM(CM$87:CM$94)</f>
        <v>132634.82970660954</v>
      </c>
      <c r="O136" s="106">
        <f>SUM(CO$87:CO$94)+SUM(CQ$87:CQ$94)+SUM(CS$87:CS$94)+SUM(CU$87:CU$94)</f>
        <v>127587.25159169619</v>
      </c>
    </row>
    <row r="137" spans="2:15">
      <c r="C137" s="105" t="s">
        <v>132</v>
      </c>
      <c r="D137" s="106">
        <f>SUM(E$95:E$105)+SUM(G$95:G$105)+SUM(I$95:I$105)+SUM(K$95:K$105)</f>
        <v>178126.80318116903</v>
      </c>
      <c r="E137" s="106">
        <f>SUM(M$95:M$105)+SUM(O$95:O$105)+SUM(Q$95:Q$105)+SUM(S$95:S$105)</f>
        <v>169494.0895782818</v>
      </c>
      <c r="F137" s="106">
        <f>SUM(U$95:U$105)+SUM(W$95:W$105)+SUM(Y$95:Y$105)+SUM(AA$95:AA$105)</f>
        <v>175953.29338179925</v>
      </c>
      <c r="G137" s="106">
        <f>SUM(AC$95:AC$105)+SUM(AE$95:AE$105)+SUM(AG$95:AG$105)+SUM(AI$95:AI$105)</f>
        <v>141445.93819438311</v>
      </c>
      <c r="H137" s="106">
        <f>SUM(AK$95:AK$105)+SUM(AM$95:AM$105)+SUM(AO$95:AO$105)+SUM(AQ$95:AQ$105)</f>
        <v>128461.11434805363</v>
      </c>
      <c r="I137" s="106">
        <f>SUM(AS$95:AS$105)+SUM(AU$95:AU$105)+SUM(AW$95:AW$105)+SUM(AY$95:AY$105)</f>
        <v>205877.13111325557</v>
      </c>
      <c r="J137" s="106">
        <f>SUM(BA$95:BA$105)+SUM(BC$95:BC$105)+SUM(BE$95:BE$105)+SUM(BG$95:BG$105)</f>
        <v>184587.45351979334</v>
      </c>
      <c r="K137" s="106">
        <f>SUM(BI$95:BI$105)+SUM(BK$95:BK$105)+SUM(BM$95:BM$105)+SUM(BO$95:BO$105)</f>
        <v>196443.04296476435</v>
      </c>
      <c r="L137" s="106">
        <f>SUM(BQ$95:BQ$105)+SUM(BS$95:BS$105)+SUM(BU$95:BU$105)+SUM(BW$95:BW$105)</f>
        <v>202574.94443389756</v>
      </c>
      <c r="M137" s="106">
        <f>SUM(BY$95:BY$105)+SUM(CA$95:CA$105)+SUM(CC$95:CC$105)+SUM(CE$95:CE$105)</f>
        <v>135718.10264200642</v>
      </c>
      <c r="N137" s="106">
        <f>SUM(CG$95:CG$105)+SUM(CI$95:CI$105)+SUM(CK$95:CK$105)+SUM(CM$95:CM$105)</f>
        <v>191229.58431780781</v>
      </c>
      <c r="O137" s="106">
        <f>SUM(CO$95:CO$105)+SUM(CQ$95:CQ$105)+SUM(CS$95:CS$105)+SUM(CU$95:CU$105)</f>
        <v>180490.93068258485</v>
      </c>
    </row>
    <row r="138" spans="2:15">
      <c r="C138" s="105" t="s">
        <v>278</v>
      </c>
      <c r="D138" s="100">
        <f t="shared" ref="D138:O138" si="2">SUM(D$131:D$137)</f>
        <v>1030530.1996826055</v>
      </c>
      <c r="E138" s="100">
        <f t="shared" si="2"/>
        <v>1558546.6550958473</v>
      </c>
      <c r="F138" s="100">
        <f t="shared" si="2"/>
        <v>1699438.9259918581</v>
      </c>
      <c r="G138" s="100">
        <f t="shared" si="2"/>
        <v>1576748.8593577414</v>
      </c>
      <c r="H138" s="100">
        <f t="shared" si="2"/>
        <v>1553388.024462061</v>
      </c>
      <c r="I138" s="100">
        <f t="shared" si="2"/>
        <v>1644910.592645773</v>
      </c>
      <c r="J138" s="100">
        <f t="shared" si="2"/>
        <v>1689376.6875187759</v>
      </c>
      <c r="K138" s="100">
        <f t="shared" si="2"/>
        <v>1773889.9322871885</v>
      </c>
      <c r="L138" s="100">
        <f t="shared" si="2"/>
        <v>1619514.0555835287</v>
      </c>
      <c r="M138" s="100">
        <f t="shared" si="2"/>
        <v>1810457.2933177629</v>
      </c>
      <c r="N138" s="100">
        <f t="shared" si="2"/>
        <v>1797851.2020610718</v>
      </c>
      <c r="O138" s="100">
        <f t="shared" si="2"/>
        <v>1735107.9537994163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6.2393653256072543</v>
      </c>
      <c r="E6" s="100">
        <v>3608.8489043312356</v>
      </c>
      <c r="F6" s="100">
        <v>1.6740020969474938</v>
      </c>
      <c r="G6" s="100">
        <v>968.24281287443034</v>
      </c>
      <c r="H6" s="100">
        <v>5.6551231593837919E-4</v>
      </c>
      <c r="I6" s="100">
        <v>0.3270923235387585</v>
      </c>
      <c r="J6" s="100">
        <v>9.0002830900382076</v>
      </c>
      <c r="K6" s="100">
        <v>5205.7637392780989</v>
      </c>
      <c r="L6" s="100">
        <v>6.1930739960204413</v>
      </c>
      <c r="M6" s="100">
        <v>3582.073999298223</v>
      </c>
      <c r="N6" s="100">
        <v>6.1326446604478102</v>
      </c>
      <c r="O6" s="100">
        <v>3547.1216716030131</v>
      </c>
      <c r="P6" s="100">
        <v>8</v>
      </c>
      <c r="Q6" s="100">
        <v>4627.2</v>
      </c>
      <c r="R6" s="100">
        <v>3.9182437958210765</v>
      </c>
      <c r="S6" s="100">
        <v>2266.3122115029105</v>
      </c>
      <c r="T6" s="100">
        <v>5.6787502917933361</v>
      </c>
      <c r="U6" s="100">
        <v>3284.5891687732656</v>
      </c>
      <c r="V6" s="100">
        <v>4.1511887167010287E-4</v>
      </c>
      <c r="W6" s="100">
        <v>0.24010475537398748</v>
      </c>
      <c r="X6" s="100">
        <v>9.3778445396939336</v>
      </c>
      <c r="Y6" s="100">
        <v>5424.1452817589707</v>
      </c>
      <c r="Z6" s="100">
        <v>9</v>
      </c>
      <c r="AA6" s="100">
        <v>5205.5999999999995</v>
      </c>
      <c r="AB6" s="100">
        <v>5</v>
      </c>
      <c r="AC6" s="100">
        <v>2892</v>
      </c>
      <c r="AD6" s="100">
        <v>4.276149991178988</v>
      </c>
      <c r="AE6" s="100">
        <v>2473.3251548979265</v>
      </c>
      <c r="AF6" s="100">
        <v>5.5571831490482904</v>
      </c>
      <c r="AG6" s="100">
        <v>3214.2747334095311</v>
      </c>
      <c r="AH6" s="100">
        <v>8</v>
      </c>
      <c r="AI6" s="100">
        <v>4627.2</v>
      </c>
      <c r="AJ6" s="100">
        <v>3.2301770142627655</v>
      </c>
      <c r="AK6" s="100">
        <v>1868.3343850495835</v>
      </c>
      <c r="AL6" s="100">
        <v>8.4078689054753557</v>
      </c>
      <c r="AM6" s="100">
        <v>4863.1113749269452</v>
      </c>
      <c r="AN6" s="100">
        <v>4.8984975362334682</v>
      </c>
      <c r="AO6" s="100">
        <v>2833.2909749574378</v>
      </c>
      <c r="AP6" s="100">
        <v>10</v>
      </c>
      <c r="AQ6" s="100">
        <v>5784</v>
      </c>
      <c r="AR6" s="100">
        <v>6</v>
      </c>
      <c r="AS6" s="100">
        <v>3470.3999999999996</v>
      </c>
      <c r="AT6" s="100">
        <v>4.5325866303192752</v>
      </c>
      <c r="AU6" s="100">
        <v>2621.6481069766687</v>
      </c>
      <c r="AV6" s="100">
        <v>8</v>
      </c>
      <c r="AW6" s="100">
        <v>4627.2</v>
      </c>
      <c r="AX6" s="100">
        <v>6.3452856755139315</v>
      </c>
      <c r="AY6" s="100">
        <v>3670.1132347172579</v>
      </c>
      <c r="AZ6" s="100">
        <v>7</v>
      </c>
      <c r="BA6" s="100">
        <v>4048.7999999999997</v>
      </c>
      <c r="BB6" s="100">
        <v>7</v>
      </c>
      <c r="BC6" s="100">
        <v>4048.7999999999997</v>
      </c>
      <c r="BD6" s="100">
        <v>8</v>
      </c>
      <c r="BE6" s="100">
        <v>4627.2</v>
      </c>
      <c r="BF6" s="100">
        <v>2.6283845532365469</v>
      </c>
      <c r="BG6" s="100">
        <v>1520.2576255920187</v>
      </c>
      <c r="BH6" s="100">
        <v>5.7601560053187972</v>
      </c>
      <c r="BI6" s="100">
        <v>3331.6742334763921</v>
      </c>
      <c r="BJ6" s="100">
        <v>6</v>
      </c>
      <c r="BK6" s="100">
        <v>3470.3999999999996</v>
      </c>
      <c r="BL6" s="100">
        <v>9</v>
      </c>
      <c r="BM6" s="100">
        <v>5205.5999999999995</v>
      </c>
      <c r="BN6" s="100">
        <v>5</v>
      </c>
      <c r="BO6" s="100">
        <v>2892</v>
      </c>
      <c r="BP6" s="100">
        <v>1.4747520453722338</v>
      </c>
      <c r="BQ6" s="100">
        <v>852.99658304330001</v>
      </c>
      <c r="BR6" s="100">
        <v>9</v>
      </c>
      <c r="BS6" s="100">
        <v>5205.5999999999995</v>
      </c>
      <c r="BT6" s="100">
        <v>9</v>
      </c>
      <c r="BU6" s="100">
        <v>5205.5999999999995</v>
      </c>
      <c r="BV6" s="100">
        <v>5</v>
      </c>
      <c r="BW6" s="100">
        <v>2892</v>
      </c>
      <c r="BX6" s="100">
        <v>1.6162621660298668</v>
      </c>
      <c r="BY6" s="100">
        <v>934.84603683167495</v>
      </c>
      <c r="BZ6" s="100">
        <v>11</v>
      </c>
      <c r="CA6" s="100">
        <v>6362.4</v>
      </c>
      <c r="CB6" s="100">
        <v>3.1277826198721641</v>
      </c>
      <c r="CC6" s="100">
        <v>1809.1094673340597</v>
      </c>
      <c r="CD6" s="100">
        <v>10</v>
      </c>
      <c r="CE6" s="100">
        <v>5784</v>
      </c>
      <c r="CF6" s="100">
        <v>5.2426641872486792</v>
      </c>
      <c r="CG6" s="100">
        <v>3032.3569659046361</v>
      </c>
      <c r="CH6" s="100">
        <v>11</v>
      </c>
      <c r="CI6" s="100">
        <v>6362.4</v>
      </c>
      <c r="CJ6" s="100">
        <v>6</v>
      </c>
      <c r="CK6" s="100">
        <v>3470.3999999999996</v>
      </c>
      <c r="CL6" s="100">
        <v>8</v>
      </c>
      <c r="CM6" s="100">
        <v>4627.2</v>
      </c>
      <c r="CN6" s="100">
        <v>10</v>
      </c>
      <c r="CO6" s="100">
        <v>5784</v>
      </c>
      <c r="CP6" s="100">
        <v>8.9941031219813112</v>
      </c>
      <c r="CQ6" s="100">
        <v>5202.1892457539898</v>
      </c>
      <c r="CR6" s="100">
        <v>6.9118171948132979E-4</v>
      </c>
      <c r="CS6" s="100">
        <v>0.39977950654800115</v>
      </c>
      <c r="CT6" s="100">
        <v>5.2321413312710412</v>
      </c>
      <c r="CU6" s="100">
        <v>3026.2705460071702</v>
      </c>
    </row>
    <row r="7" spans="1:99">
      <c r="C7" s="99" t="s">
        <v>173</v>
      </c>
      <c r="D7" s="100">
        <v>7.2872383907287057</v>
      </c>
      <c r="E7" s="100">
        <v>5745.2587472505111</v>
      </c>
      <c r="F7" s="100">
        <v>1.4141127346543447</v>
      </c>
      <c r="G7" s="100">
        <v>1114.8864800014853</v>
      </c>
      <c r="H7" s="100">
        <v>4.7126026328198263E-4</v>
      </c>
      <c r="I7" s="100">
        <v>0.37154159157151512</v>
      </c>
      <c r="J7" s="100">
        <v>9.0002359083651733</v>
      </c>
      <c r="K7" s="100">
        <v>7095.7859901551028</v>
      </c>
      <c r="L7" s="100">
        <v>6.1930739960204413</v>
      </c>
      <c r="M7" s="100">
        <v>4882.6195384625162</v>
      </c>
      <c r="N7" s="100">
        <v>6.1326446604478102</v>
      </c>
      <c r="O7" s="100">
        <v>4834.9770502970532</v>
      </c>
      <c r="P7" s="100">
        <v>7</v>
      </c>
      <c r="Q7" s="100">
        <v>5518.8</v>
      </c>
      <c r="R7" s="100">
        <v>3.9182437958210765</v>
      </c>
      <c r="S7" s="100">
        <v>3089.1434086253366</v>
      </c>
      <c r="T7" s="100">
        <v>5.6787502917933361</v>
      </c>
      <c r="U7" s="100">
        <v>4477.1267300498657</v>
      </c>
      <c r="V7" s="100">
        <v>4.1511887167010287E-4</v>
      </c>
      <c r="W7" s="100">
        <v>0.3272797184247091</v>
      </c>
      <c r="X7" s="100">
        <v>8.4393490269318914</v>
      </c>
      <c r="Y7" s="100">
        <v>6653.5827728331033</v>
      </c>
      <c r="Z7" s="100">
        <v>8</v>
      </c>
      <c r="AA7" s="100">
        <v>6307.2</v>
      </c>
      <c r="AB7" s="100">
        <v>5</v>
      </c>
      <c r="AC7" s="100">
        <v>3942</v>
      </c>
      <c r="AD7" s="100">
        <v>4.276149991178988</v>
      </c>
      <c r="AE7" s="100">
        <v>3371.3166530455142</v>
      </c>
      <c r="AF7" s="100">
        <v>6.1746479433869901</v>
      </c>
      <c r="AG7" s="100">
        <v>4868.0924385663029</v>
      </c>
      <c r="AH7" s="100">
        <v>8</v>
      </c>
      <c r="AI7" s="100">
        <v>6307.2</v>
      </c>
      <c r="AJ7" s="100">
        <v>2.7687231550823701</v>
      </c>
      <c r="AK7" s="100">
        <v>2182.8613354669405</v>
      </c>
      <c r="AL7" s="100">
        <v>8.4078689054753557</v>
      </c>
      <c r="AM7" s="100">
        <v>6628.7638450767699</v>
      </c>
      <c r="AN7" s="100">
        <v>4.8984975362334682</v>
      </c>
      <c r="AO7" s="100">
        <v>3861.975457566466</v>
      </c>
      <c r="AP7" s="100">
        <v>11</v>
      </c>
      <c r="AQ7" s="100">
        <v>8672.4</v>
      </c>
      <c r="AR7" s="100">
        <v>6</v>
      </c>
      <c r="AS7" s="100">
        <v>4730.3999999999996</v>
      </c>
      <c r="AT7" s="100">
        <v>3.9660133015293662</v>
      </c>
      <c r="AU7" s="100">
        <v>3126.8048869257523</v>
      </c>
      <c r="AV7" s="100">
        <v>6</v>
      </c>
      <c r="AW7" s="100">
        <v>4730.3999999999996</v>
      </c>
      <c r="AX7" s="100">
        <v>6.3452856755139315</v>
      </c>
      <c r="AY7" s="100">
        <v>5002.6232265751833</v>
      </c>
      <c r="AZ7" s="100">
        <v>6</v>
      </c>
      <c r="BA7" s="100">
        <v>4730.3999999999996</v>
      </c>
      <c r="BB7" s="100">
        <v>7</v>
      </c>
      <c r="BC7" s="100">
        <v>5518.8</v>
      </c>
      <c r="BD7" s="100">
        <v>8</v>
      </c>
      <c r="BE7" s="100">
        <v>6307.2</v>
      </c>
      <c r="BF7" s="100">
        <v>2.6283845532365469</v>
      </c>
      <c r="BG7" s="100">
        <v>2072.2183817716937</v>
      </c>
      <c r="BH7" s="100">
        <v>5.0401365046539475</v>
      </c>
      <c r="BI7" s="100">
        <v>3973.6436202691721</v>
      </c>
      <c r="BJ7" s="100">
        <v>6</v>
      </c>
      <c r="BK7" s="100">
        <v>4730.3999999999996</v>
      </c>
      <c r="BL7" s="100">
        <v>8</v>
      </c>
      <c r="BM7" s="100">
        <v>6307.2</v>
      </c>
      <c r="BN7" s="100">
        <v>6</v>
      </c>
      <c r="BO7" s="100">
        <v>4730.3999999999996</v>
      </c>
      <c r="BP7" s="100">
        <v>1.4747520453722338</v>
      </c>
      <c r="BQ7" s="100">
        <v>1162.6945125714692</v>
      </c>
      <c r="BR7" s="100">
        <v>9</v>
      </c>
      <c r="BS7" s="100">
        <v>7095.5999999999995</v>
      </c>
      <c r="BT7" s="100">
        <v>10</v>
      </c>
      <c r="BU7" s="100">
        <v>7884</v>
      </c>
      <c r="BV7" s="100">
        <v>5</v>
      </c>
      <c r="BW7" s="100">
        <v>3942</v>
      </c>
      <c r="BX7" s="100">
        <v>1.8471567611769908</v>
      </c>
      <c r="BY7" s="100">
        <v>1456.2983905119395</v>
      </c>
      <c r="BZ7" s="100">
        <v>10</v>
      </c>
      <c r="CA7" s="100">
        <v>7884</v>
      </c>
      <c r="CB7" s="100">
        <v>3.5187554473561846</v>
      </c>
      <c r="CC7" s="100">
        <v>2774.1867946956158</v>
      </c>
      <c r="CD7" s="100">
        <v>8</v>
      </c>
      <c r="CE7" s="100">
        <v>6307.2</v>
      </c>
      <c r="CF7" s="100">
        <v>5.8251824302763096</v>
      </c>
      <c r="CG7" s="100">
        <v>4592.5738280298419</v>
      </c>
      <c r="CH7" s="100">
        <v>9</v>
      </c>
      <c r="CI7" s="100">
        <v>7095.5999999999995</v>
      </c>
      <c r="CJ7" s="100">
        <v>6</v>
      </c>
      <c r="CK7" s="100">
        <v>4730.3999999999996</v>
      </c>
      <c r="CL7" s="100">
        <v>7</v>
      </c>
      <c r="CM7" s="100">
        <v>5518.8</v>
      </c>
      <c r="CN7" s="100">
        <v>10</v>
      </c>
      <c r="CO7" s="100">
        <v>7884</v>
      </c>
      <c r="CP7" s="100">
        <v>8.9941031219813112</v>
      </c>
      <c r="CQ7" s="100">
        <v>7090.9509013700654</v>
      </c>
      <c r="CR7" s="100">
        <v>7.5401642125235975E-4</v>
      </c>
      <c r="CS7" s="100">
        <v>0.59446654651536046</v>
      </c>
      <c r="CT7" s="100">
        <v>4.3601177760592016</v>
      </c>
      <c r="CU7" s="100">
        <v>3437.5168546450745</v>
      </c>
    </row>
    <row r="8" spans="1:99">
      <c r="C8" s="99" t="s">
        <v>174</v>
      </c>
      <c r="D8" s="100">
        <v>6.2872383907287057</v>
      </c>
      <c r="E8" s="100">
        <v>1946.529005769607</v>
      </c>
      <c r="F8" s="100">
        <v>1.4013720765222781</v>
      </c>
      <c r="G8" s="100">
        <v>433.86479489129727</v>
      </c>
      <c r="H8" s="100">
        <v>5.6551231593837919E-4</v>
      </c>
      <c r="I8" s="100">
        <v>0.17508261301452219</v>
      </c>
      <c r="J8" s="100">
        <v>9.0002359083651733</v>
      </c>
      <c r="K8" s="100">
        <v>2786.4730372298573</v>
      </c>
      <c r="L8" s="100">
        <v>6.1930739960204413</v>
      </c>
      <c r="M8" s="100">
        <v>1917.3757091679283</v>
      </c>
      <c r="N8" s="100">
        <v>6.1326446604478102</v>
      </c>
      <c r="O8" s="100">
        <v>1898.6667868746417</v>
      </c>
      <c r="P8" s="100">
        <v>8</v>
      </c>
      <c r="Q8" s="100">
        <v>2476.7999999999997</v>
      </c>
      <c r="R8" s="100">
        <v>3.9182437958210765</v>
      </c>
      <c r="S8" s="100">
        <v>1213.0882791862052</v>
      </c>
      <c r="T8" s="100">
        <v>6.4900003334780987</v>
      </c>
      <c r="U8" s="100">
        <v>2009.3041032448191</v>
      </c>
      <c r="V8" s="100">
        <v>4.1511887167010287E-4</v>
      </c>
      <c r="W8" s="100">
        <v>0.12852080266906382</v>
      </c>
      <c r="X8" s="100">
        <v>8.4417192229073894</v>
      </c>
      <c r="Y8" s="100">
        <v>2613.5562714121274</v>
      </c>
      <c r="Z8" s="100">
        <v>7</v>
      </c>
      <c r="AA8" s="100">
        <v>2167.1999999999998</v>
      </c>
      <c r="AB8" s="100">
        <v>5</v>
      </c>
      <c r="AC8" s="100">
        <v>1547.9999999999998</v>
      </c>
      <c r="AD8" s="100">
        <v>4.276149991178988</v>
      </c>
      <c r="AE8" s="100">
        <v>1323.8960372690146</v>
      </c>
      <c r="AF8" s="100">
        <v>5.5571831490482904</v>
      </c>
      <c r="AG8" s="100">
        <v>1720.5039029453505</v>
      </c>
      <c r="AH8" s="100">
        <v>8</v>
      </c>
      <c r="AI8" s="100">
        <v>2476.7999999999997</v>
      </c>
      <c r="AJ8" s="100">
        <v>3.2301770142627655</v>
      </c>
      <c r="AK8" s="100">
        <v>1000.062803615752</v>
      </c>
      <c r="AL8" s="100">
        <v>8.4078689054753557</v>
      </c>
      <c r="AM8" s="100">
        <v>2603.0762131351698</v>
      </c>
      <c r="AN8" s="100">
        <v>5.8781970434801618</v>
      </c>
      <c r="AO8" s="100">
        <v>1819.8898046614579</v>
      </c>
      <c r="AP8" s="100">
        <v>10</v>
      </c>
      <c r="AQ8" s="100">
        <v>3095.9999999999995</v>
      </c>
      <c r="AR8" s="100">
        <v>7</v>
      </c>
      <c r="AS8" s="100">
        <v>2167.1999999999998</v>
      </c>
      <c r="AT8" s="100">
        <v>4.5325866303192752</v>
      </c>
      <c r="AU8" s="100">
        <v>1403.2888207468475</v>
      </c>
      <c r="AV8" s="100">
        <v>7</v>
      </c>
      <c r="AW8" s="100">
        <v>2167.1999999999998</v>
      </c>
      <c r="AX8" s="100">
        <v>6.3452856755139315</v>
      </c>
      <c r="AY8" s="100">
        <v>1964.500445139113</v>
      </c>
      <c r="AZ8" s="100">
        <v>6</v>
      </c>
      <c r="BA8" s="100">
        <v>1857.6</v>
      </c>
      <c r="BB8" s="100">
        <v>8</v>
      </c>
      <c r="BC8" s="100">
        <v>2476.7999999999997</v>
      </c>
      <c r="BD8" s="100">
        <v>7</v>
      </c>
      <c r="BE8" s="100">
        <v>2167.1999999999998</v>
      </c>
      <c r="BF8" s="100">
        <v>2.6283845532365469</v>
      </c>
      <c r="BG8" s="100">
        <v>813.74785768203481</v>
      </c>
      <c r="BH8" s="100">
        <v>5.0401365046539475</v>
      </c>
      <c r="BI8" s="100">
        <v>1560.426261840862</v>
      </c>
      <c r="BJ8" s="100">
        <v>6</v>
      </c>
      <c r="BK8" s="100">
        <v>1857.6</v>
      </c>
      <c r="BL8" s="100">
        <v>9</v>
      </c>
      <c r="BM8" s="100">
        <v>2786.3999999999996</v>
      </c>
      <c r="BN8" s="100">
        <v>6</v>
      </c>
      <c r="BO8" s="100">
        <v>1857.6</v>
      </c>
      <c r="BP8" s="100">
        <v>1.6222272499094572</v>
      </c>
      <c r="BQ8" s="100">
        <v>502.24155657196792</v>
      </c>
      <c r="BR8" s="100">
        <v>10</v>
      </c>
      <c r="BS8" s="100">
        <v>3095.9999999999995</v>
      </c>
      <c r="BT8" s="100">
        <v>9</v>
      </c>
      <c r="BU8" s="100">
        <v>2786.3999999999996</v>
      </c>
      <c r="BV8" s="100">
        <v>5</v>
      </c>
      <c r="BW8" s="100">
        <v>1547.9999999999998</v>
      </c>
      <c r="BX8" s="100">
        <v>1.6162621660298668</v>
      </c>
      <c r="BY8" s="100">
        <v>500.39476660284674</v>
      </c>
      <c r="BZ8" s="100">
        <v>10</v>
      </c>
      <c r="CA8" s="100">
        <v>3095.9999999999995</v>
      </c>
      <c r="CB8" s="100">
        <v>3.5187554473561846</v>
      </c>
      <c r="CC8" s="100">
        <v>1089.4066865014747</v>
      </c>
      <c r="CD8" s="100">
        <v>9</v>
      </c>
      <c r="CE8" s="100">
        <v>2786.3999999999996</v>
      </c>
      <c r="CF8" s="100">
        <v>5.2426641872486792</v>
      </c>
      <c r="CG8" s="100">
        <v>1623.1288323721908</v>
      </c>
      <c r="CH8" s="100">
        <v>11</v>
      </c>
      <c r="CI8" s="100">
        <v>3405.5999999999995</v>
      </c>
      <c r="CJ8" s="100">
        <v>6</v>
      </c>
      <c r="CK8" s="100">
        <v>1857.6</v>
      </c>
      <c r="CL8" s="100">
        <v>7</v>
      </c>
      <c r="CM8" s="100">
        <v>2167.1999999999998</v>
      </c>
      <c r="CN8" s="100">
        <v>12</v>
      </c>
      <c r="CO8" s="100">
        <v>3715.2</v>
      </c>
      <c r="CP8" s="100">
        <v>8.9941031219813112</v>
      </c>
      <c r="CQ8" s="100">
        <v>2784.5743265654137</v>
      </c>
      <c r="CR8" s="100">
        <v>6.9118171948132979E-4</v>
      </c>
      <c r="CS8" s="100">
        <v>0.21398986035141968</v>
      </c>
      <c r="CT8" s="100">
        <v>6.1041648864828817</v>
      </c>
      <c r="CU8" s="100">
        <v>1889.8494488551</v>
      </c>
    </row>
    <row r="9" spans="1:99">
      <c r="C9" s="99" t="s">
        <v>175</v>
      </c>
      <c r="D9" s="100">
        <v>7.2872383907287057</v>
      </c>
      <c r="E9" s="100">
        <v>5115.6413502915511</v>
      </c>
      <c r="F9" s="100">
        <v>1.4013720765222781</v>
      </c>
      <c r="G9" s="100">
        <v>983.76319771863928</v>
      </c>
      <c r="H9" s="100">
        <v>5.6551231593837919E-4</v>
      </c>
      <c r="I9" s="100">
        <v>0.39698964578874218</v>
      </c>
      <c r="J9" s="100">
        <v>8.0002359083651733</v>
      </c>
      <c r="K9" s="100">
        <v>5616.1656076723521</v>
      </c>
      <c r="L9" s="100">
        <v>5.3083491394460927</v>
      </c>
      <c r="M9" s="100">
        <v>3726.4610958911571</v>
      </c>
      <c r="N9" s="100">
        <v>6.1326446604478102</v>
      </c>
      <c r="O9" s="100">
        <v>4305.1165516343626</v>
      </c>
      <c r="P9" s="100">
        <v>7</v>
      </c>
      <c r="Q9" s="100">
        <v>4914</v>
      </c>
      <c r="R9" s="100">
        <v>3.9182437958210765</v>
      </c>
      <c r="S9" s="100">
        <v>2750.6071446663959</v>
      </c>
      <c r="T9" s="100">
        <v>6.4900003334780987</v>
      </c>
      <c r="U9" s="100">
        <v>4555.9802341016257</v>
      </c>
      <c r="V9" s="100">
        <v>4.1511887167010287E-4</v>
      </c>
      <c r="W9" s="100">
        <v>0.29141344791241219</v>
      </c>
      <c r="X9" s="100">
        <v>9.3778445396939336</v>
      </c>
      <c r="Y9" s="100">
        <v>6583.2468668651418</v>
      </c>
      <c r="Z9" s="100">
        <v>8</v>
      </c>
      <c r="AA9" s="100">
        <v>5616</v>
      </c>
      <c r="AB9" s="100">
        <v>5</v>
      </c>
      <c r="AC9" s="100">
        <v>3510</v>
      </c>
      <c r="AD9" s="100">
        <v>4.276149991178988</v>
      </c>
      <c r="AE9" s="100">
        <v>3001.8572938076495</v>
      </c>
      <c r="AF9" s="100">
        <v>5.5571831490482904</v>
      </c>
      <c r="AG9" s="100">
        <v>3901.1425706318996</v>
      </c>
      <c r="AH9" s="100">
        <v>8</v>
      </c>
      <c r="AI9" s="100">
        <v>5616</v>
      </c>
      <c r="AJ9" s="100">
        <v>3.2301770142627655</v>
      </c>
      <c r="AK9" s="100">
        <v>2267.5842640124615</v>
      </c>
      <c r="AL9" s="100">
        <v>7.4736612493114274</v>
      </c>
      <c r="AM9" s="100">
        <v>5246.5101970166224</v>
      </c>
      <c r="AN9" s="100">
        <v>4.8984975362334682</v>
      </c>
      <c r="AO9" s="100">
        <v>3438.7452704358948</v>
      </c>
      <c r="AP9" s="100">
        <v>9</v>
      </c>
      <c r="AQ9" s="100">
        <v>6318</v>
      </c>
      <c r="AR9" s="100">
        <v>6</v>
      </c>
      <c r="AS9" s="100">
        <v>4212</v>
      </c>
      <c r="AT9" s="100">
        <v>3.9660133015293662</v>
      </c>
      <c r="AU9" s="100">
        <v>2784.141337673615</v>
      </c>
      <c r="AV9" s="100">
        <v>6</v>
      </c>
      <c r="AW9" s="100">
        <v>4212</v>
      </c>
      <c r="AX9" s="100">
        <v>6.3452856755139315</v>
      </c>
      <c r="AY9" s="100">
        <v>4454.3905442107798</v>
      </c>
      <c r="AZ9" s="100">
        <v>6</v>
      </c>
      <c r="BA9" s="100">
        <v>4212</v>
      </c>
      <c r="BB9" s="100">
        <v>7</v>
      </c>
      <c r="BC9" s="100">
        <v>4914</v>
      </c>
      <c r="BD9" s="100">
        <v>8</v>
      </c>
      <c r="BE9" s="100">
        <v>5616</v>
      </c>
      <c r="BF9" s="100">
        <v>3.0664486454426383</v>
      </c>
      <c r="BG9" s="100">
        <v>2152.6469491007319</v>
      </c>
      <c r="BH9" s="100">
        <v>5.7601560053187972</v>
      </c>
      <c r="BI9" s="100">
        <v>4043.6295157337959</v>
      </c>
      <c r="BJ9" s="100">
        <v>6</v>
      </c>
      <c r="BK9" s="100">
        <v>4212</v>
      </c>
      <c r="BL9" s="100">
        <v>8</v>
      </c>
      <c r="BM9" s="100">
        <v>5616</v>
      </c>
      <c r="BN9" s="100">
        <v>5</v>
      </c>
      <c r="BO9" s="100">
        <v>3510</v>
      </c>
      <c r="BP9" s="100">
        <v>1.3272768408350104</v>
      </c>
      <c r="BQ9" s="100">
        <v>931.74834226617736</v>
      </c>
      <c r="BR9" s="100">
        <v>9</v>
      </c>
      <c r="BS9" s="100">
        <v>6318</v>
      </c>
      <c r="BT9" s="100">
        <v>9</v>
      </c>
      <c r="BU9" s="100">
        <v>6318</v>
      </c>
      <c r="BV9" s="100">
        <v>5</v>
      </c>
      <c r="BW9" s="100">
        <v>3510</v>
      </c>
      <c r="BX9" s="100">
        <v>1.6162621660298668</v>
      </c>
      <c r="BY9" s="100">
        <v>1134.6160405529665</v>
      </c>
      <c r="BZ9" s="100">
        <v>11</v>
      </c>
      <c r="CA9" s="100">
        <v>7722</v>
      </c>
      <c r="CB9" s="100">
        <v>2.7368097923881436</v>
      </c>
      <c r="CC9" s="100">
        <v>1921.2404742564768</v>
      </c>
      <c r="CD9" s="100">
        <v>9</v>
      </c>
      <c r="CE9" s="100">
        <v>6318</v>
      </c>
      <c r="CF9" s="100">
        <v>5.2426641872486792</v>
      </c>
      <c r="CG9" s="100">
        <v>3680.3502594485726</v>
      </c>
      <c r="CH9" s="100">
        <v>10</v>
      </c>
      <c r="CI9" s="100">
        <v>7020</v>
      </c>
      <c r="CJ9" s="100">
        <v>6</v>
      </c>
      <c r="CK9" s="100">
        <v>4212</v>
      </c>
      <c r="CL9" s="100">
        <v>7</v>
      </c>
      <c r="CM9" s="100">
        <v>4914</v>
      </c>
      <c r="CN9" s="100">
        <v>10</v>
      </c>
      <c r="CO9" s="100">
        <v>7020</v>
      </c>
      <c r="CP9" s="100">
        <v>7.994758330650054</v>
      </c>
      <c r="CQ9" s="100">
        <v>5612.3203481163382</v>
      </c>
      <c r="CR9" s="100">
        <v>6.9118171948132979E-4</v>
      </c>
      <c r="CS9" s="100">
        <v>0.48520956707589352</v>
      </c>
      <c r="CT9" s="100">
        <v>5.2321413312710412</v>
      </c>
      <c r="CU9" s="100">
        <v>3672.963214552271</v>
      </c>
    </row>
    <row r="10" spans="1:99">
      <c r="C10" s="99" t="s">
        <v>176</v>
      </c>
      <c r="D10" s="100">
        <v>6.2872383907287057</v>
      </c>
      <c r="E10" s="100">
        <v>3425.2874752689986</v>
      </c>
      <c r="F10" s="100">
        <v>1.3886314183902113</v>
      </c>
      <c r="G10" s="100">
        <v>756.52639673898705</v>
      </c>
      <c r="H10" s="100">
        <v>5.6551231593837919E-4</v>
      </c>
      <c r="I10" s="100">
        <v>0.30809110972322895</v>
      </c>
      <c r="J10" s="100">
        <v>9.0002359083651733</v>
      </c>
      <c r="K10" s="100">
        <v>4903.3285228773457</v>
      </c>
      <c r="L10" s="100">
        <v>6.1930739960204413</v>
      </c>
      <c r="M10" s="100">
        <v>3373.9867130319362</v>
      </c>
      <c r="N10" s="100">
        <v>6.1326446604478102</v>
      </c>
      <c r="O10" s="100">
        <v>3341.0648110119669</v>
      </c>
      <c r="P10" s="100">
        <v>7</v>
      </c>
      <c r="Q10" s="100">
        <v>3813.5999999999995</v>
      </c>
      <c r="R10" s="100">
        <v>4.7018925549852923</v>
      </c>
      <c r="S10" s="100">
        <v>2561.591063955987</v>
      </c>
      <c r="T10" s="100">
        <v>6.4900003334780987</v>
      </c>
      <c r="U10" s="100">
        <v>3535.7521816788681</v>
      </c>
      <c r="V10" s="100">
        <v>4.1511887167010287E-4</v>
      </c>
      <c r="W10" s="100">
        <v>0.22615676128587203</v>
      </c>
      <c r="X10" s="100">
        <v>8.4417192229073894</v>
      </c>
      <c r="Y10" s="100">
        <v>4599.048632639945</v>
      </c>
      <c r="Z10" s="100">
        <v>8</v>
      </c>
      <c r="AA10" s="100">
        <v>4358.3999999999996</v>
      </c>
      <c r="AB10" s="100">
        <v>5</v>
      </c>
      <c r="AC10" s="100">
        <v>2724</v>
      </c>
      <c r="AD10" s="100">
        <v>4.276149991178988</v>
      </c>
      <c r="AE10" s="100">
        <v>2329.6465151943125</v>
      </c>
      <c r="AF10" s="100">
        <v>5.5571831490482904</v>
      </c>
      <c r="AG10" s="100">
        <v>3027.5533796015084</v>
      </c>
      <c r="AH10" s="100">
        <v>8</v>
      </c>
      <c r="AI10" s="100">
        <v>4358.3999999999996</v>
      </c>
      <c r="AJ10" s="100">
        <v>2.7687231550823701</v>
      </c>
      <c r="AK10" s="100">
        <v>1508.4003748888751</v>
      </c>
      <c r="AL10" s="100">
        <v>7.4736612493114274</v>
      </c>
      <c r="AM10" s="100">
        <v>4071.6506486248654</v>
      </c>
      <c r="AN10" s="100">
        <v>4.8984975362334682</v>
      </c>
      <c r="AO10" s="100">
        <v>2668.7014577399932</v>
      </c>
      <c r="AP10" s="100">
        <v>10</v>
      </c>
      <c r="AQ10" s="100">
        <v>5448</v>
      </c>
      <c r="AR10" s="100">
        <v>7</v>
      </c>
      <c r="AS10" s="100">
        <v>3813.5999999999995</v>
      </c>
      <c r="AT10" s="100">
        <v>3.9660133015293662</v>
      </c>
      <c r="AU10" s="100">
        <v>2160.6840466731983</v>
      </c>
      <c r="AV10" s="100">
        <v>8</v>
      </c>
      <c r="AW10" s="100">
        <v>4358.3999999999996</v>
      </c>
      <c r="AX10" s="100">
        <v>7.1384463849531734</v>
      </c>
      <c r="AY10" s="100">
        <v>3889.0255905224885</v>
      </c>
      <c r="AZ10" s="100">
        <v>7</v>
      </c>
      <c r="BA10" s="100">
        <v>3813.5999999999995</v>
      </c>
      <c r="BB10" s="100">
        <v>8</v>
      </c>
      <c r="BC10" s="100">
        <v>4358.3999999999996</v>
      </c>
      <c r="BD10" s="100">
        <v>8</v>
      </c>
      <c r="BE10" s="100">
        <v>4358.3999999999996</v>
      </c>
      <c r="BF10" s="100">
        <v>2.6283845532365469</v>
      </c>
      <c r="BG10" s="100">
        <v>1431.9439046032705</v>
      </c>
      <c r="BH10" s="100">
        <v>5.7601560053187972</v>
      </c>
      <c r="BI10" s="100">
        <v>3138.1329916976806</v>
      </c>
      <c r="BJ10" s="100">
        <v>5</v>
      </c>
      <c r="BK10" s="100">
        <v>2724</v>
      </c>
      <c r="BL10" s="100">
        <v>8</v>
      </c>
      <c r="BM10" s="100">
        <v>4358.3999999999996</v>
      </c>
      <c r="BN10" s="100">
        <v>5</v>
      </c>
      <c r="BO10" s="100">
        <v>2724</v>
      </c>
      <c r="BP10" s="100">
        <v>1.4747520453722338</v>
      </c>
      <c r="BQ10" s="100">
        <v>803.44491431879294</v>
      </c>
      <c r="BR10" s="100">
        <v>9</v>
      </c>
      <c r="BS10" s="100">
        <v>4903.2</v>
      </c>
      <c r="BT10" s="100">
        <v>8</v>
      </c>
      <c r="BU10" s="100">
        <v>4358.3999999999996</v>
      </c>
      <c r="BV10" s="100">
        <v>6</v>
      </c>
      <c r="BW10" s="100">
        <v>3268.7999999999997</v>
      </c>
      <c r="BX10" s="100">
        <v>1.6162621660298668</v>
      </c>
      <c r="BY10" s="100">
        <v>880.5396280530714</v>
      </c>
      <c r="BZ10" s="100">
        <v>10</v>
      </c>
      <c r="CA10" s="100">
        <v>5448</v>
      </c>
      <c r="CB10" s="100">
        <v>3.1277826198721641</v>
      </c>
      <c r="CC10" s="100">
        <v>1704.0159713063549</v>
      </c>
      <c r="CD10" s="100">
        <v>8</v>
      </c>
      <c r="CE10" s="100">
        <v>4358.3999999999996</v>
      </c>
      <c r="CF10" s="100">
        <v>5.8251824302763096</v>
      </c>
      <c r="CG10" s="100">
        <v>3173.5593880145334</v>
      </c>
      <c r="CH10" s="100">
        <v>10</v>
      </c>
      <c r="CI10" s="100">
        <v>5448</v>
      </c>
      <c r="CJ10" s="100">
        <v>6</v>
      </c>
      <c r="CK10" s="100">
        <v>3268.7999999999997</v>
      </c>
      <c r="CL10" s="100">
        <v>7</v>
      </c>
      <c r="CM10" s="100">
        <v>3813.5999999999995</v>
      </c>
      <c r="CN10" s="100">
        <v>10</v>
      </c>
      <c r="CO10" s="100">
        <v>5448</v>
      </c>
      <c r="CP10" s="100">
        <v>7.994758330650054</v>
      </c>
      <c r="CQ10" s="100">
        <v>4355.5443385381486</v>
      </c>
      <c r="CR10" s="100">
        <v>6.9118171948132979E-4</v>
      </c>
      <c r="CS10" s="100">
        <v>0.37655580077342843</v>
      </c>
      <c r="CT10" s="100">
        <v>6.1041648864828817</v>
      </c>
      <c r="CU10" s="100">
        <v>3325.5490301558739</v>
      </c>
    </row>
    <row r="11" spans="1:99">
      <c r="C11" s="99" t="s">
        <v>177</v>
      </c>
      <c r="D11" s="100">
        <v>6.2872383907287057</v>
      </c>
      <c r="E11" s="100">
        <v>3349.8406145802542</v>
      </c>
      <c r="F11" s="100">
        <v>1.4141127346543447</v>
      </c>
      <c r="G11" s="100">
        <v>753.43926502383476</v>
      </c>
      <c r="H11" s="100">
        <v>5.6551231593837919E-4</v>
      </c>
      <c r="I11" s="100">
        <v>0.30130496193196843</v>
      </c>
      <c r="J11" s="100">
        <v>9.0002359083651733</v>
      </c>
      <c r="K11" s="100">
        <v>4795.3256919769638</v>
      </c>
      <c r="L11" s="100">
        <v>6.1930739960204413</v>
      </c>
      <c r="M11" s="100">
        <v>3299.6698250796908</v>
      </c>
      <c r="N11" s="100">
        <v>6.1326446604478102</v>
      </c>
      <c r="O11" s="100">
        <v>3267.4730750865929</v>
      </c>
      <c r="P11" s="100">
        <v>8</v>
      </c>
      <c r="Q11" s="100">
        <v>4262.3999999999996</v>
      </c>
      <c r="R11" s="100">
        <v>3.9182437958210765</v>
      </c>
      <c r="S11" s="100">
        <v>2087.6402944134693</v>
      </c>
      <c r="T11" s="100">
        <v>6.4900003334780987</v>
      </c>
      <c r="U11" s="100">
        <v>3457.8721776771308</v>
      </c>
      <c r="V11" s="100">
        <v>4.1511887167010287E-4</v>
      </c>
      <c r="W11" s="100">
        <v>0.22117533482583079</v>
      </c>
      <c r="X11" s="100">
        <v>7.5032237101453463</v>
      </c>
      <c r="Y11" s="100">
        <v>3997.7175927654403</v>
      </c>
      <c r="Z11" s="100">
        <v>9</v>
      </c>
      <c r="AA11" s="100">
        <v>4795.2</v>
      </c>
      <c r="AB11" s="100">
        <v>6</v>
      </c>
      <c r="AC11" s="100">
        <v>3196.7999999999997</v>
      </c>
      <c r="AD11" s="100">
        <v>3.6652714210105612</v>
      </c>
      <c r="AE11" s="100">
        <v>1952.8566131144269</v>
      </c>
      <c r="AF11" s="100">
        <v>6.1746479433869901</v>
      </c>
      <c r="AG11" s="100">
        <v>3289.8524242365879</v>
      </c>
      <c r="AH11" s="100">
        <v>8</v>
      </c>
      <c r="AI11" s="100">
        <v>4262.3999999999996</v>
      </c>
      <c r="AJ11" s="100">
        <v>3.2301770142627655</v>
      </c>
      <c r="AK11" s="100">
        <v>1721.0383131992014</v>
      </c>
      <c r="AL11" s="100">
        <v>7.4736612493114274</v>
      </c>
      <c r="AM11" s="100">
        <v>3981.9667136331282</v>
      </c>
      <c r="AN11" s="100">
        <v>5.8781970434801618</v>
      </c>
      <c r="AO11" s="100">
        <v>3131.9033847662299</v>
      </c>
      <c r="AP11" s="100">
        <v>10</v>
      </c>
      <c r="AQ11" s="100">
        <v>5328</v>
      </c>
      <c r="AR11" s="100">
        <v>7</v>
      </c>
      <c r="AS11" s="100">
        <v>3729.5999999999995</v>
      </c>
      <c r="AT11" s="100">
        <v>4.5325866303192752</v>
      </c>
      <c r="AU11" s="100">
        <v>2414.9621566341098</v>
      </c>
      <c r="AV11" s="100">
        <v>8</v>
      </c>
      <c r="AW11" s="100">
        <v>4262.3999999999996</v>
      </c>
      <c r="AX11" s="100">
        <v>6.3452856755139315</v>
      </c>
      <c r="AY11" s="100">
        <v>3380.7682079138226</v>
      </c>
      <c r="AZ11" s="100">
        <v>6</v>
      </c>
      <c r="BA11" s="100">
        <v>3196.7999999999997</v>
      </c>
      <c r="BB11" s="100">
        <v>7</v>
      </c>
      <c r="BC11" s="100">
        <v>3729.5999999999995</v>
      </c>
      <c r="BD11" s="100">
        <v>8</v>
      </c>
      <c r="BE11" s="100">
        <v>4262.3999999999996</v>
      </c>
      <c r="BF11" s="100">
        <v>2.6283845532365469</v>
      </c>
      <c r="BG11" s="100">
        <v>1400.4032899644321</v>
      </c>
      <c r="BH11" s="100">
        <v>5.0401365046539475</v>
      </c>
      <c r="BI11" s="100">
        <v>2685.384729679623</v>
      </c>
      <c r="BJ11" s="100">
        <v>6</v>
      </c>
      <c r="BK11" s="100">
        <v>3196.7999999999997</v>
      </c>
      <c r="BL11" s="100">
        <v>9</v>
      </c>
      <c r="BM11" s="100">
        <v>4795.2</v>
      </c>
      <c r="BN11" s="100">
        <v>5</v>
      </c>
      <c r="BO11" s="100">
        <v>2664</v>
      </c>
      <c r="BP11" s="100">
        <v>1.3272768408350104</v>
      </c>
      <c r="BQ11" s="100">
        <v>707.17310079689344</v>
      </c>
      <c r="BR11" s="100">
        <v>9</v>
      </c>
      <c r="BS11" s="100">
        <v>4795.2</v>
      </c>
      <c r="BT11" s="100">
        <v>10</v>
      </c>
      <c r="BU11" s="100">
        <v>5328</v>
      </c>
      <c r="BV11" s="100">
        <v>6</v>
      </c>
      <c r="BW11" s="100">
        <v>3196.7999999999997</v>
      </c>
      <c r="BX11" s="100">
        <v>1.8471567611769908</v>
      </c>
      <c r="BY11" s="100">
        <v>984.16512235510061</v>
      </c>
      <c r="BZ11" s="100">
        <v>11</v>
      </c>
      <c r="CA11" s="100">
        <v>5860.7999999999993</v>
      </c>
      <c r="CB11" s="100">
        <v>3.5187554473561846</v>
      </c>
      <c r="CC11" s="100">
        <v>1874.792902351375</v>
      </c>
      <c r="CD11" s="100">
        <v>9</v>
      </c>
      <c r="CE11" s="100">
        <v>4795.2</v>
      </c>
      <c r="CF11" s="100">
        <v>5.2426641872486792</v>
      </c>
      <c r="CG11" s="100">
        <v>2793.2914789660958</v>
      </c>
      <c r="CH11" s="100">
        <v>9</v>
      </c>
      <c r="CI11" s="100">
        <v>4795.2</v>
      </c>
      <c r="CJ11" s="100">
        <v>6</v>
      </c>
      <c r="CK11" s="100">
        <v>3196.7999999999997</v>
      </c>
      <c r="CL11" s="100">
        <v>8</v>
      </c>
      <c r="CM11" s="100">
        <v>4262.3999999999996</v>
      </c>
      <c r="CN11" s="100">
        <v>11</v>
      </c>
      <c r="CO11" s="100">
        <v>5860.7999999999993</v>
      </c>
      <c r="CP11" s="100">
        <v>7.994758330650054</v>
      </c>
      <c r="CQ11" s="100">
        <v>4259.6072385703483</v>
      </c>
      <c r="CR11" s="100">
        <v>6.2834701771029983E-4</v>
      </c>
      <c r="CS11" s="100">
        <v>0.3347832910360477</v>
      </c>
      <c r="CT11" s="100">
        <v>4.3601177760592016</v>
      </c>
      <c r="CU11" s="100">
        <v>2323.0707510843422</v>
      </c>
    </row>
    <row r="12" spans="1:99">
      <c r="C12" s="99" t="s">
        <v>178</v>
      </c>
      <c r="D12" s="100">
        <v>7.2872383907287057</v>
      </c>
      <c r="E12" s="100">
        <v>4101.2577663021157</v>
      </c>
      <c r="F12" s="100">
        <v>1.4141127346543447</v>
      </c>
      <c r="G12" s="100">
        <v>795.86264706346515</v>
      </c>
      <c r="H12" s="100">
        <v>6.5976436859477565E-4</v>
      </c>
      <c r="I12" s="100">
        <v>0.37131538664513969</v>
      </c>
      <c r="J12" s="100">
        <v>9.0002359083651733</v>
      </c>
      <c r="K12" s="100">
        <v>5065.332769227919</v>
      </c>
      <c r="L12" s="100">
        <v>6.1930739960204413</v>
      </c>
      <c r="M12" s="100">
        <v>3485.462044960304</v>
      </c>
      <c r="N12" s="100">
        <v>6.1326446604478102</v>
      </c>
      <c r="O12" s="100">
        <v>3451.4524149000272</v>
      </c>
      <c r="P12" s="100">
        <v>7</v>
      </c>
      <c r="Q12" s="100">
        <v>3939.5999999999995</v>
      </c>
      <c r="R12" s="100">
        <v>4.7018925549852923</v>
      </c>
      <c r="S12" s="100">
        <v>2646.2251299457225</v>
      </c>
      <c r="T12" s="100">
        <v>6.4900003334780987</v>
      </c>
      <c r="U12" s="100">
        <v>3652.5721876814737</v>
      </c>
      <c r="V12" s="100">
        <v>4.1511887167010287E-4</v>
      </c>
      <c r="W12" s="100">
        <v>0.23362890097593389</v>
      </c>
      <c r="X12" s="100">
        <v>9.3754743437184374</v>
      </c>
      <c r="Y12" s="100">
        <v>5276.5169606447362</v>
      </c>
      <c r="Z12" s="100">
        <v>8</v>
      </c>
      <c r="AA12" s="100">
        <v>4502.3999999999996</v>
      </c>
      <c r="AB12" s="100">
        <v>5</v>
      </c>
      <c r="AC12" s="100">
        <v>2814</v>
      </c>
      <c r="AD12" s="100">
        <v>3.6652714210105612</v>
      </c>
      <c r="AE12" s="100">
        <v>2062.8147557447437</v>
      </c>
      <c r="AF12" s="100">
        <v>5.5571831490482904</v>
      </c>
      <c r="AG12" s="100">
        <v>3127.5826762843776</v>
      </c>
      <c r="AH12" s="100">
        <v>9</v>
      </c>
      <c r="AI12" s="100">
        <v>5065.2</v>
      </c>
      <c r="AJ12" s="100">
        <v>3.2301770142627655</v>
      </c>
      <c r="AK12" s="100">
        <v>1817.9436236270842</v>
      </c>
      <c r="AL12" s="100">
        <v>8.4078689054753557</v>
      </c>
      <c r="AM12" s="100">
        <v>4731.9486200015299</v>
      </c>
      <c r="AN12" s="100">
        <v>4.8984975362334682</v>
      </c>
      <c r="AO12" s="100">
        <v>2756.8744133921955</v>
      </c>
      <c r="AP12" s="100">
        <v>10</v>
      </c>
      <c r="AQ12" s="100">
        <v>5628</v>
      </c>
      <c r="AR12" s="100">
        <v>7</v>
      </c>
      <c r="AS12" s="100">
        <v>3939.5999999999995</v>
      </c>
      <c r="AT12" s="100">
        <v>4.5325866303192752</v>
      </c>
      <c r="AU12" s="100">
        <v>2550.9397555436881</v>
      </c>
      <c r="AV12" s="100">
        <v>7</v>
      </c>
      <c r="AW12" s="100">
        <v>3939.5999999999995</v>
      </c>
      <c r="AX12" s="100">
        <v>6.3452856755139315</v>
      </c>
      <c r="AY12" s="100">
        <v>3571.1267781792403</v>
      </c>
      <c r="AZ12" s="100">
        <v>7</v>
      </c>
      <c r="BA12" s="100">
        <v>3939.5999999999995</v>
      </c>
      <c r="BB12" s="100">
        <v>8</v>
      </c>
      <c r="BC12" s="100">
        <v>4502.3999999999996</v>
      </c>
      <c r="BD12" s="100">
        <v>8</v>
      </c>
      <c r="BE12" s="100">
        <v>4502.3999999999996</v>
      </c>
      <c r="BF12" s="100">
        <v>3.0664486454426383</v>
      </c>
      <c r="BG12" s="100">
        <v>1725.7972976551166</v>
      </c>
      <c r="BH12" s="100">
        <v>5.7601560053187972</v>
      </c>
      <c r="BI12" s="100">
        <v>3241.815799793419</v>
      </c>
      <c r="BJ12" s="100">
        <v>6</v>
      </c>
      <c r="BK12" s="100">
        <v>3376.7999999999997</v>
      </c>
      <c r="BL12" s="100">
        <v>8</v>
      </c>
      <c r="BM12" s="100">
        <v>4502.3999999999996</v>
      </c>
      <c r="BN12" s="100">
        <v>6</v>
      </c>
      <c r="BO12" s="100">
        <v>3376.7999999999997</v>
      </c>
      <c r="BP12" s="100">
        <v>1.4747520453722338</v>
      </c>
      <c r="BQ12" s="100">
        <v>829.99045113549312</v>
      </c>
      <c r="BR12" s="100">
        <v>10</v>
      </c>
      <c r="BS12" s="100">
        <v>5628</v>
      </c>
      <c r="BT12" s="100">
        <v>10</v>
      </c>
      <c r="BU12" s="100">
        <v>5628</v>
      </c>
      <c r="BV12" s="100">
        <v>5</v>
      </c>
      <c r="BW12" s="100">
        <v>2814</v>
      </c>
      <c r="BX12" s="100">
        <v>1.8471567611769908</v>
      </c>
      <c r="BY12" s="100">
        <v>1039.5798251904102</v>
      </c>
      <c r="BZ12" s="100">
        <v>10</v>
      </c>
      <c r="CA12" s="100">
        <v>5628</v>
      </c>
      <c r="CB12" s="100">
        <v>3.1277826198721641</v>
      </c>
      <c r="CC12" s="100">
        <v>1760.3160584640539</v>
      </c>
      <c r="CD12" s="100">
        <v>9</v>
      </c>
      <c r="CE12" s="100">
        <v>5065.2</v>
      </c>
      <c r="CF12" s="100">
        <v>5.2426641872486792</v>
      </c>
      <c r="CG12" s="100">
        <v>2950.5714045835566</v>
      </c>
      <c r="CH12" s="100">
        <v>10</v>
      </c>
      <c r="CI12" s="100">
        <v>5628</v>
      </c>
      <c r="CJ12" s="100">
        <v>6</v>
      </c>
      <c r="CK12" s="100">
        <v>3376.7999999999997</v>
      </c>
      <c r="CL12" s="100">
        <v>9</v>
      </c>
      <c r="CM12" s="100">
        <v>5065.2</v>
      </c>
      <c r="CN12" s="100">
        <v>11</v>
      </c>
      <c r="CO12" s="100">
        <v>6190.7999999999993</v>
      </c>
      <c r="CP12" s="100">
        <v>8.9941031219813112</v>
      </c>
      <c r="CQ12" s="100">
        <v>5061.8812370510814</v>
      </c>
      <c r="CR12" s="100">
        <v>6.9118171948132979E-4</v>
      </c>
      <c r="CS12" s="100">
        <v>0.38899707172409237</v>
      </c>
      <c r="CT12" s="100">
        <v>5.2321413312710412</v>
      </c>
      <c r="CU12" s="100">
        <v>2944.6491412393416</v>
      </c>
    </row>
    <row r="13" spans="1:99">
      <c r="C13" s="99" t="s">
        <v>179</v>
      </c>
      <c r="D13" s="100">
        <v>7.2872383907287057</v>
      </c>
      <c r="E13" s="100">
        <v>620.87271089008573</v>
      </c>
      <c r="F13" s="100">
        <v>1.4013720765222781</v>
      </c>
      <c r="G13" s="100">
        <v>119.3969009196981</v>
      </c>
      <c r="H13" s="100">
        <v>5.6551231593837919E-4</v>
      </c>
      <c r="I13" s="100">
        <v>4.8181649317949909E-2</v>
      </c>
      <c r="J13" s="100">
        <v>9.0002359083651733</v>
      </c>
      <c r="K13" s="100">
        <v>766.82009939271279</v>
      </c>
      <c r="L13" s="100">
        <v>7.0777988525947899</v>
      </c>
      <c r="M13" s="100">
        <v>603.02846224107611</v>
      </c>
      <c r="N13" s="100">
        <v>7.0087367547974972</v>
      </c>
      <c r="O13" s="100">
        <v>597.14437150874676</v>
      </c>
      <c r="P13" s="100">
        <v>8</v>
      </c>
      <c r="Q13" s="100">
        <v>681.6</v>
      </c>
      <c r="R13" s="100">
        <v>4.7018925549852923</v>
      </c>
      <c r="S13" s="100">
        <v>400.60124568474691</v>
      </c>
      <c r="T13" s="100">
        <v>6.4900003334780987</v>
      </c>
      <c r="U13" s="100">
        <v>552.948028412334</v>
      </c>
      <c r="V13" s="100">
        <v>4.1511887167010287E-4</v>
      </c>
      <c r="W13" s="100">
        <v>3.5368127866292766E-2</v>
      </c>
      <c r="X13" s="100">
        <v>8.4417192229073894</v>
      </c>
      <c r="Y13" s="100">
        <v>719.23447779170965</v>
      </c>
      <c r="Z13" s="100">
        <v>8</v>
      </c>
      <c r="AA13" s="100">
        <v>681.6</v>
      </c>
      <c r="AB13" s="100">
        <v>5</v>
      </c>
      <c r="AC13" s="100">
        <v>426</v>
      </c>
      <c r="AD13" s="100">
        <v>4.8870285613474147</v>
      </c>
      <c r="AE13" s="100">
        <v>416.37483342679974</v>
      </c>
      <c r="AF13" s="100">
        <v>6.1746479433869901</v>
      </c>
      <c r="AG13" s="100">
        <v>526.08000477657163</v>
      </c>
      <c r="AH13" s="100">
        <v>9</v>
      </c>
      <c r="AI13" s="100">
        <v>766.80000000000007</v>
      </c>
      <c r="AJ13" s="100">
        <v>3.2301770142627655</v>
      </c>
      <c r="AK13" s="100">
        <v>275.21108161518765</v>
      </c>
      <c r="AL13" s="100">
        <v>8.4078689054753557</v>
      </c>
      <c r="AM13" s="100">
        <v>716.35043074650036</v>
      </c>
      <c r="AN13" s="100">
        <v>4.8984975362334682</v>
      </c>
      <c r="AO13" s="100">
        <v>417.35199008709151</v>
      </c>
      <c r="AP13" s="100">
        <v>10</v>
      </c>
      <c r="AQ13" s="100">
        <v>852</v>
      </c>
      <c r="AR13" s="100">
        <v>6</v>
      </c>
      <c r="AS13" s="100">
        <v>511.20000000000005</v>
      </c>
      <c r="AT13" s="100">
        <v>4.5325866303192752</v>
      </c>
      <c r="AU13" s="100">
        <v>386.17638090320224</v>
      </c>
      <c r="AV13" s="100">
        <v>7</v>
      </c>
      <c r="AW13" s="100">
        <v>596.4</v>
      </c>
      <c r="AX13" s="100">
        <v>6.3452856755139315</v>
      </c>
      <c r="AY13" s="100">
        <v>540.618339553787</v>
      </c>
      <c r="AZ13" s="100">
        <v>7</v>
      </c>
      <c r="BA13" s="100">
        <v>596.4</v>
      </c>
      <c r="BB13" s="100">
        <v>7</v>
      </c>
      <c r="BC13" s="100">
        <v>596.4</v>
      </c>
      <c r="BD13" s="100">
        <v>8</v>
      </c>
      <c r="BE13" s="100">
        <v>681.6</v>
      </c>
      <c r="BF13" s="100">
        <v>3.0664486454426383</v>
      </c>
      <c r="BG13" s="100">
        <v>261.2614245917128</v>
      </c>
      <c r="BH13" s="100">
        <v>5.7601560053187972</v>
      </c>
      <c r="BI13" s="100">
        <v>490.76529165316157</v>
      </c>
      <c r="BJ13" s="100">
        <v>6</v>
      </c>
      <c r="BK13" s="100">
        <v>511.20000000000005</v>
      </c>
      <c r="BL13" s="100">
        <v>9</v>
      </c>
      <c r="BM13" s="100">
        <v>766.80000000000007</v>
      </c>
      <c r="BN13" s="100">
        <v>5</v>
      </c>
      <c r="BO13" s="100">
        <v>426</v>
      </c>
      <c r="BP13" s="100">
        <v>1.4747520453722338</v>
      </c>
      <c r="BQ13" s="100">
        <v>125.64887426571433</v>
      </c>
      <c r="BR13" s="100">
        <v>10</v>
      </c>
      <c r="BS13" s="100">
        <v>852</v>
      </c>
      <c r="BT13" s="100">
        <v>9</v>
      </c>
      <c r="BU13" s="100">
        <v>766.80000000000007</v>
      </c>
      <c r="BV13" s="100">
        <v>6</v>
      </c>
      <c r="BW13" s="100">
        <v>511.20000000000005</v>
      </c>
      <c r="BX13" s="100">
        <v>1.8471567611769908</v>
      </c>
      <c r="BY13" s="100">
        <v>157.37775605227961</v>
      </c>
      <c r="BZ13" s="100">
        <v>10</v>
      </c>
      <c r="CA13" s="100">
        <v>852</v>
      </c>
      <c r="CB13" s="100">
        <v>3.5187554473561846</v>
      </c>
      <c r="CC13" s="100">
        <v>299.79796411474695</v>
      </c>
      <c r="CD13" s="100">
        <v>9</v>
      </c>
      <c r="CE13" s="100">
        <v>766.80000000000007</v>
      </c>
      <c r="CF13" s="100">
        <v>5.8251824302763096</v>
      </c>
      <c r="CG13" s="100">
        <v>496.30554305954161</v>
      </c>
      <c r="CH13" s="100">
        <v>11</v>
      </c>
      <c r="CI13" s="100">
        <v>937.2</v>
      </c>
      <c r="CJ13" s="100">
        <v>6</v>
      </c>
      <c r="CK13" s="100">
        <v>511.20000000000005</v>
      </c>
      <c r="CL13" s="100">
        <v>9</v>
      </c>
      <c r="CM13" s="100">
        <v>766.80000000000007</v>
      </c>
      <c r="CN13" s="100">
        <v>11</v>
      </c>
      <c r="CO13" s="100">
        <v>937.2</v>
      </c>
      <c r="CP13" s="100">
        <v>9.9934479133125667</v>
      </c>
      <c r="CQ13" s="100">
        <v>851.44176221423072</v>
      </c>
      <c r="CR13" s="100">
        <v>6.9118171948132979E-4</v>
      </c>
      <c r="CS13" s="100">
        <v>5.8888682499809303E-2</v>
      </c>
      <c r="CT13" s="100">
        <v>5.2321413312710412</v>
      </c>
      <c r="CU13" s="100">
        <v>445.77844142429274</v>
      </c>
    </row>
    <row r="14" spans="1:99">
      <c r="C14" s="99" t="s">
        <v>180</v>
      </c>
      <c r="D14" s="100">
        <v>6.2872383907287057</v>
      </c>
      <c r="E14" s="100">
        <v>3070.6872300318996</v>
      </c>
      <c r="F14" s="100">
        <v>1.4141127346543447</v>
      </c>
      <c r="G14" s="100">
        <v>690.65265960518195</v>
      </c>
      <c r="H14" s="100">
        <v>5.6551231593837919E-4</v>
      </c>
      <c r="I14" s="100">
        <v>0.27619621510430437</v>
      </c>
      <c r="J14" s="100">
        <v>9.0002359083651733</v>
      </c>
      <c r="K14" s="100">
        <v>4395.7152176455502</v>
      </c>
      <c r="L14" s="100">
        <v>5.3083491394460927</v>
      </c>
      <c r="M14" s="100">
        <v>2592.5977197054717</v>
      </c>
      <c r="N14" s="100">
        <v>6.1326446604478102</v>
      </c>
      <c r="O14" s="100">
        <v>2995.1836521627106</v>
      </c>
      <c r="P14" s="100">
        <v>7</v>
      </c>
      <c r="Q14" s="100">
        <v>3418.7999999999997</v>
      </c>
      <c r="R14" s="100">
        <v>3.9182437958210765</v>
      </c>
      <c r="S14" s="100">
        <v>1913.6702698790136</v>
      </c>
      <c r="T14" s="100">
        <v>6.4900003334780987</v>
      </c>
      <c r="U14" s="100">
        <v>3169.7161628707031</v>
      </c>
      <c r="V14" s="100">
        <v>4.1511887167010287E-4</v>
      </c>
      <c r="W14" s="100">
        <v>0.20274405692367822</v>
      </c>
      <c r="X14" s="100">
        <v>8.4393490269318914</v>
      </c>
      <c r="Y14" s="100">
        <v>4121.7780647535355</v>
      </c>
      <c r="Z14" s="100">
        <v>7</v>
      </c>
      <c r="AA14" s="100">
        <v>3418.7999999999997</v>
      </c>
      <c r="AB14" s="100">
        <v>5</v>
      </c>
      <c r="AC14" s="100">
        <v>2442</v>
      </c>
      <c r="AD14" s="100">
        <v>4.276149991178988</v>
      </c>
      <c r="AE14" s="100">
        <v>2088.4716556918174</v>
      </c>
      <c r="AF14" s="100">
        <v>6.1746479433869901</v>
      </c>
      <c r="AG14" s="100">
        <v>3015.6980555502059</v>
      </c>
      <c r="AH14" s="100">
        <v>9</v>
      </c>
      <c r="AI14" s="100">
        <v>4395.5999999999995</v>
      </c>
      <c r="AJ14" s="100">
        <v>3.2301770142627655</v>
      </c>
      <c r="AK14" s="100">
        <v>1577.6184537659346</v>
      </c>
      <c r="AL14" s="100">
        <v>7.4736612493114274</v>
      </c>
      <c r="AM14" s="100">
        <v>3650.1361541637011</v>
      </c>
      <c r="AN14" s="100">
        <v>4.8984975362334682</v>
      </c>
      <c r="AO14" s="100">
        <v>2392.4261966964259</v>
      </c>
      <c r="AP14" s="100">
        <v>10</v>
      </c>
      <c r="AQ14" s="100">
        <v>4884</v>
      </c>
      <c r="AR14" s="100">
        <v>7</v>
      </c>
      <c r="AS14" s="100">
        <v>3418.7999999999997</v>
      </c>
      <c r="AT14" s="100">
        <v>4.5325866303192752</v>
      </c>
      <c r="AU14" s="100">
        <v>2213.7153102479338</v>
      </c>
      <c r="AV14" s="100">
        <v>8</v>
      </c>
      <c r="AW14" s="100">
        <v>3907.2</v>
      </c>
      <c r="AX14" s="100">
        <v>6.3452856755139315</v>
      </c>
      <c r="AY14" s="100">
        <v>3099.0375239210039</v>
      </c>
      <c r="AZ14" s="100">
        <v>6</v>
      </c>
      <c r="BA14" s="100">
        <v>2930.3999999999996</v>
      </c>
      <c r="BB14" s="100">
        <v>8</v>
      </c>
      <c r="BC14" s="100">
        <v>3907.2</v>
      </c>
      <c r="BD14" s="100">
        <v>7</v>
      </c>
      <c r="BE14" s="100">
        <v>3418.7999999999997</v>
      </c>
      <c r="BF14" s="100">
        <v>2.6283845532365469</v>
      </c>
      <c r="BG14" s="100">
        <v>1283.7030158007294</v>
      </c>
      <c r="BH14" s="100">
        <v>5.0401365046539475</v>
      </c>
      <c r="BI14" s="100">
        <v>2461.602668872988</v>
      </c>
      <c r="BJ14" s="100">
        <v>6</v>
      </c>
      <c r="BK14" s="100">
        <v>2930.3999999999996</v>
      </c>
      <c r="BL14" s="100">
        <v>8</v>
      </c>
      <c r="BM14" s="100">
        <v>3907.2</v>
      </c>
      <c r="BN14" s="100">
        <v>5</v>
      </c>
      <c r="BO14" s="100">
        <v>2442</v>
      </c>
      <c r="BP14" s="100">
        <v>1.3272768408350104</v>
      </c>
      <c r="BQ14" s="100">
        <v>648.24200906381907</v>
      </c>
      <c r="BR14" s="100">
        <v>9</v>
      </c>
      <c r="BS14" s="100">
        <v>4395.5999999999995</v>
      </c>
      <c r="BT14" s="100">
        <v>10</v>
      </c>
      <c r="BU14" s="100">
        <v>4884</v>
      </c>
      <c r="BV14" s="100">
        <v>6</v>
      </c>
      <c r="BW14" s="100">
        <v>2930.3999999999996</v>
      </c>
      <c r="BX14" s="100">
        <v>1.6162621660298668</v>
      </c>
      <c r="BY14" s="100">
        <v>789.38244188898693</v>
      </c>
      <c r="BZ14" s="100">
        <v>12</v>
      </c>
      <c r="CA14" s="100">
        <v>5860.7999999999993</v>
      </c>
      <c r="CB14" s="100">
        <v>3.1277826198721641</v>
      </c>
      <c r="CC14" s="100">
        <v>1527.6090315455649</v>
      </c>
      <c r="CD14" s="100">
        <v>9</v>
      </c>
      <c r="CE14" s="100">
        <v>4395.5999999999995</v>
      </c>
      <c r="CF14" s="100">
        <v>5.2426641872486792</v>
      </c>
      <c r="CG14" s="100">
        <v>2560.5171890522547</v>
      </c>
      <c r="CH14" s="100">
        <v>10</v>
      </c>
      <c r="CI14" s="100">
        <v>4884</v>
      </c>
      <c r="CJ14" s="100">
        <v>6</v>
      </c>
      <c r="CK14" s="100">
        <v>2930.3999999999996</v>
      </c>
      <c r="CL14" s="100">
        <v>8</v>
      </c>
      <c r="CM14" s="100">
        <v>3907.2</v>
      </c>
      <c r="CN14" s="100">
        <v>10</v>
      </c>
      <c r="CO14" s="100">
        <v>4884</v>
      </c>
      <c r="CP14" s="100">
        <v>8.9941031219813112</v>
      </c>
      <c r="CQ14" s="100">
        <v>4392.7199647756725</v>
      </c>
      <c r="CR14" s="100">
        <v>7.5401642125235975E-4</v>
      </c>
      <c r="CS14" s="100">
        <v>0.36826162013965247</v>
      </c>
      <c r="CT14" s="100">
        <v>5.2321413312710412</v>
      </c>
      <c r="CU14" s="100">
        <v>2555.3778261927764</v>
      </c>
    </row>
    <row r="15" spans="1:99">
      <c r="C15" s="99" t="s">
        <v>181</v>
      </c>
      <c r="D15" s="100">
        <v>7.2872383907287057</v>
      </c>
      <c r="E15" s="100">
        <v>5561.620339804148</v>
      </c>
      <c r="F15" s="100">
        <v>1.4141127346543447</v>
      </c>
      <c r="G15" s="100">
        <v>1079.2508390881958</v>
      </c>
      <c r="H15" s="100">
        <v>5.6551231593837919E-4</v>
      </c>
      <c r="I15" s="100">
        <v>0.43159899952417097</v>
      </c>
      <c r="J15" s="100">
        <v>8.0002359083651733</v>
      </c>
      <c r="K15" s="100">
        <v>6105.7800452642996</v>
      </c>
      <c r="L15" s="100">
        <v>5.3083491394460927</v>
      </c>
      <c r="M15" s="100">
        <v>4051.3320632252576</v>
      </c>
      <c r="N15" s="100">
        <v>6.1326446604478102</v>
      </c>
      <c r="O15" s="100">
        <v>4680.4344048537687</v>
      </c>
      <c r="P15" s="100">
        <v>8</v>
      </c>
      <c r="Q15" s="100">
        <v>6105.5999999999995</v>
      </c>
      <c r="R15" s="100">
        <v>4.7018925549852923</v>
      </c>
      <c r="S15" s="100">
        <v>3588.4843979647749</v>
      </c>
      <c r="T15" s="100">
        <v>5.6787502917933361</v>
      </c>
      <c r="U15" s="100">
        <v>4334.0222226966735</v>
      </c>
      <c r="V15" s="100">
        <v>4.1511887167010287E-4</v>
      </c>
      <c r="W15" s="100">
        <v>0.3168187228586225</v>
      </c>
      <c r="X15" s="100">
        <v>7.5032237101453463</v>
      </c>
      <c r="Y15" s="100">
        <v>5726.4603355829277</v>
      </c>
      <c r="Z15" s="100">
        <v>7</v>
      </c>
      <c r="AA15" s="100">
        <v>5342.4</v>
      </c>
      <c r="AB15" s="100">
        <v>5</v>
      </c>
      <c r="AC15" s="100">
        <v>3815.9999999999995</v>
      </c>
      <c r="AD15" s="100">
        <v>3.6652714210105612</v>
      </c>
      <c r="AE15" s="100">
        <v>2797.3351485152602</v>
      </c>
      <c r="AF15" s="100">
        <v>6.1746479433869901</v>
      </c>
      <c r="AG15" s="100">
        <v>4712.4913103929503</v>
      </c>
      <c r="AH15" s="100">
        <v>8</v>
      </c>
      <c r="AI15" s="100">
        <v>6105.5999999999995</v>
      </c>
      <c r="AJ15" s="100">
        <v>2.7687231550823701</v>
      </c>
      <c r="AK15" s="100">
        <v>2113.0895119588645</v>
      </c>
      <c r="AL15" s="100">
        <v>8.4078689054753557</v>
      </c>
      <c r="AM15" s="100">
        <v>6416.8855486587909</v>
      </c>
      <c r="AN15" s="100">
        <v>4.8984975362334682</v>
      </c>
      <c r="AO15" s="100">
        <v>3738.5333196533825</v>
      </c>
      <c r="AP15" s="100">
        <v>9</v>
      </c>
      <c r="AQ15" s="100">
        <v>6868.7999999999993</v>
      </c>
      <c r="AR15" s="100">
        <v>6</v>
      </c>
      <c r="AS15" s="100">
        <v>4579.2</v>
      </c>
      <c r="AT15" s="100">
        <v>4.5325866303192752</v>
      </c>
      <c r="AU15" s="100">
        <v>3459.2701162596704</v>
      </c>
      <c r="AV15" s="100">
        <v>6</v>
      </c>
      <c r="AW15" s="100">
        <v>4579.2</v>
      </c>
      <c r="AX15" s="100">
        <v>6.3452856755139315</v>
      </c>
      <c r="AY15" s="100">
        <v>4842.7220275522322</v>
      </c>
      <c r="AZ15" s="100">
        <v>5</v>
      </c>
      <c r="BA15" s="100">
        <v>3815.9999999999995</v>
      </c>
      <c r="BB15" s="100">
        <v>8</v>
      </c>
      <c r="BC15" s="100">
        <v>6105.5999999999995</v>
      </c>
      <c r="BD15" s="100">
        <v>7</v>
      </c>
      <c r="BE15" s="100">
        <v>5342.4</v>
      </c>
      <c r="BF15" s="100">
        <v>2.6283845532365469</v>
      </c>
      <c r="BG15" s="100">
        <v>2005.9830910301323</v>
      </c>
      <c r="BH15" s="100">
        <v>5.0401365046539475</v>
      </c>
      <c r="BI15" s="100">
        <v>3846.6321803518922</v>
      </c>
      <c r="BJ15" s="100">
        <v>6</v>
      </c>
      <c r="BK15" s="100">
        <v>4579.2</v>
      </c>
      <c r="BL15" s="100">
        <v>8</v>
      </c>
      <c r="BM15" s="100">
        <v>6105.5999999999995</v>
      </c>
      <c r="BN15" s="100">
        <v>5</v>
      </c>
      <c r="BO15" s="100">
        <v>3815.9999999999995</v>
      </c>
      <c r="BP15" s="100">
        <v>1.4747520453722338</v>
      </c>
      <c r="BQ15" s="100">
        <v>1125.5307610280888</v>
      </c>
      <c r="BR15" s="100">
        <v>9</v>
      </c>
      <c r="BS15" s="100">
        <v>6868.7999999999993</v>
      </c>
      <c r="BT15" s="100">
        <v>10</v>
      </c>
      <c r="BU15" s="100">
        <v>7631.9999999999991</v>
      </c>
      <c r="BV15" s="100">
        <v>6</v>
      </c>
      <c r="BW15" s="100">
        <v>4579.2</v>
      </c>
      <c r="BX15" s="100">
        <v>1.6162621660298668</v>
      </c>
      <c r="BY15" s="100">
        <v>1233.5312851139943</v>
      </c>
      <c r="BZ15" s="100">
        <v>10</v>
      </c>
      <c r="CA15" s="100">
        <v>7631.9999999999991</v>
      </c>
      <c r="CB15" s="100">
        <v>3.5187554473561846</v>
      </c>
      <c r="CC15" s="100">
        <v>2685.5141574222398</v>
      </c>
      <c r="CD15" s="100">
        <v>9</v>
      </c>
      <c r="CE15" s="100">
        <v>6868.7999999999993</v>
      </c>
      <c r="CF15" s="100">
        <v>5.8251824302763096</v>
      </c>
      <c r="CG15" s="100">
        <v>4445.7792307868795</v>
      </c>
      <c r="CH15" s="100">
        <v>10</v>
      </c>
      <c r="CI15" s="100">
        <v>7631.9999999999991</v>
      </c>
      <c r="CJ15" s="100">
        <v>6</v>
      </c>
      <c r="CK15" s="100">
        <v>4579.2</v>
      </c>
      <c r="CL15" s="100">
        <v>8</v>
      </c>
      <c r="CM15" s="100">
        <v>6105.5999999999995</v>
      </c>
      <c r="CN15" s="100">
        <v>10</v>
      </c>
      <c r="CO15" s="100">
        <v>7631.9999999999991</v>
      </c>
      <c r="CP15" s="100">
        <v>8.9941031219813112</v>
      </c>
      <c r="CQ15" s="100">
        <v>6864.2995026961362</v>
      </c>
      <c r="CR15" s="100">
        <v>6.9118171948132979E-4</v>
      </c>
      <c r="CS15" s="100">
        <v>0.52750988830815082</v>
      </c>
      <c r="CT15" s="100">
        <v>5.2321413312710412</v>
      </c>
      <c r="CU15" s="100">
        <v>3993.1702640260582</v>
      </c>
    </row>
    <row r="16" spans="1:99">
      <c r="C16" s="99" t="s">
        <v>182</v>
      </c>
      <c r="D16" s="100">
        <v>7.2393653256072543</v>
      </c>
      <c r="E16" s="100">
        <v>2467.1757029669525</v>
      </c>
      <c r="F16" s="100">
        <v>1.4013720765222781</v>
      </c>
      <c r="G16" s="100">
        <v>477.58760367879239</v>
      </c>
      <c r="H16" s="100">
        <v>5.6551231593837919E-4</v>
      </c>
      <c r="I16" s="100">
        <v>0.19272659727179964</v>
      </c>
      <c r="J16" s="100">
        <v>9.0002359083651733</v>
      </c>
      <c r="K16" s="100">
        <v>3067.2803975708512</v>
      </c>
      <c r="L16" s="100">
        <v>6.1930739960204413</v>
      </c>
      <c r="M16" s="100">
        <v>2110.5996178437663</v>
      </c>
      <c r="N16" s="100">
        <v>6.1326446604478102</v>
      </c>
      <c r="O16" s="100">
        <v>2090.0053002806139</v>
      </c>
      <c r="P16" s="100">
        <v>7</v>
      </c>
      <c r="Q16" s="100">
        <v>2385.6</v>
      </c>
      <c r="R16" s="100">
        <v>4.7018925549852923</v>
      </c>
      <c r="S16" s="100">
        <v>1602.4049827389877</v>
      </c>
      <c r="T16" s="100">
        <v>5.6787502917933361</v>
      </c>
      <c r="U16" s="100">
        <v>1935.3180994431691</v>
      </c>
      <c r="V16" s="100">
        <v>4.1511887167010287E-4</v>
      </c>
      <c r="W16" s="100">
        <v>0.14147251146517106</v>
      </c>
      <c r="X16" s="100">
        <v>9.3754743437184374</v>
      </c>
      <c r="Y16" s="100">
        <v>3195.1616563392436</v>
      </c>
      <c r="Z16" s="100">
        <v>8</v>
      </c>
      <c r="AA16" s="100">
        <v>2726.4</v>
      </c>
      <c r="AB16" s="100">
        <v>5</v>
      </c>
      <c r="AC16" s="100">
        <v>1704</v>
      </c>
      <c r="AD16" s="100">
        <v>4.276149991178988</v>
      </c>
      <c r="AE16" s="100">
        <v>1457.3119169937991</v>
      </c>
      <c r="AF16" s="100">
        <v>5.5571831490482904</v>
      </c>
      <c r="AG16" s="100">
        <v>1893.8880171956573</v>
      </c>
      <c r="AH16" s="100">
        <v>8</v>
      </c>
      <c r="AI16" s="100">
        <v>2726.4</v>
      </c>
      <c r="AJ16" s="100">
        <v>3.2301770142627655</v>
      </c>
      <c r="AK16" s="100">
        <v>1100.8443264607506</v>
      </c>
      <c r="AL16" s="100">
        <v>7.4736612493114274</v>
      </c>
      <c r="AM16" s="100">
        <v>2547.0237537653347</v>
      </c>
      <c r="AN16" s="100">
        <v>4.8984975362334682</v>
      </c>
      <c r="AO16" s="100">
        <v>1669.407960348366</v>
      </c>
      <c r="AP16" s="100">
        <v>11</v>
      </c>
      <c r="AQ16" s="100">
        <v>3748.8</v>
      </c>
      <c r="AR16" s="100">
        <v>7</v>
      </c>
      <c r="AS16" s="100">
        <v>2385.6</v>
      </c>
      <c r="AT16" s="100">
        <v>4.5325866303192752</v>
      </c>
      <c r="AU16" s="100">
        <v>1544.705523612809</v>
      </c>
      <c r="AV16" s="100">
        <v>7</v>
      </c>
      <c r="AW16" s="100">
        <v>2385.6</v>
      </c>
      <c r="AX16" s="100">
        <v>6.3452856755139315</v>
      </c>
      <c r="AY16" s="100">
        <v>2162.473358215148</v>
      </c>
      <c r="AZ16" s="100">
        <v>6</v>
      </c>
      <c r="BA16" s="100">
        <v>2044.8000000000002</v>
      </c>
      <c r="BB16" s="100">
        <v>7</v>
      </c>
      <c r="BC16" s="100">
        <v>2385.6</v>
      </c>
      <c r="BD16" s="100">
        <v>8</v>
      </c>
      <c r="BE16" s="100">
        <v>2726.4</v>
      </c>
      <c r="BF16" s="100">
        <v>2.6283845532365469</v>
      </c>
      <c r="BG16" s="100">
        <v>895.75345574301525</v>
      </c>
      <c r="BH16" s="100">
        <v>5.7601560053187972</v>
      </c>
      <c r="BI16" s="100">
        <v>1963.0611666126463</v>
      </c>
      <c r="BJ16" s="100">
        <v>6</v>
      </c>
      <c r="BK16" s="100">
        <v>2044.8000000000002</v>
      </c>
      <c r="BL16" s="100">
        <v>9</v>
      </c>
      <c r="BM16" s="100">
        <v>3067.2000000000003</v>
      </c>
      <c r="BN16" s="100">
        <v>5</v>
      </c>
      <c r="BO16" s="100">
        <v>1704</v>
      </c>
      <c r="BP16" s="100">
        <v>1.6222272499094572</v>
      </c>
      <c r="BQ16" s="100">
        <v>552.85504676914309</v>
      </c>
      <c r="BR16" s="100">
        <v>10</v>
      </c>
      <c r="BS16" s="100">
        <v>3408</v>
      </c>
      <c r="BT16" s="100">
        <v>9</v>
      </c>
      <c r="BU16" s="100">
        <v>3067.2000000000003</v>
      </c>
      <c r="BV16" s="100">
        <v>5</v>
      </c>
      <c r="BW16" s="100">
        <v>1704</v>
      </c>
      <c r="BX16" s="100">
        <v>1.6162621660298668</v>
      </c>
      <c r="BY16" s="100">
        <v>550.8221461829786</v>
      </c>
      <c r="BZ16" s="100">
        <v>11</v>
      </c>
      <c r="CA16" s="100">
        <v>3748.8</v>
      </c>
      <c r="CB16" s="100">
        <v>3.5187554473561846</v>
      </c>
      <c r="CC16" s="100">
        <v>1199.1918564589878</v>
      </c>
      <c r="CD16" s="100">
        <v>10</v>
      </c>
      <c r="CE16" s="100">
        <v>3408</v>
      </c>
      <c r="CF16" s="100">
        <v>6.4077006733039408</v>
      </c>
      <c r="CG16" s="100">
        <v>2183.7443894619832</v>
      </c>
      <c r="CH16" s="100">
        <v>11</v>
      </c>
      <c r="CI16" s="100">
        <v>3748.8</v>
      </c>
      <c r="CJ16" s="100">
        <v>6</v>
      </c>
      <c r="CK16" s="100">
        <v>2044.8000000000002</v>
      </c>
      <c r="CL16" s="100">
        <v>8</v>
      </c>
      <c r="CM16" s="100">
        <v>2726.4</v>
      </c>
      <c r="CN16" s="100">
        <v>11</v>
      </c>
      <c r="CO16" s="100">
        <v>3748.8</v>
      </c>
      <c r="CP16" s="100">
        <v>9.9934479133125667</v>
      </c>
      <c r="CQ16" s="100">
        <v>3405.7670488569229</v>
      </c>
      <c r="CR16" s="100">
        <v>6.9118171948132979E-4</v>
      </c>
      <c r="CS16" s="100">
        <v>0.23555472999923721</v>
      </c>
      <c r="CT16" s="100">
        <v>5.2321413312710412</v>
      </c>
      <c r="CU16" s="100">
        <v>1783.1137656971709</v>
      </c>
    </row>
    <row r="17" spans="2:99">
      <c r="C17" s="99" t="s">
        <v>183</v>
      </c>
      <c r="D17" s="100">
        <v>7.2872383907287057</v>
      </c>
      <c r="E17" s="100">
        <v>3078.1294962438051</v>
      </c>
      <c r="F17" s="100">
        <v>1.4013720765222781</v>
      </c>
      <c r="G17" s="100">
        <v>591.9395651230102</v>
      </c>
      <c r="H17" s="100">
        <v>4.7126026328198263E-4</v>
      </c>
      <c r="I17" s="100">
        <v>0.19906033521030944</v>
      </c>
      <c r="J17" s="100">
        <v>9.0002359083651733</v>
      </c>
      <c r="K17" s="100">
        <v>3801.6996476934492</v>
      </c>
      <c r="L17" s="100">
        <v>7.0777988525947899</v>
      </c>
      <c r="M17" s="100">
        <v>2989.662235336039</v>
      </c>
      <c r="N17" s="100">
        <v>6.1326446604478102</v>
      </c>
      <c r="O17" s="100">
        <v>2590.4291045731547</v>
      </c>
      <c r="P17" s="100">
        <v>7</v>
      </c>
      <c r="Q17" s="100">
        <v>2956.7999999999997</v>
      </c>
      <c r="R17" s="100">
        <v>3.9182437958210765</v>
      </c>
      <c r="S17" s="100">
        <v>1655.0661793548227</v>
      </c>
      <c r="T17" s="100">
        <v>5.6787502917933361</v>
      </c>
      <c r="U17" s="100">
        <v>2398.7041232535053</v>
      </c>
      <c r="V17" s="100">
        <v>4.1511887167010287E-4</v>
      </c>
      <c r="W17" s="100">
        <v>0.17534621139345144</v>
      </c>
      <c r="X17" s="100">
        <v>8.4417192229073894</v>
      </c>
      <c r="Y17" s="100">
        <v>3565.7821997560809</v>
      </c>
      <c r="Z17" s="100">
        <v>9</v>
      </c>
      <c r="AA17" s="100">
        <v>3801.6</v>
      </c>
      <c r="AB17" s="100">
        <v>6</v>
      </c>
      <c r="AC17" s="100">
        <v>2534.3999999999996</v>
      </c>
      <c r="AD17" s="100">
        <v>3.6652714210105612</v>
      </c>
      <c r="AE17" s="100">
        <v>1548.2106482348611</v>
      </c>
      <c r="AF17" s="100">
        <v>5.5571831490482904</v>
      </c>
      <c r="AG17" s="100">
        <v>2347.3541621579975</v>
      </c>
      <c r="AH17" s="100">
        <v>9</v>
      </c>
      <c r="AI17" s="100">
        <v>3801.6</v>
      </c>
      <c r="AJ17" s="100">
        <v>3.2301770142627655</v>
      </c>
      <c r="AK17" s="100">
        <v>1364.426770824592</v>
      </c>
      <c r="AL17" s="100">
        <v>8.4078689054753557</v>
      </c>
      <c r="AM17" s="100">
        <v>3551.4838256727899</v>
      </c>
      <c r="AN17" s="100">
        <v>5.8781970434801618</v>
      </c>
      <c r="AO17" s="100">
        <v>2482.9504311660203</v>
      </c>
      <c r="AP17" s="100">
        <v>9</v>
      </c>
      <c r="AQ17" s="100">
        <v>3801.6</v>
      </c>
      <c r="AR17" s="100">
        <v>7</v>
      </c>
      <c r="AS17" s="100">
        <v>2956.7999999999997</v>
      </c>
      <c r="AT17" s="100">
        <v>4.5325866303192752</v>
      </c>
      <c r="AU17" s="100">
        <v>1914.5645926468617</v>
      </c>
      <c r="AV17" s="100">
        <v>8</v>
      </c>
      <c r="AW17" s="100">
        <v>3379.2</v>
      </c>
      <c r="AX17" s="100">
        <v>7.1384463849531734</v>
      </c>
      <c r="AY17" s="100">
        <v>3015.2797530042203</v>
      </c>
      <c r="AZ17" s="100">
        <v>7</v>
      </c>
      <c r="BA17" s="100">
        <v>2956.7999999999997</v>
      </c>
      <c r="BB17" s="100">
        <v>8</v>
      </c>
      <c r="BC17" s="100">
        <v>3379.2</v>
      </c>
      <c r="BD17" s="100">
        <v>8</v>
      </c>
      <c r="BE17" s="100">
        <v>3379.2</v>
      </c>
      <c r="BF17" s="100">
        <v>2.6283845532365469</v>
      </c>
      <c r="BG17" s="100">
        <v>1110.2296352871174</v>
      </c>
      <c r="BH17" s="100">
        <v>5.0401365046539475</v>
      </c>
      <c r="BI17" s="100">
        <v>2128.9536595658274</v>
      </c>
      <c r="BJ17" s="100">
        <v>6</v>
      </c>
      <c r="BK17" s="100">
        <v>2534.3999999999996</v>
      </c>
      <c r="BL17" s="100">
        <v>9</v>
      </c>
      <c r="BM17" s="100">
        <v>3801.6</v>
      </c>
      <c r="BN17" s="100">
        <v>6</v>
      </c>
      <c r="BO17" s="100">
        <v>2534.3999999999996</v>
      </c>
      <c r="BP17" s="100">
        <v>1.6222272499094572</v>
      </c>
      <c r="BQ17" s="100">
        <v>685.2287903617547</v>
      </c>
      <c r="BR17" s="100">
        <v>10</v>
      </c>
      <c r="BS17" s="100">
        <v>4224</v>
      </c>
      <c r="BT17" s="100">
        <v>10</v>
      </c>
      <c r="BU17" s="100">
        <v>4224</v>
      </c>
      <c r="BV17" s="100">
        <v>6</v>
      </c>
      <c r="BW17" s="100">
        <v>2534.3999999999996</v>
      </c>
      <c r="BX17" s="100">
        <v>1.8471567611769908</v>
      </c>
      <c r="BY17" s="100">
        <v>780.2390159211609</v>
      </c>
      <c r="BZ17" s="100">
        <v>10</v>
      </c>
      <c r="CA17" s="100">
        <v>4224</v>
      </c>
      <c r="CB17" s="100">
        <v>3.1277826198721641</v>
      </c>
      <c r="CC17" s="100">
        <v>1321.1753786340021</v>
      </c>
      <c r="CD17" s="100">
        <v>8</v>
      </c>
      <c r="CE17" s="100">
        <v>3379.2</v>
      </c>
      <c r="CF17" s="100">
        <v>5.8251824302763096</v>
      </c>
      <c r="CG17" s="100">
        <v>2460.557058548713</v>
      </c>
      <c r="CH17" s="100">
        <v>10</v>
      </c>
      <c r="CI17" s="100">
        <v>4224</v>
      </c>
      <c r="CJ17" s="100">
        <v>6</v>
      </c>
      <c r="CK17" s="100">
        <v>2534.3999999999996</v>
      </c>
      <c r="CL17" s="100">
        <v>8</v>
      </c>
      <c r="CM17" s="100">
        <v>3379.2</v>
      </c>
      <c r="CN17" s="100">
        <v>10</v>
      </c>
      <c r="CO17" s="100">
        <v>4224</v>
      </c>
      <c r="CP17" s="100">
        <v>8.9941031219813112</v>
      </c>
      <c r="CQ17" s="100">
        <v>3799.1091587249057</v>
      </c>
      <c r="CR17" s="100">
        <v>6.2834701771029983E-4</v>
      </c>
      <c r="CS17" s="100">
        <v>0.26541378028083062</v>
      </c>
      <c r="CT17" s="100">
        <v>5.2321413312710412</v>
      </c>
      <c r="CU17" s="100">
        <v>2210.0564983288878</v>
      </c>
    </row>
    <row r="18" spans="2:99">
      <c r="C18" s="99" t="s">
        <v>184</v>
      </c>
      <c r="D18" s="100">
        <v>6.2393653256072543</v>
      </c>
      <c r="E18" s="100">
        <v>4073.0576845564156</v>
      </c>
      <c r="F18" s="100">
        <v>1.4013720765222781</v>
      </c>
      <c r="G18" s="100">
        <v>914.81569155374314</v>
      </c>
      <c r="H18" s="100">
        <v>5.6551231593837919E-4</v>
      </c>
      <c r="I18" s="100">
        <v>0.36916643984457392</v>
      </c>
      <c r="J18" s="100">
        <v>9.0002359083651733</v>
      </c>
      <c r="K18" s="100">
        <v>5875.3540009807848</v>
      </c>
      <c r="L18" s="100">
        <v>6.1930739960204413</v>
      </c>
      <c r="M18" s="100">
        <v>4042.8387046021439</v>
      </c>
      <c r="N18" s="100">
        <v>5.2565525660981232</v>
      </c>
      <c r="O18" s="100">
        <v>3431.4775151488548</v>
      </c>
      <c r="P18" s="100">
        <v>7</v>
      </c>
      <c r="Q18" s="100">
        <v>4569.5999999999995</v>
      </c>
      <c r="R18" s="100">
        <v>3.9182437958210765</v>
      </c>
      <c r="S18" s="100">
        <v>2557.8295499119986</v>
      </c>
      <c r="T18" s="100">
        <v>5.6787502917933361</v>
      </c>
      <c r="U18" s="100">
        <v>3707.0881904826897</v>
      </c>
      <c r="V18" s="100">
        <v>4.1511887167010287E-4</v>
      </c>
      <c r="W18" s="100">
        <v>0.27098959942624312</v>
      </c>
      <c r="X18" s="100">
        <v>9.3778445396939336</v>
      </c>
      <c r="Y18" s="100">
        <v>6121.8569155121995</v>
      </c>
      <c r="Z18" s="100">
        <v>8</v>
      </c>
      <c r="AA18" s="100">
        <v>5222.3999999999996</v>
      </c>
      <c r="AB18" s="100">
        <v>5</v>
      </c>
      <c r="AC18" s="100">
        <v>3264</v>
      </c>
      <c r="AD18" s="100">
        <v>4.276149991178988</v>
      </c>
      <c r="AE18" s="100">
        <v>2791.4707142416432</v>
      </c>
      <c r="AF18" s="100">
        <v>5.5571831490482904</v>
      </c>
      <c r="AG18" s="100">
        <v>3627.7291596987238</v>
      </c>
      <c r="AH18" s="100">
        <v>9</v>
      </c>
      <c r="AI18" s="100">
        <v>5875.2</v>
      </c>
      <c r="AJ18" s="100">
        <v>3.2301770142627655</v>
      </c>
      <c r="AK18" s="100">
        <v>2108.6595549107333</v>
      </c>
      <c r="AL18" s="100">
        <v>7.4736612493114274</v>
      </c>
      <c r="AM18" s="100">
        <v>4878.8060635504999</v>
      </c>
      <c r="AN18" s="100">
        <v>4.8984975362334682</v>
      </c>
      <c r="AO18" s="100">
        <v>3197.7391916532079</v>
      </c>
      <c r="AP18" s="100">
        <v>10</v>
      </c>
      <c r="AQ18" s="100">
        <v>6528</v>
      </c>
      <c r="AR18" s="100">
        <v>7</v>
      </c>
      <c r="AS18" s="100">
        <v>4569.5999999999995</v>
      </c>
      <c r="AT18" s="100">
        <v>3.9660133015293662</v>
      </c>
      <c r="AU18" s="100">
        <v>2589.0134832383701</v>
      </c>
      <c r="AV18" s="100">
        <v>7</v>
      </c>
      <c r="AW18" s="100">
        <v>4569.5999999999995</v>
      </c>
      <c r="AX18" s="100">
        <v>5.5521249660746896</v>
      </c>
      <c r="AY18" s="100">
        <v>3624.4271778535572</v>
      </c>
      <c r="AZ18" s="100">
        <v>7</v>
      </c>
      <c r="BA18" s="100">
        <v>4569.5999999999995</v>
      </c>
      <c r="BB18" s="100">
        <v>8</v>
      </c>
      <c r="BC18" s="100">
        <v>5222.3999999999996</v>
      </c>
      <c r="BD18" s="100">
        <v>8</v>
      </c>
      <c r="BE18" s="100">
        <v>5222.3999999999996</v>
      </c>
      <c r="BF18" s="100">
        <v>2.6283845532365469</v>
      </c>
      <c r="BG18" s="100">
        <v>1715.8094363528176</v>
      </c>
      <c r="BH18" s="100">
        <v>5.0401365046539475</v>
      </c>
      <c r="BI18" s="100">
        <v>3290.2011102380966</v>
      </c>
      <c r="BJ18" s="100">
        <v>6</v>
      </c>
      <c r="BK18" s="100">
        <v>3916.7999999999997</v>
      </c>
      <c r="BL18" s="100">
        <v>8</v>
      </c>
      <c r="BM18" s="100">
        <v>5222.3999999999996</v>
      </c>
      <c r="BN18" s="100">
        <v>6</v>
      </c>
      <c r="BO18" s="100">
        <v>3916.7999999999997</v>
      </c>
      <c r="BP18" s="100">
        <v>1.6222272499094572</v>
      </c>
      <c r="BQ18" s="100">
        <v>1058.9899487408936</v>
      </c>
      <c r="BR18" s="100">
        <v>11</v>
      </c>
      <c r="BS18" s="100">
        <v>7180.7999999999993</v>
      </c>
      <c r="BT18" s="100">
        <v>9</v>
      </c>
      <c r="BU18" s="100">
        <v>5875.2</v>
      </c>
      <c r="BV18" s="100">
        <v>6</v>
      </c>
      <c r="BW18" s="100">
        <v>3916.7999999999997</v>
      </c>
      <c r="BX18" s="100">
        <v>1.8471567611769908</v>
      </c>
      <c r="BY18" s="100">
        <v>1205.8239336963395</v>
      </c>
      <c r="BZ18" s="100">
        <v>10</v>
      </c>
      <c r="CA18" s="100">
        <v>6528</v>
      </c>
      <c r="CB18" s="100">
        <v>3.1277826198721641</v>
      </c>
      <c r="CC18" s="100">
        <v>2041.8164942525486</v>
      </c>
      <c r="CD18" s="100">
        <v>8</v>
      </c>
      <c r="CE18" s="100">
        <v>5222.3999999999996</v>
      </c>
      <c r="CF18" s="100">
        <v>5.2426641872486792</v>
      </c>
      <c r="CG18" s="100">
        <v>3422.4111814359376</v>
      </c>
      <c r="CH18" s="100">
        <v>10</v>
      </c>
      <c r="CI18" s="100">
        <v>6528</v>
      </c>
      <c r="CJ18" s="100">
        <v>5</v>
      </c>
      <c r="CK18" s="100">
        <v>3264</v>
      </c>
      <c r="CL18" s="100">
        <v>9</v>
      </c>
      <c r="CM18" s="100">
        <v>5875.2</v>
      </c>
      <c r="CN18" s="100">
        <v>11</v>
      </c>
      <c r="CO18" s="100">
        <v>7180.7999999999993</v>
      </c>
      <c r="CP18" s="100">
        <v>7.994758330650054</v>
      </c>
      <c r="CQ18" s="100">
        <v>5218.9782382483545</v>
      </c>
      <c r="CR18" s="100">
        <v>6.9118171948132979E-4</v>
      </c>
      <c r="CS18" s="100">
        <v>0.45120342647741207</v>
      </c>
      <c r="CT18" s="100">
        <v>5.2321413312710412</v>
      </c>
      <c r="CU18" s="100">
        <v>3415.5418610537354</v>
      </c>
    </row>
    <row r="19" spans="2:99">
      <c r="C19" s="99" t="s">
        <v>185</v>
      </c>
      <c r="D19" s="100">
        <v>6.2872383907287057</v>
      </c>
      <c r="E19" s="100">
        <v>2074.7886689404727</v>
      </c>
      <c r="F19" s="100">
        <v>1.6612614388154272</v>
      </c>
      <c r="G19" s="100">
        <v>548.21627480909103</v>
      </c>
      <c r="H19" s="100">
        <v>6.5976436859477565E-4</v>
      </c>
      <c r="I19" s="100">
        <v>0.21772224163627596</v>
      </c>
      <c r="J19" s="100">
        <v>9.0002359083651733</v>
      </c>
      <c r="K19" s="100">
        <v>2970.077849760507</v>
      </c>
      <c r="L19" s="100">
        <v>6.1930739960204413</v>
      </c>
      <c r="M19" s="100">
        <v>2043.7144186867456</v>
      </c>
      <c r="N19" s="100">
        <v>6.1326446604478102</v>
      </c>
      <c r="O19" s="100">
        <v>2023.7727379477774</v>
      </c>
      <c r="P19" s="100">
        <v>7</v>
      </c>
      <c r="Q19" s="100">
        <v>2310</v>
      </c>
      <c r="R19" s="100">
        <v>3.9182437958210765</v>
      </c>
      <c r="S19" s="100">
        <v>1293.0204526209552</v>
      </c>
      <c r="T19" s="100">
        <v>5.6787502917933361</v>
      </c>
      <c r="U19" s="100">
        <v>1873.9875962918009</v>
      </c>
      <c r="V19" s="100">
        <v>4.1511887167010287E-4</v>
      </c>
      <c r="W19" s="100">
        <v>0.13698922765113394</v>
      </c>
      <c r="X19" s="100">
        <v>9.3778445396939336</v>
      </c>
      <c r="Y19" s="100">
        <v>3094.688698098998</v>
      </c>
      <c r="Z19" s="100">
        <v>7</v>
      </c>
      <c r="AA19" s="100">
        <v>2310</v>
      </c>
      <c r="AB19" s="100">
        <v>5</v>
      </c>
      <c r="AC19" s="100">
        <v>1650</v>
      </c>
      <c r="AD19" s="100">
        <v>4.276149991178988</v>
      </c>
      <c r="AE19" s="100">
        <v>1411.129497089066</v>
      </c>
      <c r="AF19" s="100">
        <v>5.5571831490482904</v>
      </c>
      <c r="AG19" s="100">
        <v>1833.8704391859358</v>
      </c>
      <c r="AH19" s="100">
        <v>8</v>
      </c>
      <c r="AI19" s="100">
        <v>2640</v>
      </c>
      <c r="AJ19" s="100">
        <v>2.7687231550823701</v>
      </c>
      <c r="AK19" s="100">
        <v>913.67864117718216</v>
      </c>
      <c r="AL19" s="100">
        <v>9.3420765616392849</v>
      </c>
      <c r="AM19" s="100">
        <v>3082.885265340964</v>
      </c>
      <c r="AN19" s="100">
        <v>5.8781970434801618</v>
      </c>
      <c r="AO19" s="100">
        <v>1939.8050243484533</v>
      </c>
      <c r="AP19" s="100">
        <v>10</v>
      </c>
      <c r="AQ19" s="100">
        <v>3300</v>
      </c>
      <c r="AR19" s="100">
        <v>7</v>
      </c>
      <c r="AS19" s="100">
        <v>2310</v>
      </c>
      <c r="AT19" s="100">
        <v>3.9660133015293662</v>
      </c>
      <c r="AU19" s="100">
        <v>1308.7843895046908</v>
      </c>
      <c r="AV19" s="100">
        <v>7</v>
      </c>
      <c r="AW19" s="100">
        <v>2310</v>
      </c>
      <c r="AX19" s="100">
        <v>6.3452856755139315</v>
      </c>
      <c r="AY19" s="100">
        <v>2093.9442729195976</v>
      </c>
      <c r="AZ19" s="100">
        <v>7</v>
      </c>
      <c r="BA19" s="100">
        <v>2310</v>
      </c>
      <c r="BB19" s="100">
        <v>7</v>
      </c>
      <c r="BC19" s="100">
        <v>2310</v>
      </c>
      <c r="BD19" s="100">
        <v>8</v>
      </c>
      <c r="BE19" s="100">
        <v>2640</v>
      </c>
      <c r="BF19" s="100">
        <v>2.6283845532365469</v>
      </c>
      <c r="BG19" s="100">
        <v>867.36690256806048</v>
      </c>
      <c r="BH19" s="100">
        <v>5.0401365046539475</v>
      </c>
      <c r="BI19" s="100">
        <v>1663.2450465358027</v>
      </c>
      <c r="BJ19" s="100">
        <v>6</v>
      </c>
      <c r="BK19" s="100">
        <v>1980</v>
      </c>
      <c r="BL19" s="100">
        <v>8</v>
      </c>
      <c r="BM19" s="100">
        <v>2640</v>
      </c>
      <c r="BN19" s="100">
        <v>6</v>
      </c>
      <c r="BO19" s="100">
        <v>1980</v>
      </c>
      <c r="BP19" s="100">
        <v>1.6222272499094572</v>
      </c>
      <c r="BQ19" s="100">
        <v>535.33499247012082</v>
      </c>
      <c r="BR19" s="100">
        <v>9</v>
      </c>
      <c r="BS19" s="100">
        <v>2970</v>
      </c>
      <c r="BT19" s="100">
        <v>10</v>
      </c>
      <c r="BU19" s="100">
        <v>3300</v>
      </c>
      <c r="BV19" s="100">
        <v>6</v>
      </c>
      <c r="BW19" s="100">
        <v>1980</v>
      </c>
      <c r="BX19" s="100">
        <v>1.8471567611769908</v>
      </c>
      <c r="BY19" s="100">
        <v>609.56173118840695</v>
      </c>
      <c r="BZ19" s="100">
        <v>12</v>
      </c>
      <c r="CA19" s="100">
        <v>3960</v>
      </c>
      <c r="CB19" s="100">
        <v>3.5187554473561846</v>
      </c>
      <c r="CC19" s="100">
        <v>1161.189297627541</v>
      </c>
      <c r="CD19" s="100">
        <v>10</v>
      </c>
      <c r="CE19" s="100">
        <v>3300</v>
      </c>
      <c r="CF19" s="100">
        <v>6.4077006733039408</v>
      </c>
      <c r="CG19" s="100">
        <v>2114.5412221903002</v>
      </c>
      <c r="CH19" s="100">
        <v>10</v>
      </c>
      <c r="CI19" s="100">
        <v>3300</v>
      </c>
      <c r="CJ19" s="100">
        <v>5</v>
      </c>
      <c r="CK19" s="100">
        <v>1650</v>
      </c>
      <c r="CL19" s="100">
        <v>8</v>
      </c>
      <c r="CM19" s="100">
        <v>2640</v>
      </c>
      <c r="CN19" s="100">
        <v>11</v>
      </c>
      <c r="CO19" s="100">
        <v>3630</v>
      </c>
      <c r="CP19" s="100">
        <v>8.9941031219813112</v>
      </c>
      <c r="CQ19" s="100">
        <v>2968.0540302538329</v>
      </c>
      <c r="CR19" s="100">
        <v>6.9118171948132979E-4</v>
      </c>
      <c r="CS19" s="100">
        <v>0.22808996742883883</v>
      </c>
      <c r="CT19" s="100">
        <v>6.1041648864828817</v>
      </c>
      <c r="CU19" s="100">
        <v>2014.3744125393509</v>
      </c>
    </row>
    <row r="20" spans="2:99">
      <c r="B20" s="99" t="s">
        <v>127</v>
      </c>
      <c r="C20" s="99" t="s">
        <v>186</v>
      </c>
      <c r="D20" s="100">
        <v>10.382984520971608</v>
      </c>
      <c r="E20" s="100">
        <v>2977.8399606146572</v>
      </c>
      <c r="F20" s="100">
        <v>2.3466687191185907</v>
      </c>
      <c r="G20" s="100">
        <v>673.02458864321181</v>
      </c>
      <c r="H20" s="100">
        <v>6.5976436859477565E-4</v>
      </c>
      <c r="I20" s="100">
        <v>0.18922042091298166</v>
      </c>
      <c r="J20" s="100">
        <v>6.0006133617494495</v>
      </c>
      <c r="K20" s="100">
        <v>1720.9759121497423</v>
      </c>
      <c r="L20" s="100">
        <v>6.1930739960204413</v>
      </c>
      <c r="M20" s="100">
        <v>1776.1736220586627</v>
      </c>
      <c r="N20" s="100">
        <v>9.6370130378465575</v>
      </c>
      <c r="O20" s="100">
        <v>2763.8953392543926</v>
      </c>
      <c r="P20" s="100">
        <v>11</v>
      </c>
      <c r="Q20" s="100">
        <v>3154.8</v>
      </c>
      <c r="R20" s="100">
        <v>6.2691900733137231</v>
      </c>
      <c r="S20" s="100">
        <v>1798.0037130263759</v>
      </c>
      <c r="T20" s="100">
        <v>4.0562502084238119</v>
      </c>
      <c r="U20" s="100">
        <v>1163.3325597759492</v>
      </c>
      <c r="V20" s="100">
        <v>4.9814264600412349E-4</v>
      </c>
      <c r="W20" s="100">
        <v>0.14286731087398263</v>
      </c>
      <c r="X20" s="100">
        <v>9.3612531678654527</v>
      </c>
      <c r="Y20" s="100">
        <v>2684.807408543812</v>
      </c>
      <c r="Z20" s="100">
        <v>7</v>
      </c>
      <c r="AA20" s="100">
        <v>2007.6000000000001</v>
      </c>
      <c r="AB20" s="100">
        <v>7</v>
      </c>
      <c r="AC20" s="100">
        <v>2007.6000000000001</v>
      </c>
      <c r="AD20" s="100">
        <v>4.8870285613474147</v>
      </c>
      <c r="AE20" s="100">
        <v>1401.5997913944386</v>
      </c>
      <c r="AF20" s="100">
        <v>4.3222535603708927</v>
      </c>
      <c r="AG20" s="100">
        <v>1239.622321114372</v>
      </c>
      <c r="AH20" s="100">
        <v>8</v>
      </c>
      <c r="AI20" s="100">
        <v>2294.4</v>
      </c>
      <c r="AJ20" s="100">
        <v>4.1530847326235554</v>
      </c>
      <c r="AK20" s="100">
        <v>1191.1047013164357</v>
      </c>
      <c r="AL20" s="100">
        <v>11.21049187396714</v>
      </c>
      <c r="AM20" s="100">
        <v>3215.1690694537756</v>
      </c>
      <c r="AN20" s="100">
        <v>7.8375960579735491</v>
      </c>
      <c r="AO20" s="100">
        <v>2247.822549426814</v>
      </c>
      <c r="AP20" s="100">
        <v>7</v>
      </c>
      <c r="AQ20" s="100">
        <v>2007.6000000000001</v>
      </c>
      <c r="AR20" s="100">
        <v>8</v>
      </c>
      <c r="AS20" s="100">
        <v>2294.4</v>
      </c>
      <c r="AT20" s="100">
        <v>6.2323066166890042</v>
      </c>
      <c r="AU20" s="100">
        <v>1787.4255376664064</v>
      </c>
      <c r="AV20" s="100">
        <v>8</v>
      </c>
      <c r="AW20" s="100">
        <v>2294.4</v>
      </c>
      <c r="AX20" s="100">
        <v>5.5521249660746896</v>
      </c>
      <c r="AY20" s="100">
        <v>1592.3494402702211</v>
      </c>
      <c r="AZ20" s="100">
        <v>9</v>
      </c>
      <c r="BA20" s="100">
        <v>2581.2000000000003</v>
      </c>
      <c r="BB20" s="100">
        <v>11</v>
      </c>
      <c r="BC20" s="100">
        <v>3154.8</v>
      </c>
      <c r="BD20" s="100">
        <v>10</v>
      </c>
      <c r="BE20" s="100">
        <v>2868</v>
      </c>
      <c r="BF20" s="100">
        <v>3.0664486454426383</v>
      </c>
      <c r="BG20" s="100">
        <v>879.4574715129487</v>
      </c>
      <c r="BH20" s="100">
        <v>5.7601560053187972</v>
      </c>
      <c r="BI20" s="100">
        <v>1652.0127423254312</v>
      </c>
      <c r="BJ20" s="100">
        <v>7</v>
      </c>
      <c r="BK20" s="100">
        <v>2007.6000000000001</v>
      </c>
      <c r="BL20" s="100">
        <v>9</v>
      </c>
      <c r="BM20" s="100">
        <v>2581.2000000000003</v>
      </c>
      <c r="BN20" s="100">
        <v>9</v>
      </c>
      <c r="BO20" s="100">
        <v>2581.2000000000003</v>
      </c>
      <c r="BP20" s="100">
        <v>1.4747520453722338</v>
      </c>
      <c r="BQ20" s="100">
        <v>422.95888661275666</v>
      </c>
      <c r="BR20" s="100">
        <v>9</v>
      </c>
      <c r="BS20" s="100">
        <v>2581.2000000000003</v>
      </c>
      <c r="BT20" s="100">
        <v>8</v>
      </c>
      <c r="BU20" s="100">
        <v>2294.4</v>
      </c>
      <c r="BV20" s="100">
        <v>9</v>
      </c>
      <c r="BW20" s="100">
        <v>2581.2000000000003</v>
      </c>
      <c r="BX20" s="100">
        <v>1.6162621660298668</v>
      </c>
      <c r="BY20" s="100">
        <v>463.54398921736583</v>
      </c>
      <c r="BZ20" s="100">
        <v>6</v>
      </c>
      <c r="CA20" s="100">
        <v>1720.8000000000002</v>
      </c>
      <c r="CB20" s="100">
        <v>3.1277826198721641</v>
      </c>
      <c r="CC20" s="100">
        <v>897.04805537933669</v>
      </c>
      <c r="CD20" s="100">
        <v>7</v>
      </c>
      <c r="CE20" s="100">
        <v>2007.6000000000001</v>
      </c>
      <c r="CF20" s="100">
        <v>3.495109458165786</v>
      </c>
      <c r="CG20" s="100">
        <v>1002.3973926019474</v>
      </c>
      <c r="CH20" s="100">
        <v>10</v>
      </c>
      <c r="CI20" s="100">
        <v>2868</v>
      </c>
      <c r="CJ20" s="100">
        <v>6</v>
      </c>
      <c r="CK20" s="100">
        <v>1720.8000000000002</v>
      </c>
      <c r="CL20" s="100">
        <v>9</v>
      </c>
      <c r="CM20" s="100">
        <v>2581.2000000000003</v>
      </c>
      <c r="CN20" s="100">
        <v>8</v>
      </c>
      <c r="CO20" s="100">
        <v>2294.4</v>
      </c>
      <c r="CP20" s="100">
        <v>10.992792704643824</v>
      </c>
      <c r="CQ20" s="100">
        <v>3152.7329476918489</v>
      </c>
      <c r="CR20" s="100">
        <v>6.9118171948132979E-4</v>
      </c>
      <c r="CS20" s="100">
        <v>0.19823091714724539</v>
      </c>
      <c r="CT20" s="100">
        <v>6.9761884416947222</v>
      </c>
      <c r="CU20" s="100">
        <v>2000.7708450780465</v>
      </c>
    </row>
    <row r="21" spans="2:99">
      <c r="C21" s="99" t="s">
        <v>187</v>
      </c>
      <c r="D21" s="100">
        <v>11.478730651214509</v>
      </c>
      <c r="E21" s="100">
        <v>716.27279263578532</v>
      </c>
      <c r="F21" s="100">
        <v>2.6661329903964632</v>
      </c>
      <c r="G21" s="100">
        <v>166.36669860073931</v>
      </c>
      <c r="H21" s="100">
        <v>5.6551231593837919E-4</v>
      </c>
      <c r="I21" s="100">
        <v>3.528796851455486E-2</v>
      </c>
      <c r="J21" s="100">
        <v>5.0006605434224838</v>
      </c>
      <c r="K21" s="100">
        <v>312.04121790956299</v>
      </c>
      <c r="L21" s="100">
        <v>7.9625237091691385</v>
      </c>
      <c r="M21" s="100">
        <v>496.86147945215424</v>
      </c>
      <c r="N21" s="100">
        <v>9.6370130378465575</v>
      </c>
      <c r="O21" s="100">
        <v>601.34961356162512</v>
      </c>
      <c r="P21" s="100">
        <v>11</v>
      </c>
      <c r="Q21" s="100">
        <v>686.4</v>
      </c>
      <c r="R21" s="100">
        <v>5.4855413141495069</v>
      </c>
      <c r="S21" s="100">
        <v>342.29777800292919</v>
      </c>
      <c r="T21" s="100">
        <v>4.8675002501085745</v>
      </c>
      <c r="U21" s="100">
        <v>303.73201560677506</v>
      </c>
      <c r="V21" s="100">
        <v>4.9814264600412349E-4</v>
      </c>
      <c r="W21" s="100">
        <v>3.1084101110657306E-2</v>
      </c>
      <c r="X21" s="100">
        <v>8.4251278510789067</v>
      </c>
      <c r="Y21" s="100">
        <v>525.72797790732375</v>
      </c>
      <c r="Z21" s="100">
        <v>7</v>
      </c>
      <c r="AA21" s="100">
        <v>436.8</v>
      </c>
      <c r="AB21" s="100">
        <v>8</v>
      </c>
      <c r="AC21" s="100">
        <v>499.2</v>
      </c>
      <c r="AD21" s="100">
        <v>5.4979071315158423</v>
      </c>
      <c r="AE21" s="100">
        <v>343.06940500658857</v>
      </c>
      <c r="AF21" s="100">
        <v>3.7047887660321939</v>
      </c>
      <c r="AG21" s="100">
        <v>231.17881900040888</v>
      </c>
      <c r="AH21" s="100">
        <v>9</v>
      </c>
      <c r="AI21" s="100">
        <v>561.6</v>
      </c>
      <c r="AJ21" s="100">
        <v>4.1530847326235554</v>
      </c>
      <c r="AK21" s="100">
        <v>259.15248731570983</v>
      </c>
      <c r="AL21" s="100">
        <v>9.3420765616392849</v>
      </c>
      <c r="AM21" s="100">
        <v>582.9455774462914</v>
      </c>
      <c r="AN21" s="100">
        <v>8.8172955652202436</v>
      </c>
      <c r="AO21" s="100">
        <v>550.19924326974319</v>
      </c>
      <c r="AP21" s="100">
        <v>6</v>
      </c>
      <c r="AQ21" s="100">
        <v>374.4</v>
      </c>
      <c r="AR21" s="100">
        <v>8</v>
      </c>
      <c r="AS21" s="100">
        <v>499.2</v>
      </c>
      <c r="AT21" s="100">
        <v>5.6657332878990943</v>
      </c>
      <c r="AU21" s="100">
        <v>353.54175716490346</v>
      </c>
      <c r="AV21" s="100">
        <v>9</v>
      </c>
      <c r="AW21" s="100">
        <v>561.6</v>
      </c>
      <c r="AX21" s="100">
        <v>5.5521249660746896</v>
      </c>
      <c r="AY21" s="100">
        <v>346.4525978830606</v>
      </c>
      <c r="AZ21" s="100">
        <v>9</v>
      </c>
      <c r="BA21" s="100">
        <v>561.6</v>
      </c>
      <c r="BB21" s="100">
        <v>11</v>
      </c>
      <c r="BC21" s="100">
        <v>686.4</v>
      </c>
      <c r="BD21" s="100">
        <v>10</v>
      </c>
      <c r="BE21" s="100">
        <v>624</v>
      </c>
      <c r="BF21" s="100">
        <v>3.0664486454426383</v>
      </c>
      <c r="BG21" s="100">
        <v>191.34639547562062</v>
      </c>
      <c r="BH21" s="100">
        <v>5.0401365046539475</v>
      </c>
      <c r="BI21" s="100">
        <v>314.50451789040631</v>
      </c>
      <c r="BJ21" s="100">
        <v>8</v>
      </c>
      <c r="BK21" s="100">
        <v>499.2</v>
      </c>
      <c r="BL21" s="100">
        <v>9</v>
      </c>
      <c r="BM21" s="100">
        <v>561.6</v>
      </c>
      <c r="BN21" s="100">
        <v>10</v>
      </c>
      <c r="BO21" s="100">
        <v>624</v>
      </c>
      <c r="BP21" s="100">
        <v>1.3272768408350104</v>
      </c>
      <c r="BQ21" s="100">
        <v>82.82207486810465</v>
      </c>
      <c r="BR21" s="100">
        <v>8</v>
      </c>
      <c r="BS21" s="100">
        <v>499.2</v>
      </c>
      <c r="BT21" s="100">
        <v>7</v>
      </c>
      <c r="BU21" s="100">
        <v>436.8</v>
      </c>
      <c r="BV21" s="100">
        <v>9</v>
      </c>
      <c r="BW21" s="100">
        <v>561.6</v>
      </c>
      <c r="BX21" s="100">
        <v>1.6162621660298668</v>
      </c>
      <c r="BY21" s="100">
        <v>100.85475916026368</v>
      </c>
      <c r="BZ21" s="100">
        <v>7</v>
      </c>
      <c r="CA21" s="100">
        <v>436.8</v>
      </c>
      <c r="CB21" s="100">
        <v>2.7368097923881436</v>
      </c>
      <c r="CC21" s="100">
        <v>170.77693104502015</v>
      </c>
      <c r="CD21" s="100">
        <v>8</v>
      </c>
      <c r="CE21" s="100">
        <v>499.2</v>
      </c>
      <c r="CF21" s="100">
        <v>3.495109458165786</v>
      </c>
      <c r="CG21" s="100">
        <v>218.09483018954504</v>
      </c>
      <c r="CH21" s="100">
        <v>12</v>
      </c>
      <c r="CI21" s="100">
        <v>748.8</v>
      </c>
      <c r="CJ21" s="100">
        <v>7</v>
      </c>
      <c r="CK21" s="100">
        <v>436.8</v>
      </c>
      <c r="CL21" s="100">
        <v>9</v>
      </c>
      <c r="CM21" s="100">
        <v>561.6</v>
      </c>
      <c r="CN21" s="100">
        <v>8</v>
      </c>
      <c r="CO21" s="100">
        <v>499.2</v>
      </c>
      <c r="CP21" s="100">
        <v>10.992792704643824</v>
      </c>
      <c r="CQ21" s="100">
        <v>685.95026476977455</v>
      </c>
      <c r="CR21" s="100">
        <v>8.1685112302338971E-4</v>
      </c>
      <c r="CS21" s="100">
        <v>5.0971510076659517E-2</v>
      </c>
      <c r="CT21" s="100">
        <v>7.8482119969065618</v>
      </c>
      <c r="CU21" s="100">
        <v>489.72842860696943</v>
      </c>
    </row>
    <row r="22" spans="2:99">
      <c r="C22" s="99" t="s">
        <v>188</v>
      </c>
      <c r="D22" s="100">
        <v>11.430857586093058</v>
      </c>
      <c r="E22" s="100">
        <v>2139.8565401166202</v>
      </c>
      <c r="F22" s="100">
        <v>2.3788810983409405</v>
      </c>
      <c r="G22" s="100">
        <v>445.32654160942405</v>
      </c>
      <c r="H22" s="100">
        <v>5.6551231593837919E-4</v>
      </c>
      <c r="I22" s="100">
        <v>0.10586390554366458</v>
      </c>
      <c r="J22" s="100">
        <v>6.000707725095519</v>
      </c>
      <c r="K22" s="100">
        <v>1123.332486137881</v>
      </c>
      <c r="L22" s="100">
        <v>7.0777988525947899</v>
      </c>
      <c r="M22" s="100">
        <v>1324.9639452057445</v>
      </c>
      <c r="N22" s="100">
        <v>9.6370130378465575</v>
      </c>
      <c r="O22" s="100">
        <v>1804.0488406848754</v>
      </c>
      <c r="P22" s="100">
        <v>10</v>
      </c>
      <c r="Q22" s="100">
        <v>1872</v>
      </c>
      <c r="R22" s="100">
        <v>5.4855413141495069</v>
      </c>
      <c r="S22" s="100">
        <v>1026.8933340087876</v>
      </c>
      <c r="T22" s="100">
        <v>4.8675002501085745</v>
      </c>
      <c r="U22" s="100">
        <v>911.19604682032514</v>
      </c>
      <c r="V22" s="100">
        <v>4.9814264600412349E-4</v>
      </c>
      <c r="W22" s="100">
        <v>9.3252303331971917E-2</v>
      </c>
      <c r="X22" s="100">
        <v>7.4890025342923616</v>
      </c>
      <c r="Y22" s="100">
        <v>1401.9412744195299</v>
      </c>
      <c r="Z22" s="100">
        <v>7</v>
      </c>
      <c r="AA22" s="100">
        <v>1310.3999999999999</v>
      </c>
      <c r="AB22" s="100">
        <v>8</v>
      </c>
      <c r="AC22" s="100">
        <v>1497.6</v>
      </c>
      <c r="AD22" s="100">
        <v>4.8870285613474147</v>
      </c>
      <c r="AE22" s="100">
        <v>914.85174668423599</v>
      </c>
      <c r="AF22" s="100">
        <v>4.3222535603708927</v>
      </c>
      <c r="AG22" s="100">
        <v>809.12586650143112</v>
      </c>
      <c r="AH22" s="100">
        <v>8</v>
      </c>
      <c r="AI22" s="100">
        <v>1497.6</v>
      </c>
      <c r="AJ22" s="100">
        <v>4.6145385918039512</v>
      </c>
      <c r="AK22" s="100">
        <v>863.84162438569956</v>
      </c>
      <c r="AL22" s="100">
        <v>10.276284217803212</v>
      </c>
      <c r="AM22" s="100">
        <v>1923.7204055727611</v>
      </c>
      <c r="AN22" s="100">
        <v>7.8375960579735491</v>
      </c>
      <c r="AO22" s="100">
        <v>1467.1979820526483</v>
      </c>
      <c r="AP22" s="100">
        <v>6</v>
      </c>
      <c r="AQ22" s="100">
        <v>1123.1999999999998</v>
      </c>
      <c r="AR22" s="100">
        <v>8</v>
      </c>
      <c r="AS22" s="100">
        <v>1497.6</v>
      </c>
      <c r="AT22" s="100">
        <v>5.6657332878990943</v>
      </c>
      <c r="AU22" s="100">
        <v>1060.6252714947104</v>
      </c>
      <c r="AV22" s="100">
        <v>9</v>
      </c>
      <c r="AW22" s="100">
        <v>1684.8</v>
      </c>
      <c r="AX22" s="100">
        <v>5.5521249660746896</v>
      </c>
      <c r="AY22" s="100">
        <v>1039.3577936491818</v>
      </c>
      <c r="AZ22" s="100">
        <v>9</v>
      </c>
      <c r="BA22" s="100">
        <v>1684.8</v>
      </c>
      <c r="BB22" s="100">
        <v>11</v>
      </c>
      <c r="BC22" s="100">
        <v>2059.1999999999998</v>
      </c>
      <c r="BD22" s="100">
        <v>10</v>
      </c>
      <c r="BE22" s="100">
        <v>1872</v>
      </c>
      <c r="BF22" s="100">
        <v>3.0664486454426383</v>
      </c>
      <c r="BG22" s="100">
        <v>574.03918642686187</v>
      </c>
      <c r="BH22" s="100">
        <v>5.0401365046539475</v>
      </c>
      <c r="BI22" s="100">
        <v>943.51355367121892</v>
      </c>
      <c r="BJ22" s="100">
        <v>8</v>
      </c>
      <c r="BK22" s="100">
        <v>1497.6</v>
      </c>
      <c r="BL22" s="100">
        <v>9</v>
      </c>
      <c r="BM22" s="100">
        <v>1684.8</v>
      </c>
      <c r="BN22" s="100">
        <v>9</v>
      </c>
      <c r="BO22" s="100">
        <v>1684.8</v>
      </c>
      <c r="BP22" s="100">
        <v>1.4747520453722338</v>
      </c>
      <c r="BQ22" s="100">
        <v>276.07358289368216</v>
      </c>
      <c r="BR22" s="100">
        <v>8</v>
      </c>
      <c r="BS22" s="100">
        <v>1497.6</v>
      </c>
      <c r="BT22" s="100">
        <v>8</v>
      </c>
      <c r="BU22" s="100">
        <v>1497.6</v>
      </c>
      <c r="BV22" s="100">
        <v>9</v>
      </c>
      <c r="BW22" s="100">
        <v>1684.8</v>
      </c>
      <c r="BX22" s="100">
        <v>1.8471567611769908</v>
      </c>
      <c r="BY22" s="100">
        <v>345.78774569233263</v>
      </c>
      <c r="BZ22" s="100">
        <v>6</v>
      </c>
      <c r="CA22" s="100">
        <v>1123.1999999999998</v>
      </c>
      <c r="CB22" s="100">
        <v>3.1277826198721641</v>
      </c>
      <c r="CC22" s="100">
        <v>585.5209064400691</v>
      </c>
      <c r="CD22" s="100">
        <v>7</v>
      </c>
      <c r="CE22" s="100">
        <v>1310.3999999999999</v>
      </c>
      <c r="CF22" s="100">
        <v>4.0776277011934168</v>
      </c>
      <c r="CG22" s="100">
        <v>763.33190566340761</v>
      </c>
      <c r="CH22" s="100">
        <v>11</v>
      </c>
      <c r="CI22" s="100">
        <v>2059.1999999999998</v>
      </c>
      <c r="CJ22" s="100">
        <v>7</v>
      </c>
      <c r="CK22" s="100">
        <v>1310.3999999999999</v>
      </c>
      <c r="CL22" s="100">
        <v>9</v>
      </c>
      <c r="CM22" s="100">
        <v>1684.8</v>
      </c>
      <c r="CN22" s="100">
        <v>8</v>
      </c>
      <c r="CO22" s="100">
        <v>1497.6</v>
      </c>
      <c r="CP22" s="100">
        <v>9.9934479133125667</v>
      </c>
      <c r="CQ22" s="100">
        <v>1870.7734493721123</v>
      </c>
      <c r="CR22" s="100">
        <v>6.9118171948132979E-4</v>
      </c>
      <c r="CS22" s="100">
        <v>0.12938921788690494</v>
      </c>
      <c r="CT22" s="100">
        <v>6.9761884416947222</v>
      </c>
      <c r="CU22" s="100">
        <v>1305.9424762852518</v>
      </c>
    </row>
    <row r="23" spans="2:99">
      <c r="C23" s="99" t="s">
        <v>189</v>
      </c>
      <c r="D23" s="100">
        <v>10.478730651214509</v>
      </c>
      <c r="E23" s="100">
        <v>3080.7468114570656</v>
      </c>
      <c r="F23" s="100">
        <v>2.321187402854457</v>
      </c>
      <c r="G23" s="100">
        <v>682.42909643921041</v>
      </c>
      <c r="H23" s="100">
        <v>6.5976436859477565E-4</v>
      </c>
      <c r="I23" s="100">
        <v>0.19397072436686405</v>
      </c>
      <c r="J23" s="100">
        <v>6.0006133617494495</v>
      </c>
      <c r="K23" s="100">
        <v>1764.1803283543381</v>
      </c>
      <c r="L23" s="100">
        <v>7.9625237091691385</v>
      </c>
      <c r="M23" s="100">
        <v>2340.9819704957267</v>
      </c>
      <c r="N23" s="100">
        <v>9.6370130378465575</v>
      </c>
      <c r="O23" s="100">
        <v>2833.2818331268877</v>
      </c>
      <c r="P23" s="100">
        <v>10</v>
      </c>
      <c r="Q23" s="100">
        <v>2940</v>
      </c>
      <c r="R23" s="100">
        <v>5.4855413141495069</v>
      </c>
      <c r="S23" s="100">
        <v>1612.7491463599549</v>
      </c>
      <c r="T23" s="100">
        <v>4.0562502084238119</v>
      </c>
      <c r="U23" s="100">
        <v>1192.5375612766006</v>
      </c>
      <c r="V23" s="100">
        <v>5.81166420338144E-4</v>
      </c>
      <c r="W23" s="100">
        <v>0.17086292757941435</v>
      </c>
      <c r="X23" s="100">
        <v>8.4251278510789067</v>
      </c>
      <c r="Y23" s="100">
        <v>2476.9875882171987</v>
      </c>
      <c r="Z23" s="100">
        <v>8</v>
      </c>
      <c r="AA23" s="100">
        <v>2352</v>
      </c>
      <c r="AB23" s="100">
        <v>7</v>
      </c>
      <c r="AC23" s="100">
        <v>2058</v>
      </c>
      <c r="AD23" s="100">
        <v>4.276149991178988</v>
      </c>
      <c r="AE23" s="100">
        <v>1257.1880974066225</v>
      </c>
      <c r="AF23" s="100">
        <v>4.3222535603708927</v>
      </c>
      <c r="AG23" s="100">
        <v>1270.7425467490425</v>
      </c>
      <c r="AH23" s="100">
        <v>9</v>
      </c>
      <c r="AI23" s="100">
        <v>2646</v>
      </c>
      <c r="AJ23" s="100">
        <v>4.1530847326235554</v>
      </c>
      <c r="AK23" s="100">
        <v>1221.0069113913253</v>
      </c>
      <c r="AL23" s="100">
        <v>10.276284217803212</v>
      </c>
      <c r="AM23" s="100">
        <v>3021.2275600341445</v>
      </c>
      <c r="AN23" s="100">
        <v>8.8172955652202436</v>
      </c>
      <c r="AO23" s="100">
        <v>2592.2848961747518</v>
      </c>
      <c r="AP23" s="100">
        <v>7</v>
      </c>
      <c r="AQ23" s="100">
        <v>2058</v>
      </c>
      <c r="AR23" s="100">
        <v>7</v>
      </c>
      <c r="AS23" s="100">
        <v>2058</v>
      </c>
      <c r="AT23" s="100">
        <v>5.6657332878990943</v>
      </c>
      <c r="AU23" s="100">
        <v>1665.7255866423336</v>
      </c>
      <c r="AV23" s="100">
        <v>9</v>
      </c>
      <c r="AW23" s="100">
        <v>2646</v>
      </c>
      <c r="AX23" s="100">
        <v>6.3452856755139315</v>
      </c>
      <c r="AY23" s="100">
        <v>1865.5139886010959</v>
      </c>
      <c r="AZ23" s="100">
        <v>9</v>
      </c>
      <c r="BA23" s="100">
        <v>2646</v>
      </c>
      <c r="BB23" s="100">
        <v>10</v>
      </c>
      <c r="BC23" s="100">
        <v>2940</v>
      </c>
      <c r="BD23" s="100">
        <v>10</v>
      </c>
      <c r="BE23" s="100">
        <v>2940</v>
      </c>
      <c r="BF23" s="100">
        <v>2.6283845532365469</v>
      </c>
      <c r="BG23" s="100">
        <v>772.74505865154481</v>
      </c>
      <c r="BH23" s="100">
        <v>5.7601560053187972</v>
      </c>
      <c r="BI23" s="100">
        <v>1693.4858655637263</v>
      </c>
      <c r="BJ23" s="100">
        <v>8</v>
      </c>
      <c r="BK23" s="100">
        <v>2352</v>
      </c>
      <c r="BL23" s="100">
        <v>9</v>
      </c>
      <c r="BM23" s="100">
        <v>2646</v>
      </c>
      <c r="BN23" s="100">
        <v>9</v>
      </c>
      <c r="BO23" s="100">
        <v>2646</v>
      </c>
      <c r="BP23" s="100">
        <v>1.4747520453722338</v>
      </c>
      <c r="BQ23" s="100">
        <v>433.57710133943675</v>
      </c>
      <c r="BR23" s="100">
        <v>8</v>
      </c>
      <c r="BS23" s="100">
        <v>2352</v>
      </c>
      <c r="BT23" s="100">
        <v>7</v>
      </c>
      <c r="BU23" s="100">
        <v>2058</v>
      </c>
      <c r="BV23" s="100">
        <v>8</v>
      </c>
      <c r="BW23" s="100">
        <v>2352</v>
      </c>
      <c r="BX23" s="100">
        <v>1.6162621660298668</v>
      </c>
      <c r="BY23" s="100">
        <v>475.18107681278087</v>
      </c>
      <c r="BZ23" s="100">
        <v>6</v>
      </c>
      <c r="CA23" s="100">
        <v>1764</v>
      </c>
      <c r="CB23" s="100">
        <v>3.1277826198721641</v>
      </c>
      <c r="CC23" s="100">
        <v>919.56809024241625</v>
      </c>
      <c r="CD23" s="100">
        <v>8</v>
      </c>
      <c r="CE23" s="100">
        <v>2352</v>
      </c>
      <c r="CF23" s="100">
        <v>3.495109458165786</v>
      </c>
      <c r="CG23" s="100">
        <v>1027.562180700741</v>
      </c>
      <c r="CH23" s="100">
        <v>10</v>
      </c>
      <c r="CI23" s="100">
        <v>2940</v>
      </c>
      <c r="CJ23" s="100">
        <v>7</v>
      </c>
      <c r="CK23" s="100">
        <v>2058</v>
      </c>
      <c r="CL23" s="100">
        <v>9</v>
      </c>
      <c r="CM23" s="100">
        <v>2646</v>
      </c>
      <c r="CN23" s="100">
        <v>8</v>
      </c>
      <c r="CO23" s="100">
        <v>2352</v>
      </c>
      <c r="CP23" s="100">
        <v>10.992792704643824</v>
      </c>
      <c r="CQ23" s="100">
        <v>3231.8810551652841</v>
      </c>
      <c r="CR23" s="100">
        <v>7.5401642125235975E-4</v>
      </c>
      <c r="CS23" s="100">
        <v>0.22168082784819376</v>
      </c>
      <c r="CT23" s="100">
        <v>6.9761884416947222</v>
      </c>
      <c r="CU23" s="100">
        <v>2050.9994018582483</v>
      </c>
    </row>
    <row r="24" spans="2:99">
      <c r="C24" s="99" t="s">
        <v>190</v>
      </c>
      <c r="D24" s="100">
        <v>9.4308575860930581</v>
      </c>
      <c r="E24" s="100">
        <v>3463.0109056133711</v>
      </c>
      <c r="F24" s="100">
        <v>2.63877046063409</v>
      </c>
      <c r="G24" s="100">
        <v>968.9565131448378</v>
      </c>
      <c r="H24" s="100">
        <v>6.5976436859477565E-4</v>
      </c>
      <c r="I24" s="100">
        <v>0.24226547614800162</v>
      </c>
      <c r="J24" s="100">
        <v>5.0006133617494495</v>
      </c>
      <c r="K24" s="100">
        <v>1836.2252264343979</v>
      </c>
      <c r="L24" s="100">
        <v>7.0777988525947899</v>
      </c>
      <c r="M24" s="100">
        <v>2598.9677386728067</v>
      </c>
      <c r="N24" s="100">
        <v>9.6370130378465575</v>
      </c>
      <c r="O24" s="100">
        <v>3538.7111874972557</v>
      </c>
      <c r="P24" s="100">
        <v>9</v>
      </c>
      <c r="Q24" s="100">
        <v>3304.7999999999997</v>
      </c>
      <c r="R24" s="100">
        <v>5.4855413141495069</v>
      </c>
      <c r="S24" s="100">
        <v>2014.2907705556988</v>
      </c>
      <c r="T24" s="100">
        <v>4.8675002501085745</v>
      </c>
      <c r="U24" s="100">
        <v>1787.3460918398684</v>
      </c>
      <c r="V24" s="100">
        <v>5.81166420338144E-4</v>
      </c>
      <c r="W24" s="100">
        <v>0.21340430954816647</v>
      </c>
      <c r="X24" s="100">
        <v>8.4251278510789067</v>
      </c>
      <c r="Y24" s="100">
        <v>3093.7069469161743</v>
      </c>
      <c r="Z24" s="100">
        <v>7</v>
      </c>
      <c r="AA24" s="100">
        <v>2570.4</v>
      </c>
      <c r="AB24" s="100">
        <v>8</v>
      </c>
      <c r="AC24" s="100">
        <v>2937.6</v>
      </c>
      <c r="AD24" s="100">
        <v>5.4979071315158423</v>
      </c>
      <c r="AE24" s="100">
        <v>2018.8314986926173</v>
      </c>
      <c r="AF24" s="100">
        <v>4.3222535603708927</v>
      </c>
      <c r="AG24" s="100">
        <v>1587.1315073681917</v>
      </c>
      <c r="AH24" s="100">
        <v>8</v>
      </c>
      <c r="AI24" s="100">
        <v>2937.6</v>
      </c>
      <c r="AJ24" s="100">
        <v>4.1530847326235554</v>
      </c>
      <c r="AK24" s="100">
        <v>1525.0127138193695</v>
      </c>
      <c r="AL24" s="100">
        <v>10.276284217803212</v>
      </c>
      <c r="AM24" s="100">
        <v>3773.4515647773396</v>
      </c>
      <c r="AN24" s="100">
        <v>6.8578965507268546</v>
      </c>
      <c r="AO24" s="100">
        <v>2518.2196134269011</v>
      </c>
      <c r="AP24" s="100">
        <v>7</v>
      </c>
      <c r="AQ24" s="100">
        <v>2570.4</v>
      </c>
      <c r="AR24" s="100">
        <v>7</v>
      </c>
      <c r="AS24" s="100">
        <v>2570.4</v>
      </c>
      <c r="AT24" s="100">
        <v>5.6657332878990943</v>
      </c>
      <c r="AU24" s="100">
        <v>2080.4572633165471</v>
      </c>
      <c r="AV24" s="100">
        <v>9</v>
      </c>
      <c r="AW24" s="100">
        <v>3304.7999999999997</v>
      </c>
      <c r="AX24" s="100">
        <v>6.3452856755139315</v>
      </c>
      <c r="AY24" s="100">
        <v>2329.9889000487155</v>
      </c>
      <c r="AZ24" s="100">
        <v>9</v>
      </c>
      <c r="BA24" s="100">
        <v>3304.7999999999997</v>
      </c>
      <c r="BB24" s="100">
        <v>11</v>
      </c>
      <c r="BC24" s="100">
        <v>4039.2</v>
      </c>
      <c r="BD24" s="100">
        <v>11</v>
      </c>
      <c r="BE24" s="100">
        <v>4039.2</v>
      </c>
      <c r="BF24" s="100">
        <v>3.0664486454426383</v>
      </c>
      <c r="BG24" s="100">
        <v>1125.9999426065367</v>
      </c>
      <c r="BH24" s="100">
        <v>5.0401365046539475</v>
      </c>
      <c r="BI24" s="100">
        <v>1850.7381245089296</v>
      </c>
      <c r="BJ24" s="100">
        <v>8</v>
      </c>
      <c r="BK24" s="100">
        <v>2937.6</v>
      </c>
      <c r="BL24" s="100">
        <v>9</v>
      </c>
      <c r="BM24" s="100">
        <v>3304.7999999999997</v>
      </c>
      <c r="BN24" s="100">
        <v>10</v>
      </c>
      <c r="BO24" s="100">
        <v>3672</v>
      </c>
      <c r="BP24" s="100">
        <v>1.4747520453722338</v>
      </c>
      <c r="BQ24" s="100">
        <v>541.52895106068422</v>
      </c>
      <c r="BR24" s="100">
        <v>8</v>
      </c>
      <c r="BS24" s="100">
        <v>2937.6</v>
      </c>
      <c r="BT24" s="100">
        <v>8</v>
      </c>
      <c r="BU24" s="100">
        <v>2937.6</v>
      </c>
      <c r="BV24" s="100">
        <v>8</v>
      </c>
      <c r="BW24" s="100">
        <v>2937.6</v>
      </c>
      <c r="BX24" s="100">
        <v>1.6162621660298668</v>
      </c>
      <c r="BY24" s="100">
        <v>593.49146736616706</v>
      </c>
      <c r="BZ24" s="100">
        <v>6</v>
      </c>
      <c r="CA24" s="100">
        <v>2203.1999999999998</v>
      </c>
      <c r="CB24" s="100">
        <v>3.1277826198721641</v>
      </c>
      <c r="CC24" s="100">
        <v>1148.5217780170585</v>
      </c>
      <c r="CD24" s="100">
        <v>8</v>
      </c>
      <c r="CE24" s="100">
        <v>2937.6</v>
      </c>
      <c r="CF24" s="100">
        <v>4.0776277011934168</v>
      </c>
      <c r="CG24" s="100">
        <v>1497.3048918782226</v>
      </c>
      <c r="CH24" s="100">
        <v>10</v>
      </c>
      <c r="CI24" s="100">
        <v>3672</v>
      </c>
      <c r="CJ24" s="100">
        <v>6</v>
      </c>
      <c r="CK24" s="100">
        <v>2203.1999999999998</v>
      </c>
      <c r="CL24" s="100">
        <v>10</v>
      </c>
      <c r="CM24" s="100">
        <v>3672</v>
      </c>
      <c r="CN24" s="100">
        <v>7</v>
      </c>
      <c r="CO24" s="100">
        <v>2570.4</v>
      </c>
      <c r="CP24" s="100">
        <v>8.9941031219813112</v>
      </c>
      <c r="CQ24" s="100">
        <v>3302.6346663915374</v>
      </c>
      <c r="CR24" s="100">
        <v>6.9118171948132979E-4</v>
      </c>
      <c r="CS24" s="100">
        <v>0.25380192739354429</v>
      </c>
      <c r="CT24" s="100">
        <v>6.9761884416947222</v>
      </c>
      <c r="CU24" s="100">
        <v>2561.6563957903018</v>
      </c>
    </row>
    <row r="25" spans="2:99">
      <c r="C25" s="99" t="s">
        <v>191</v>
      </c>
      <c r="D25" s="100">
        <v>10.478730651214509</v>
      </c>
      <c r="E25" s="100">
        <v>5557.9187374041749</v>
      </c>
      <c r="F25" s="100">
        <v>2.63877046063409</v>
      </c>
      <c r="G25" s="100">
        <v>1399.6038523203213</v>
      </c>
      <c r="H25" s="100">
        <v>5.6551231593837919E-4</v>
      </c>
      <c r="I25" s="100">
        <v>0.2999477323737163</v>
      </c>
      <c r="J25" s="100">
        <v>5.0005661800764152</v>
      </c>
      <c r="K25" s="100">
        <v>2652.3003019125304</v>
      </c>
      <c r="L25" s="100">
        <v>7.0777988525947899</v>
      </c>
      <c r="M25" s="100">
        <v>3754.0645114162762</v>
      </c>
      <c r="N25" s="100">
        <v>9.6370130378465575</v>
      </c>
      <c r="O25" s="100">
        <v>5111.471715273814</v>
      </c>
      <c r="P25" s="100">
        <v>10</v>
      </c>
      <c r="Q25" s="100">
        <v>5304</v>
      </c>
      <c r="R25" s="100">
        <v>5.4855413141495069</v>
      </c>
      <c r="S25" s="100">
        <v>2909.5311130248983</v>
      </c>
      <c r="T25" s="100">
        <v>4.8675002501085745</v>
      </c>
      <c r="U25" s="100">
        <v>2581.7221326575877</v>
      </c>
      <c r="V25" s="100">
        <v>4.9814264600412349E-4</v>
      </c>
      <c r="W25" s="100">
        <v>0.26421485944058709</v>
      </c>
      <c r="X25" s="100">
        <v>8.4251278510789067</v>
      </c>
      <c r="Y25" s="100">
        <v>4468.6878122122516</v>
      </c>
      <c r="Z25" s="100">
        <v>8</v>
      </c>
      <c r="AA25" s="100">
        <v>4243.2</v>
      </c>
      <c r="AB25" s="100">
        <v>8</v>
      </c>
      <c r="AC25" s="100">
        <v>4243.2</v>
      </c>
      <c r="AD25" s="100">
        <v>4.276149991178988</v>
      </c>
      <c r="AE25" s="100">
        <v>2268.0699553213353</v>
      </c>
      <c r="AF25" s="100">
        <v>3.7047887660321939</v>
      </c>
      <c r="AG25" s="100">
        <v>1965.0199615034755</v>
      </c>
      <c r="AH25" s="100">
        <v>8</v>
      </c>
      <c r="AI25" s="100">
        <v>4243.2</v>
      </c>
      <c r="AJ25" s="100">
        <v>4.1530847326235554</v>
      </c>
      <c r="AK25" s="100">
        <v>2202.7961421835339</v>
      </c>
      <c r="AL25" s="100">
        <v>10.276284217803212</v>
      </c>
      <c r="AM25" s="100">
        <v>5450.5411491228233</v>
      </c>
      <c r="AN25" s="100">
        <v>7.8375960579735491</v>
      </c>
      <c r="AO25" s="100">
        <v>4157.0609491491705</v>
      </c>
      <c r="AP25" s="100">
        <v>7</v>
      </c>
      <c r="AQ25" s="100">
        <v>3712.7999999999997</v>
      </c>
      <c r="AR25" s="100">
        <v>7</v>
      </c>
      <c r="AS25" s="100">
        <v>3712.7999999999997</v>
      </c>
      <c r="AT25" s="100">
        <v>5.6657332878990943</v>
      </c>
      <c r="AU25" s="100">
        <v>3005.1049359016793</v>
      </c>
      <c r="AV25" s="100">
        <v>8</v>
      </c>
      <c r="AW25" s="100">
        <v>4243.2</v>
      </c>
      <c r="AX25" s="100">
        <v>6.3452856755139315</v>
      </c>
      <c r="AY25" s="100">
        <v>3365.539522292589</v>
      </c>
      <c r="AZ25" s="100">
        <v>9</v>
      </c>
      <c r="BA25" s="100">
        <v>4773.5999999999995</v>
      </c>
      <c r="BB25" s="100">
        <v>10</v>
      </c>
      <c r="BC25" s="100">
        <v>5304</v>
      </c>
      <c r="BD25" s="100">
        <v>10</v>
      </c>
      <c r="BE25" s="100">
        <v>5304</v>
      </c>
      <c r="BF25" s="100">
        <v>2.6283845532365469</v>
      </c>
      <c r="BG25" s="100">
        <v>1394.0951670366644</v>
      </c>
      <c r="BH25" s="100">
        <v>5.0401365046539475</v>
      </c>
      <c r="BI25" s="100">
        <v>2673.2884020684537</v>
      </c>
      <c r="BJ25" s="100">
        <v>8</v>
      </c>
      <c r="BK25" s="100">
        <v>4243.2</v>
      </c>
      <c r="BL25" s="100">
        <v>8</v>
      </c>
      <c r="BM25" s="100">
        <v>4243.2</v>
      </c>
      <c r="BN25" s="100">
        <v>9</v>
      </c>
      <c r="BO25" s="100">
        <v>4773.5999999999995</v>
      </c>
      <c r="BP25" s="100">
        <v>1.3272768408350104</v>
      </c>
      <c r="BQ25" s="100">
        <v>703.98763637888953</v>
      </c>
      <c r="BR25" s="100">
        <v>9</v>
      </c>
      <c r="BS25" s="100">
        <v>4773.5999999999995</v>
      </c>
      <c r="BT25" s="100">
        <v>8</v>
      </c>
      <c r="BU25" s="100">
        <v>4243.2</v>
      </c>
      <c r="BV25" s="100">
        <v>9</v>
      </c>
      <c r="BW25" s="100">
        <v>4773.5999999999995</v>
      </c>
      <c r="BX25" s="100">
        <v>1.6162621660298668</v>
      </c>
      <c r="BY25" s="100">
        <v>857.26545286224132</v>
      </c>
      <c r="BZ25" s="100">
        <v>6</v>
      </c>
      <c r="CA25" s="100">
        <v>3182.3999999999996</v>
      </c>
      <c r="CB25" s="100">
        <v>2.7368097923881436</v>
      </c>
      <c r="CC25" s="100">
        <v>1451.6039138826713</v>
      </c>
      <c r="CD25" s="100">
        <v>7</v>
      </c>
      <c r="CE25" s="100">
        <v>3712.7999999999997</v>
      </c>
      <c r="CF25" s="100">
        <v>3.495109458165786</v>
      </c>
      <c r="CG25" s="100">
        <v>1853.8060566111328</v>
      </c>
      <c r="CH25" s="100">
        <v>10</v>
      </c>
      <c r="CI25" s="100">
        <v>5304</v>
      </c>
      <c r="CJ25" s="100">
        <v>6</v>
      </c>
      <c r="CK25" s="100">
        <v>3182.3999999999996</v>
      </c>
      <c r="CL25" s="100">
        <v>9</v>
      </c>
      <c r="CM25" s="100">
        <v>4773.5999999999995</v>
      </c>
      <c r="CN25" s="100">
        <v>8</v>
      </c>
      <c r="CO25" s="100">
        <v>4243.2</v>
      </c>
      <c r="CP25" s="100">
        <v>9.9934479133125667</v>
      </c>
      <c r="CQ25" s="100">
        <v>5300.5247732209855</v>
      </c>
      <c r="CR25" s="100">
        <v>7.5401642125235975E-4</v>
      </c>
      <c r="CS25" s="100">
        <v>0.39993030983225158</v>
      </c>
      <c r="CT25" s="100">
        <v>6.9761884416947222</v>
      </c>
      <c r="CU25" s="100">
        <v>3700.1703494748804</v>
      </c>
    </row>
    <row r="26" spans="2:99">
      <c r="C26" s="99" t="s">
        <v>192</v>
      </c>
      <c r="D26" s="100">
        <v>9.4787306512145086</v>
      </c>
      <c r="E26" s="100">
        <v>4606.6630964902515</v>
      </c>
      <c r="F26" s="100">
        <v>2.3466687191185907</v>
      </c>
      <c r="G26" s="100">
        <v>1140.480997491635</v>
      </c>
      <c r="H26" s="100">
        <v>5.6551231593837919E-4</v>
      </c>
      <c r="I26" s="100">
        <v>0.27483898554605229</v>
      </c>
      <c r="J26" s="100">
        <v>5.000707725095519</v>
      </c>
      <c r="K26" s="100">
        <v>2430.3439543964223</v>
      </c>
      <c r="L26" s="100">
        <v>7.0777988525947899</v>
      </c>
      <c r="M26" s="100">
        <v>3439.810242361068</v>
      </c>
      <c r="N26" s="100">
        <v>9.6370130378465575</v>
      </c>
      <c r="O26" s="100">
        <v>4683.5883363934272</v>
      </c>
      <c r="P26" s="100">
        <v>10</v>
      </c>
      <c r="Q26" s="100">
        <v>4860</v>
      </c>
      <c r="R26" s="100">
        <v>6.2691900733137231</v>
      </c>
      <c r="S26" s="100">
        <v>3046.8263756304696</v>
      </c>
      <c r="T26" s="100">
        <v>4.8675002501085745</v>
      </c>
      <c r="U26" s="100">
        <v>2365.6051215527673</v>
      </c>
      <c r="V26" s="100">
        <v>5.81166420338144E-4</v>
      </c>
      <c r="W26" s="100">
        <v>0.28244688028433801</v>
      </c>
      <c r="X26" s="100">
        <v>7.4890025342923616</v>
      </c>
      <c r="Y26" s="100">
        <v>3639.6552316660877</v>
      </c>
      <c r="Z26" s="100">
        <v>7</v>
      </c>
      <c r="AA26" s="100">
        <v>3402</v>
      </c>
      <c r="AB26" s="100">
        <v>8</v>
      </c>
      <c r="AC26" s="100">
        <v>3888</v>
      </c>
      <c r="AD26" s="100">
        <v>4.8870285613474147</v>
      </c>
      <c r="AE26" s="100">
        <v>2375.0958808148434</v>
      </c>
      <c r="AF26" s="100">
        <v>3.7047887660321939</v>
      </c>
      <c r="AG26" s="100">
        <v>1800.5273402916462</v>
      </c>
      <c r="AH26" s="100">
        <v>8</v>
      </c>
      <c r="AI26" s="100">
        <v>3888</v>
      </c>
      <c r="AJ26" s="100">
        <v>4.1530847326235554</v>
      </c>
      <c r="AK26" s="100">
        <v>2018.399180055048</v>
      </c>
      <c r="AL26" s="100">
        <v>11.21049187396714</v>
      </c>
      <c r="AM26" s="100">
        <v>5448.2990507480299</v>
      </c>
      <c r="AN26" s="100">
        <v>7.8375960579735491</v>
      </c>
      <c r="AO26" s="100">
        <v>3809.071684175145</v>
      </c>
      <c r="AP26" s="100">
        <v>7</v>
      </c>
      <c r="AQ26" s="100">
        <v>3402</v>
      </c>
      <c r="AR26" s="100">
        <v>7</v>
      </c>
      <c r="AS26" s="100">
        <v>3402</v>
      </c>
      <c r="AT26" s="100">
        <v>5.6657332878990943</v>
      </c>
      <c r="AU26" s="100">
        <v>2753.5463779189599</v>
      </c>
      <c r="AV26" s="100">
        <v>8</v>
      </c>
      <c r="AW26" s="100">
        <v>3888</v>
      </c>
      <c r="AX26" s="100">
        <v>5.5521249660746896</v>
      </c>
      <c r="AY26" s="100">
        <v>2698.332733512299</v>
      </c>
      <c r="AZ26" s="100">
        <v>9</v>
      </c>
      <c r="BA26" s="100">
        <v>4374</v>
      </c>
      <c r="BB26" s="100">
        <v>11</v>
      </c>
      <c r="BC26" s="100">
        <v>5346</v>
      </c>
      <c r="BD26" s="100">
        <v>10</v>
      </c>
      <c r="BE26" s="100">
        <v>4860</v>
      </c>
      <c r="BF26" s="100">
        <v>3.0664486454426383</v>
      </c>
      <c r="BG26" s="100">
        <v>1490.2940416851222</v>
      </c>
      <c r="BH26" s="100">
        <v>5.0401365046539475</v>
      </c>
      <c r="BI26" s="100">
        <v>2449.5063412618183</v>
      </c>
      <c r="BJ26" s="100">
        <v>8</v>
      </c>
      <c r="BK26" s="100">
        <v>3888</v>
      </c>
      <c r="BL26" s="100">
        <v>8</v>
      </c>
      <c r="BM26" s="100">
        <v>3888</v>
      </c>
      <c r="BN26" s="100">
        <v>10</v>
      </c>
      <c r="BO26" s="100">
        <v>4860</v>
      </c>
      <c r="BP26" s="100">
        <v>1.3272768408350104</v>
      </c>
      <c r="BQ26" s="100">
        <v>645.05654464581505</v>
      </c>
      <c r="BR26" s="100">
        <v>8</v>
      </c>
      <c r="BS26" s="100">
        <v>3888</v>
      </c>
      <c r="BT26" s="100">
        <v>7</v>
      </c>
      <c r="BU26" s="100">
        <v>3402</v>
      </c>
      <c r="BV26" s="100">
        <v>9</v>
      </c>
      <c r="BW26" s="100">
        <v>4374</v>
      </c>
      <c r="BX26" s="100">
        <v>1.6162621660298668</v>
      </c>
      <c r="BY26" s="100">
        <v>785.50341269051523</v>
      </c>
      <c r="BZ26" s="100">
        <v>5</v>
      </c>
      <c r="CA26" s="100">
        <v>2430</v>
      </c>
      <c r="CB26" s="100">
        <v>2.7368097923881436</v>
      </c>
      <c r="CC26" s="100">
        <v>1330.0895591006379</v>
      </c>
      <c r="CD26" s="100">
        <v>7</v>
      </c>
      <c r="CE26" s="100">
        <v>3402</v>
      </c>
      <c r="CF26" s="100">
        <v>3.495109458165786</v>
      </c>
      <c r="CG26" s="100">
        <v>1698.6231966685721</v>
      </c>
      <c r="CH26" s="100">
        <v>10</v>
      </c>
      <c r="CI26" s="100">
        <v>4860</v>
      </c>
      <c r="CJ26" s="100">
        <v>7</v>
      </c>
      <c r="CK26" s="100">
        <v>3402</v>
      </c>
      <c r="CL26" s="100">
        <v>9</v>
      </c>
      <c r="CM26" s="100">
        <v>4374</v>
      </c>
      <c r="CN26" s="100">
        <v>7</v>
      </c>
      <c r="CO26" s="100">
        <v>3402</v>
      </c>
      <c r="CP26" s="100">
        <v>8.9941031219813112</v>
      </c>
      <c r="CQ26" s="100">
        <v>4371.134117282917</v>
      </c>
      <c r="CR26" s="100">
        <v>7.5401642125235975E-4</v>
      </c>
      <c r="CS26" s="100">
        <v>0.36645198072864682</v>
      </c>
      <c r="CT26" s="100">
        <v>6.9761884416947222</v>
      </c>
      <c r="CU26" s="100">
        <v>3390.4275826636349</v>
      </c>
    </row>
    <row r="27" spans="2:99">
      <c r="C27" s="99" t="s">
        <v>193</v>
      </c>
      <c r="D27" s="100">
        <v>10.430857586093058</v>
      </c>
      <c r="E27" s="100">
        <v>4456.0623607789539</v>
      </c>
      <c r="F27" s="100">
        <v>2.5810767651476065</v>
      </c>
      <c r="G27" s="100">
        <v>1102.6359940710574</v>
      </c>
      <c r="H27" s="100">
        <v>6.5976436859477565E-4</v>
      </c>
      <c r="I27" s="100">
        <v>0.28185133826368813</v>
      </c>
      <c r="J27" s="100">
        <v>5.0006605434224838</v>
      </c>
      <c r="K27" s="100">
        <v>2136.282184150085</v>
      </c>
      <c r="L27" s="100">
        <v>6.1930739960204413</v>
      </c>
      <c r="M27" s="100">
        <v>2645.6812110999326</v>
      </c>
      <c r="N27" s="100">
        <v>8.7609209434968722</v>
      </c>
      <c r="O27" s="100">
        <v>3742.6654270618637</v>
      </c>
      <c r="P27" s="100">
        <v>11</v>
      </c>
      <c r="Q27" s="100">
        <v>4699.2</v>
      </c>
      <c r="R27" s="100">
        <v>4.7018925549852923</v>
      </c>
      <c r="S27" s="100">
        <v>2008.6484994897169</v>
      </c>
      <c r="T27" s="100">
        <v>4.0562502084238119</v>
      </c>
      <c r="U27" s="100">
        <v>1732.8300890386524</v>
      </c>
      <c r="V27" s="100">
        <v>4.9814264600412349E-4</v>
      </c>
      <c r="W27" s="100">
        <v>0.21280653837296154</v>
      </c>
      <c r="X27" s="100">
        <v>8.4251278510789067</v>
      </c>
      <c r="Y27" s="100">
        <v>3599.2146179809088</v>
      </c>
      <c r="Z27" s="100">
        <v>7</v>
      </c>
      <c r="AA27" s="100">
        <v>2990.4</v>
      </c>
      <c r="AB27" s="100">
        <v>7</v>
      </c>
      <c r="AC27" s="100">
        <v>2990.4</v>
      </c>
      <c r="AD27" s="100">
        <v>5.4979071315158423</v>
      </c>
      <c r="AE27" s="100">
        <v>2348.7059265835678</v>
      </c>
      <c r="AF27" s="100">
        <v>3.7047887660321939</v>
      </c>
      <c r="AG27" s="100">
        <v>1582.6857608489531</v>
      </c>
      <c r="AH27" s="100">
        <v>8</v>
      </c>
      <c r="AI27" s="100">
        <v>3417.6</v>
      </c>
      <c r="AJ27" s="100">
        <v>4.6145385918039512</v>
      </c>
      <c r="AK27" s="100">
        <v>1971.3308864186479</v>
      </c>
      <c r="AL27" s="100">
        <v>9.3420765616392849</v>
      </c>
      <c r="AM27" s="100">
        <v>3990.9351071323026</v>
      </c>
      <c r="AN27" s="100">
        <v>6.8578965507268546</v>
      </c>
      <c r="AO27" s="100">
        <v>2929.6934064705124</v>
      </c>
      <c r="AP27" s="100">
        <v>6</v>
      </c>
      <c r="AQ27" s="100">
        <v>2563.1999999999998</v>
      </c>
      <c r="AR27" s="100">
        <v>7</v>
      </c>
      <c r="AS27" s="100">
        <v>2990.4</v>
      </c>
      <c r="AT27" s="100">
        <v>5.0991599591091852</v>
      </c>
      <c r="AU27" s="100">
        <v>2178.3611345314439</v>
      </c>
      <c r="AV27" s="100">
        <v>9</v>
      </c>
      <c r="AW27" s="100">
        <v>3844.7999999999997</v>
      </c>
      <c r="AX27" s="100">
        <v>6.3452856755139315</v>
      </c>
      <c r="AY27" s="100">
        <v>2710.7060405795514</v>
      </c>
      <c r="AZ27" s="100">
        <v>9</v>
      </c>
      <c r="BA27" s="100">
        <v>3844.7999999999997</v>
      </c>
      <c r="BB27" s="100">
        <v>10</v>
      </c>
      <c r="BC27" s="100">
        <v>4272</v>
      </c>
      <c r="BD27" s="100">
        <v>10</v>
      </c>
      <c r="BE27" s="100">
        <v>4272</v>
      </c>
      <c r="BF27" s="100">
        <v>3.0664486454426383</v>
      </c>
      <c r="BG27" s="100">
        <v>1309.986861333095</v>
      </c>
      <c r="BH27" s="100">
        <v>5.7601560053187972</v>
      </c>
      <c r="BI27" s="100">
        <v>2460.73864547219</v>
      </c>
      <c r="BJ27" s="100">
        <v>7</v>
      </c>
      <c r="BK27" s="100">
        <v>2990.4</v>
      </c>
      <c r="BL27" s="100">
        <v>9</v>
      </c>
      <c r="BM27" s="100">
        <v>3844.7999999999997</v>
      </c>
      <c r="BN27" s="100">
        <v>9</v>
      </c>
      <c r="BO27" s="100">
        <v>3844.7999999999997</v>
      </c>
      <c r="BP27" s="100">
        <v>1.3272768408350104</v>
      </c>
      <c r="BQ27" s="100">
        <v>567.01266640471647</v>
      </c>
      <c r="BR27" s="100">
        <v>8</v>
      </c>
      <c r="BS27" s="100">
        <v>3417.6</v>
      </c>
      <c r="BT27" s="100">
        <v>7</v>
      </c>
      <c r="BU27" s="100">
        <v>2990.4</v>
      </c>
      <c r="BV27" s="100">
        <v>8</v>
      </c>
      <c r="BW27" s="100">
        <v>3417.6</v>
      </c>
      <c r="BX27" s="100">
        <v>1.8471567611769908</v>
      </c>
      <c r="BY27" s="100">
        <v>789.1053683748105</v>
      </c>
      <c r="BZ27" s="100">
        <v>6</v>
      </c>
      <c r="CA27" s="100">
        <v>2563.1999999999998</v>
      </c>
      <c r="CB27" s="100">
        <v>2.7368097923881436</v>
      </c>
      <c r="CC27" s="100">
        <v>1169.165143308215</v>
      </c>
      <c r="CD27" s="100">
        <v>7</v>
      </c>
      <c r="CE27" s="100">
        <v>2990.4</v>
      </c>
      <c r="CF27" s="100">
        <v>3.495109458165786</v>
      </c>
      <c r="CG27" s="100">
        <v>1493.1107605284237</v>
      </c>
      <c r="CH27" s="100">
        <v>11</v>
      </c>
      <c r="CI27" s="100">
        <v>4699.2</v>
      </c>
      <c r="CJ27" s="100">
        <v>6</v>
      </c>
      <c r="CK27" s="100">
        <v>2563.1999999999998</v>
      </c>
      <c r="CL27" s="100">
        <v>10</v>
      </c>
      <c r="CM27" s="100">
        <v>4272</v>
      </c>
      <c r="CN27" s="100">
        <v>8</v>
      </c>
      <c r="CO27" s="100">
        <v>3417.6</v>
      </c>
      <c r="CP27" s="100">
        <v>10.992792704643824</v>
      </c>
      <c r="CQ27" s="100">
        <v>4696.121043423841</v>
      </c>
      <c r="CR27" s="100">
        <v>6.9118171948132979E-4</v>
      </c>
      <c r="CS27" s="100">
        <v>0.29527283056242409</v>
      </c>
      <c r="CT27" s="100">
        <v>6.1041648864828817</v>
      </c>
      <c r="CU27" s="100">
        <v>2607.6992395054872</v>
      </c>
    </row>
    <row r="28" spans="2:99">
      <c r="C28" s="99" t="s">
        <v>194</v>
      </c>
      <c r="D28" s="100">
        <v>10.382984520971608</v>
      </c>
      <c r="E28" s="100">
        <v>7662.6425764770465</v>
      </c>
      <c r="F28" s="100">
        <v>2.6375488332437311</v>
      </c>
      <c r="G28" s="100">
        <v>1946.5110389338736</v>
      </c>
      <c r="H28" s="100">
        <v>6.5976436859477565E-4</v>
      </c>
      <c r="I28" s="100">
        <v>0.48690610402294443</v>
      </c>
      <c r="J28" s="100">
        <v>5.0006133617494495</v>
      </c>
      <c r="K28" s="100">
        <v>3690.4526609710938</v>
      </c>
      <c r="L28" s="100">
        <v>6.1930739960204413</v>
      </c>
      <c r="M28" s="100">
        <v>4570.4886090630853</v>
      </c>
      <c r="N28" s="100">
        <v>8.7609209434968722</v>
      </c>
      <c r="O28" s="100">
        <v>6465.559656300692</v>
      </c>
      <c r="P28" s="100">
        <v>11</v>
      </c>
      <c r="Q28" s="100">
        <v>8118</v>
      </c>
      <c r="R28" s="100">
        <v>5.4855413141495069</v>
      </c>
      <c r="S28" s="100">
        <v>4048.329489842336</v>
      </c>
      <c r="T28" s="100">
        <v>4.8675002501085745</v>
      </c>
      <c r="U28" s="100">
        <v>3592.2151845801282</v>
      </c>
      <c r="V28" s="100">
        <v>4.9814264600412349E-4</v>
      </c>
      <c r="W28" s="100">
        <v>0.36762927275104312</v>
      </c>
      <c r="X28" s="100">
        <v>7.4890025342923616</v>
      </c>
      <c r="Y28" s="100">
        <v>5526.8838703077627</v>
      </c>
      <c r="Z28" s="100">
        <v>7</v>
      </c>
      <c r="AA28" s="100">
        <v>5166</v>
      </c>
      <c r="AB28" s="100">
        <v>7</v>
      </c>
      <c r="AC28" s="100">
        <v>5166</v>
      </c>
      <c r="AD28" s="100">
        <v>4.8870285613474147</v>
      </c>
      <c r="AE28" s="100">
        <v>3606.6270782743923</v>
      </c>
      <c r="AF28" s="100">
        <v>4.3222535603708927</v>
      </c>
      <c r="AG28" s="100">
        <v>3189.8231275537187</v>
      </c>
      <c r="AH28" s="100">
        <v>8</v>
      </c>
      <c r="AI28" s="100">
        <v>5904</v>
      </c>
      <c r="AJ28" s="100">
        <v>4.1530847326235554</v>
      </c>
      <c r="AK28" s="100">
        <v>3064.976532676184</v>
      </c>
      <c r="AL28" s="100">
        <v>10.276284217803212</v>
      </c>
      <c r="AM28" s="100">
        <v>7583.8977527387706</v>
      </c>
      <c r="AN28" s="100">
        <v>7.8375960579735491</v>
      </c>
      <c r="AO28" s="100">
        <v>5784.145890784479</v>
      </c>
      <c r="AP28" s="100">
        <v>6</v>
      </c>
      <c r="AQ28" s="100">
        <v>4428</v>
      </c>
      <c r="AR28" s="100">
        <v>7</v>
      </c>
      <c r="AS28" s="100">
        <v>5166</v>
      </c>
      <c r="AT28" s="100">
        <v>5.0991599591091852</v>
      </c>
      <c r="AU28" s="100">
        <v>3763.1800498225784</v>
      </c>
      <c r="AV28" s="100">
        <v>8</v>
      </c>
      <c r="AW28" s="100">
        <v>5904</v>
      </c>
      <c r="AX28" s="100">
        <v>6.3452856755139315</v>
      </c>
      <c r="AY28" s="100">
        <v>4682.8208285292812</v>
      </c>
      <c r="AZ28" s="100">
        <v>9</v>
      </c>
      <c r="BA28" s="100">
        <v>6642</v>
      </c>
      <c r="BB28" s="100">
        <v>11</v>
      </c>
      <c r="BC28" s="100">
        <v>8118</v>
      </c>
      <c r="BD28" s="100">
        <v>10</v>
      </c>
      <c r="BE28" s="100">
        <v>7380</v>
      </c>
      <c r="BF28" s="100">
        <v>2.6283845532365469</v>
      </c>
      <c r="BG28" s="100">
        <v>1939.7478002885716</v>
      </c>
      <c r="BH28" s="100">
        <v>5.7601560053187972</v>
      </c>
      <c r="BI28" s="100">
        <v>4250.9951319252723</v>
      </c>
      <c r="BJ28" s="100">
        <v>8</v>
      </c>
      <c r="BK28" s="100">
        <v>5904</v>
      </c>
      <c r="BL28" s="100">
        <v>9</v>
      </c>
      <c r="BM28" s="100">
        <v>6642</v>
      </c>
      <c r="BN28" s="100">
        <v>9</v>
      </c>
      <c r="BO28" s="100">
        <v>6642</v>
      </c>
      <c r="BP28" s="100">
        <v>1.3272768408350104</v>
      </c>
      <c r="BQ28" s="100">
        <v>979.53030853623773</v>
      </c>
      <c r="BR28" s="100">
        <v>8</v>
      </c>
      <c r="BS28" s="100">
        <v>5904</v>
      </c>
      <c r="BT28" s="100">
        <v>7</v>
      </c>
      <c r="BU28" s="100">
        <v>5166</v>
      </c>
      <c r="BV28" s="100">
        <v>9</v>
      </c>
      <c r="BW28" s="100">
        <v>6642</v>
      </c>
      <c r="BX28" s="100">
        <v>1.6162621660298668</v>
      </c>
      <c r="BY28" s="100">
        <v>1192.8014785300418</v>
      </c>
      <c r="BZ28" s="100">
        <v>5</v>
      </c>
      <c r="CA28" s="100">
        <v>3690</v>
      </c>
      <c r="CB28" s="100">
        <v>2.7368097923881436</v>
      </c>
      <c r="CC28" s="100">
        <v>2019.76562678245</v>
      </c>
      <c r="CD28" s="100">
        <v>6</v>
      </c>
      <c r="CE28" s="100">
        <v>4428</v>
      </c>
      <c r="CF28" s="100">
        <v>3.495109458165786</v>
      </c>
      <c r="CG28" s="100">
        <v>2579.3907801263499</v>
      </c>
      <c r="CH28" s="100">
        <v>11</v>
      </c>
      <c r="CI28" s="100">
        <v>8118</v>
      </c>
      <c r="CJ28" s="100">
        <v>5</v>
      </c>
      <c r="CK28" s="100">
        <v>3690</v>
      </c>
      <c r="CL28" s="100">
        <v>10</v>
      </c>
      <c r="CM28" s="100">
        <v>7380</v>
      </c>
      <c r="CN28" s="100">
        <v>8</v>
      </c>
      <c r="CO28" s="100">
        <v>5904</v>
      </c>
      <c r="CP28" s="100">
        <v>8.9941031219813112</v>
      </c>
      <c r="CQ28" s="100">
        <v>6637.6481040222079</v>
      </c>
      <c r="CR28" s="100">
        <v>7.5401642125235975E-4</v>
      </c>
      <c r="CS28" s="100">
        <v>0.55646411888424152</v>
      </c>
      <c r="CT28" s="100">
        <v>6.9761884416947222</v>
      </c>
      <c r="CU28" s="100">
        <v>5148.4270699707049</v>
      </c>
    </row>
    <row r="29" spans="2:99">
      <c r="C29" s="99" t="s">
        <v>195</v>
      </c>
      <c r="D29" s="100">
        <v>10.430857586093058</v>
      </c>
      <c r="E29" s="100">
        <v>3529.8022071338905</v>
      </c>
      <c r="F29" s="100">
        <v>2.3339280609865241</v>
      </c>
      <c r="G29" s="100">
        <v>789.80125583783968</v>
      </c>
      <c r="H29" s="100">
        <v>5.6551231593837919E-4</v>
      </c>
      <c r="I29" s="100">
        <v>0.19136936771354751</v>
      </c>
      <c r="J29" s="100">
        <v>5.0006605434224838</v>
      </c>
      <c r="K29" s="100">
        <v>1692.2235278941685</v>
      </c>
      <c r="L29" s="100">
        <v>7.0777988525947899</v>
      </c>
      <c r="M29" s="100">
        <v>2395.1271317180767</v>
      </c>
      <c r="N29" s="100">
        <v>10.513105132196246</v>
      </c>
      <c r="O29" s="100">
        <v>3557.6347767352095</v>
      </c>
      <c r="P29" s="100">
        <v>10</v>
      </c>
      <c r="Q29" s="100">
        <v>3384</v>
      </c>
      <c r="R29" s="100">
        <v>6.2691900733137231</v>
      </c>
      <c r="S29" s="100">
        <v>2121.4939208093638</v>
      </c>
      <c r="T29" s="100">
        <v>4.0562502084238119</v>
      </c>
      <c r="U29" s="100">
        <v>1372.6350705306179</v>
      </c>
      <c r="V29" s="100">
        <v>5.81166420338144E-4</v>
      </c>
      <c r="W29" s="100">
        <v>0.19666671664242791</v>
      </c>
      <c r="X29" s="100">
        <v>8.4251278510789067</v>
      </c>
      <c r="Y29" s="100">
        <v>2851.0632648051019</v>
      </c>
      <c r="Z29" s="100">
        <v>8</v>
      </c>
      <c r="AA29" s="100">
        <v>2707.2</v>
      </c>
      <c r="AB29" s="100">
        <v>7</v>
      </c>
      <c r="AC29" s="100">
        <v>2368.7999999999997</v>
      </c>
      <c r="AD29" s="100">
        <v>4.8870285613474147</v>
      </c>
      <c r="AE29" s="100">
        <v>1653.7704651599649</v>
      </c>
      <c r="AF29" s="100">
        <v>3.7047887660321939</v>
      </c>
      <c r="AG29" s="100">
        <v>1253.7005184252944</v>
      </c>
      <c r="AH29" s="100">
        <v>8</v>
      </c>
      <c r="AI29" s="100">
        <v>2707.2</v>
      </c>
      <c r="AJ29" s="100">
        <v>4.6145385918039512</v>
      </c>
      <c r="AK29" s="100">
        <v>1561.5598594664571</v>
      </c>
      <c r="AL29" s="100">
        <v>9.3420765616392849</v>
      </c>
      <c r="AM29" s="100">
        <v>3161.3587084587339</v>
      </c>
      <c r="AN29" s="100">
        <v>7.8375960579735491</v>
      </c>
      <c r="AO29" s="100">
        <v>2652.2425060182486</v>
      </c>
      <c r="AP29" s="100">
        <v>6</v>
      </c>
      <c r="AQ29" s="100">
        <v>2030.3999999999999</v>
      </c>
      <c r="AR29" s="100">
        <v>8</v>
      </c>
      <c r="AS29" s="100">
        <v>2707.2</v>
      </c>
      <c r="AT29" s="100">
        <v>6.2323066166890042</v>
      </c>
      <c r="AU29" s="100">
        <v>2109.0125590875587</v>
      </c>
      <c r="AV29" s="100">
        <v>9</v>
      </c>
      <c r="AW29" s="100">
        <v>3045.6</v>
      </c>
      <c r="AX29" s="100">
        <v>5.5521249660746896</v>
      </c>
      <c r="AY29" s="100">
        <v>1878.8390885196748</v>
      </c>
      <c r="AZ29" s="100">
        <v>10</v>
      </c>
      <c r="BA29" s="100">
        <v>3384</v>
      </c>
      <c r="BB29" s="100">
        <v>11</v>
      </c>
      <c r="BC29" s="100">
        <v>3722.3999999999996</v>
      </c>
      <c r="BD29" s="100">
        <v>11</v>
      </c>
      <c r="BE29" s="100">
        <v>3722.3999999999996</v>
      </c>
      <c r="BF29" s="100">
        <v>2.6283845532365469</v>
      </c>
      <c r="BG29" s="100">
        <v>889.44533281524741</v>
      </c>
      <c r="BH29" s="100">
        <v>5.7601560053187972</v>
      </c>
      <c r="BI29" s="100">
        <v>1949.2367921998809</v>
      </c>
      <c r="BJ29" s="100">
        <v>7</v>
      </c>
      <c r="BK29" s="100">
        <v>2368.7999999999997</v>
      </c>
      <c r="BL29" s="100">
        <v>9</v>
      </c>
      <c r="BM29" s="100">
        <v>3045.6</v>
      </c>
      <c r="BN29" s="100">
        <v>9</v>
      </c>
      <c r="BO29" s="100">
        <v>3045.6</v>
      </c>
      <c r="BP29" s="100">
        <v>1.4747520453722338</v>
      </c>
      <c r="BQ29" s="100">
        <v>499.0560921539639</v>
      </c>
      <c r="BR29" s="100">
        <v>8</v>
      </c>
      <c r="BS29" s="100">
        <v>2707.2</v>
      </c>
      <c r="BT29" s="100">
        <v>8</v>
      </c>
      <c r="BU29" s="100">
        <v>2707.2</v>
      </c>
      <c r="BV29" s="100">
        <v>8</v>
      </c>
      <c r="BW29" s="100">
        <v>2707.2</v>
      </c>
      <c r="BX29" s="100">
        <v>1.8471567611769908</v>
      </c>
      <c r="BY29" s="100">
        <v>625.07784798229363</v>
      </c>
      <c r="BZ29" s="100">
        <v>5</v>
      </c>
      <c r="CA29" s="100">
        <v>1692</v>
      </c>
      <c r="CB29" s="100">
        <v>2.7368097923881436</v>
      </c>
      <c r="CC29" s="100">
        <v>926.13643374414778</v>
      </c>
      <c r="CD29" s="100">
        <v>8</v>
      </c>
      <c r="CE29" s="100">
        <v>2707.2</v>
      </c>
      <c r="CF29" s="100">
        <v>3.495109458165786</v>
      </c>
      <c r="CG29" s="100">
        <v>1182.745040643302</v>
      </c>
      <c r="CH29" s="100">
        <v>10</v>
      </c>
      <c r="CI29" s="100">
        <v>3384</v>
      </c>
      <c r="CJ29" s="100">
        <v>6</v>
      </c>
      <c r="CK29" s="100">
        <v>2030.3999999999999</v>
      </c>
      <c r="CL29" s="100">
        <v>8</v>
      </c>
      <c r="CM29" s="100">
        <v>2707.2</v>
      </c>
      <c r="CN29" s="100">
        <v>8</v>
      </c>
      <c r="CO29" s="100">
        <v>2707.2</v>
      </c>
      <c r="CP29" s="100">
        <v>8.9941031219813112</v>
      </c>
      <c r="CQ29" s="100">
        <v>3043.6044964784755</v>
      </c>
      <c r="CR29" s="100">
        <v>6.9118171948132979E-4</v>
      </c>
      <c r="CS29" s="100">
        <v>0.233895893872482</v>
      </c>
      <c r="CT29" s="100">
        <v>6.9761884416947222</v>
      </c>
      <c r="CU29" s="100">
        <v>2360.7421686694938</v>
      </c>
    </row>
    <row r="30" spans="2:99">
      <c r="C30" s="99" t="s">
        <v>196</v>
      </c>
      <c r="D30" s="100">
        <v>11.430857586093058</v>
      </c>
      <c r="E30" s="100">
        <v>1591.1753759841536</v>
      </c>
      <c r="F30" s="100">
        <v>2.6065580814117393</v>
      </c>
      <c r="G30" s="100">
        <v>362.83288493251411</v>
      </c>
      <c r="H30" s="100">
        <v>5.6551231593837919E-4</v>
      </c>
      <c r="I30" s="100">
        <v>7.8719314378622382E-2</v>
      </c>
      <c r="J30" s="100">
        <v>6.0005661800764152</v>
      </c>
      <c r="K30" s="100">
        <v>835.27881226663692</v>
      </c>
      <c r="L30" s="100">
        <v>7.9625237091691385</v>
      </c>
      <c r="M30" s="100">
        <v>1108.383300316344</v>
      </c>
      <c r="N30" s="100">
        <v>8.7609209434968722</v>
      </c>
      <c r="O30" s="100">
        <v>1219.5201953347646</v>
      </c>
      <c r="P30" s="100">
        <v>11</v>
      </c>
      <c r="Q30" s="100">
        <v>1531.1999999999998</v>
      </c>
      <c r="R30" s="100">
        <v>5.4855413141495069</v>
      </c>
      <c r="S30" s="100">
        <v>763.58735092961126</v>
      </c>
      <c r="T30" s="100">
        <v>4.8675002501085745</v>
      </c>
      <c r="U30" s="100">
        <v>677.55603481511355</v>
      </c>
      <c r="V30" s="100">
        <v>4.9814264600412349E-4</v>
      </c>
      <c r="W30" s="100">
        <v>6.9341456323773989E-2</v>
      </c>
      <c r="X30" s="100">
        <v>9.3612531678654527</v>
      </c>
      <c r="Y30" s="100">
        <v>1303.0864409668709</v>
      </c>
      <c r="Z30" s="100">
        <v>7</v>
      </c>
      <c r="AA30" s="100">
        <v>974.39999999999986</v>
      </c>
      <c r="AB30" s="100">
        <v>9</v>
      </c>
      <c r="AC30" s="100">
        <v>1252.8</v>
      </c>
      <c r="AD30" s="100">
        <v>4.8870285613474147</v>
      </c>
      <c r="AE30" s="100">
        <v>680.27437573956001</v>
      </c>
      <c r="AF30" s="100">
        <v>4.3222535603708927</v>
      </c>
      <c r="AG30" s="100">
        <v>601.65769560362821</v>
      </c>
      <c r="AH30" s="100">
        <v>9</v>
      </c>
      <c r="AI30" s="100">
        <v>1252.8</v>
      </c>
      <c r="AJ30" s="100">
        <v>4.1530847326235554</v>
      </c>
      <c r="AK30" s="100">
        <v>578.10939478119883</v>
      </c>
      <c r="AL30" s="100">
        <v>9.3420765616392849</v>
      </c>
      <c r="AM30" s="100">
        <v>1300.4170573801885</v>
      </c>
      <c r="AN30" s="100">
        <v>6.8578965507268546</v>
      </c>
      <c r="AO30" s="100">
        <v>954.61919986117812</v>
      </c>
      <c r="AP30" s="100">
        <v>7</v>
      </c>
      <c r="AQ30" s="100">
        <v>974.39999999999986</v>
      </c>
      <c r="AR30" s="100">
        <v>7</v>
      </c>
      <c r="AS30" s="100">
        <v>974.39999999999986</v>
      </c>
      <c r="AT30" s="100">
        <v>6.2323066166890042</v>
      </c>
      <c r="AU30" s="100">
        <v>867.53708104310931</v>
      </c>
      <c r="AV30" s="100">
        <v>8</v>
      </c>
      <c r="AW30" s="100">
        <v>1113.5999999999999</v>
      </c>
      <c r="AX30" s="100">
        <v>5.5521249660746896</v>
      </c>
      <c r="AY30" s="100">
        <v>772.85579527759671</v>
      </c>
      <c r="AZ30" s="100">
        <v>10</v>
      </c>
      <c r="BA30" s="100">
        <v>1392</v>
      </c>
      <c r="BB30" s="100">
        <v>10</v>
      </c>
      <c r="BC30" s="100">
        <v>1392</v>
      </c>
      <c r="BD30" s="100">
        <v>10</v>
      </c>
      <c r="BE30" s="100">
        <v>1392</v>
      </c>
      <c r="BF30" s="100">
        <v>2.6283845532365469</v>
      </c>
      <c r="BG30" s="100">
        <v>365.87112981052729</v>
      </c>
      <c r="BH30" s="100">
        <v>5.0401365046539475</v>
      </c>
      <c r="BI30" s="100">
        <v>701.58700144782938</v>
      </c>
      <c r="BJ30" s="100">
        <v>8</v>
      </c>
      <c r="BK30" s="100">
        <v>1113.5999999999999</v>
      </c>
      <c r="BL30" s="100">
        <v>9</v>
      </c>
      <c r="BM30" s="100">
        <v>1252.8</v>
      </c>
      <c r="BN30" s="100">
        <v>10</v>
      </c>
      <c r="BO30" s="100">
        <v>1392</v>
      </c>
      <c r="BP30" s="100">
        <v>1.3272768408350104</v>
      </c>
      <c r="BQ30" s="100">
        <v>184.75693624423343</v>
      </c>
      <c r="BR30" s="100">
        <v>9</v>
      </c>
      <c r="BS30" s="100">
        <v>1252.8</v>
      </c>
      <c r="BT30" s="100">
        <v>8</v>
      </c>
      <c r="BU30" s="100">
        <v>1113.5999999999999</v>
      </c>
      <c r="BV30" s="100">
        <v>8</v>
      </c>
      <c r="BW30" s="100">
        <v>1113.5999999999999</v>
      </c>
      <c r="BX30" s="100">
        <v>1.6162621660298668</v>
      </c>
      <c r="BY30" s="100">
        <v>224.98369351135744</v>
      </c>
      <c r="BZ30" s="100">
        <v>6</v>
      </c>
      <c r="CA30" s="100">
        <v>835.19999999999993</v>
      </c>
      <c r="CB30" s="100">
        <v>3.1277826198721641</v>
      </c>
      <c r="CC30" s="100">
        <v>435.38734068620522</v>
      </c>
      <c r="CD30" s="100">
        <v>8</v>
      </c>
      <c r="CE30" s="100">
        <v>1113.5999999999999</v>
      </c>
      <c r="CF30" s="100">
        <v>3.495109458165786</v>
      </c>
      <c r="CG30" s="100">
        <v>486.51923657667737</v>
      </c>
      <c r="CH30" s="100">
        <v>12</v>
      </c>
      <c r="CI30" s="100">
        <v>1670.3999999999999</v>
      </c>
      <c r="CJ30" s="100">
        <v>7</v>
      </c>
      <c r="CK30" s="100">
        <v>974.39999999999986</v>
      </c>
      <c r="CL30" s="100">
        <v>9</v>
      </c>
      <c r="CM30" s="100">
        <v>1252.8</v>
      </c>
      <c r="CN30" s="100">
        <v>8</v>
      </c>
      <c r="CO30" s="100">
        <v>1113.5999999999999</v>
      </c>
      <c r="CP30" s="100">
        <v>10.992792704643824</v>
      </c>
      <c r="CQ30" s="100">
        <v>1530.1967444864201</v>
      </c>
      <c r="CR30" s="100">
        <v>7.5401642125235975E-4</v>
      </c>
      <c r="CS30" s="100">
        <v>0.10495908583832847</v>
      </c>
      <c r="CT30" s="100">
        <v>6.1041648864828817</v>
      </c>
      <c r="CU30" s="100">
        <v>849.69975219841706</v>
      </c>
    </row>
    <row r="31" spans="2:99">
      <c r="C31" s="99" t="s">
        <v>197</v>
      </c>
      <c r="D31" s="100">
        <v>11.478730651214509</v>
      </c>
      <c r="E31" s="100">
        <v>3911.9514059339049</v>
      </c>
      <c r="F31" s="100">
        <v>2.3776594709505821</v>
      </c>
      <c r="G31" s="100">
        <v>810.30634769995834</v>
      </c>
      <c r="H31" s="100">
        <v>5.6551231593837919E-4</v>
      </c>
      <c r="I31" s="100">
        <v>0.19272659727179964</v>
      </c>
      <c r="J31" s="100">
        <v>6.0006133617494495</v>
      </c>
      <c r="K31" s="100">
        <v>2045.0090336842125</v>
      </c>
      <c r="L31" s="100">
        <v>7.0777988525947899</v>
      </c>
      <c r="M31" s="100">
        <v>2412.1138489643045</v>
      </c>
      <c r="N31" s="100">
        <v>9.6370130378465575</v>
      </c>
      <c r="O31" s="100">
        <v>3284.2940432981068</v>
      </c>
      <c r="P31" s="100">
        <v>10</v>
      </c>
      <c r="Q31" s="100">
        <v>3408</v>
      </c>
      <c r="R31" s="100">
        <v>4.7018925549852923</v>
      </c>
      <c r="S31" s="100">
        <v>1602.4049827389877</v>
      </c>
      <c r="T31" s="100">
        <v>4.8675002501085745</v>
      </c>
      <c r="U31" s="100">
        <v>1658.8440852370022</v>
      </c>
      <c r="V31" s="100">
        <v>5.81166420338144E-4</v>
      </c>
      <c r="W31" s="100">
        <v>0.19806151605123948</v>
      </c>
      <c r="X31" s="100">
        <v>7.4890025342923616</v>
      </c>
      <c r="Y31" s="100">
        <v>2552.2520636868371</v>
      </c>
      <c r="Z31" s="100">
        <v>7</v>
      </c>
      <c r="AA31" s="100">
        <v>2385.6</v>
      </c>
      <c r="AB31" s="100">
        <v>8</v>
      </c>
      <c r="AC31" s="100">
        <v>2726.4</v>
      </c>
      <c r="AD31" s="100">
        <v>5.4979071315158423</v>
      </c>
      <c r="AE31" s="100">
        <v>1873.6867504205991</v>
      </c>
      <c r="AF31" s="100">
        <v>4.3222535603708927</v>
      </c>
      <c r="AG31" s="100">
        <v>1473.0240133744003</v>
      </c>
      <c r="AH31" s="100">
        <v>9</v>
      </c>
      <c r="AI31" s="100">
        <v>3067.2000000000003</v>
      </c>
      <c r="AJ31" s="100">
        <v>4.1530847326235554</v>
      </c>
      <c r="AK31" s="100">
        <v>1415.3712768781077</v>
      </c>
      <c r="AL31" s="100">
        <v>11.21049187396714</v>
      </c>
      <c r="AM31" s="100">
        <v>3820.5356306480012</v>
      </c>
      <c r="AN31" s="100">
        <v>6.8578965507268546</v>
      </c>
      <c r="AO31" s="100">
        <v>2337.1711444877119</v>
      </c>
      <c r="AP31" s="100">
        <v>6</v>
      </c>
      <c r="AQ31" s="100">
        <v>2044.8000000000002</v>
      </c>
      <c r="AR31" s="100">
        <v>7</v>
      </c>
      <c r="AS31" s="100">
        <v>2385.6</v>
      </c>
      <c r="AT31" s="100">
        <v>5.0991599591091852</v>
      </c>
      <c r="AU31" s="100">
        <v>1737.7937140644103</v>
      </c>
      <c r="AV31" s="100">
        <v>10</v>
      </c>
      <c r="AW31" s="100">
        <v>3408</v>
      </c>
      <c r="AX31" s="100">
        <v>6.3452856755139315</v>
      </c>
      <c r="AY31" s="100">
        <v>2162.473358215148</v>
      </c>
      <c r="AZ31" s="100">
        <v>8</v>
      </c>
      <c r="BA31" s="100">
        <v>2726.4</v>
      </c>
      <c r="BB31" s="100">
        <v>10</v>
      </c>
      <c r="BC31" s="100">
        <v>3408</v>
      </c>
      <c r="BD31" s="100">
        <v>12</v>
      </c>
      <c r="BE31" s="100">
        <v>4089.6000000000004</v>
      </c>
      <c r="BF31" s="100">
        <v>3.5045127376487293</v>
      </c>
      <c r="BG31" s="100">
        <v>1194.337940990687</v>
      </c>
      <c r="BH31" s="100">
        <v>5.7601560053187972</v>
      </c>
      <c r="BI31" s="100">
        <v>1963.0611666126463</v>
      </c>
      <c r="BJ31" s="100">
        <v>8</v>
      </c>
      <c r="BK31" s="100">
        <v>2726.4</v>
      </c>
      <c r="BL31" s="100">
        <v>9</v>
      </c>
      <c r="BM31" s="100">
        <v>3067.2000000000003</v>
      </c>
      <c r="BN31" s="100">
        <v>9</v>
      </c>
      <c r="BO31" s="100">
        <v>3067.2000000000003</v>
      </c>
      <c r="BP31" s="100">
        <v>1.3272768408350104</v>
      </c>
      <c r="BQ31" s="100">
        <v>452.33594735657158</v>
      </c>
      <c r="BR31" s="100">
        <v>9</v>
      </c>
      <c r="BS31" s="100">
        <v>3067.2000000000003</v>
      </c>
      <c r="BT31" s="100">
        <v>7</v>
      </c>
      <c r="BU31" s="100">
        <v>2385.6</v>
      </c>
      <c r="BV31" s="100">
        <v>9</v>
      </c>
      <c r="BW31" s="100">
        <v>3067.2000000000003</v>
      </c>
      <c r="BX31" s="100">
        <v>1.6162621660298668</v>
      </c>
      <c r="BY31" s="100">
        <v>550.8221461829786</v>
      </c>
      <c r="BZ31" s="100">
        <v>6</v>
      </c>
      <c r="CA31" s="100">
        <v>2044.8000000000002</v>
      </c>
      <c r="CB31" s="100">
        <v>2.7368097923881436</v>
      </c>
      <c r="CC31" s="100">
        <v>932.70477724587931</v>
      </c>
      <c r="CD31" s="100">
        <v>7</v>
      </c>
      <c r="CE31" s="100">
        <v>2385.6</v>
      </c>
      <c r="CF31" s="100">
        <v>3.495109458165786</v>
      </c>
      <c r="CG31" s="100">
        <v>1191.1333033428998</v>
      </c>
      <c r="CH31" s="100">
        <v>10</v>
      </c>
      <c r="CI31" s="100">
        <v>3408</v>
      </c>
      <c r="CJ31" s="100">
        <v>6</v>
      </c>
      <c r="CK31" s="100">
        <v>2044.8000000000002</v>
      </c>
      <c r="CL31" s="100">
        <v>8</v>
      </c>
      <c r="CM31" s="100">
        <v>2726.4</v>
      </c>
      <c r="CN31" s="100">
        <v>8</v>
      </c>
      <c r="CO31" s="100">
        <v>2726.4</v>
      </c>
      <c r="CP31" s="100">
        <v>10.992792704643824</v>
      </c>
      <c r="CQ31" s="100">
        <v>3746.3437537426153</v>
      </c>
      <c r="CR31" s="100">
        <v>7.5401642125235975E-4</v>
      </c>
      <c r="CS31" s="100">
        <v>0.25696879636280423</v>
      </c>
      <c r="CT31" s="100">
        <v>6.1041648864828817</v>
      </c>
      <c r="CU31" s="100">
        <v>2080.2993933133662</v>
      </c>
    </row>
    <row r="32" spans="2:99">
      <c r="C32" s="99" t="s">
        <v>198</v>
      </c>
      <c r="D32" s="100">
        <v>9.3829845209716076</v>
      </c>
      <c r="E32" s="100">
        <v>7881.7069976161501</v>
      </c>
      <c r="F32" s="100">
        <v>2.321187402854457</v>
      </c>
      <c r="G32" s="100">
        <v>1949.797418397744</v>
      </c>
      <c r="H32" s="100">
        <v>6.5976436859477565E-4</v>
      </c>
      <c r="I32" s="100">
        <v>0.5542020696196116</v>
      </c>
      <c r="J32" s="100">
        <v>5.0006133617494495</v>
      </c>
      <c r="K32" s="100">
        <v>4200.5152238695373</v>
      </c>
      <c r="L32" s="100">
        <v>7.0777988525947899</v>
      </c>
      <c r="M32" s="100">
        <v>5945.3510361796234</v>
      </c>
      <c r="N32" s="100">
        <v>8.7609209434968722</v>
      </c>
      <c r="O32" s="100">
        <v>7359.1735925373723</v>
      </c>
      <c r="P32" s="100">
        <v>10</v>
      </c>
      <c r="Q32" s="100">
        <v>8400</v>
      </c>
      <c r="R32" s="100">
        <v>4.7018925549852923</v>
      </c>
      <c r="S32" s="100">
        <v>3949.5897461876457</v>
      </c>
      <c r="T32" s="100">
        <v>4.0562502084238119</v>
      </c>
      <c r="U32" s="100">
        <v>3407.2501750760021</v>
      </c>
      <c r="V32" s="100">
        <v>5.81166420338144E-4</v>
      </c>
      <c r="W32" s="100">
        <v>0.48817979308404097</v>
      </c>
      <c r="X32" s="100">
        <v>7.4890025342923616</v>
      </c>
      <c r="Y32" s="100">
        <v>6290.7621288055834</v>
      </c>
      <c r="Z32" s="100">
        <v>6</v>
      </c>
      <c r="AA32" s="100">
        <v>5040</v>
      </c>
      <c r="AB32" s="100">
        <v>7</v>
      </c>
      <c r="AC32" s="100">
        <v>5880</v>
      </c>
      <c r="AD32" s="100">
        <v>4.8870285613474147</v>
      </c>
      <c r="AE32" s="100">
        <v>4105.1039915318288</v>
      </c>
      <c r="AF32" s="100">
        <v>3.7047887660321939</v>
      </c>
      <c r="AG32" s="100">
        <v>3112.0225634670428</v>
      </c>
      <c r="AH32" s="100">
        <v>8</v>
      </c>
      <c r="AI32" s="100">
        <v>6720</v>
      </c>
      <c r="AJ32" s="100">
        <v>3.6916308734431604</v>
      </c>
      <c r="AK32" s="100">
        <v>3100.9699336922549</v>
      </c>
      <c r="AL32" s="100">
        <v>9.3420765616392849</v>
      </c>
      <c r="AM32" s="100">
        <v>7847.3443117769993</v>
      </c>
      <c r="AN32" s="100">
        <v>6.8578965507268546</v>
      </c>
      <c r="AO32" s="100">
        <v>5760.6331026105581</v>
      </c>
      <c r="AP32" s="100">
        <v>6</v>
      </c>
      <c r="AQ32" s="100">
        <v>5040</v>
      </c>
      <c r="AR32" s="100">
        <v>7</v>
      </c>
      <c r="AS32" s="100">
        <v>5880</v>
      </c>
      <c r="AT32" s="100">
        <v>5.0991599591091852</v>
      </c>
      <c r="AU32" s="100">
        <v>4283.2943656517155</v>
      </c>
      <c r="AV32" s="100">
        <v>8</v>
      </c>
      <c r="AW32" s="100">
        <v>6720</v>
      </c>
      <c r="AX32" s="100">
        <v>5.5521249660746896</v>
      </c>
      <c r="AY32" s="100">
        <v>4663.7849715027396</v>
      </c>
      <c r="AZ32" s="100">
        <v>9</v>
      </c>
      <c r="BA32" s="100">
        <v>7560</v>
      </c>
      <c r="BB32" s="100">
        <v>9</v>
      </c>
      <c r="BC32" s="100">
        <v>7560</v>
      </c>
      <c r="BD32" s="100">
        <v>10</v>
      </c>
      <c r="BE32" s="100">
        <v>8400</v>
      </c>
      <c r="BF32" s="100">
        <v>3.0664486454426383</v>
      </c>
      <c r="BG32" s="100">
        <v>2575.816862171816</v>
      </c>
      <c r="BH32" s="100">
        <v>5.7601560053187972</v>
      </c>
      <c r="BI32" s="100">
        <v>4838.5310444677898</v>
      </c>
      <c r="BJ32" s="100">
        <v>8</v>
      </c>
      <c r="BK32" s="100">
        <v>6720</v>
      </c>
      <c r="BL32" s="100">
        <v>9</v>
      </c>
      <c r="BM32" s="100">
        <v>7560</v>
      </c>
      <c r="BN32" s="100">
        <v>8</v>
      </c>
      <c r="BO32" s="100">
        <v>6720</v>
      </c>
      <c r="BP32" s="100">
        <v>1.4747520453722338</v>
      </c>
      <c r="BQ32" s="100">
        <v>1238.7917181126763</v>
      </c>
      <c r="BR32" s="100">
        <v>9</v>
      </c>
      <c r="BS32" s="100">
        <v>7560</v>
      </c>
      <c r="BT32" s="100">
        <v>7</v>
      </c>
      <c r="BU32" s="100">
        <v>5880</v>
      </c>
      <c r="BV32" s="100">
        <v>8</v>
      </c>
      <c r="BW32" s="100">
        <v>6720</v>
      </c>
      <c r="BX32" s="100">
        <v>1.3853675708827431</v>
      </c>
      <c r="BY32" s="100">
        <v>1163.7087595415042</v>
      </c>
      <c r="BZ32" s="100">
        <v>6</v>
      </c>
      <c r="CA32" s="100">
        <v>5040</v>
      </c>
      <c r="CB32" s="100">
        <v>2.7368097923881436</v>
      </c>
      <c r="CC32" s="100">
        <v>2298.9202256060407</v>
      </c>
      <c r="CD32" s="100">
        <v>7</v>
      </c>
      <c r="CE32" s="100">
        <v>5880</v>
      </c>
      <c r="CF32" s="100">
        <v>2.9125912151381548</v>
      </c>
      <c r="CG32" s="100">
        <v>2446.57662071605</v>
      </c>
      <c r="CH32" s="100">
        <v>9</v>
      </c>
      <c r="CI32" s="100">
        <v>7560</v>
      </c>
      <c r="CJ32" s="100">
        <v>6</v>
      </c>
      <c r="CK32" s="100">
        <v>5040</v>
      </c>
      <c r="CL32" s="100">
        <v>8</v>
      </c>
      <c r="CM32" s="100">
        <v>6720</v>
      </c>
      <c r="CN32" s="100">
        <v>7</v>
      </c>
      <c r="CO32" s="100">
        <v>5880</v>
      </c>
      <c r="CP32" s="100">
        <v>9.9934479133125667</v>
      </c>
      <c r="CQ32" s="100">
        <v>8394.4962471825565</v>
      </c>
      <c r="CR32" s="100">
        <v>7.5401642125235975E-4</v>
      </c>
      <c r="CS32" s="100">
        <v>0.63337379385198223</v>
      </c>
      <c r="CT32" s="100">
        <v>6.9761884416947222</v>
      </c>
      <c r="CU32" s="100">
        <v>5859.9982910235667</v>
      </c>
    </row>
    <row r="33" spans="2:99">
      <c r="C33" s="99" t="s">
        <v>199</v>
      </c>
      <c r="D33" s="100">
        <v>10.430857586093058</v>
      </c>
      <c r="E33" s="100">
        <v>4944.2264958081096</v>
      </c>
      <c r="F33" s="100">
        <v>2.3466687191185907</v>
      </c>
      <c r="G33" s="100">
        <v>1112.3209728622119</v>
      </c>
      <c r="H33" s="100">
        <v>6.5976436859477565E-4</v>
      </c>
      <c r="I33" s="100">
        <v>0.31272831071392365</v>
      </c>
      <c r="J33" s="100">
        <v>5.000707725095519</v>
      </c>
      <c r="K33" s="100">
        <v>2370.3354616952761</v>
      </c>
      <c r="L33" s="100">
        <v>7.0777988525947899</v>
      </c>
      <c r="M33" s="100">
        <v>3354.8766561299303</v>
      </c>
      <c r="N33" s="100">
        <v>9.6370130378465575</v>
      </c>
      <c r="O33" s="100">
        <v>4567.944179939268</v>
      </c>
      <c r="P33" s="100">
        <v>11</v>
      </c>
      <c r="Q33" s="100">
        <v>5214</v>
      </c>
      <c r="R33" s="100">
        <v>5.4855413141495069</v>
      </c>
      <c r="S33" s="100">
        <v>2600.1465829068661</v>
      </c>
      <c r="T33" s="100">
        <v>4.0562502084238119</v>
      </c>
      <c r="U33" s="100">
        <v>1922.6625987928869</v>
      </c>
      <c r="V33" s="100">
        <v>4.9814264600412349E-4</v>
      </c>
      <c r="W33" s="100">
        <v>0.23611961420595454</v>
      </c>
      <c r="X33" s="100">
        <v>9.3612531678654527</v>
      </c>
      <c r="Y33" s="100">
        <v>4437.2340015682248</v>
      </c>
      <c r="Z33" s="100">
        <v>8</v>
      </c>
      <c r="AA33" s="100">
        <v>3792</v>
      </c>
      <c r="AB33" s="100">
        <v>8</v>
      </c>
      <c r="AC33" s="100">
        <v>3792</v>
      </c>
      <c r="AD33" s="100">
        <v>4.276149991178988</v>
      </c>
      <c r="AE33" s="100">
        <v>2026.8950958188402</v>
      </c>
      <c r="AF33" s="100">
        <v>4.3222535603708927</v>
      </c>
      <c r="AG33" s="100">
        <v>2048.7481876158031</v>
      </c>
      <c r="AH33" s="100">
        <v>8</v>
      </c>
      <c r="AI33" s="100">
        <v>3792</v>
      </c>
      <c r="AJ33" s="100">
        <v>4.6145385918039512</v>
      </c>
      <c r="AK33" s="100">
        <v>2187.2912925150727</v>
      </c>
      <c r="AL33" s="100">
        <v>10.276284217803212</v>
      </c>
      <c r="AM33" s="100">
        <v>4870.9587192387226</v>
      </c>
      <c r="AN33" s="100">
        <v>7.8375960579735491</v>
      </c>
      <c r="AO33" s="100">
        <v>3715.0205314794621</v>
      </c>
      <c r="AP33" s="100">
        <v>7</v>
      </c>
      <c r="AQ33" s="100">
        <v>3318</v>
      </c>
      <c r="AR33" s="100">
        <v>7</v>
      </c>
      <c r="AS33" s="100">
        <v>3318</v>
      </c>
      <c r="AT33" s="100">
        <v>5.6657332878990943</v>
      </c>
      <c r="AU33" s="100">
        <v>2685.5575784641705</v>
      </c>
      <c r="AV33" s="100">
        <v>9</v>
      </c>
      <c r="AW33" s="100">
        <v>4266</v>
      </c>
      <c r="AX33" s="100">
        <v>5.5521249660746896</v>
      </c>
      <c r="AY33" s="100">
        <v>2631.7072339194028</v>
      </c>
      <c r="AZ33" s="100">
        <v>8</v>
      </c>
      <c r="BA33" s="100">
        <v>3792</v>
      </c>
      <c r="BB33" s="100">
        <v>10</v>
      </c>
      <c r="BC33" s="100">
        <v>4740</v>
      </c>
      <c r="BD33" s="100">
        <v>12</v>
      </c>
      <c r="BE33" s="100">
        <v>5688</v>
      </c>
      <c r="BF33" s="100">
        <v>2.6283845532365469</v>
      </c>
      <c r="BG33" s="100">
        <v>1245.8542782341233</v>
      </c>
      <c r="BH33" s="100">
        <v>5.7601560053187972</v>
      </c>
      <c r="BI33" s="100">
        <v>2730.3139465211098</v>
      </c>
      <c r="BJ33" s="100">
        <v>7</v>
      </c>
      <c r="BK33" s="100">
        <v>3318</v>
      </c>
      <c r="BL33" s="100">
        <v>8</v>
      </c>
      <c r="BM33" s="100">
        <v>3792</v>
      </c>
      <c r="BN33" s="100">
        <v>10</v>
      </c>
      <c r="BO33" s="100">
        <v>4740</v>
      </c>
      <c r="BP33" s="100">
        <v>1.3272768408350104</v>
      </c>
      <c r="BQ33" s="100">
        <v>629.12922255579497</v>
      </c>
      <c r="BR33" s="100">
        <v>8</v>
      </c>
      <c r="BS33" s="100">
        <v>3792</v>
      </c>
      <c r="BT33" s="100">
        <v>8</v>
      </c>
      <c r="BU33" s="100">
        <v>3792</v>
      </c>
      <c r="BV33" s="100">
        <v>9</v>
      </c>
      <c r="BW33" s="100">
        <v>4266</v>
      </c>
      <c r="BX33" s="100">
        <v>1.6162621660298668</v>
      </c>
      <c r="BY33" s="100">
        <v>766.10826669815685</v>
      </c>
      <c r="BZ33" s="100">
        <v>6</v>
      </c>
      <c r="CA33" s="100">
        <v>2844</v>
      </c>
      <c r="CB33" s="100">
        <v>2.7368097923881436</v>
      </c>
      <c r="CC33" s="100">
        <v>1297.24784159198</v>
      </c>
      <c r="CD33" s="100">
        <v>7</v>
      </c>
      <c r="CE33" s="100">
        <v>3318</v>
      </c>
      <c r="CF33" s="100">
        <v>3.495109458165786</v>
      </c>
      <c r="CG33" s="100">
        <v>1656.6818831705825</v>
      </c>
      <c r="CH33" s="100">
        <v>10</v>
      </c>
      <c r="CI33" s="100">
        <v>4740</v>
      </c>
      <c r="CJ33" s="100">
        <v>6</v>
      </c>
      <c r="CK33" s="100">
        <v>2844</v>
      </c>
      <c r="CL33" s="100">
        <v>9</v>
      </c>
      <c r="CM33" s="100">
        <v>4266</v>
      </c>
      <c r="CN33" s="100">
        <v>8</v>
      </c>
      <c r="CO33" s="100">
        <v>3792</v>
      </c>
      <c r="CP33" s="100">
        <v>9.9934479133125667</v>
      </c>
      <c r="CQ33" s="100">
        <v>4736.8943109101565</v>
      </c>
      <c r="CR33" s="100">
        <v>6.9118171948132979E-4</v>
      </c>
      <c r="CS33" s="100">
        <v>0.32762013503415033</v>
      </c>
      <c r="CT33" s="100">
        <v>6.9761884416947222</v>
      </c>
      <c r="CU33" s="100">
        <v>3306.7133213632983</v>
      </c>
    </row>
    <row r="34" spans="2:99">
      <c r="C34" s="99" t="s">
        <v>200</v>
      </c>
      <c r="D34" s="100">
        <v>10.430857586093058</v>
      </c>
      <c r="E34" s="100">
        <v>5720.2823002134328</v>
      </c>
      <c r="F34" s="100">
        <v>2.5938174232796731</v>
      </c>
      <c r="G34" s="100">
        <v>1422.4494749265727</v>
      </c>
      <c r="H34" s="100">
        <v>6.5976436859477565E-4</v>
      </c>
      <c r="I34" s="100">
        <v>0.36181477973737497</v>
      </c>
      <c r="J34" s="100">
        <v>5.0006605434224838</v>
      </c>
      <c r="K34" s="100">
        <v>2742.36224201289</v>
      </c>
      <c r="L34" s="100">
        <v>7.0777988525947899</v>
      </c>
      <c r="M34" s="100">
        <v>3881.4648907629826</v>
      </c>
      <c r="N34" s="100">
        <v>9.6370130378465575</v>
      </c>
      <c r="O34" s="100">
        <v>5284.9379499550523</v>
      </c>
      <c r="P34" s="100">
        <v>11</v>
      </c>
      <c r="Q34" s="100">
        <v>6032.4</v>
      </c>
      <c r="R34" s="100">
        <v>5.4855413141495069</v>
      </c>
      <c r="S34" s="100">
        <v>3008.2708566795895</v>
      </c>
      <c r="T34" s="100">
        <v>4.8675002501085745</v>
      </c>
      <c r="U34" s="100">
        <v>2669.3371371595422</v>
      </c>
      <c r="V34" s="100">
        <v>5.81166420338144E-4</v>
      </c>
      <c r="W34" s="100">
        <v>0.31871166491343816</v>
      </c>
      <c r="X34" s="100">
        <v>8.4251278510789067</v>
      </c>
      <c r="Y34" s="100">
        <v>4620.3401135316726</v>
      </c>
      <c r="Z34" s="100">
        <v>7</v>
      </c>
      <c r="AA34" s="100">
        <v>3838.7999999999997</v>
      </c>
      <c r="AB34" s="100">
        <v>8</v>
      </c>
      <c r="AC34" s="100">
        <v>4387.2</v>
      </c>
      <c r="AD34" s="100">
        <v>4.8870285613474147</v>
      </c>
      <c r="AE34" s="100">
        <v>2680.0464630429219</v>
      </c>
      <c r="AF34" s="100">
        <v>4.3222535603708927</v>
      </c>
      <c r="AG34" s="100">
        <v>2370.3238525073975</v>
      </c>
      <c r="AH34" s="100">
        <v>8</v>
      </c>
      <c r="AI34" s="100">
        <v>4387.2</v>
      </c>
      <c r="AJ34" s="100">
        <v>4.1530847326235554</v>
      </c>
      <c r="AK34" s="100">
        <v>2277.5516673707575</v>
      </c>
      <c r="AL34" s="100">
        <v>10.276284217803212</v>
      </c>
      <c r="AM34" s="100">
        <v>5635.5142650432817</v>
      </c>
      <c r="AN34" s="100">
        <v>7.8375960579735491</v>
      </c>
      <c r="AO34" s="100">
        <v>4298.1376781926938</v>
      </c>
      <c r="AP34" s="100">
        <v>6</v>
      </c>
      <c r="AQ34" s="100">
        <v>3290.3999999999996</v>
      </c>
      <c r="AR34" s="100">
        <v>8</v>
      </c>
      <c r="AS34" s="100">
        <v>4387.2</v>
      </c>
      <c r="AT34" s="100">
        <v>5.0991599591091852</v>
      </c>
      <c r="AU34" s="100">
        <v>2796.3793215754772</v>
      </c>
      <c r="AV34" s="100">
        <v>9</v>
      </c>
      <c r="AW34" s="100">
        <v>4935.5999999999995</v>
      </c>
      <c r="AX34" s="100">
        <v>6.3452856755139315</v>
      </c>
      <c r="AY34" s="100">
        <v>3479.7546644518397</v>
      </c>
      <c r="AZ34" s="100">
        <v>9</v>
      </c>
      <c r="BA34" s="100">
        <v>4935.5999999999995</v>
      </c>
      <c r="BB34" s="100">
        <v>10</v>
      </c>
      <c r="BC34" s="100">
        <v>5484</v>
      </c>
      <c r="BD34" s="100">
        <v>11</v>
      </c>
      <c r="BE34" s="100">
        <v>6032.4</v>
      </c>
      <c r="BF34" s="100">
        <v>2.6283845532365469</v>
      </c>
      <c r="BG34" s="100">
        <v>1441.4060889949221</v>
      </c>
      <c r="BH34" s="100">
        <v>5.7601560053187972</v>
      </c>
      <c r="BI34" s="100">
        <v>3158.8695533168284</v>
      </c>
      <c r="BJ34" s="100">
        <v>7</v>
      </c>
      <c r="BK34" s="100">
        <v>3838.7999999999997</v>
      </c>
      <c r="BL34" s="100">
        <v>9</v>
      </c>
      <c r="BM34" s="100">
        <v>4935.5999999999995</v>
      </c>
      <c r="BN34" s="100">
        <v>9</v>
      </c>
      <c r="BO34" s="100">
        <v>4935.5999999999995</v>
      </c>
      <c r="BP34" s="100">
        <v>1.3272768408350104</v>
      </c>
      <c r="BQ34" s="100">
        <v>727.87861951391972</v>
      </c>
      <c r="BR34" s="100">
        <v>9</v>
      </c>
      <c r="BS34" s="100">
        <v>4935.5999999999995</v>
      </c>
      <c r="BT34" s="100">
        <v>7</v>
      </c>
      <c r="BU34" s="100">
        <v>3838.7999999999997</v>
      </c>
      <c r="BV34" s="100">
        <v>9</v>
      </c>
      <c r="BW34" s="100">
        <v>4935.5999999999995</v>
      </c>
      <c r="BX34" s="100">
        <v>1.6162621660298668</v>
      </c>
      <c r="BY34" s="100">
        <v>886.35817185077894</v>
      </c>
      <c r="BZ34" s="100">
        <v>6</v>
      </c>
      <c r="CA34" s="100">
        <v>3290.3999999999996</v>
      </c>
      <c r="CB34" s="100">
        <v>3.1277826198721641</v>
      </c>
      <c r="CC34" s="100">
        <v>1715.2759887378947</v>
      </c>
      <c r="CD34" s="100">
        <v>7</v>
      </c>
      <c r="CE34" s="100">
        <v>3838.7999999999997</v>
      </c>
      <c r="CF34" s="100">
        <v>3.495109458165786</v>
      </c>
      <c r="CG34" s="100">
        <v>1916.7180268581169</v>
      </c>
      <c r="CH34" s="100">
        <v>10</v>
      </c>
      <c r="CI34" s="100">
        <v>5484</v>
      </c>
      <c r="CJ34" s="100">
        <v>6</v>
      </c>
      <c r="CK34" s="100">
        <v>3290.3999999999996</v>
      </c>
      <c r="CL34" s="100">
        <v>9</v>
      </c>
      <c r="CM34" s="100">
        <v>4935.5999999999995</v>
      </c>
      <c r="CN34" s="100">
        <v>7</v>
      </c>
      <c r="CO34" s="100">
        <v>3838.7999999999997</v>
      </c>
      <c r="CP34" s="100">
        <v>9.9934479133125667</v>
      </c>
      <c r="CQ34" s="100">
        <v>5480.4068356606113</v>
      </c>
      <c r="CR34" s="100">
        <v>7.5401642125235975E-4</v>
      </c>
      <c r="CS34" s="100">
        <v>0.41350260541479406</v>
      </c>
      <c r="CT34" s="100">
        <v>6.9761884416947222</v>
      </c>
      <c r="CU34" s="100">
        <v>3825.7417414253855</v>
      </c>
    </row>
    <row r="35" spans="2:99">
      <c r="C35" s="99" t="s">
        <v>201</v>
      </c>
      <c r="D35" s="100">
        <v>10.430857586093058</v>
      </c>
      <c r="E35" s="100">
        <v>5244.635194287589</v>
      </c>
      <c r="F35" s="100">
        <v>2.639992088024449</v>
      </c>
      <c r="G35" s="100">
        <v>1327.3880218586926</v>
      </c>
      <c r="H35" s="100">
        <v>5.6551231593837919E-4</v>
      </c>
      <c r="I35" s="100">
        <v>0.28433959245381701</v>
      </c>
      <c r="J35" s="100">
        <v>5.0005661800764152</v>
      </c>
      <c r="K35" s="100">
        <v>2514.284675342421</v>
      </c>
      <c r="L35" s="100">
        <v>7.0777988525947899</v>
      </c>
      <c r="M35" s="100">
        <v>3558.7172630846599</v>
      </c>
      <c r="N35" s="100">
        <v>9.6370130378465575</v>
      </c>
      <c r="O35" s="100">
        <v>4845.4901554292483</v>
      </c>
      <c r="P35" s="100">
        <v>11</v>
      </c>
      <c r="Q35" s="100">
        <v>5530.7999999999993</v>
      </c>
      <c r="R35" s="100">
        <v>4.7018925549852923</v>
      </c>
      <c r="S35" s="100">
        <v>2364.1115766466046</v>
      </c>
      <c r="T35" s="100">
        <v>4.8675002501085745</v>
      </c>
      <c r="U35" s="100">
        <v>2447.3791257545909</v>
      </c>
      <c r="V35" s="100">
        <v>5.81166420338144E-4</v>
      </c>
      <c r="W35" s="100">
        <v>0.29221047614601875</v>
      </c>
      <c r="X35" s="100">
        <v>8.4251278510789067</v>
      </c>
      <c r="Y35" s="100">
        <v>4236.1542835224736</v>
      </c>
      <c r="Z35" s="100">
        <v>7</v>
      </c>
      <c r="AA35" s="100">
        <v>3519.5999999999995</v>
      </c>
      <c r="AB35" s="100">
        <v>8</v>
      </c>
      <c r="AC35" s="100">
        <v>4022.3999999999992</v>
      </c>
      <c r="AD35" s="100">
        <v>4.276149991178988</v>
      </c>
      <c r="AE35" s="100">
        <v>2150.0482155647946</v>
      </c>
      <c r="AF35" s="100">
        <v>3.7047887660321939</v>
      </c>
      <c r="AG35" s="100">
        <v>1862.7677915609868</v>
      </c>
      <c r="AH35" s="100">
        <v>8</v>
      </c>
      <c r="AI35" s="100">
        <v>4022.3999999999992</v>
      </c>
      <c r="AJ35" s="100">
        <v>4.6145385918039512</v>
      </c>
      <c r="AK35" s="100">
        <v>2320.1900039590264</v>
      </c>
      <c r="AL35" s="100">
        <v>9.3420765616392849</v>
      </c>
      <c r="AM35" s="100">
        <v>4697.196095192231</v>
      </c>
      <c r="AN35" s="100">
        <v>7.8375960579735491</v>
      </c>
      <c r="AO35" s="100">
        <v>3940.7432979490995</v>
      </c>
      <c r="AP35" s="100">
        <v>6</v>
      </c>
      <c r="AQ35" s="100">
        <v>3016.7999999999993</v>
      </c>
      <c r="AR35" s="100">
        <v>7</v>
      </c>
      <c r="AS35" s="100">
        <v>3519.5999999999995</v>
      </c>
      <c r="AT35" s="100">
        <v>5.6657332878990943</v>
      </c>
      <c r="AU35" s="100">
        <v>2848.7306971556641</v>
      </c>
      <c r="AV35" s="100">
        <v>8</v>
      </c>
      <c r="AW35" s="100">
        <v>4022.3999999999992</v>
      </c>
      <c r="AX35" s="100">
        <v>5.5521249660746896</v>
      </c>
      <c r="AY35" s="100">
        <v>2791.6084329423534</v>
      </c>
      <c r="AZ35" s="100">
        <v>8</v>
      </c>
      <c r="BA35" s="100">
        <v>4022.3999999999992</v>
      </c>
      <c r="BB35" s="100">
        <v>10</v>
      </c>
      <c r="BC35" s="100">
        <v>5027.9999999999991</v>
      </c>
      <c r="BD35" s="100">
        <v>11</v>
      </c>
      <c r="BE35" s="100">
        <v>5530.7999999999993</v>
      </c>
      <c r="BF35" s="100">
        <v>3.0664486454426383</v>
      </c>
      <c r="BG35" s="100">
        <v>1541.8103789285583</v>
      </c>
      <c r="BH35" s="100">
        <v>5.7601560053187972</v>
      </c>
      <c r="BI35" s="100">
        <v>2896.2064394742906</v>
      </c>
      <c r="BJ35" s="100">
        <v>8</v>
      </c>
      <c r="BK35" s="100">
        <v>4022.3999999999992</v>
      </c>
      <c r="BL35" s="100">
        <v>9</v>
      </c>
      <c r="BM35" s="100">
        <v>4525.1999999999989</v>
      </c>
      <c r="BN35" s="100">
        <v>9</v>
      </c>
      <c r="BO35" s="100">
        <v>4525.1999999999989</v>
      </c>
      <c r="BP35" s="100">
        <v>1.4747520453722338</v>
      </c>
      <c r="BQ35" s="100">
        <v>741.50532841315896</v>
      </c>
      <c r="BR35" s="100">
        <v>8</v>
      </c>
      <c r="BS35" s="100">
        <v>4022.3999999999992</v>
      </c>
      <c r="BT35" s="100">
        <v>8</v>
      </c>
      <c r="BU35" s="100">
        <v>4022.3999999999992</v>
      </c>
      <c r="BV35" s="100">
        <v>8</v>
      </c>
      <c r="BW35" s="100">
        <v>4022.3999999999992</v>
      </c>
      <c r="BX35" s="100">
        <v>1.8471567611769908</v>
      </c>
      <c r="BY35" s="100">
        <v>928.75041951979074</v>
      </c>
      <c r="BZ35" s="100">
        <v>6</v>
      </c>
      <c r="CA35" s="100">
        <v>3016.7999999999993</v>
      </c>
      <c r="CB35" s="100">
        <v>2.7368097923881436</v>
      </c>
      <c r="CC35" s="100">
        <v>1376.0679636127584</v>
      </c>
      <c r="CD35" s="100">
        <v>7</v>
      </c>
      <c r="CE35" s="100">
        <v>3519.5999999999995</v>
      </c>
      <c r="CF35" s="100">
        <v>3.495109458165786</v>
      </c>
      <c r="CG35" s="100">
        <v>1757.3410355657568</v>
      </c>
      <c r="CH35" s="100">
        <v>10</v>
      </c>
      <c r="CI35" s="100">
        <v>5027.9999999999991</v>
      </c>
      <c r="CJ35" s="100">
        <v>6</v>
      </c>
      <c r="CK35" s="100">
        <v>3016.7999999999993</v>
      </c>
      <c r="CL35" s="100">
        <v>9</v>
      </c>
      <c r="CM35" s="100">
        <v>4525.1999999999989</v>
      </c>
      <c r="CN35" s="100">
        <v>8</v>
      </c>
      <c r="CO35" s="100">
        <v>4022.3999999999992</v>
      </c>
      <c r="CP35" s="100">
        <v>8.9941031219813112</v>
      </c>
      <c r="CQ35" s="100">
        <v>4522.2350497322022</v>
      </c>
      <c r="CR35" s="100">
        <v>6.9118171948132979E-4</v>
      </c>
      <c r="CS35" s="100">
        <v>0.34752616855521257</v>
      </c>
      <c r="CT35" s="100">
        <v>6.1041648864828817</v>
      </c>
      <c r="CU35" s="100">
        <v>3069.1741049235925</v>
      </c>
    </row>
    <row r="36" spans="2:99">
      <c r="C36" s="99" t="s">
        <v>202</v>
      </c>
      <c r="D36" s="100">
        <v>9.4308575860930581</v>
      </c>
      <c r="E36" s="100">
        <v>7174.9964514995982</v>
      </c>
      <c r="F36" s="100">
        <v>2.117770108657433</v>
      </c>
      <c r="G36" s="100">
        <v>1611.199498666575</v>
      </c>
      <c r="H36" s="100">
        <v>6.5976436859477565E-4</v>
      </c>
      <c r="I36" s="100">
        <v>0.50194873162690534</v>
      </c>
      <c r="J36" s="100">
        <v>5.0005661800764152</v>
      </c>
      <c r="K36" s="100">
        <v>3804.4307498021362</v>
      </c>
      <c r="L36" s="100">
        <v>7.0777988525947899</v>
      </c>
      <c r="M36" s="100">
        <v>5384.7893670541162</v>
      </c>
      <c r="N36" s="100">
        <v>8.7609209434968722</v>
      </c>
      <c r="O36" s="100">
        <v>6665.3086538124198</v>
      </c>
      <c r="P36" s="100">
        <v>10</v>
      </c>
      <c r="Q36" s="100">
        <v>7608</v>
      </c>
      <c r="R36" s="100">
        <v>4.7018925549852923</v>
      </c>
      <c r="S36" s="100">
        <v>3577.19985583281</v>
      </c>
      <c r="T36" s="100">
        <v>4.8675002501085745</v>
      </c>
      <c r="U36" s="100">
        <v>3703.1941902826034</v>
      </c>
      <c r="V36" s="100">
        <v>4.9814264600412349E-4</v>
      </c>
      <c r="W36" s="100">
        <v>0.37898692507993714</v>
      </c>
      <c r="X36" s="100">
        <v>7.4890025342923616</v>
      </c>
      <c r="Y36" s="100">
        <v>5697.6331280896284</v>
      </c>
      <c r="Z36" s="100">
        <v>7</v>
      </c>
      <c r="AA36" s="100">
        <v>5325.5999999999995</v>
      </c>
      <c r="AB36" s="100">
        <v>8</v>
      </c>
      <c r="AC36" s="100">
        <v>6086.4</v>
      </c>
      <c r="AD36" s="100">
        <v>4.276149991178988</v>
      </c>
      <c r="AE36" s="100">
        <v>3253.2949132889739</v>
      </c>
      <c r="AF36" s="100">
        <v>3.7047887660321939</v>
      </c>
      <c r="AG36" s="100">
        <v>2818.6032931972927</v>
      </c>
      <c r="AH36" s="100">
        <v>8</v>
      </c>
      <c r="AI36" s="100">
        <v>6086.4</v>
      </c>
      <c r="AJ36" s="100">
        <v>3.6916308734431604</v>
      </c>
      <c r="AK36" s="100">
        <v>2808.5927685155561</v>
      </c>
      <c r="AL36" s="100">
        <v>10.276284217803212</v>
      </c>
      <c r="AM36" s="100">
        <v>7818.1970329046835</v>
      </c>
      <c r="AN36" s="100">
        <v>6.8578965507268546</v>
      </c>
      <c r="AO36" s="100">
        <v>5217.487695792991</v>
      </c>
      <c r="AP36" s="100">
        <v>6</v>
      </c>
      <c r="AQ36" s="100">
        <v>4564.7999999999993</v>
      </c>
      <c r="AR36" s="100">
        <v>7</v>
      </c>
      <c r="AS36" s="100">
        <v>5325.5999999999995</v>
      </c>
      <c r="AT36" s="100">
        <v>5.6657332878990943</v>
      </c>
      <c r="AU36" s="100">
        <v>4310.4898854336307</v>
      </c>
      <c r="AV36" s="100">
        <v>9</v>
      </c>
      <c r="AW36" s="100">
        <v>6847.2</v>
      </c>
      <c r="AX36" s="100">
        <v>5.5521249660746896</v>
      </c>
      <c r="AY36" s="100">
        <v>4224.0566741896237</v>
      </c>
      <c r="AZ36" s="100">
        <v>9</v>
      </c>
      <c r="BA36" s="100">
        <v>6847.2</v>
      </c>
      <c r="BB36" s="100">
        <v>10</v>
      </c>
      <c r="BC36" s="100">
        <v>7608</v>
      </c>
      <c r="BD36" s="100">
        <v>11</v>
      </c>
      <c r="BE36" s="100">
        <v>8368.7999999999993</v>
      </c>
      <c r="BF36" s="100">
        <v>2.6283845532365469</v>
      </c>
      <c r="BG36" s="100">
        <v>1999.6749681023648</v>
      </c>
      <c r="BH36" s="100">
        <v>5.0401365046539475</v>
      </c>
      <c r="BI36" s="100">
        <v>3834.5358527407229</v>
      </c>
      <c r="BJ36" s="100">
        <v>8</v>
      </c>
      <c r="BK36" s="100">
        <v>6086.4</v>
      </c>
      <c r="BL36" s="100">
        <v>8</v>
      </c>
      <c r="BM36" s="100">
        <v>6086.4</v>
      </c>
      <c r="BN36" s="100">
        <v>8</v>
      </c>
      <c r="BO36" s="100">
        <v>6086.4</v>
      </c>
      <c r="BP36" s="100">
        <v>1.179801636297787</v>
      </c>
      <c r="BQ36" s="100">
        <v>897.59308489535636</v>
      </c>
      <c r="BR36" s="100">
        <v>8</v>
      </c>
      <c r="BS36" s="100">
        <v>6086.4</v>
      </c>
      <c r="BT36" s="100">
        <v>7</v>
      </c>
      <c r="BU36" s="100">
        <v>5325.5999999999995</v>
      </c>
      <c r="BV36" s="100">
        <v>9</v>
      </c>
      <c r="BW36" s="100">
        <v>6847.2</v>
      </c>
      <c r="BX36" s="100">
        <v>1.6162621660298668</v>
      </c>
      <c r="BY36" s="100">
        <v>1229.6522559155226</v>
      </c>
      <c r="BZ36" s="100">
        <v>6</v>
      </c>
      <c r="CA36" s="100">
        <v>4564.7999999999993</v>
      </c>
      <c r="CB36" s="100">
        <v>2.7368097923881436</v>
      </c>
      <c r="CC36" s="100">
        <v>2082.1648900488995</v>
      </c>
      <c r="CD36" s="100">
        <v>7</v>
      </c>
      <c r="CE36" s="100">
        <v>5325.5999999999995</v>
      </c>
      <c r="CF36" s="100">
        <v>3.495109458165786</v>
      </c>
      <c r="CG36" s="100">
        <v>2659.0792757725299</v>
      </c>
      <c r="CH36" s="100">
        <v>9</v>
      </c>
      <c r="CI36" s="100">
        <v>6847.2</v>
      </c>
      <c r="CJ36" s="100">
        <v>6</v>
      </c>
      <c r="CK36" s="100">
        <v>4564.7999999999993</v>
      </c>
      <c r="CL36" s="100">
        <v>8</v>
      </c>
      <c r="CM36" s="100">
        <v>6086.4</v>
      </c>
      <c r="CN36" s="100">
        <v>7</v>
      </c>
      <c r="CO36" s="100">
        <v>5325.5999999999995</v>
      </c>
      <c r="CP36" s="100">
        <v>9.9934479133125667</v>
      </c>
      <c r="CQ36" s="100">
        <v>7603.0151724482002</v>
      </c>
      <c r="CR36" s="100">
        <v>7.5401642125235975E-4</v>
      </c>
      <c r="CS36" s="100">
        <v>0.57365569328879529</v>
      </c>
      <c r="CT36" s="100">
        <v>6.9761884416947222</v>
      </c>
      <c r="CU36" s="100">
        <v>5307.4841664413443</v>
      </c>
    </row>
    <row r="37" spans="2:99">
      <c r="B37" s="99" t="s">
        <v>128</v>
      </c>
      <c r="C37" s="99" t="s">
        <v>203</v>
      </c>
      <c r="D37" s="100">
        <v>12.287238390728707</v>
      </c>
      <c r="E37" s="100">
        <v>10571.939911382979</v>
      </c>
      <c r="F37" s="100">
        <v>5.1020730621440737</v>
      </c>
      <c r="G37" s="100">
        <v>4389.8236626687612</v>
      </c>
      <c r="H37" s="100">
        <v>1.0367725792203618E-3</v>
      </c>
      <c r="I37" s="100">
        <v>0.89203912716119926</v>
      </c>
      <c r="J37" s="100">
        <v>16.000235908365173</v>
      </c>
      <c r="K37" s="100">
        <v>13766.602975557395</v>
      </c>
      <c r="L37" s="100">
        <v>13.27087284861523</v>
      </c>
      <c r="M37" s="100">
        <v>11418.258998948544</v>
      </c>
      <c r="N37" s="100">
        <v>13.141381415245307</v>
      </c>
      <c r="O37" s="100">
        <v>11306.844569677061</v>
      </c>
      <c r="P37" s="100">
        <v>12</v>
      </c>
      <c r="Q37" s="100">
        <v>10324.799999999999</v>
      </c>
      <c r="R37" s="100">
        <v>14.889326424120091</v>
      </c>
      <c r="S37" s="100">
        <v>12810.776455312925</v>
      </c>
      <c r="T37" s="100">
        <v>11.357500583586672</v>
      </c>
      <c r="U37" s="100">
        <v>9771.9935021179717</v>
      </c>
      <c r="V37" s="100">
        <v>1.2453566150103087E-3</v>
      </c>
      <c r="W37" s="100">
        <v>1.0715048315548696</v>
      </c>
      <c r="X37" s="100">
        <v>15.914130385371269</v>
      </c>
      <c r="Y37" s="100">
        <v>13692.517783573439</v>
      </c>
      <c r="Z37" s="100">
        <v>19</v>
      </c>
      <c r="AA37" s="100">
        <v>16347.6</v>
      </c>
      <c r="AB37" s="100">
        <v>13</v>
      </c>
      <c r="AC37" s="100">
        <v>11185.199999999999</v>
      </c>
      <c r="AD37" s="100">
        <v>7.9414214121895501</v>
      </c>
      <c r="AE37" s="100">
        <v>6832.7989830478891</v>
      </c>
      <c r="AF37" s="100">
        <v>12.966760681112678</v>
      </c>
      <c r="AG37" s="100">
        <v>11156.600890029347</v>
      </c>
      <c r="AH37" s="100">
        <v>15</v>
      </c>
      <c r="AI37" s="100">
        <v>12906</v>
      </c>
      <c r="AJ37" s="100">
        <v>6.9218078877059259</v>
      </c>
      <c r="AK37" s="100">
        <v>5955.5235065821789</v>
      </c>
      <c r="AL37" s="100">
        <v>13.078907186294996</v>
      </c>
      <c r="AM37" s="100">
        <v>11253.091743088215</v>
      </c>
      <c r="AN37" s="100">
        <v>16.654891623193791</v>
      </c>
      <c r="AO37" s="100">
        <v>14329.868752595938</v>
      </c>
      <c r="AP37" s="100">
        <v>16</v>
      </c>
      <c r="AQ37" s="100">
        <v>13766.4</v>
      </c>
      <c r="AR37" s="100">
        <v>21</v>
      </c>
      <c r="AS37" s="100">
        <v>18068.399999999998</v>
      </c>
      <c r="AT37" s="100">
        <v>10.764893247008279</v>
      </c>
      <c r="AU37" s="100">
        <v>9262.1141497259232</v>
      </c>
      <c r="AV37" s="100">
        <v>13</v>
      </c>
      <c r="AW37" s="100">
        <v>11185.199999999999</v>
      </c>
      <c r="AX37" s="100">
        <v>12.690571351027863</v>
      </c>
      <c r="AY37" s="100">
        <v>10918.967590424372</v>
      </c>
      <c r="AZ37" s="100">
        <v>11</v>
      </c>
      <c r="BA37" s="100">
        <v>9464.4</v>
      </c>
      <c r="BB37" s="100">
        <v>16</v>
      </c>
      <c r="BC37" s="100">
        <v>13766.4</v>
      </c>
      <c r="BD37" s="100">
        <v>12</v>
      </c>
      <c r="BE37" s="100">
        <v>10324.799999999999</v>
      </c>
      <c r="BF37" s="100">
        <v>5.2567691064730937</v>
      </c>
      <c r="BG37" s="100">
        <v>4522.92413920945</v>
      </c>
      <c r="BH37" s="100">
        <v>12.240331511302443</v>
      </c>
      <c r="BI37" s="100">
        <v>10531.581232324623</v>
      </c>
      <c r="BJ37" s="100">
        <v>17</v>
      </c>
      <c r="BK37" s="100">
        <v>14626.8</v>
      </c>
      <c r="BL37" s="100">
        <v>13</v>
      </c>
      <c r="BM37" s="100">
        <v>11185.199999999999</v>
      </c>
      <c r="BN37" s="100">
        <v>15</v>
      </c>
      <c r="BO37" s="100">
        <v>12906</v>
      </c>
      <c r="BP37" s="100">
        <v>2.8020288862072444</v>
      </c>
      <c r="BQ37" s="100">
        <v>2410.8656536927128</v>
      </c>
      <c r="BR37" s="100">
        <v>21</v>
      </c>
      <c r="BS37" s="100">
        <v>18068.399999999998</v>
      </c>
      <c r="BT37" s="100">
        <v>11</v>
      </c>
      <c r="BU37" s="100">
        <v>9464.4</v>
      </c>
      <c r="BV37" s="100">
        <v>11</v>
      </c>
      <c r="BW37" s="100">
        <v>9464.4</v>
      </c>
      <c r="BX37" s="100">
        <v>3.2325243320597337</v>
      </c>
      <c r="BY37" s="100">
        <v>2781.2639353041945</v>
      </c>
      <c r="BZ37" s="100">
        <v>21</v>
      </c>
      <c r="CA37" s="100">
        <v>18068.399999999998</v>
      </c>
      <c r="CB37" s="100">
        <v>7.8194565496804103</v>
      </c>
      <c r="CC37" s="100">
        <v>6727.8604153450251</v>
      </c>
      <c r="CD37" s="100">
        <v>17</v>
      </c>
      <c r="CE37" s="100">
        <v>14626.8</v>
      </c>
      <c r="CF37" s="100">
        <v>5.8251824302763096</v>
      </c>
      <c r="CG37" s="100">
        <v>5011.9869630097364</v>
      </c>
      <c r="CH37" s="100">
        <v>19</v>
      </c>
      <c r="CI37" s="100">
        <v>16347.6</v>
      </c>
      <c r="CJ37" s="100">
        <v>11</v>
      </c>
      <c r="CK37" s="100">
        <v>9464.4</v>
      </c>
      <c r="CL37" s="100">
        <v>22</v>
      </c>
      <c r="CM37" s="100">
        <v>18928.8</v>
      </c>
      <c r="CN37" s="100">
        <v>16</v>
      </c>
      <c r="CO37" s="100">
        <v>13766.4</v>
      </c>
      <c r="CP37" s="100">
        <v>13.990827078637594</v>
      </c>
      <c r="CQ37" s="100">
        <v>12037.707618459784</v>
      </c>
      <c r="CR37" s="100">
        <v>7.5401642125235975E-4</v>
      </c>
      <c r="CS37" s="100">
        <v>0.64875572884553034</v>
      </c>
      <c r="CT37" s="100">
        <v>17.440471104236806</v>
      </c>
      <c r="CU37" s="100">
        <v>15005.781338085348</v>
      </c>
    </row>
    <row r="38" spans="2:99">
      <c r="C38" s="99" t="s">
        <v>204</v>
      </c>
      <c r="D38" s="100">
        <v>13.239365325607254</v>
      </c>
      <c r="E38" s="100">
        <v>16443.291734404211</v>
      </c>
      <c r="F38" s="100">
        <v>5.1008514347537144</v>
      </c>
      <c r="G38" s="100">
        <v>6335.2574819641131</v>
      </c>
      <c r="H38" s="100">
        <v>8.4826847390756868E-4</v>
      </c>
      <c r="I38" s="100">
        <v>1.0535494445932003</v>
      </c>
      <c r="J38" s="100">
        <v>15.000235908365173</v>
      </c>
      <c r="K38" s="100">
        <v>18630.292998189547</v>
      </c>
      <c r="L38" s="100">
        <v>13.27087284861523</v>
      </c>
      <c r="M38" s="100">
        <v>16482.424077980115</v>
      </c>
      <c r="N38" s="100">
        <v>11.389197226545933</v>
      </c>
      <c r="O38" s="100">
        <v>14145.382955370049</v>
      </c>
      <c r="P38" s="100">
        <v>11</v>
      </c>
      <c r="Q38" s="100">
        <v>13662</v>
      </c>
      <c r="R38" s="100">
        <v>14.889326424120091</v>
      </c>
      <c r="S38" s="100">
        <v>18492.543418757152</v>
      </c>
      <c r="T38" s="100">
        <v>10.546250541901911</v>
      </c>
      <c r="U38" s="100">
        <v>13098.443173042173</v>
      </c>
      <c r="V38" s="100">
        <v>1.2453566150103087E-3</v>
      </c>
      <c r="W38" s="100">
        <v>1.5467329158428034</v>
      </c>
      <c r="X38" s="100">
        <v>14.041879751798177</v>
      </c>
      <c r="Y38" s="100">
        <v>17440.014651733338</v>
      </c>
      <c r="Z38" s="100">
        <v>16</v>
      </c>
      <c r="AA38" s="100">
        <v>19872</v>
      </c>
      <c r="AB38" s="100">
        <v>11</v>
      </c>
      <c r="AC38" s="100">
        <v>13662</v>
      </c>
      <c r="AD38" s="100">
        <v>8.5522999823579759</v>
      </c>
      <c r="AE38" s="100">
        <v>10621.956578088606</v>
      </c>
      <c r="AF38" s="100">
        <v>11.114366298096581</v>
      </c>
      <c r="AG38" s="100">
        <v>13804.042942235954</v>
      </c>
      <c r="AH38" s="100">
        <v>15</v>
      </c>
      <c r="AI38" s="100">
        <v>18630</v>
      </c>
      <c r="AJ38" s="100">
        <v>5.998900169345136</v>
      </c>
      <c r="AK38" s="100">
        <v>7450.6340103266593</v>
      </c>
      <c r="AL38" s="100">
        <v>13.078907186294996</v>
      </c>
      <c r="AM38" s="100">
        <v>16244.002725378385</v>
      </c>
      <c r="AN38" s="100">
        <v>14.695492608700404</v>
      </c>
      <c r="AO38" s="100">
        <v>18251.801820005901</v>
      </c>
      <c r="AP38" s="100">
        <v>18</v>
      </c>
      <c r="AQ38" s="100">
        <v>22356</v>
      </c>
      <c r="AR38" s="100">
        <v>17</v>
      </c>
      <c r="AS38" s="100">
        <v>21114</v>
      </c>
      <c r="AT38" s="100">
        <v>9.6317465894284613</v>
      </c>
      <c r="AU38" s="100">
        <v>11962.629264070149</v>
      </c>
      <c r="AV38" s="100">
        <v>11</v>
      </c>
      <c r="AW38" s="100">
        <v>13662</v>
      </c>
      <c r="AX38" s="100">
        <v>11.897410641588621</v>
      </c>
      <c r="AY38" s="100">
        <v>14776.584016853067</v>
      </c>
      <c r="AZ38" s="100">
        <v>10</v>
      </c>
      <c r="BA38" s="100">
        <v>12420</v>
      </c>
      <c r="BB38" s="100">
        <v>17</v>
      </c>
      <c r="BC38" s="100">
        <v>21114</v>
      </c>
      <c r="BD38" s="100">
        <v>11</v>
      </c>
      <c r="BE38" s="100">
        <v>13662</v>
      </c>
      <c r="BF38" s="100">
        <v>6.1328972908852766</v>
      </c>
      <c r="BG38" s="100">
        <v>7617.0584352795131</v>
      </c>
      <c r="BH38" s="100">
        <v>12.240331511302443</v>
      </c>
      <c r="BI38" s="100">
        <v>15202.491737037635</v>
      </c>
      <c r="BJ38" s="100">
        <v>16</v>
      </c>
      <c r="BK38" s="100">
        <v>19872</v>
      </c>
      <c r="BL38" s="100">
        <v>13</v>
      </c>
      <c r="BM38" s="100">
        <v>16146</v>
      </c>
      <c r="BN38" s="100">
        <v>17</v>
      </c>
      <c r="BO38" s="100">
        <v>21114</v>
      </c>
      <c r="BP38" s="100">
        <v>2.8020288862072444</v>
      </c>
      <c r="BQ38" s="100">
        <v>3480.1198766693974</v>
      </c>
      <c r="BR38" s="100">
        <v>18</v>
      </c>
      <c r="BS38" s="100">
        <v>22356</v>
      </c>
      <c r="BT38" s="100">
        <v>11</v>
      </c>
      <c r="BU38" s="100">
        <v>13662</v>
      </c>
      <c r="BV38" s="100">
        <v>10</v>
      </c>
      <c r="BW38" s="100">
        <v>12420</v>
      </c>
      <c r="BX38" s="100">
        <v>3.4634189272068574</v>
      </c>
      <c r="BY38" s="100">
        <v>4301.5663075909169</v>
      </c>
      <c r="BZ38" s="100">
        <v>18</v>
      </c>
      <c r="CA38" s="100">
        <v>22356</v>
      </c>
      <c r="CB38" s="100">
        <v>7.4284837221963897</v>
      </c>
      <c r="CC38" s="100">
        <v>9226.1767829679156</v>
      </c>
      <c r="CD38" s="100">
        <v>16</v>
      </c>
      <c r="CE38" s="100">
        <v>19872</v>
      </c>
      <c r="CF38" s="100">
        <v>5.8251824302763096</v>
      </c>
      <c r="CG38" s="100">
        <v>7234.8765784031766</v>
      </c>
      <c r="CH38" s="100">
        <v>17</v>
      </c>
      <c r="CI38" s="100">
        <v>21114</v>
      </c>
      <c r="CJ38" s="100">
        <v>12</v>
      </c>
      <c r="CK38" s="100">
        <v>14904</v>
      </c>
      <c r="CL38" s="100">
        <v>20</v>
      </c>
      <c r="CM38" s="100">
        <v>24840</v>
      </c>
      <c r="CN38" s="100">
        <v>14</v>
      </c>
      <c r="CO38" s="100">
        <v>17388</v>
      </c>
      <c r="CP38" s="100">
        <v>12.991482287306336</v>
      </c>
      <c r="CQ38" s="100">
        <v>16135.421000834471</v>
      </c>
      <c r="CR38" s="100">
        <v>7.5401642125235975E-4</v>
      </c>
      <c r="CS38" s="100">
        <v>0.93648839519543081</v>
      </c>
      <c r="CT38" s="100">
        <v>17.440471104236806</v>
      </c>
      <c r="CU38" s="100">
        <v>21661.065111462114</v>
      </c>
    </row>
    <row r="39" spans="2:99">
      <c r="C39" s="99" t="s">
        <v>205</v>
      </c>
      <c r="D39" s="100">
        <v>11.239365325607254</v>
      </c>
      <c r="E39" s="100">
        <v>15995.864731404245</v>
      </c>
      <c r="F39" s="100">
        <v>4.3224049752646261</v>
      </c>
      <c r="G39" s="100">
        <v>6151.646760796616</v>
      </c>
      <c r="H39" s="100">
        <v>9.4252052656396525E-4</v>
      </c>
      <c r="I39" s="100">
        <v>1.3413952134058353</v>
      </c>
      <c r="J39" s="100">
        <v>17.000188726692137</v>
      </c>
      <c r="K39" s="100">
        <v>24194.668595828251</v>
      </c>
      <c r="L39" s="100">
        <v>14.15559770518958</v>
      </c>
      <c r="M39" s="100">
        <v>20146.24665402581</v>
      </c>
      <c r="N39" s="100">
        <v>13.141381415245307</v>
      </c>
      <c r="O39" s="100">
        <v>18702.814030177124</v>
      </c>
      <c r="P39" s="100">
        <v>10</v>
      </c>
      <c r="Q39" s="100">
        <v>14232</v>
      </c>
      <c r="R39" s="100">
        <v>14.889326424120091</v>
      </c>
      <c r="S39" s="100">
        <v>21190.489366807713</v>
      </c>
      <c r="T39" s="100">
        <v>10.546250541901911</v>
      </c>
      <c r="U39" s="100">
        <v>15009.4237712348</v>
      </c>
      <c r="V39" s="100">
        <v>1.162332840676288E-3</v>
      </c>
      <c r="W39" s="100">
        <v>1.654232098850493</v>
      </c>
      <c r="X39" s="100">
        <v>13.105754435011633</v>
      </c>
      <c r="Y39" s="100">
        <v>18652.109711908557</v>
      </c>
      <c r="Z39" s="100">
        <v>18</v>
      </c>
      <c r="AA39" s="100">
        <v>25617.600000000002</v>
      </c>
      <c r="AB39" s="100">
        <v>11</v>
      </c>
      <c r="AC39" s="100">
        <v>15655.2</v>
      </c>
      <c r="AD39" s="100">
        <v>7.9414214121895501</v>
      </c>
      <c r="AE39" s="100">
        <v>11302.230953828168</v>
      </c>
      <c r="AF39" s="100">
        <v>11.114366298096581</v>
      </c>
      <c r="AG39" s="100">
        <v>15817.966115451054</v>
      </c>
      <c r="AH39" s="100">
        <v>15</v>
      </c>
      <c r="AI39" s="100">
        <v>21348</v>
      </c>
      <c r="AJ39" s="100">
        <v>6.460354028525531</v>
      </c>
      <c r="AK39" s="100">
        <v>9194.375853397536</v>
      </c>
      <c r="AL39" s="100">
        <v>13.078907186294996</v>
      </c>
      <c r="AM39" s="100">
        <v>18613.900707535038</v>
      </c>
      <c r="AN39" s="100">
        <v>13.715793101453709</v>
      </c>
      <c r="AO39" s="100">
        <v>19520.316741988918</v>
      </c>
      <c r="AP39" s="100">
        <v>16</v>
      </c>
      <c r="AQ39" s="100">
        <v>22771.200000000001</v>
      </c>
      <c r="AR39" s="100">
        <v>19</v>
      </c>
      <c r="AS39" s="100">
        <v>27040.799999999999</v>
      </c>
      <c r="AT39" s="100">
        <v>9.6317465894284613</v>
      </c>
      <c r="AU39" s="100">
        <v>13707.901746074587</v>
      </c>
      <c r="AV39" s="100">
        <v>10</v>
      </c>
      <c r="AW39" s="100">
        <v>14232</v>
      </c>
      <c r="AX39" s="100">
        <v>11.897410641588621</v>
      </c>
      <c r="AY39" s="100">
        <v>16932.394825108928</v>
      </c>
      <c r="AZ39" s="100">
        <v>11</v>
      </c>
      <c r="BA39" s="100">
        <v>15655.2</v>
      </c>
      <c r="BB39" s="100">
        <v>17</v>
      </c>
      <c r="BC39" s="100">
        <v>24194.400000000001</v>
      </c>
      <c r="BD39" s="100">
        <v>10</v>
      </c>
      <c r="BE39" s="100">
        <v>14232</v>
      </c>
      <c r="BF39" s="100">
        <v>5.6948331986791851</v>
      </c>
      <c r="BG39" s="100">
        <v>8104.886608360217</v>
      </c>
      <c r="BH39" s="100">
        <v>11.520312010637594</v>
      </c>
      <c r="BI39" s="100">
        <v>16395.708053539423</v>
      </c>
      <c r="BJ39" s="100">
        <v>17</v>
      </c>
      <c r="BK39" s="100">
        <v>24194.400000000001</v>
      </c>
      <c r="BL39" s="100">
        <v>15</v>
      </c>
      <c r="BM39" s="100">
        <v>21348</v>
      </c>
      <c r="BN39" s="100">
        <v>15</v>
      </c>
      <c r="BO39" s="100">
        <v>21348</v>
      </c>
      <c r="BP39" s="100">
        <v>2.6545536816700208</v>
      </c>
      <c r="BQ39" s="100">
        <v>3777.9607997527737</v>
      </c>
      <c r="BR39" s="100">
        <v>21</v>
      </c>
      <c r="BS39" s="100">
        <v>29887.200000000001</v>
      </c>
      <c r="BT39" s="100">
        <v>11</v>
      </c>
      <c r="BU39" s="100">
        <v>15655.2</v>
      </c>
      <c r="BV39" s="100">
        <v>11</v>
      </c>
      <c r="BW39" s="100">
        <v>15655.2</v>
      </c>
      <c r="BX39" s="100">
        <v>3.2325243320597337</v>
      </c>
      <c r="BY39" s="100">
        <v>4600.5286293874133</v>
      </c>
      <c r="BZ39" s="100">
        <v>20</v>
      </c>
      <c r="CA39" s="100">
        <v>28464</v>
      </c>
      <c r="CB39" s="100">
        <v>7.0375108947123692</v>
      </c>
      <c r="CC39" s="100">
        <v>10015.785505354645</v>
      </c>
      <c r="CD39" s="100">
        <v>17</v>
      </c>
      <c r="CE39" s="100">
        <v>24194.400000000001</v>
      </c>
      <c r="CF39" s="100">
        <v>5.8251824302763096</v>
      </c>
      <c r="CG39" s="100">
        <v>8290.3996347692446</v>
      </c>
      <c r="CH39" s="100">
        <v>16</v>
      </c>
      <c r="CI39" s="100">
        <v>22771.200000000001</v>
      </c>
      <c r="CJ39" s="100">
        <v>12</v>
      </c>
      <c r="CK39" s="100">
        <v>17078.400000000001</v>
      </c>
      <c r="CL39" s="100">
        <v>17</v>
      </c>
      <c r="CM39" s="100">
        <v>24194.400000000001</v>
      </c>
      <c r="CN39" s="100">
        <v>14</v>
      </c>
      <c r="CO39" s="100">
        <v>19924.8</v>
      </c>
      <c r="CP39" s="100">
        <v>12.991482287306336</v>
      </c>
      <c r="CQ39" s="100">
        <v>18489.477591294377</v>
      </c>
      <c r="CR39" s="100">
        <v>6.2834701771029983E-4</v>
      </c>
      <c r="CS39" s="100">
        <v>0.89426347560529873</v>
      </c>
      <c r="CT39" s="100">
        <v>15.696423993813124</v>
      </c>
      <c r="CU39" s="100">
        <v>22339.150627994837</v>
      </c>
    </row>
    <row r="40" spans="2:99">
      <c r="C40" s="99" t="s">
        <v>206</v>
      </c>
      <c r="D40" s="100">
        <v>14.287238390728707</v>
      </c>
      <c r="E40" s="100">
        <v>10355.390385600165</v>
      </c>
      <c r="F40" s="100">
        <v>4.5810727101674162</v>
      </c>
      <c r="G40" s="100">
        <v>3320.361500329343</v>
      </c>
      <c r="H40" s="100">
        <v>9.4252052656396525E-4</v>
      </c>
      <c r="I40" s="100">
        <v>0.68313887765356196</v>
      </c>
      <c r="J40" s="100">
        <v>18.000235908365173</v>
      </c>
      <c r="K40" s="100">
        <v>13046.570986383076</v>
      </c>
      <c r="L40" s="100">
        <v>13.27087284861523</v>
      </c>
      <c r="M40" s="100">
        <v>9618.7286406763178</v>
      </c>
      <c r="N40" s="100">
        <v>12.26528932089562</v>
      </c>
      <c r="O40" s="100">
        <v>8889.8816997851445</v>
      </c>
      <c r="P40" s="100">
        <v>13</v>
      </c>
      <c r="Q40" s="100">
        <v>9422.4</v>
      </c>
      <c r="R40" s="100">
        <v>14.105677664955877</v>
      </c>
      <c r="S40" s="100">
        <v>10223.795171560019</v>
      </c>
      <c r="T40" s="100">
        <v>11.357500583586672</v>
      </c>
      <c r="U40" s="100">
        <v>8231.9164229836188</v>
      </c>
      <c r="V40" s="100">
        <v>1.2453566150103087E-3</v>
      </c>
      <c r="W40" s="100">
        <v>0.90263447455947166</v>
      </c>
      <c r="X40" s="100">
        <v>14.978005068584723</v>
      </c>
      <c r="Y40" s="100">
        <v>10856.058073710206</v>
      </c>
      <c r="Z40" s="100">
        <v>18</v>
      </c>
      <c r="AA40" s="100">
        <v>13046.4</v>
      </c>
      <c r="AB40" s="100">
        <v>12</v>
      </c>
      <c r="AC40" s="100">
        <v>8697.5999999999985</v>
      </c>
      <c r="AD40" s="100">
        <v>9.1631785525264036</v>
      </c>
      <c r="AE40" s="100">
        <v>6641.4718148711372</v>
      </c>
      <c r="AF40" s="100">
        <v>12.966760681112678</v>
      </c>
      <c r="AG40" s="100">
        <v>9398.3081416704681</v>
      </c>
      <c r="AH40" s="100">
        <v>15</v>
      </c>
      <c r="AI40" s="100">
        <v>10872</v>
      </c>
      <c r="AJ40" s="100">
        <v>6.9218078877059259</v>
      </c>
      <c r="AK40" s="100">
        <v>5016.9263570092544</v>
      </c>
      <c r="AL40" s="100">
        <v>14.947322498622855</v>
      </c>
      <c r="AM40" s="100">
        <v>10833.819347001845</v>
      </c>
      <c r="AN40" s="100">
        <v>15.675192115947098</v>
      </c>
      <c r="AO40" s="100">
        <v>11361.379245638456</v>
      </c>
      <c r="AP40" s="100">
        <v>18</v>
      </c>
      <c r="AQ40" s="100">
        <v>13046.4</v>
      </c>
      <c r="AR40" s="100">
        <v>21</v>
      </c>
      <c r="AS40" s="100">
        <v>15220.8</v>
      </c>
      <c r="AT40" s="100">
        <v>10.764893247008279</v>
      </c>
      <c r="AU40" s="100">
        <v>7802.3946254316006</v>
      </c>
      <c r="AV40" s="100">
        <v>13</v>
      </c>
      <c r="AW40" s="100">
        <v>9422.4</v>
      </c>
      <c r="AX40" s="100">
        <v>11.897410641588621</v>
      </c>
      <c r="AY40" s="100">
        <v>8623.2432330234315</v>
      </c>
      <c r="AZ40" s="100">
        <v>12</v>
      </c>
      <c r="BA40" s="100">
        <v>8697.5999999999985</v>
      </c>
      <c r="BB40" s="100">
        <v>17</v>
      </c>
      <c r="BC40" s="100">
        <v>12321.599999999999</v>
      </c>
      <c r="BD40" s="100">
        <v>11</v>
      </c>
      <c r="BE40" s="100">
        <v>7972.7999999999993</v>
      </c>
      <c r="BF40" s="100">
        <v>5.6948331986791851</v>
      </c>
      <c r="BG40" s="100">
        <v>4127.6151024026731</v>
      </c>
      <c r="BH40" s="100">
        <v>12.240331511302443</v>
      </c>
      <c r="BI40" s="100">
        <v>8871.7922793920097</v>
      </c>
      <c r="BJ40" s="100">
        <v>20</v>
      </c>
      <c r="BK40" s="100">
        <v>14496</v>
      </c>
      <c r="BL40" s="100">
        <v>14</v>
      </c>
      <c r="BM40" s="100">
        <v>10147.199999999999</v>
      </c>
      <c r="BN40" s="100">
        <v>17</v>
      </c>
      <c r="BO40" s="100">
        <v>12321.599999999999</v>
      </c>
      <c r="BP40" s="100">
        <v>2.6545536816700208</v>
      </c>
      <c r="BQ40" s="100">
        <v>1924.0205084744309</v>
      </c>
      <c r="BR40" s="100">
        <v>19</v>
      </c>
      <c r="BS40" s="100">
        <v>13771.199999999999</v>
      </c>
      <c r="BT40" s="100">
        <v>10</v>
      </c>
      <c r="BU40" s="100">
        <v>7248</v>
      </c>
      <c r="BV40" s="100">
        <v>11</v>
      </c>
      <c r="BW40" s="100">
        <v>7972.7999999999993</v>
      </c>
      <c r="BX40" s="100">
        <v>3.6943135223539816</v>
      </c>
      <c r="BY40" s="100">
        <v>2677.6384410021656</v>
      </c>
      <c r="BZ40" s="100">
        <v>19</v>
      </c>
      <c r="CA40" s="100">
        <v>13771.199999999999</v>
      </c>
      <c r="CB40" s="100">
        <v>8.2104293771644308</v>
      </c>
      <c r="CC40" s="100">
        <v>5950.9192125687787</v>
      </c>
      <c r="CD40" s="100">
        <v>18</v>
      </c>
      <c r="CE40" s="100">
        <v>13046.4</v>
      </c>
      <c r="CF40" s="100">
        <v>6.4077006733039408</v>
      </c>
      <c r="CG40" s="100">
        <v>4644.3014480106958</v>
      </c>
      <c r="CH40" s="100">
        <v>19</v>
      </c>
      <c r="CI40" s="100">
        <v>13771.199999999999</v>
      </c>
      <c r="CJ40" s="100">
        <v>11</v>
      </c>
      <c r="CK40" s="100">
        <v>7972.7999999999993</v>
      </c>
      <c r="CL40" s="100">
        <v>22</v>
      </c>
      <c r="CM40" s="100">
        <v>15945.599999999999</v>
      </c>
      <c r="CN40" s="100">
        <v>15</v>
      </c>
      <c r="CO40" s="100">
        <v>10872</v>
      </c>
      <c r="CP40" s="100">
        <v>12.991482287306336</v>
      </c>
      <c r="CQ40" s="100">
        <v>9416.2263618396319</v>
      </c>
      <c r="CR40" s="100">
        <v>8.1685112302338971E-4</v>
      </c>
      <c r="CS40" s="100">
        <v>0.59205369396735286</v>
      </c>
      <c r="CT40" s="100">
        <v>16.568447549024963</v>
      </c>
      <c r="CU40" s="100">
        <v>12008.810783533292</v>
      </c>
    </row>
    <row r="41" spans="2:99">
      <c r="C41" s="99" t="s">
        <v>207</v>
      </c>
      <c r="D41" s="100">
        <v>14.287238390728707</v>
      </c>
      <c r="E41" s="100">
        <v>9429.5773378809463</v>
      </c>
      <c r="F41" s="100">
        <v>4.5822943375577756</v>
      </c>
      <c r="G41" s="100">
        <v>3024.3142627881321</v>
      </c>
      <c r="H41" s="100">
        <v>1.0367725792203618E-3</v>
      </c>
      <c r="I41" s="100">
        <v>0.68426990228543882</v>
      </c>
      <c r="J41" s="100">
        <v>17.000235908365173</v>
      </c>
      <c r="K41" s="100">
        <v>11220.155699521014</v>
      </c>
      <c r="L41" s="100">
        <v>13.27087284861523</v>
      </c>
      <c r="M41" s="100">
        <v>8758.7760800860524</v>
      </c>
      <c r="N41" s="100">
        <v>14.017473509594994</v>
      </c>
      <c r="O41" s="100">
        <v>9251.5325163326961</v>
      </c>
      <c r="P41" s="100">
        <v>11</v>
      </c>
      <c r="Q41" s="100">
        <v>7260</v>
      </c>
      <c r="R41" s="100">
        <v>17.240272701612739</v>
      </c>
      <c r="S41" s="100">
        <v>11378.579983064408</v>
      </c>
      <c r="T41" s="100">
        <v>12.168750625271436</v>
      </c>
      <c r="U41" s="100">
        <v>8031.3754126791473</v>
      </c>
      <c r="V41" s="100">
        <v>1.4114041636783497E-3</v>
      </c>
      <c r="W41" s="100">
        <v>0.93152674802771085</v>
      </c>
      <c r="X41" s="100">
        <v>15.914130385371269</v>
      </c>
      <c r="Y41" s="100">
        <v>10503.326054345038</v>
      </c>
      <c r="Z41" s="100">
        <v>18</v>
      </c>
      <c r="AA41" s="100">
        <v>11880</v>
      </c>
      <c r="AB41" s="100">
        <v>13</v>
      </c>
      <c r="AC41" s="100">
        <v>8580</v>
      </c>
      <c r="AD41" s="100">
        <v>8.5522999823579759</v>
      </c>
      <c r="AE41" s="100">
        <v>5644.5179883562641</v>
      </c>
      <c r="AF41" s="100">
        <v>12.34929588677398</v>
      </c>
      <c r="AG41" s="100">
        <v>8150.5352852708265</v>
      </c>
      <c r="AH41" s="100">
        <v>16</v>
      </c>
      <c r="AI41" s="100">
        <v>10560</v>
      </c>
      <c r="AJ41" s="100">
        <v>6.460354028525531</v>
      </c>
      <c r="AK41" s="100">
        <v>4263.8336588268503</v>
      </c>
      <c r="AL41" s="100">
        <v>13.078907186294996</v>
      </c>
      <c r="AM41" s="100">
        <v>8632.0787429546981</v>
      </c>
      <c r="AN41" s="100">
        <v>15.675192115947098</v>
      </c>
      <c r="AO41" s="100">
        <v>10345.626796525085</v>
      </c>
      <c r="AP41" s="100">
        <v>17</v>
      </c>
      <c r="AQ41" s="100">
        <v>11220</v>
      </c>
      <c r="AR41" s="100">
        <v>22</v>
      </c>
      <c r="AS41" s="100">
        <v>14520</v>
      </c>
      <c r="AT41" s="100">
        <v>9.6317465894284613</v>
      </c>
      <c r="AU41" s="100">
        <v>6356.9527490227847</v>
      </c>
      <c r="AV41" s="100">
        <v>12</v>
      </c>
      <c r="AW41" s="100">
        <v>7920</v>
      </c>
      <c r="AX41" s="100">
        <v>11.104249932149379</v>
      </c>
      <c r="AY41" s="100">
        <v>7328.8049552185903</v>
      </c>
      <c r="AZ41" s="100">
        <v>11</v>
      </c>
      <c r="BA41" s="100">
        <v>7260</v>
      </c>
      <c r="BB41" s="100">
        <v>18</v>
      </c>
      <c r="BC41" s="100">
        <v>11880</v>
      </c>
      <c r="BD41" s="100">
        <v>11</v>
      </c>
      <c r="BE41" s="100">
        <v>7260</v>
      </c>
      <c r="BF41" s="100">
        <v>5.6948331986791851</v>
      </c>
      <c r="BG41" s="100">
        <v>3758.589911128262</v>
      </c>
      <c r="BH41" s="100">
        <v>12.240331511302443</v>
      </c>
      <c r="BI41" s="100">
        <v>8078.6187974596123</v>
      </c>
      <c r="BJ41" s="100">
        <v>18</v>
      </c>
      <c r="BK41" s="100">
        <v>11880</v>
      </c>
      <c r="BL41" s="100">
        <v>14</v>
      </c>
      <c r="BM41" s="100">
        <v>9240</v>
      </c>
      <c r="BN41" s="100">
        <v>17</v>
      </c>
      <c r="BO41" s="100">
        <v>11220</v>
      </c>
      <c r="BP41" s="100">
        <v>2.9495040907444676</v>
      </c>
      <c r="BQ41" s="100">
        <v>1946.6726998913487</v>
      </c>
      <c r="BR41" s="100">
        <v>20</v>
      </c>
      <c r="BS41" s="100">
        <v>13200</v>
      </c>
      <c r="BT41" s="100">
        <v>12</v>
      </c>
      <c r="BU41" s="100">
        <v>7920</v>
      </c>
      <c r="BV41" s="100">
        <v>12</v>
      </c>
      <c r="BW41" s="100">
        <v>7920</v>
      </c>
      <c r="BX41" s="100">
        <v>3.2325243320597337</v>
      </c>
      <c r="BY41" s="100">
        <v>2133.4660591594243</v>
      </c>
      <c r="BZ41" s="100">
        <v>21</v>
      </c>
      <c r="CA41" s="100">
        <v>13860</v>
      </c>
      <c r="CB41" s="100">
        <v>7.0375108947123692</v>
      </c>
      <c r="CC41" s="100">
        <v>4644.757190510164</v>
      </c>
      <c r="CD41" s="100">
        <v>17</v>
      </c>
      <c r="CE41" s="100">
        <v>11220</v>
      </c>
      <c r="CF41" s="100">
        <v>5.8251824302763096</v>
      </c>
      <c r="CG41" s="100">
        <v>3844.6204039823642</v>
      </c>
      <c r="CH41" s="100">
        <v>17</v>
      </c>
      <c r="CI41" s="100">
        <v>11220</v>
      </c>
      <c r="CJ41" s="100">
        <v>11</v>
      </c>
      <c r="CK41" s="100">
        <v>7260</v>
      </c>
      <c r="CL41" s="100">
        <v>19</v>
      </c>
      <c r="CM41" s="100">
        <v>12540</v>
      </c>
      <c r="CN41" s="100">
        <v>14</v>
      </c>
      <c r="CO41" s="100">
        <v>9240</v>
      </c>
      <c r="CP41" s="100">
        <v>13.990827078637594</v>
      </c>
      <c r="CQ41" s="100">
        <v>9233.9458719008126</v>
      </c>
      <c r="CR41" s="100">
        <v>7.5401642125235975E-4</v>
      </c>
      <c r="CS41" s="100">
        <v>0.49765083802655741</v>
      </c>
      <c r="CT41" s="100">
        <v>19.184518214660486</v>
      </c>
      <c r="CU41" s="100">
        <v>12661.782021675921</v>
      </c>
    </row>
    <row r="42" spans="2:99">
      <c r="C42" s="99" t="s">
        <v>208</v>
      </c>
      <c r="D42" s="100">
        <v>12.287238390728707</v>
      </c>
      <c r="E42" s="100">
        <v>10395.003678556486</v>
      </c>
      <c r="F42" s="100">
        <v>4.81604279747891</v>
      </c>
      <c r="G42" s="100">
        <v>4074.372206667158</v>
      </c>
      <c r="H42" s="100">
        <v>9.4252052656396525E-4</v>
      </c>
      <c r="I42" s="100">
        <v>0.79737236547311463</v>
      </c>
      <c r="J42" s="100">
        <v>18.000235908365173</v>
      </c>
      <c r="K42" s="100">
        <v>15228.199578476937</v>
      </c>
      <c r="L42" s="100">
        <v>13.27087284861523</v>
      </c>
      <c r="M42" s="100">
        <v>11227.158429928484</v>
      </c>
      <c r="N42" s="100">
        <v>14.017473509594994</v>
      </c>
      <c r="O42" s="100">
        <v>11858.782589117365</v>
      </c>
      <c r="P42" s="100">
        <v>11</v>
      </c>
      <c r="Q42" s="100">
        <v>9306</v>
      </c>
      <c r="R42" s="100">
        <v>14.889326424120091</v>
      </c>
      <c r="S42" s="100">
        <v>12596.370154805596</v>
      </c>
      <c r="T42" s="100">
        <v>12.168750625271436</v>
      </c>
      <c r="U42" s="100">
        <v>10294.763028979634</v>
      </c>
      <c r="V42" s="100">
        <v>1.4114041636783497E-3</v>
      </c>
      <c r="W42" s="100">
        <v>1.1940479224718838</v>
      </c>
      <c r="X42" s="100">
        <v>14.978005068584723</v>
      </c>
      <c r="Y42" s="100">
        <v>12671.392288022676</v>
      </c>
      <c r="Z42" s="100">
        <v>20</v>
      </c>
      <c r="AA42" s="100">
        <v>16920</v>
      </c>
      <c r="AB42" s="100">
        <v>13</v>
      </c>
      <c r="AC42" s="100">
        <v>10998</v>
      </c>
      <c r="AD42" s="100">
        <v>9.1631785525264036</v>
      </c>
      <c r="AE42" s="100">
        <v>7752.0490554373373</v>
      </c>
      <c r="AF42" s="100">
        <v>12.966760681112678</v>
      </c>
      <c r="AG42" s="100">
        <v>10969.879536221326</v>
      </c>
      <c r="AH42" s="100">
        <v>16</v>
      </c>
      <c r="AI42" s="100">
        <v>13536</v>
      </c>
      <c r="AJ42" s="100">
        <v>6.9218078877059259</v>
      </c>
      <c r="AK42" s="100">
        <v>5855.8494729992135</v>
      </c>
      <c r="AL42" s="100">
        <v>13.078907186294996</v>
      </c>
      <c r="AM42" s="100">
        <v>11064.755479605567</v>
      </c>
      <c r="AN42" s="100">
        <v>14.695492608700404</v>
      </c>
      <c r="AO42" s="100">
        <v>12432.386746960541</v>
      </c>
      <c r="AP42" s="100">
        <v>16</v>
      </c>
      <c r="AQ42" s="100">
        <v>13536</v>
      </c>
      <c r="AR42" s="100">
        <v>20</v>
      </c>
      <c r="AS42" s="100">
        <v>16920</v>
      </c>
      <c r="AT42" s="100">
        <v>10.19831991821837</v>
      </c>
      <c r="AU42" s="100">
        <v>8627.778650812741</v>
      </c>
      <c r="AV42" s="100">
        <v>11</v>
      </c>
      <c r="AW42" s="100">
        <v>9306</v>
      </c>
      <c r="AX42" s="100">
        <v>11.104249932149379</v>
      </c>
      <c r="AY42" s="100">
        <v>9394.1954425983749</v>
      </c>
      <c r="AZ42" s="100">
        <v>12</v>
      </c>
      <c r="BA42" s="100">
        <v>10152</v>
      </c>
      <c r="BB42" s="100">
        <v>16</v>
      </c>
      <c r="BC42" s="100">
        <v>13536</v>
      </c>
      <c r="BD42" s="100">
        <v>12</v>
      </c>
      <c r="BE42" s="100">
        <v>10152</v>
      </c>
      <c r="BF42" s="100">
        <v>6.1328972908852766</v>
      </c>
      <c r="BG42" s="100">
        <v>5188.4311080889438</v>
      </c>
      <c r="BH42" s="100">
        <v>12.240331511302443</v>
      </c>
      <c r="BI42" s="100">
        <v>10355.320458561868</v>
      </c>
      <c r="BJ42" s="100">
        <v>19</v>
      </c>
      <c r="BK42" s="100">
        <v>16074</v>
      </c>
      <c r="BL42" s="100">
        <v>14</v>
      </c>
      <c r="BM42" s="100">
        <v>11844</v>
      </c>
      <c r="BN42" s="100">
        <v>17</v>
      </c>
      <c r="BO42" s="100">
        <v>14382</v>
      </c>
      <c r="BP42" s="100">
        <v>2.6545536816700208</v>
      </c>
      <c r="BQ42" s="100">
        <v>2245.7524146928376</v>
      </c>
      <c r="BR42" s="100">
        <v>22</v>
      </c>
      <c r="BS42" s="100">
        <v>18612</v>
      </c>
      <c r="BT42" s="100">
        <v>12</v>
      </c>
      <c r="BU42" s="100">
        <v>10152</v>
      </c>
      <c r="BV42" s="100">
        <v>10</v>
      </c>
      <c r="BW42" s="100">
        <v>8460</v>
      </c>
      <c r="BX42" s="100">
        <v>3.6943135223539816</v>
      </c>
      <c r="BY42" s="100">
        <v>3125.3892399114684</v>
      </c>
      <c r="BZ42" s="100">
        <v>20</v>
      </c>
      <c r="CA42" s="100">
        <v>16920</v>
      </c>
      <c r="CB42" s="100">
        <v>7.0375108947123692</v>
      </c>
      <c r="CC42" s="100">
        <v>5953.734216926664</v>
      </c>
      <c r="CD42" s="100">
        <v>17</v>
      </c>
      <c r="CE42" s="100">
        <v>14382</v>
      </c>
      <c r="CF42" s="100">
        <v>5.8251824302763096</v>
      </c>
      <c r="CG42" s="100">
        <v>4928.1043360137583</v>
      </c>
      <c r="CH42" s="100">
        <v>16</v>
      </c>
      <c r="CI42" s="100">
        <v>13536</v>
      </c>
      <c r="CJ42" s="100">
        <v>12</v>
      </c>
      <c r="CK42" s="100">
        <v>10152</v>
      </c>
      <c r="CL42" s="100">
        <v>18</v>
      </c>
      <c r="CM42" s="100">
        <v>15228</v>
      </c>
      <c r="CN42" s="100">
        <v>15</v>
      </c>
      <c r="CO42" s="100">
        <v>12690</v>
      </c>
      <c r="CP42" s="100">
        <v>14.990171869968853</v>
      </c>
      <c r="CQ42" s="100">
        <v>12681.685401993649</v>
      </c>
      <c r="CR42" s="100">
        <v>6.9118171948132979E-4</v>
      </c>
      <c r="CS42" s="100">
        <v>0.58473973468120499</v>
      </c>
      <c r="CT42" s="100">
        <v>19.184518214660486</v>
      </c>
      <c r="CU42" s="100">
        <v>16230.10240960277</v>
      </c>
    </row>
    <row r="43" spans="2:99">
      <c r="C43" s="99" t="s">
        <v>209</v>
      </c>
      <c r="D43" s="100">
        <v>12.287238390728707</v>
      </c>
      <c r="E43" s="100">
        <v>12562.472530681029</v>
      </c>
      <c r="F43" s="100">
        <v>4.81604279747891</v>
      </c>
      <c r="G43" s="100">
        <v>4923.9221561424374</v>
      </c>
      <c r="H43" s="100">
        <v>9.4252052656396525E-4</v>
      </c>
      <c r="I43" s="100">
        <v>0.96363298635899808</v>
      </c>
      <c r="J43" s="100">
        <v>15.000235908365173</v>
      </c>
      <c r="K43" s="100">
        <v>15336.241192712552</v>
      </c>
      <c r="L43" s="100">
        <v>14.15559770518958</v>
      </c>
      <c r="M43" s="100">
        <v>14472.683093785827</v>
      </c>
      <c r="N43" s="100">
        <v>12.26528932089562</v>
      </c>
      <c r="O43" s="100">
        <v>12540.031801683683</v>
      </c>
      <c r="P43" s="100">
        <v>12</v>
      </c>
      <c r="Q43" s="100">
        <v>12268.8</v>
      </c>
      <c r="R43" s="100">
        <v>14.105677664955877</v>
      </c>
      <c r="S43" s="100">
        <v>14421.644844650888</v>
      </c>
      <c r="T43" s="100">
        <v>11.357500583586672</v>
      </c>
      <c r="U43" s="100">
        <v>11611.908596659014</v>
      </c>
      <c r="V43" s="100">
        <v>1.162332840676288E-3</v>
      </c>
      <c r="W43" s="100">
        <v>1.1883690963074369</v>
      </c>
      <c r="X43" s="100">
        <v>14.978005068584723</v>
      </c>
      <c r="Y43" s="100">
        <v>15313.51238212102</v>
      </c>
      <c r="Z43" s="100">
        <v>19</v>
      </c>
      <c r="AA43" s="100">
        <v>19425.599999999999</v>
      </c>
      <c r="AB43" s="100">
        <v>12</v>
      </c>
      <c r="AC43" s="100">
        <v>12268.8</v>
      </c>
      <c r="AD43" s="100">
        <v>7.9414214121895501</v>
      </c>
      <c r="AE43" s="100">
        <v>8119.3092518225958</v>
      </c>
      <c r="AF43" s="100">
        <v>11.73183109243528</v>
      </c>
      <c r="AG43" s="100">
        <v>11994.624108905831</v>
      </c>
      <c r="AH43" s="100">
        <v>15</v>
      </c>
      <c r="AI43" s="100">
        <v>15336</v>
      </c>
      <c r="AJ43" s="100">
        <v>6.9218078877059259</v>
      </c>
      <c r="AK43" s="100">
        <v>7076.8563843905386</v>
      </c>
      <c r="AL43" s="100">
        <v>13.078907186294996</v>
      </c>
      <c r="AM43" s="100">
        <v>13371.874707268003</v>
      </c>
      <c r="AN43" s="100">
        <v>15.675192115947098</v>
      </c>
      <c r="AO43" s="100">
        <v>16026.316419344314</v>
      </c>
      <c r="AP43" s="100">
        <v>18</v>
      </c>
      <c r="AQ43" s="100">
        <v>18403.2</v>
      </c>
      <c r="AR43" s="100">
        <v>18</v>
      </c>
      <c r="AS43" s="100">
        <v>18403.2</v>
      </c>
      <c r="AT43" s="100">
        <v>9.6317465894284613</v>
      </c>
      <c r="AU43" s="100">
        <v>9847.4977130316583</v>
      </c>
      <c r="AV43" s="100">
        <v>12</v>
      </c>
      <c r="AW43" s="100">
        <v>12268.8</v>
      </c>
      <c r="AX43" s="100">
        <v>11.897410641588621</v>
      </c>
      <c r="AY43" s="100">
        <v>12163.912639960206</v>
      </c>
      <c r="AZ43" s="100">
        <v>11</v>
      </c>
      <c r="BA43" s="100">
        <v>11246.4</v>
      </c>
      <c r="BB43" s="100">
        <v>16</v>
      </c>
      <c r="BC43" s="100">
        <v>16358.4</v>
      </c>
      <c r="BD43" s="100">
        <v>12</v>
      </c>
      <c r="BE43" s="100">
        <v>12268.8</v>
      </c>
      <c r="BF43" s="100">
        <v>5.2567691064730937</v>
      </c>
      <c r="BG43" s="100">
        <v>5374.5207344580913</v>
      </c>
      <c r="BH43" s="100">
        <v>12.960351011967294</v>
      </c>
      <c r="BI43" s="100">
        <v>13250.662874635362</v>
      </c>
      <c r="BJ43" s="100">
        <v>18</v>
      </c>
      <c r="BK43" s="100">
        <v>18403.2</v>
      </c>
      <c r="BL43" s="100">
        <v>13</v>
      </c>
      <c r="BM43" s="100">
        <v>13291.199999999999</v>
      </c>
      <c r="BN43" s="100">
        <v>16</v>
      </c>
      <c r="BO43" s="100">
        <v>16358.4</v>
      </c>
      <c r="BP43" s="100">
        <v>2.6545536816700208</v>
      </c>
      <c r="BQ43" s="100">
        <v>2714.0156841394291</v>
      </c>
      <c r="BR43" s="100">
        <v>19</v>
      </c>
      <c r="BS43" s="100">
        <v>19425.599999999999</v>
      </c>
      <c r="BT43" s="100">
        <v>11</v>
      </c>
      <c r="BU43" s="100">
        <v>11246.4</v>
      </c>
      <c r="BV43" s="100">
        <v>10</v>
      </c>
      <c r="BW43" s="100">
        <v>10224</v>
      </c>
      <c r="BX43" s="100">
        <v>3.2325243320597337</v>
      </c>
      <c r="BY43" s="100">
        <v>3304.9328770978718</v>
      </c>
      <c r="BZ43" s="100">
        <v>22</v>
      </c>
      <c r="CA43" s="100">
        <v>22492.799999999999</v>
      </c>
      <c r="CB43" s="100">
        <v>7.4284837221963897</v>
      </c>
      <c r="CC43" s="100">
        <v>7594.8817575735884</v>
      </c>
      <c r="CD43" s="100">
        <v>19</v>
      </c>
      <c r="CE43" s="100">
        <v>19425.599999999999</v>
      </c>
      <c r="CF43" s="100">
        <v>5.8251824302763096</v>
      </c>
      <c r="CG43" s="100">
        <v>5955.6665167144984</v>
      </c>
      <c r="CH43" s="100">
        <v>16</v>
      </c>
      <c r="CI43" s="100">
        <v>16358.4</v>
      </c>
      <c r="CJ43" s="100">
        <v>11</v>
      </c>
      <c r="CK43" s="100">
        <v>11246.4</v>
      </c>
      <c r="CL43" s="100">
        <v>21</v>
      </c>
      <c r="CM43" s="100">
        <v>21470.399999999998</v>
      </c>
      <c r="CN43" s="100">
        <v>15</v>
      </c>
      <c r="CO43" s="100">
        <v>15336</v>
      </c>
      <c r="CP43" s="100">
        <v>12.991482287306336</v>
      </c>
      <c r="CQ43" s="100">
        <v>13282.491490541997</v>
      </c>
      <c r="CR43" s="100">
        <v>6.9118171948132979E-4</v>
      </c>
      <c r="CS43" s="100">
        <v>0.70666418999771152</v>
      </c>
      <c r="CT43" s="100">
        <v>19.184518214660486</v>
      </c>
      <c r="CU43" s="100">
        <v>19614.25142266888</v>
      </c>
    </row>
    <row r="44" spans="2:99">
      <c r="C44" s="99" t="s">
        <v>210</v>
      </c>
      <c r="D44" s="100">
        <v>12.287238390728707</v>
      </c>
      <c r="E44" s="100">
        <v>12562.472530681029</v>
      </c>
      <c r="F44" s="100">
        <v>4.5573750625761207</v>
      </c>
      <c r="G44" s="100">
        <v>4659.4602639778259</v>
      </c>
      <c r="H44" s="100">
        <v>9.4252052656396525E-4</v>
      </c>
      <c r="I44" s="100">
        <v>0.96363298635899808</v>
      </c>
      <c r="J44" s="100">
        <v>18.000235908365173</v>
      </c>
      <c r="K44" s="100">
        <v>18403.441192712551</v>
      </c>
      <c r="L44" s="100">
        <v>13.27087284861523</v>
      </c>
      <c r="M44" s="100">
        <v>13568.14040042421</v>
      </c>
      <c r="N44" s="100">
        <v>12.26528932089562</v>
      </c>
      <c r="O44" s="100">
        <v>12540.031801683683</v>
      </c>
      <c r="P44" s="100">
        <v>11</v>
      </c>
      <c r="Q44" s="100">
        <v>11246.4</v>
      </c>
      <c r="R44" s="100">
        <v>15.672975183284306</v>
      </c>
      <c r="S44" s="100">
        <v>16024.049827389874</v>
      </c>
      <c r="T44" s="100">
        <v>12.168750625271436</v>
      </c>
      <c r="U44" s="100">
        <v>12441.330639277516</v>
      </c>
      <c r="V44" s="100">
        <v>1.4114041636783497E-3</v>
      </c>
      <c r="W44" s="100">
        <v>1.4430196169447447</v>
      </c>
      <c r="X44" s="100">
        <v>15.914130385371269</v>
      </c>
      <c r="Y44" s="100">
        <v>16270.606906003586</v>
      </c>
      <c r="Z44" s="100">
        <v>18</v>
      </c>
      <c r="AA44" s="100">
        <v>18403.2</v>
      </c>
      <c r="AB44" s="100">
        <v>12</v>
      </c>
      <c r="AC44" s="100">
        <v>12268.8</v>
      </c>
      <c r="AD44" s="100">
        <v>7.9414214121895501</v>
      </c>
      <c r="AE44" s="100">
        <v>8119.3092518225958</v>
      </c>
      <c r="AF44" s="100">
        <v>11.73183109243528</v>
      </c>
      <c r="AG44" s="100">
        <v>11994.624108905831</v>
      </c>
      <c r="AH44" s="100">
        <v>15</v>
      </c>
      <c r="AI44" s="100">
        <v>15336</v>
      </c>
      <c r="AJ44" s="100">
        <v>6.460354028525531</v>
      </c>
      <c r="AK44" s="100">
        <v>6605.0659587645023</v>
      </c>
      <c r="AL44" s="100">
        <v>14.947322498622855</v>
      </c>
      <c r="AM44" s="100">
        <v>15282.142522592007</v>
      </c>
      <c r="AN44" s="100">
        <v>15.675192115947098</v>
      </c>
      <c r="AO44" s="100">
        <v>16026.316419344314</v>
      </c>
      <c r="AP44" s="100">
        <v>16</v>
      </c>
      <c r="AQ44" s="100">
        <v>16358.4</v>
      </c>
      <c r="AR44" s="100">
        <v>19</v>
      </c>
      <c r="AS44" s="100">
        <v>19425.599999999999</v>
      </c>
      <c r="AT44" s="100">
        <v>9.0651732606385504</v>
      </c>
      <c r="AU44" s="100">
        <v>9268.2331416768538</v>
      </c>
      <c r="AV44" s="100">
        <v>11</v>
      </c>
      <c r="AW44" s="100">
        <v>11246.4</v>
      </c>
      <c r="AX44" s="100">
        <v>11.104249932149379</v>
      </c>
      <c r="AY44" s="100">
        <v>11352.985130629526</v>
      </c>
      <c r="AZ44" s="100">
        <v>10</v>
      </c>
      <c r="BA44" s="100">
        <v>10224</v>
      </c>
      <c r="BB44" s="100">
        <v>18</v>
      </c>
      <c r="BC44" s="100">
        <v>18403.2</v>
      </c>
      <c r="BD44" s="100">
        <v>11</v>
      </c>
      <c r="BE44" s="100">
        <v>11246.4</v>
      </c>
      <c r="BF44" s="100">
        <v>5.6948331986791851</v>
      </c>
      <c r="BG44" s="100">
        <v>5822.397462329599</v>
      </c>
      <c r="BH44" s="100">
        <v>12.240331511302443</v>
      </c>
      <c r="BI44" s="100">
        <v>12514.514937155618</v>
      </c>
      <c r="BJ44" s="100">
        <v>20</v>
      </c>
      <c r="BK44" s="100">
        <v>20448</v>
      </c>
      <c r="BL44" s="100">
        <v>15</v>
      </c>
      <c r="BM44" s="100">
        <v>15336</v>
      </c>
      <c r="BN44" s="100">
        <v>17</v>
      </c>
      <c r="BO44" s="100">
        <v>17380.8</v>
      </c>
      <c r="BP44" s="100">
        <v>2.8020288862072444</v>
      </c>
      <c r="BQ44" s="100">
        <v>2864.7943332582868</v>
      </c>
      <c r="BR44" s="100">
        <v>21</v>
      </c>
      <c r="BS44" s="100">
        <v>21470.399999999998</v>
      </c>
      <c r="BT44" s="100">
        <v>12</v>
      </c>
      <c r="BU44" s="100">
        <v>12268.8</v>
      </c>
      <c r="BV44" s="100">
        <v>10</v>
      </c>
      <c r="BW44" s="100">
        <v>10224</v>
      </c>
      <c r="BX44" s="100">
        <v>3.4634189272068574</v>
      </c>
      <c r="BY44" s="100">
        <v>3540.999511176291</v>
      </c>
      <c r="BZ44" s="100">
        <v>18</v>
      </c>
      <c r="CA44" s="100">
        <v>18403.2</v>
      </c>
      <c r="CB44" s="100">
        <v>7.0375108947123692</v>
      </c>
      <c r="CC44" s="100">
        <v>7195.1511387539258</v>
      </c>
      <c r="CD44" s="100">
        <v>18</v>
      </c>
      <c r="CE44" s="100">
        <v>18403.2</v>
      </c>
      <c r="CF44" s="100">
        <v>6.4077006733039408</v>
      </c>
      <c r="CG44" s="100">
        <v>6551.2331683859493</v>
      </c>
      <c r="CH44" s="100">
        <v>19</v>
      </c>
      <c r="CI44" s="100">
        <v>19425.599999999999</v>
      </c>
      <c r="CJ44" s="100">
        <v>10</v>
      </c>
      <c r="CK44" s="100">
        <v>10224</v>
      </c>
      <c r="CL44" s="100">
        <v>21</v>
      </c>
      <c r="CM44" s="100">
        <v>21470.399999999998</v>
      </c>
      <c r="CN44" s="100">
        <v>16</v>
      </c>
      <c r="CO44" s="100">
        <v>16358.4</v>
      </c>
      <c r="CP44" s="100">
        <v>13.990827078637594</v>
      </c>
      <c r="CQ44" s="100">
        <v>14304.221605199076</v>
      </c>
      <c r="CR44" s="100">
        <v>8.1685112302338971E-4</v>
      </c>
      <c r="CS44" s="100">
        <v>0.83514858817911364</v>
      </c>
      <c r="CT44" s="100">
        <v>16.568447549024963</v>
      </c>
      <c r="CU44" s="100">
        <v>16939.580774123122</v>
      </c>
    </row>
    <row r="45" spans="2:99">
      <c r="C45" s="99" t="s">
        <v>211</v>
      </c>
      <c r="D45" s="100">
        <v>12.287238390728707</v>
      </c>
      <c r="E45" s="100">
        <v>15349.218197698301</v>
      </c>
      <c r="F45" s="100">
        <v>4.81604279747891</v>
      </c>
      <c r="G45" s="100">
        <v>6016.2006626106549</v>
      </c>
      <c r="H45" s="100">
        <v>9.4252052656396525E-4</v>
      </c>
      <c r="I45" s="100">
        <v>1.1773966417837054</v>
      </c>
      <c r="J45" s="100">
        <v>17.000235908365173</v>
      </c>
      <c r="K45" s="100">
        <v>21236.694696729774</v>
      </c>
      <c r="L45" s="100">
        <v>15.040322561763928</v>
      </c>
      <c r="M45" s="100">
        <v>18788.3709441555</v>
      </c>
      <c r="N45" s="100">
        <v>12.26528932089562</v>
      </c>
      <c r="O45" s="100">
        <v>15321.79941966281</v>
      </c>
      <c r="P45" s="100">
        <v>10</v>
      </c>
      <c r="Q45" s="100">
        <v>12492</v>
      </c>
      <c r="R45" s="100">
        <v>14.889326424120091</v>
      </c>
      <c r="S45" s="100">
        <v>18599.746569010818</v>
      </c>
      <c r="T45" s="100">
        <v>9.7350005002171489</v>
      </c>
      <c r="U45" s="100">
        <v>12160.962624871263</v>
      </c>
      <c r="V45" s="100">
        <v>1.3283803893443292E-3</v>
      </c>
      <c r="W45" s="100">
        <v>1.6594127823689362</v>
      </c>
      <c r="X45" s="100">
        <v>15.914130385371269</v>
      </c>
      <c r="Y45" s="100">
        <v>19879.931677405792</v>
      </c>
      <c r="Z45" s="100">
        <v>16</v>
      </c>
      <c r="AA45" s="100">
        <v>19987.2</v>
      </c>
      <c r="AB45" s="100">
        <v>11</v>
      </c>
      <c r="AC45" s="100">
        <v>13741.2</v>
      </c>
      <c r="AD45" s="100">
        <v>7.9414214121895501</v>
      </c>
      <c r="AE45" s="100">
        <v>9920.4236281071862</v>
      </c>
      <c r="AF45" s="100">
        <v>12.966760681112678</v>
      </c>
      <c r="AG45" s="100">
        <v>16198.077442845957</v>
      </c>
      <c r="AH45" s="100">
        <v>14</v>
      </c>
      <c r="AI45" s="100">
        <v>17488.8</v>
      </c>
      <c r="AJ45" s="100">
        <v>5.998900169345136</v>
      </c>
      <c r="AK45" s="100">
        <v>7493.8260915459441</v>
      </c>
      <c r="AL45" s="100">
        <v>14.013114842458926</v>
      </c>
      <c r="AM45" s="100">
        <v>17505.183061199692</v>
      </c>
      <c r="AN45" s="100">
        <v>15.675192115947098</v>
      </c>
      <c r="AO45" s="100">
        <v>19581.449991241116</v>
      </c>
      <c r="AP45" s="100">
        <v>15</v>
      </c>
      <c r="AQ45" s="100">
        <v>18738</v>
      </c>
      <c r="AR45" s="100">
        <v>19</v>
      </c>
      <c r="AS45" s="100">
        <v>23734.799999999999</v>
      </c>
      <c r="AT45" s="100">
        <v>9.0651732606385504</v>
      </c>
      <c r="AU45" s="100">
        <v>11324.214437189677</v>
      </c>
      <c r="AV45" s="100">
        <v>12</v>
      </c>
      <c r="AW45" s="100">
        <v>14990.400000000001</v>
      </c>
      <c r="AX45" s="100">
        <v>11.897410641588621</v>
      </c>
      <c r="AY45" s="100">
        <v>14862.245373472506</v>
      </c>
      <c r="AZ45" s="100">
        <v>10</v>
      </c>
      <c r="BA45" s="100">
        <v>12492</v>
      </c>
      <c r="BB45" s="100">
        <v>17</v>
      </c>
      <c r="BC45" s="100">
        <v>21236.400000000001</v>
      </c>
      <c r="BD45" s="100">
        <v>11</v>
      </c>
      <c r="BE45" s="100">
        <v>13741.2</v>
      </c>
      <c r="BF45" s="100">
        <v>5.6948331986791851</v>
      </c>
      <c r="BG45" s="100">
        <v>7113.9856317900385</v>
      </c>
      <c r="BH45" s="100">
        <v>12.240331511302443</v>
      </c>
      <c r="BI45" s="100">
        <v>15290.622123919013</v>
      </c>
      <c r="BJ45" s="100">
        <v>18</v>
      </c>
      <c r="BK45" s="100">
        <v>22485.600000000002</v>
      </c>
      <c r="BL45" s="100">
        <v>13</v>
      </c>
      <c r="BM45" s="100">
        <v>16239.6</v>
      </c>
      <c r="BN45" s="100">
        <v>17</v>
      </c>
      <c r="BO45" s="100">
        <v>21236.400000000001</v>
      </c>
      <c r="BP45" s="100">
        <v>2.9495040907444676</v>
      </c>
      <c r="BQ45" s="100">
        <v>3684.5205101579891</v>
      </c>
      <c r="BR45" s="100">
        <v>18</v>
      </c>
      <c r="BS45" s="100">
        <v>22485.600000000002</v>
      </c>
      <c r="BT45" s="100">
        <v>12</v>
      </c>
      <c r="BU45" s="100">
        <v>14990.400000000001</v>
      </c>
      <c r="BV45" s="100">
        <v>10</v>
      </c>
      <c r="BW45" s="100">
        <v>12492</v>
      </c>
      <c r="BX45" s="100">
        <v>3.4634189272068574</v>
      </c>
      <c r="BY45" s="100">
        <v>4326.5029238668067</v>
      </c>
      <c r="BZ45" s="100">
        <v>18</v>
      </c>
      <c r="CA45" s="100">
        <v>22485.600000000002</v>
      </c>
      <c r="CB45" s="100">
        <v>6.6465380672283487</v>
      </c>
      <c r="CC45" s="100">
        <v>8302.8553535816536</v>
      </c>
      <c r="CD45" s="100">
        <v>17</v>
      </c>
      <c r="CE45" s="100">
        <v>21236.400000000001</v>
      </c>
      <c r="CF45" s="100">
        <v>5.8251824302763096</v>
      </c>
      <c r="CG45" s="100">
        <v>7276.8178919011661</v>
      </c>
      <c r="CH45" s="100">
        <v>16</v>
      </c>
      <c r="CI45" s="100">
        <v>19987.2</v>
      </c>
      <c r="CJ45" s="100">
        <v>11</v>
      </c>
      <c r="CK45" s="100">
        <v>13741.2</v>
      </c>
      <c r="CL45" s="100">
        <v>20</v>
      </c>
      <c r="CM45" s="100">
        <v>24984</v>
      </c>
      <c r="CN45" s="100">
        <v>15</v>
      </c>
      <c r="CO45" s="100">
        <v>18738</v>
      </c>
      <c r="CP45" s="100">
        <v>13.990827078637594</v>
      </c>
      <c r="CQ45" s="100">
        <v>17477.341186634083</v>
      </c>
      <c r="CR45" s="100">
        <v>7.5401642125235975E-4</v>
      </c>
      <c r="CS45" s="100">
        <v>0.94191731342844787</v>
      </c>
      <c r="CT45" s="100">
        <v>17.440471104236806</v>
      </c>
      <c r="CU45" s="100">
        <v>21786.636503412621</v>
      </c>
    </row>
    <row r="46" spans="2:99">
      <c r="C46" s="99" t="s">
        <v>212</v>
      </c>
      <c r="D46" s="100">
        <v>13.239365325607254</v>
      </c>
      <c r="E46" s="100">
        <v>16046.110774635992</v>
      </c>
      <c r="F46" s="100">
        <v>5.0771537871624188</v>
      </c>
      <c r="G46" s="100">
        <v>6153.5103900408512</v>
      </c>
      <c r="H46" s="100">
        <v>1.0367725792203618E-3</v>
      </c>
      <c r="I46" s="100">
        <v>1.2565683660150786</v>
      </c>
      <c r="J46" s="100">
        <v>15.000188726692139</v>
      </c>
      <c r="K46" s="100">
        <v>18180.228736750872</v>
      </c>
      <c r="L46" s="100">
        <v>14.15559770518958</v>
      </c>
      <c r="M46" s="100">
        <v>17156.58441868977</v>
      </c>
      <c r="N46" s="100">
        <v>12.26528932089562</v>
      </c>
      <c r="O46" s="100">
        <v>14865.530656925492</v>
      </c>
      <c r="P46" s="100">
        <v>10</v>
      </c>
      <c r="Q46" s="100">
        <v>12120</v>
      </c>
      <c r="R46" s="100">
        <v>15.672975183284306</v>
      </c>
      <c r="S46" s="100">
        <v>18995.645922140578</v>
      </c>
      <c r="T46" s="100">
        <v>12.168750625271436</v>
      </c>
      <c r="U46" s="100">
        <v>14748.52575782898</v>
      </c>
      <c r="V46" s="100">
        <v>1.2453566150103087E-3</v>
      </c>
      <c r="W46" s="100">
        <v>1.5093722173924942</v>
      </c>
      <c r="X46" s="100">
        <v>15.914130385371269</v>
      </c>
      <c r="Y46" s="100">
        <v>19287.926027069978</v>
      </c>
      <c r="Z46" s="100">
        <v>16</v>
      </c>
      <c r="AA46" s="100">
        <v>19392</v>
      </c>
      <c r="AB46" s="100">
        <v>13</v>
      </c>
      <c r="AC46" s="100">
        <v>15756</v>
      </c>
      <c r="AD46" s="100">
        <v>9.1631785525264036</v>
      </c>
      <c r="AE46" s="100">
        <v>11105.772405662001</v>
      </c>
      <c r="AF46" s="100">
        <v>12.966760681112678</v>
      </c>
      <c r="AG46" s="100">
        <v>15715.713945508565</v>
      </c>
      <c r="AH46" s="100">
        <v>15</v>
      </c>
      <c r="AI46" s="100">
        <v>18180</v>
      </c>
      <c r="AJ46" s="100">
        <v>6.9218078877059259</v>
      </c>
      <c r="AK46" s="100">
        <v>8389.2311598995821</v>
      </c>
      <c r="AL46" s="100">
        <v>14.013114842458926</v>
      </c>
      <c r="AM46" s="100">
        <v>16983.895189060218</v>
      </c>
      <c r="AN46" s="100">
        <v>13.715793101453709</v>
      </c>
      <c r="AO46" s="100">
        <v>16623.541238961894</v>
      </c>
      <c r="AP46" s="100">
        <v>17</v>
      </c>
      <c r="AQ46" s="100">
        <v>20604</v>
      </c>
      <c r="AR46" s="100">
        <v>17</v>
      </c>
      <c r="AS46" s="100">
        <v>20604</v>
      </c>
      <c r="AT46" s="100">
        <v>9.0651732606385504</v>
      </c>
      <c r="AU46" s="100">
        <v>10986.989991893923</v>
      </c>
      <c r="AV46" s="100">
        <v>10</v>
      </c>
      <c r="AW46" s="100">
        <v>12120</v>
      </c>
      <c r="AX46" s="100">
        <v>11.897410641588621</v>
      </c>
      <c r="AY46" s="100">
        <v>14419.661697605408</v>
      </c>
      <c r="AZ46" s="100">
        <v>10</v>
      </c>
      <c r="BA46" s="100">
        <v>12120</v>
      </c>
      <c r="BB46" s="100">
        <v>16</v>
      </c>
      <c r="BC46" s="100">
        <v>19392</v>
      </c>
      <c r="BD46" s="100">
        <v>11</v>
      </c>
      <c r="BE46" s="100">
        <v>13332</v>
      </c>
      <c r="BF46" s="100">
        <v>5.2567691064730937</v>
      </c>
      <c r="BG46" s="100">
        <v>6371.2041570453894</v>
      </c>
      <c r="BH46" s="100">
        <v>11.520312010637594</v>
      </c>
      <c r="BI46" s="100">
        <v>13962.618156892764</v>
      </c>
      <c r="BJ46" s="100">
        <v>18</v>
      </c>
      <c r="BK46" s="100">
        <v>21816</v>
      </c>
      <c r="BL46" s="100">
        <v>15</v>
      </c>
      <c r="BM46" s="100">
        <v>18180</v>
      </c>
      <c r="BN46" s="100">
        <v>17</v>
      </c>
      <c r="BO46" s="100">
        <v>20604</v>
      </c>
      <c r="BP46" s="100">
        <v>2.6545536816700208</v>
      </c>
      <c r="BQ46" s="100">
        <v>3217.3190621840654</v>
      </c>
      <c r="BR46" s="100">
        <v>21</v>
      </c>
      <c r="BS46" s="100">
        <v>25452</v>
      </c>
      <c r="BT46" s="100">
        <v>10</v>
      </c>
      <c r="BU46" s="100">
        <v>12120</v>
      </c>
      <c r="BV46" s="100">
        <v>11</v>
      </c>
      <c r="BW46" s="100">
        <v>13332</v>
      </c>
      <c r="BX46" s="100">
        <v>3.2325243320597337</v>
      </c>
      <c r="BY46" s="100">
        <v>3917.819490456397</v>
      </c>
      <c r="BZ46" s="100">
        <v>20</v>
      </c>
      <c r="CA46" s="100">
        <v>24240</v>
      </c>
      <c r="CB46" s="100">
        <v>7.4284837221963897</v>
      </c>
      <c r="CC46" s="100">
        <v>9003.3222713020241</v>
      </c>
      <c r="CD46" s="100">
        <v>16</v>
      </c>
      <c r="CE46" s="100">
        <v>19392</v>
      </c>
      <c r="CF46" s="100">
        <v>5.8251824302763096</v>
      </c>
      <c r="CG46" s="100">
        <v>7060.1211054948872</v>
      </c>
      <c r="CH46" s="100">
        <v>16</v>
      </c>
      <c r="CI46" s="100">
        <v>19392</v>
      </c>
      <c r="CJ46" s="100">
        <v>10</v>
      </c>
      <c r="CK46" s="100">
        <v>12120</v>
      </c>
      <c r="CL46" s="100">
        <v>19</v>
      </c>
      <c r="CM46" s="100">
        <v>23028</v>
      </c>
      <c r="CN46" s="100">
        <v>16</v>
      </c>
      <c r="CO46" s="100">
        <v>19392</v>
      </c>
      <c r="CP46" s="100">
        <v>12.991482287306336</v>
      </c>
      <c r="CQ46" s="100">
        <v>15745.676532215281</v>
      </c>
      <c r="CR46" s="100">
        <v>7.5401642125235975E-4</v>
      </c>
      <c r="CS46" s="100">
        <v>0.91386790255785999</v>
      </c>
      <c r="CT46" s="100">
        <v>19.184518214660486</v>
      </c>
      <c r="CU46" s="100">
        <v>23251.63607616851</v>
      </c>
    </row>
    <row r="47" spans="2:99">
      <c r="C47" s="99" t="s">
        <v>213</v>
      </c>
      <c r="D47" s="100">
        <v>12.287238390728707</v>
      </c>
      <c r="E47" s="100">
        <v>18769.98536567717</v>
      </c>
      <c r="F47" s="100">
        <v>4.2962640728926118</v>
      </c>
      <c r="G47" s="100">
        <v>6562.9729977507532</v>
      </c>
      <c r="H47" s="100">
        <v>8.4826847390756868E-4</v>
      </c>
      <c r="I47" s="100">
        <v>1.2958149207412017</v>
      </c>
      <c r="J47" s="100">
        <v>16.000235908365173</v>
      </c>
      <c r="K47" s="100">
        <v>24441.960373618636</v>
      </c>
      <c r="L47" s="100">
        <v>11.501423135466535</v>
      </c>
      <c r="M47" s="100">
        <v>17569.573981738678</v>
      </c>
      <c r="N47" s="100">
        <v>13.141381415245307</v>
      </c>
      <c r="O47" s="100">
        <v>20074.774249928731</v>
      </c>
      <c r="P47" s="100">
        <v>10</v>
      </c>
      <c r="Q47" s="100">
        <v>15276</v>
      </c>
      <c r="R47" s="100">
        <v>13.322028905791662</v>
      </c>
      <c r="S47" s="100">
        <v>20350.73135648734</v>
      </c>
      <c r="T47" s="100">
        <v>10.546250541901911</v>
      </c>
      <c r="U47" s="100">
        <v>16110.452327809358</v>
      </c>
      <c r="V47" s="100">
        <v>1.2453566150103087E-3</v>
      </c>
      <c r="W47" s="100">
        <v>1.9024067650897474</v>
      </c>
      <c r="X47" s="100">
        <v>15.914130385371269</v>
      </c>
      <c r="Y47" s="100">
        <v>24310.425576693149</v>
      </c>
      <c r="Z47" s="100">
        <v>16</v>
      </c>
      <c r="AA47" s="100">
        <v>24441.599999999999</v>
      </c>
      <c r="AB47" s="100">
        <v>11</v>
      </c>
      <c r="AC47" s="100">
        <v>16803.599999999999</v>
      </c>
      <c r="AD47" s="100">
        <v>9.1631785525264036</v>
      </c>
      <c r="AE47" s="100">
        <v>13997.671556839334</v>
      </c>
      <c r="AF47" s="100">
        <v>10.496901503757883</v>
      </c>
      <c r="AG47" s="100">
        <v>16035.066737140542</v>
      </c>
      <c r="AH47" s="100">
        <v>14</v>
      </c>
      <c r="AI47" s="100">
        <v>21386.399999999998</v>
      </c>
      <c r="AJ47" s="100">
        <v>6.460354028525531</v>
      </c>
      <c r="AK47" s="100">
        <v>9868.8368139756003</v>
      </c>
      <c r="AL47" s="100">
        <v>13.078907186294996</v>
      </c>
      <c r="AM47" s="100">
        <v>19979.338617784237</v>
      </c>
      <c r="AN47" s="100">
        <v>13.715793101453709</v>
      </c>
      <c r="AO47" s="100">
        <v>20952.245541780685</v>
      </c>
      <c r="AP47" s="100">
        <v>16</v>
      </c>
      <c r="AQ47" s="100">
        <v>24441.599999999999</v>
      </c>
      <c r="AR47" s="100">
        <v>18</v>
      </c>
      <c r="AS47" s="100">
        <v>27496.799999999999</v>
      </c>
      <c r="AT47" s="100">
        <v>9.6317465894284613</v>
      </c>
      <c r="AU47" s="100">
        <v>14713.456090010917</v>
      </c>
      <c r="AV47" s="100">
        <v>11</v>
      </c>
      <c r="AW47" s="100">
        <v>16803.599999999999</v>
      </c>
      <c r="AX47" s="100">
        <v>11.104249932149379</v>
      </c>
      <c r="AY47" s="100">
        <v>16962.852196351392</v>
      </c>
      <c r="AZ47" s="100">
        <v>11</v>
      </c>
      <c r="BA47" s="100">
        <v>16803.599999999999</v>
      </c>
      <c r="BB47" s="100">
        <v>17</v>
      </c>
      <c r="BC47" s="100">
        <v>25969.199999999997</v>
      </c>
      <c r="BD47" s="100">
        <v>11</v>
      </c>
      <c r="BE47" s="100">
        <v>16803.599999999999</v>
      </c>
      <c r="BF47" s="100">
        <v>5.2567691064730937</v>
      </c>
      <c r="BG47" s="100">
        <v>8030.2404870482978</v>
      </c>
      <c r="BH47" s="100">
        <v>10.800292509972744</v>
      </c>
      <c r="BI47" s="100">
        <v>16498.526838234364</v>
      </c>
      <c r="BJ47" s="100">
        <v>17</v>
      </c>
      <c r="BK47" s="100">
        <v>25969.199999999997</v>
      </c>
      <c r="BL47" s="100">
        <v>13</v>
      </c>
      <c r="BM47" s="100">
        <v>19858.8</v>
      </c>
      <c r="BN47" s="100">
        <v>16</v>
      </c>
      <c r="BO47" s="100">
        <v>24441.599999999999</v>
      </c>
      <c r="BP47" s="100">
        <v>2.5070784771327976</v>
      </c>
      <c r="BQ47" s="100">
        <v>3829.8130816680614</v>
      </c>
      <c r="BR47" s="100">
        <v>18</v>
      </c>
      <c r="BS47" s="100">
        <v>27496.799999999999</v>
      </c>
      <c r="BT47" s="100">
        <v>10</v>
      </c>
      <c r="BU47" s="100">
        <v>15276</v>
      </c>
      <c r="BV47" s="100">
        <v>11</v>
      </c>
      <c r="BW47" s="100">
        <v>16803.599999999999</v>
      </c>
      <c r="BX47" s="100">
        <v>2.7707351417654862</v>
      </c>
      <c r="BY47" s="100">
        <v>4232.5750025609568</v>
      </c>
      <c r="BZ47" s="100">
        <v>20</v>
      </c>
      <c r="CA47" s="100">
        <v>30552</v>
      </c>
      <c r="CB47" s="100">
        <v>7.4284837221963897</v>
      </c>
      <c r="CC47" s="100">
        <v>11347.751734027204</v>
      </c>
      <c r="CD47" s="100">
        <v>18</v>
      </c>
      <c r="CE47" s="100">
        <v>27496.799999999999</v>
      </c>
      <c r="CF47" s="100">
        <v>6.4077006733039408</v>
      </c>
      <c r="CG47" s="100">
        <v>9788.4035485390996</v>
      </c>
      <c r="CH47" s="100">
        <v>15</v>
      </c>
      <c r="CI47" s="100">
        <v>22914</v>
      </c>
      <c r="CJ47" s="100">
        <v>11</v>
      </c>
      <c r="CK47" s="100">
        <v>16803.599999999999</v>
      </c>
      <c r="CL47" s="100">
        <v>20</v>
      </c>
      <c r="CM47" s="100">
        <v>30552</v>
      </c>
      <c r="CN47" s="100">
        <v>15</v>
      </c>
      <c r="CO47" s="100">
        <v>22914</v>
      </c>
      <c r="CP47" s="100">
        <v>13.990827078637594</v>
      </c>
      <c r="CQ47" s="100">
        <v>21372.387445326785</v>
      </c>
      <c r="CR47" s="100">
        <v>7.5401642125235975E-4</v>
      </c>
      <c r="CS47" s="100">
        <v>1.1518354851051047</v>
      </c>
      <c r="CT47" s="100">
        <v>16.568447549024963</v>
      </c>
      <c r="CU47" s="100">
        <v>25309.960475890533</v>
      </c>
    </row>
    <row r="48" spans="2:99">
      <c r="C48" s="99" t="s">
        <v>214</v>
      </c>
      <c r="D48" s="100">
        <v>13.287238390728707</v>
      </c>
      <c r="E48" s="100">
        <v>11528.008027796226</v>
      </c>
      <c r="F48" s="100">
        <v>5.1008514347537144</v>
      </c>
      <c r="G48" s="100">
        <v>4425.4987047923223</v>
      </c>
      <c r="H48" s="100">
        <v>9.4252052656396525E-4</v>
      </c>
      <c r="I48" s="100">
        <v>0.81773080884689631</v>
      </c>
      <c r="J48" s="100">
        <v>16.000235908365173</v>
      </c>
      <c r="K48" s="100">
        <v>13881.804674097624</v>
      </c>
      <c r="L48" s="100">
        <v>13.27087284861523</v>
      </c>
      <c r="M48" s="100">
        <v>11513.809283458575</v>
      </c>
      <c r="N48" s="100">
        <v>13.141381415245307</v>
      </c>
      <c r="O48" s="100">
        <v>11401.46251586683</v>
      </c>
      <c r="P48" s="100">
        <v>11</v>
      </c>
      <c r="Q48" s="100">
        <v>9543.6</v>
      </c>
      <c r="R48" s="100">
        <v>15.672975183284306</v>
      </c>
      <c r="S48" s="100">
        <v>13597.873269017464</v>
      </c>
      <c r="T48" s="100">
        <v>12.168750625271436</v>
      </c>
      <c r="U48" s="100">
        <v>10557.608042485497</v>
      </c>
      <c r="V48" s="100">
        <v>1.2453566150103087E-3</v>
      </c>
      <c r="W48" s="100">
        <v>1.0804713991829438</v>
      </c>
      <c r="X48" s="100">
        <v>14.978005068584723</v>
      </c>
      <c r="Y48" s="100">
        <v>12994.917197504106</v>
      </c>
      <c r="Z48" s="100">
        <v>19</v>
      </c>
      <c r="AA48" s="100">
        <v>16484.400000000001</v>
      </c>
      <c r="AB48" s="100">
        <v>12</v>
      </c>
      <c r="AC48" s="100">
        <v>10411.200000000001</v>
      </c>
      <c r="AD48" s="100">
        <v>9.1631785525264036</v>
      </c>
      <c r="AE48" s="100">
        <v>7949.9737121719081</v>
      </c>
      <c r="AF48" s="100">
        <v>12.966760681112678</v>
      </c>
      <c r="AG48" s="100">
        <v>11249.96156693336</v>
      </c>
      <c r="AH48" s="100">
        <v>15</v>
      </c>
      <c r="AI48" s="100">
        <v>13014</v>
      </c>
      <c r="AJ48" s="100">
        <v>6.9218078877059259</v>
      </c>
      <c r="AK48" s="100">
        <v>6005.3605233736616</v>
      </c>
      <c r="AL48" s="100">
        <v>13.078907186294996</v>
      </c>
      <c r="AM48" s="100">
        <v>11347.259874829539</v>
      </c>
      <c r="AN48" s="100">
        <v>14.695492608700404</v>
      </c>
      <c r="AO48" s="100">
        <v>12749.809387308471</v>
      </c>
      <c r="AP48" s="100">
        <v>18</v>
      </c>
      <c r="AQ48" s="100">
        <v>15616.800000000001</v>
      </c>
      <c r="AR48" s="100">
        <v>18</v>
      </c>
      <c r="AS48" s="100">
        <v>15616.800000000001</v>
      </c>
      <c r="AT48" s="100">
        <v>9.6317465894284613</v>
      </c>
      <c r="AU48" s="100">
        <v>8356.5033409881325</v>
      </c>
      <c r="AV48" s="100">
        <v>12</v>
      </c>
      <c r="AW48" s="100">
        <v>10411.200000000001</v>
      </c>
      <c r="AX48" s="100">
        <v>12.690571351027863</v>
      </c>
      <c r="AY48" s="100">
        <v>11010.339704151775</v>
      </c>
      <c r="AZ48" s="100">
        <v>11</v>
      </c>
      <c r="BA48" s="100">
        <v>9543.6</v>
      </c>
      <c r="BB48" s="100">
        <v>16</v>
      </c>
      <c r="BC48" s="100">
        <v>13881.6</v>
      </c>
      <c r="BD48" s="100">
        <v>12</v>
      </c>
      <c r="BE48" s="100">
        <v>10411.200000000001</v>
      </c>
      <c r="BF48" s="100">
        <v>6.1328972908852766</v>
      </c>
      <c r="BG48" s="100">
        <v>5320.9016895720661</v>
      </c>
      <c r="BH48" s="100">
        <v>12.240331511302443</v>
      </c>
      <c r="BI48" s="100">
        <v>10619.711619206</v>
      </c>
      <c r="BJ48" s="100">
        <v>20</v>
      </c>
      <c r="BK48" s="100">
        <v>17352</v>
      </c>
      <c r="BL48" s="100">
        <v>14</v>
      </c>
      <c r="BM48" s="100">
        <v>12146.4</v>
      </c>
      <c r="BN48" s="100">
        <v>17</v>
      </c>
      <c r="BO48" s="100">
        <v>14749.2</v>
      </c>
      <c r="BP48" s="100">
        <v>2.8020288862072444</v>
      </c>
      <c r="BQ48" s="100">
        <v>2431.0402616734054</v>
      </c>
      <c r="BR48" s="100">
        <v>20</v>
      </c>
      <c r="BS48" s="100">
        <v>17352</v>
      </c>
      <c r="BT48" s="100">
        <v>12</v>
      </c>
      <c r="BU48" s="100">
        <v>10411.200000000001</v>
      </c>
      <c r="BV48" s="100">
        <v>12</v>
      </c>
      <c r="BW48" s="100">
        <v>10411.200000000001</v>
      </c>
      <c r="BX48" s="100">
        <v>3.2325243320597337</v>
      </c>
      <c r="BY48" s="100">
        <v>2804.5381104950252</v>
      </c>
      <c r="BZ48" s="100">
        <v>22</v>
      </c>
      <c r="CA48" s="100">
        <v>19087.2</v>
      </c>
      <c r="CB48" s="100">
        <v>7.8194565496804103</v>
      </c>
      <c r="CC48" s="100">
        <v>6784.1605025027238</v>
      </c>
      <c r="CD48" s="100">
        <v>20</v>
      </c>
      <c r="CE48" s="100">
        <v>17352</v>
      </c>
      <c r="CF48" s="100">
        <v>5.8251824302763096</v>
      </c>
      <c r="CG48" s="100">
        <v>5053.928276507726</v>
      </c>
      <c r="CH48" s="100">
        <v>18</v>
      </c>
      <c r="CI48" s="100">
        <v>15616.800000000001</v>
      </c>
      <c r="CJ48" s="100">
        <v>11</v>
      </c>
      <c r="CK48" s="100">
        <v>9543.6</v>
      </c>
      <c r="CL48" s="100">
        <v>22</v>
      </c>
      <c r="CM48" s="100">
        <v>19087.2</v>
      </c>
      <c r="CN48" s="100">
        <v>16</v>
      </c>
      <c r="CO48" s="100">
        <v>13881.6</v>
      </c>
      <c r="CP48" s="100">
        <v>14.990171869968853</v>
      </c>
      <c r="CQ48" s="100">
        <v>13005.473114384977</v>
      </c>
      <c r="CR48" s="100">
        <v>7.5401642125235975E-4</v>
      </c>
      <c r="CS48" s="100">
        <v>0.65418464707854729</v>
      </c>
      <c r="CT48" s="100">
        <v>17.440471104236806</v>
      </c>
      <c r="CU48" s="100">
        <v>15131.352730035853</v>
      </c>
    </row>
    <row r="49" spans="2:99">
      <c r="B49" s="99" t="s">
        <v>129</v>
      </c>
      <c r="C49" s="99" t="s">
        <v>215</v>
      </c>
      <c r="D49" s="100">
        <v>5.6704004594302422</v>
      </c>
      <c r="E49" s="100">
        <v>5586.4785326306746</v>
      </c>
      <c r="F49" s="100">
        <v>3.0888445154468731</v>
      </c>
      <c r="G49" s="100">
        <v>3043.1296166182592</v>
      </c>
      <c r="H49" s="100">
        <v>5.758458658264904</v>
      </c>
      <c r="I49" s="100">
        <v>5673.2334701225827</v>
      </c>
      <c r="J49" s="100">
        <v>3.2982340804624526</v>
      </c>
      <c r="K49" s="100">
        <v>3249.4202160716081</v>
      </c>
      <c r="L49" s="100">
        <v>7.0012902292988635</v>
      </c>
      <c r="M49" s="100">
        <v>6897.6711339052399</v>
      </c>
      <c r="N49" s="100">
        <v>11</v>
      </c>
      <c r="O49" s="100">
        <v>10837.199999999999</v>
      </c>
      <c r="P49" s="100">
        <v>4.462832183108266</v>
      </c>
      <c r="Q49" s="100">
        <v>4396.7822667982637</v>
      </c>
      <c r="R49" s="100">
        <v>11</v>
      </c>
      <c r="S49" s="100">
        <v>10837.199999999999</v>
      </c>
      <c r="T49" s="100">
        <v>8.0132273883054328</v>
      </c>
      <c r="U49" s="100">
        <v>7894.6316229585118</v>
      </c>
      <c r="V49" s="100">
        <v>6.0247574679836138</v>
      </c>
      <c r="W49" s="100">
        <v>5935.5910574574555</v>
      </c>
      <c r="X49" s="100">
        <v>2.5622662415076234</v>
      </c>
      <c r="Y49" s="100">
        <v>2524.3447011333105</v>
      </c>
      <c r="Z49" s="100">
        <v>1.8785161805786732</v>
      </c>
      <c r="AA49" s="100">
        <v>1850.7141411061086</v>
      </c>
      <c r="AB49" s="100">
        <v>9</v>
      </c>
      <c r="AC49" s="100">
        <v>8866.7999999999993</v>
      </c>
      <c r="AD49" s="100">
        <v>8.8595651273333296</v>
      </c>
      <c r="AE49" s="100">
        <v>8728.4435634487963</v>
      </c>
      <c r="AF49" s="100">
        <v>7.1668607591624562</v>
      </c>
      <c r="AG49" s="100">
        <v>7060.7912199268512</v>
      </c>
      <c r="AH49" s="100">
        <v>10</v>
      </c>
      <c r="AI49" s="100">
        <v>9852</v>
      </c>
      <c r="AJ49" s="100">
        <v>5.4412558212636144</v>
      </c>
      <c r="AK49" s="100">
        <v>5360.7252351089128</v>
      </c>
      <c r="AL49" s="100">
        <v>3.7525368432498412</v>
      </c>
      <c r="AM49" s="100">
        <v>3696.9992979697431</v>
      </c>
      <c r="AN49" s="100">
        <v>7.1633885254512126</v>
      </c>
      <c r="AO49" s="100">
        <v>7057.3703752745341</v>
      </c>
      <c r="AP49" s="100">
        <v>1.972888392682993</v>
      </c>
      <c r="AQ49" s="100">
        <v>1943.6896444712845</v>
      </c>
      <c r="AR49" s="100">
        <v>4.9222018557465717</v>
      </c>
      <c r="AS49" s="100">
        <v>4849.3532682815221</v>
      </c>
      <c r="AT49" s="100">
        <v>6</v>
      </c>
      <c r="AU49" s="100">
        <v>5911.2</v>
      </c>
      <c r="AV49" s="100">
        <v>6</v>
      </c>
      <c r="AW49" s="100">
        <v>5911.2</v>
      </c>
      <c r="AX49" s="100">
        <v>6</v>
      </c>
      <c r="AY49" s="100">
        <v>5911.2</v>
      </c>
      <c r="AZ49" s="100">
        <v>6</v>
      </c>
      <c r="BA49" s="100">
        <v>5911.2</v>
      </c>
      <c r="BB49" s="100">
        <v>7.6076656247056391</v>
      </c>
      <c r="BC49" s="100">
        <v>7495.0721734599947</v>
      </c>
      <c r="BD49" s="100">
        <v>4.4226950130077691</v>
      </c>
      <c r="BE49" s="100">
        <v>4357.2391268152542</v>
      </c>
      <c r="BF49" s="100">
        <v>5.9161948899668834E-4</v>
      </c>
      <c r="BG49" s="100">
        <v>0.58286352055953727</v>
      </c>
      <c r="BH49" s="100">
        <v>8</v>
      </c>
      <c r="BI49" s="100">
        <v>7881.5999999999995</v>
      </c>
      <c r="BJ49" s="100">
        <v>7.0169964594136172</v>
      </c>
      <c r="BK49" s="100">
        <v>6913.1449118142955</v>
      </c>
      <c r="BL49" s="100">
        <v>6.6510680280289138</v>
      </c>
      <c r="BM49" s="100">
        <v>6552.6322212140858</v>
      </c>
      <c r="BN49" s="100">
        <v>8</v>
      </c>
      <c r="BO49" s="100">
        <v>7881.5999999999995</v>
      </c>
      <c r="BP49" s="100">
        <v>6</v>
      </c>
      <c r="BQ49" s="100">
        <v>5911.2</v>
      </c>
      <c r="BR49" s="100">
        <v>7.9161074581060449</v>
      </c>
      <c r="BS49" s="100">
        <v>7798.9490677260746</v>
      </c>
      <c r="BT49" s="100">
        <v>8</v>
      </c>
      <c r="BU49" s="100">
        <v>7881.5999999999995</v>
      </c>
      <c r="BV49" s="100">
        <v>8</v>
      </c>
      <c r="BW49" s="100">
        <v>7881.5999999999995</v>
      </c>
      <c r="BX49" s="100">
        <v>8</v>
      </c>
      <c r="BY49" s="100">
        <v>7881.5999999999995</v>
      </c>
      <c r="BZ49" s="100">
        <v>0.53140381955751859</v>
      </c>
      <c r="CA49" s="100">
        <v>523.53904302806723</v>
      </c>
      <c r="CB49" s="100">
        <v>10</v>
      </c>
      <c r="CC49" s="100">
        <v>9852</v>
      </c>
      <c r="CD49" s="100">
        <v>1.9652366443779028</v>
      </c>
      <c r="CE49" s="100">
        <v>1936.1511420411098</v>
      </c>
      <c r="CF49" s="100">
        <v>9</v>
      </c>
      <c r="CG49" s="100">
        <v>8866.7999999999993</v>
      </c>
      <c r="CH49" s="100">
        <v>3.3880869197896604</v>
      </c>
      <c r="CI49" s="100">
        <v>3337.9432333767732</v>
      </c>
      <c r="CJ49" s="100">
        <v>6</v>
      </c>
      <c r="CK49" s="100">
        <v>5911.2</v>
      </c>
      <c r="CL49" s="100">
        <v>9</v>
      </c>
      <c r="CM49" s="100">
        <v>8866.7999999999993</v>
      </c>
      <c r="CN49" s="100">
        <v>6</v>
      </c>
      <c r="CO49" s="100">
        <v>5911.2</v>
      </c>
      <c r="CP49" s="100">
        <v>4.4962750998240359</v>
      </c>
      <c r="CQ49" s="100">
        <v>4429.7302283466397</v>
      </c>
      <c r="CR49" s="100">
        <v>9</v>
      </c>
      <c r="CS49" s="100">
        <v>8866.7999999999993</v>
      </c>
      <c r="CT49" s="100">
        <v>5.4016299149378142</v>
      </c>
      <c r="CU49" s="100">
        <v>5321.6857921967339</v>
      </c>
    </row>
    <row r="50" spans="2:99">
      <c r="C50" s="99" t="s">
        <v>216</v>
      </c>
      <c r="D50" s="100">
        <v>6.2393653256072543</v>
      </c>
      <c r="E50" s="100">
        <v>1759.5010218212458</v>
      </c>
      <c r="F50" s="100">
        <v>1.9338914592406431</v>
      </c>
      <c r="G50" s="100">
        <v>545.3573915058613</v>
      </c>
      <c r="H50" s="100">
        <v>6.5976436859477565E-4</v>
      </c>
      <c r="I50" s="100">
        <v>0.18605355194372675</v>
      </c>
      <c r="J50" s="100">
        <v>6.0002830900382076</v>
      </c>
      <c r="K50" s="100">
        <v>1692.0798313907746</v>
      </c>
      <c r="L50" s="100">
        <v>6.1930739960204413</v>
      </c>
      <c r="M50" s="100">
        <v>1746.4468668777645</v>
      </c>
      <c r="N50" s="100">
        <v>9.6370130378465575</v>
      </c>
      <c r="O50" s="100">
        <v>2717.6376766727294</v>
      </c>
      <c r="P50" s="100">
        <v>6</v>
      </c>
      <c r="Q50" s="100">
        <v>1692</v>
      </c>
      <c r="R50" s="100">
        <v>8.6201363508063693</v>
      </c>
      <c r="S50" s="100">
        <v>2430.878450927396</v>
      </c>
      <c r="T50" s="100">
        <v>6.4900003334780987</v>
      </c>
      <c r="U50" s="100">
        <v>1830.1800940408239</v>
      </c>
      <c r="V50" s="100">
        <v>6.6419019467216461E-4</v>
      </c>
      <c r="W50" s="100">
        <v>0.18730163489755042</v>
      </c>
      <c r="X50" s="100">
        <v>6.5528772175058165</v>
      </c>
      <c r="Y50" s="100">
        <v>1847.9113753366403</v>
      </c>
      <c r="Z50" s="100">
        <v>7</v>
      </c>
      <c r="AA50" s="100">
        <v>1974</v>
      </c>
      <c r="AB50" s="100">
        <v>10</v>
      </c>
      <c r="AC50" s="100">
        <v>2820</v>
      </c>
      <c r="AD50" s="100">
        <v>6.108785701684269</v>
      </c>
      <c r="AE50" s="100">
        <v>1722.6775678749639</v>
      </c>
      <c r="AF50" s="100">
        <v>7.4095775320643877</v>
      </c>
      <c r="AG50" s="100">
        <v>2089.5008640421574</v>
      </c>
      <c r="AH50" s="100">
        <v>12</v>
      </c>
      <c r="AI50" s="100">
        <v>3384</v>
      </c>
      <c r="AJ50" s="100">
        <v>3.6916308734431604</v>
      </c>
      <c r="AK50" s="100">
        <v>1041.0399063109712</v>
      </c>
      <c r="AL50" s="100">
        <v>6.5394535931474982</v>
      </c>
      <c r="AM50" s="100">
        <v>1844.1259132675946</v>
      </c>
      <c r="AN50" s="100">
        <v>10.776694579713629</v>
      </c>
      <c r="AO50" s="100">
        <v>3039.0278714792435</v>
      </c>
      <c r="AP50" s="100">
        <v>6</v>
      </c>
      <c r="AQ50" s="100">
        <v>1692</v>
      </c>
      <c r="AR50" s="100">
        <v>6</v>
      </c>
      <c r="AS50" s="100">
        <v>1692</v>
      </c>
      <c r="AT50" s="100">
        <v>3.9660133015293662</v>
      </c>
      <c r="AU50" s="100">
        <v>1118.4157510312812</v>
      </c>
      <c r="AV50" s="100">
        <v>7</v>
      </c>
      <c r="AW50" s="100">
        <v>1974</v>
      </c>
      <c r="AX50" s="100">
        <v>5.5521249660746896</v>
      </c>
      <c r="AY50" s="100">
        <v>1565.6992404330624</v>
      </c>
      <c r="AZ50" s="100">
        <v>6</v>
      </c>
      <c r="BA50" s="100">
        <v>1692</v>
      </c>
      <c r="BB50" s="100">
        <v>11</v>
      </c>
      <c r="BC50" s="100">
        <v>3102</v>
      </c>
      <c r="BD50" s="100">
        <v>6</v>
      </c>
      <c r="BE50" s="100">
        <v>1692</v>
      </c>
      <c r="BF50" s="100">
        <v>4.3806409220609117</v>
      </c>
      <c r="BG50" s="100">
        <v>1235.340740021177</v>
      </c>
      <c r="BH50" s="100">
        <v>5.7601560053187972</v>
      </c>
      <c r="BI50" s="100">
        <v>1624.3639934999007</v>
      </c>
      <c r="BJ50" s="100">
        <v>10</v>
      </c>
      <c r="BK50" s="100">
        <v>2820</v>
      </c>
      <c r="BL50" s="100">
        <v>7</v>
      </c>
      <c r="BM50" s="100">
        <v>1974</v>
      </c>
      <c r="BN50" s="100">
        <v>8</v>
      </c>
      <c r="BO50" s="100">
        <v>2256</v>
      </c>
      <c r="BP50" s="100">
        <v>1.0323264317605636</v>
      </c>
      <c r="BQ50" s="100">
        <v>291.11605375647895</v>
      </c>
      <c r="BR50" s="100">
        <v>10</v>
      </c>
      <c r="BS50" s="100">
        <v>2820</v>
      </c>
      <c r="BT50" s="100">
        <v>9</v>
      </c>
      <c r="BU50" s="100">
        <v>2538</v>
      </c>
      <c r="BV50" s="100">
        <v>9</v>
      </c>
      <c r="BW50" s="100">
        <v>2538</v>
      </c>
      <c r="BX50" s="100">
        <v>1.8471567611769908</v>
      </c>
      <c r="BY50" s="100">
        <v>520.89820665191144</v>
      </c>
      <c r="BZ50" s="100">
        <v>11</v>
      </c>
      <c r="CA50" s="100">
        <v>3102</v>
      </c>
      <c r="CB50" s="100">
        <v>3.9097282748402051</v>
      </c>
      <c r="CC50" s="100">
        <v>1102.5433735049378</v>
      </c>
      <c r="CD50" s="100">
        <v>8</v>
      </c>
      <c r="CE50" s="100">
        <v>2256</v>
      </c>
      <c r="CF50" s="100">
        <v>5.2426641872486792</v>
      </c>
      <c r="CG50" s="100">
        <v>1478.4313008041274</v>
      </c>
      <c r="CH50" s="100">
        <v>10</v>
      </c>
      <c r="CI50" s="100">
        <v>2820</v>
      </c>
      <c r="CJ50" s="100">
        <v>7</v>
      </c>
      <c r="CK50" s="100">
        <v>1974</v>
      </c>
      <c r="CL50" s="100">
        <v>9</v>
      </c>
      <c r="CM50" s="100">
        <v>2538</v>
      </c>
      <c r="CN50" s="100">
        <v>7</v>
      </c>
      <c r="CO50" s="100">
        <v>1974</v>
      </c>
      <c r="CP50" s="100">
        <v>9.9934479133125667</v>
      </c>
      <c r="CQ50" s="100">
        <v>2818.1523115541436</v>
      </c>
      <c r="CR50" s="100">
        <v>5.6551231593926987E-4</v>
      </c>
      <c r="CS50" s="100">
        <v>0.15947447309487411</v>
      </c>
      <c r="CT50" s="100">
        <v>8.7202355521184032</v>
      </c>
      <c r="CU50" s="100">
        <v>2459.1064256973896</v>
      </c>
    </row>
    <row r="51" spans="2:99">
      <c r="C51" s="99" t="s">
        <v>217</v>
      </c>
      <c r="D51" s="100">
        <v>7.2393653256072543</v>
      </c>
      <c r="E51" s="100">
        <v>6185.3137341988377</v>
      </c>
      <c r="F51" s="100">
        <v>1.6740020969474938</v>
      </c>
      <c r="G51" s="100">
        <v>1430.2673916319386</v>
      </c>
      <c r="H51" s="100">
        <v>6.5976436859477565E-4</v>
      </c>
      <c r="I51" s="100">
        <v>0.56370267652737627</v>
      </c>
      <c r="J51" s="100">
        <v>7.0002830900382076</v>
      </c>
      <c r="K51" s="100">
        <v>5981.0418721286442</v>
      </c>
      <c r="L51" s="100">
        <v>5.3083491394460927</v>
      </c>
      <c r="M51" s="100">
        <v>4535.4535047427416</v>
      </c>
      <c r="N51" s="100">
        <v>8.7609209434968722</v>
      </c>
      <c r="O51" s="100">
        <v>7485.3308541237275</v>
      </c>
      <c r="P51" s="100">
        <v>6</v>
      </c>
      <c r="Q51" s="100">
        <v>5126.3999999999996</v>
      </c>
      <c r="R51" s="100">
        <v>8.6201363508063693</v>
      </c>
      <c r="S51" s="100">
        <v>7365.044498128962</v>
      </c>
      <c r="T51" s="100">
        <v>6.4900003334780987</v>
      </c>
      <c r="U51" s="100">
        <v>5545.0562849236876</v>
      </c>
      <c r="V51" s="100">
        <v>5.81166420338144E-4</v>
      </c>
      <c r="W51" s="100">
        <v>0.49654858953691022</v>
      </c>
      <c r="X51" s="100">
        <v>6.5528772175058165</v>
      </c>
      <c r="Y51" s="100">
        <v>5598.7782946369698</v>
      </c>
      <c r="Z51" s="100">
        <v>6</v>
      </c>
      <c r="AA51" s="100">
        <v>5126.3999999999996</v>
      </c>
      <c r="AB51" s="100">
        <v>9</v>
      </c>
      <c r="AC51" s="100">
        <v>7689.5999999999995</v>
      </c>
      <c r="AD51" s="100">
        <v>6.108785701684269</v>
      </c>
      <c r="AE51" s="100">
        <v>5219.3465035190393</v>
      </c>
      <c r="AF51" s="100">
        <v>6.1746479433869901</v>
      </c>
      <c r="AG51" s="100">
        <v>5275.6192028298437</v>
      </c>
      <c r="AH51" s="100">
        <v>12</v>
      </c>
      <c r="AI51" s="100">
        <v>10252.799999999999</v>
      </c>
      <c r="AJ51" s="100">
        <v>3.6916308734431604</v>
      </c>
      <c r="AK51" s="100">
        <v>3154.1294182698362</v>
      </c>
      <c r="AL51" s="100">
        <v>5.6052459369835699</v>
      </c>
      <c r="AM51" s="100">
        <v>4789.1221285587617</v>
      </c>
      <c r="AN51" s="100">
        <v>9.7969950724669363</v>
      </c>
      <c r="AO51" s="100">
        <v>8370.552589915751</v>
      </c>
      <c r="AP51" s="100">
        <v>6</v>
      </c>
      <c r="AQ51" s="100">
        <v>5126.3999999999996</v>
      </c>
      <c r="AR51" s="100">
        <v>5</v>
      </c>
      <c r="AS51" s="100">
        <v>4272</v>
      </c>
      <c r="AT51" s="100">
        <v>3.9660133015293662</v>
      </c>
      <c r="AU51" s="100">
        <v>3388.5617648266903</v>
      </c>
      <c r="AV51" s="100">
        <v>7</v>
      </c>
      <c r="AW51" s="100">
        <v>5980.8</v>
      </c>
      <c r="AX51" s="100">
        <v>3.9658035471962068</v>
      </c>
      <c r="AY51" s="100">
        <v>3388.3825507244392</v>
      </c>
      <c r="AZ51" s="100">
        <v>6</v>
      </c>
      <c r="BA51" s="100">
        <v>5126.3999999999996</v>
      </c>
      <c r="BB51" s="100">
        <v>10</v>
      </c>
      <c r="BC51" s="100">
        <v>8544</v>
      </c>
      <c r="BD51" s="100">
        <v>6</v>
      </c>
      <c r="BE51" s="100">
        <v>5126.3999999999996</v>
      </c>
      <c r="BF51" s="100">
        <v>3.5045127376487293</v>
      </c>
      <c r="BG51" s="100">
        <v>2994.2556830470744</v>
      </c>
      <c r="BH51" s="100">
        <v>5.0401365046539475</v>
      </c>
      <c r="BI51" s="100">
        <v>4306.2926295763327</v>
      </c>
      <c r="BJ51" s="100">
        <v>10</v>
      </c>
      <c r="BK51" s="100">
        <v>8544</v>
      </c>
      <c r="BL51" s="100">
        <v>7</v>
      </c>
      <c r="BM51" s="100">
        <v>5980.8</v>
      </c>
      <c r="BN51" s="100">
        <v>7</v>
      </c>
      <c r="BO51" s="100">
        <v>5980.8</v>
      </c>
      <c r="BP51" s="100">
        <v>1.0323264317605636</v>
      </c>
      <c r="BQ51" s="100">
        <v>882.01970329622554</v>
      </c>
      <c r="BR51" s="100">
        <v>10</v>
      </c>
      <c r="BS51" s="100">
        <v>8544</v>
      </c>
      <c r="BT51" s="100">
        <v>8</v>
      </c>
      <c r="BU51" s="100">
        <v>6835.2</v>
      </c>
      <c r="BV51" s="100">
        <v>8</v>
      </c>
      <c r="BW51" s="100">
        <v>6835.2</v>
      </c>
      <c r="BX51" s="100">
        <v>1.8471567611769908</v>
      </c>
      <c r="BY51" s="100">
        <v>1578.210736749621</v>
      </c>
      <c r="BZ51" s="100">
        <v>11</v>
      </c>
      <c r="CA51" s="100">
        <v>9398.4</v>
      </c>
      <c r="CB51" s="100">
        <v>3.9097282748402051</v>
      </c>
      <c r="CC51" s="100">
        <v>3340.4718380234713</v>
      </c>
      <c r="CD51" s="100">
        <v>7</v>
      </c>
      <c r="CE51" s="100">
        <v>5980.8</v>
      </c>
      <c r="CF51" s="100">
        <v>5.2426641872486792</v>
      </c>
      <c r="CG51" s="100">
        <v>4479.3322815852716</v>
      </c>
      <c r="CH51" s="100">
        <v>10</v>
      </c>
      <c r="CI51" s="100">
        <v>8544</v>
      </c>
      <c r="CJ51" s="100">
        <v>7</v>
      </c>
      <c r="CK51" s="100">
        <v>5980.8</v>
      </c>
      <c r="CL51" s="100">
        <v>8</v>
      </c>
      <c r="CM51" s="100">
        <v>6835.2</v>
      </c>
      <c r="CN51" s="100">
        <v>6</v>
      </c>
      <c r="CO51" s="100">
        <v>5126.3999999999996</v>
      </c>
      <c r="CP51" s="100">
        <v>9.9934479133125667</v>
      </c>
      <c r="CQ51" s="100">
        <v>8538.4018971342575</v>
      </c>
      <c r="CR51" s="100">
        <v>5.026776141682398E-4</v>
      </c>
      <c r="CS51" s="100">
        <v>0.42948775354534408</v>
      </c>
      <c r="CT51" s="100">
        <v>9.5922591073302428</v>
      </c>
      <c r="CU51" s="100">
        <v>8195.6261813029596</v>
      </c>
    </row>
    <row r="52" spans="2:99">
      <c r="C52" s="99" t="s">
        <v>218</v>
      </c>
      <c r="D52" s="100">
        <v>7.2393653256072543</v>
      </c>
      <c r="E52" s="100">
        <v>3909.2572758279175</v>
      </c>
      <c r="F52" s="100">
        <v>1.6612614388154272</v>
      </c>
      <c r="G52" s="100">
        <v>897.08117696033071</v>
      </c>
      <c r="H52" s="100">
        <v>6.5976436859477565E-4</v>
      </c>
      <c r="I52" s="100">
        <v>0.35627275904117883</v>
      </c>
      <c r="J52" s="100">
        <v>7.0002830900382076</v>
      </c>
      <c r="K52" s="100">
        <v>3780.152868620632</v>
      </c>
      <c r="L52" s="100">
        <v>5.3083491394460927</v>
      </c>
      <c r="M52" s="100">
        <v>2866.5085353008899</v>
      </c>
      <c r="N52" s="100">
        <v>9.6370130378465575</v>
      </c>
      <c r="O52" s="100">
        <v>5203.9870404371413</v>
      </c>
      <c r="P52" s="100">
        <v>7</v>
      </c>
      <c r="Q52" s="100">
        <v>3780</v>
      </c>
      <c r="R52" s="100">
        <v>9.4037851099705847</v>
      </c>
      <c r="S52" s="100">
        <v>5078.0439593841156</v>
      </c>
      <c r="T52" s="100">
        <v>6.4900003334780987</v>
      </c>
      <c r="U52" s="100">
        <v>3504.6001800781733</v>
      </c>
      <c r="V52" s="100">
        <v>5.81166420338144E-4</v>
      </c>
      <c r="W52" s="100">
        <v>0.31382986698259774</v>
      </c>
      <c r="X52" s="100">
        <v>6.5528772175058165</v>
      </c>
      <c r="Y52" s="100">
        <v>3538.553697453141</v>
      </c>
      <c r="Z52" s="100">
        <v>6</v>
      </c>
      <c r="AA52" s="100">
        <v>3240</v>
      </c>
      <c r="AB52" s="100">
        <v>8</v>
      </c>
      <c r="AC52" s="100">
        <v>4320</v>
      </c>
      <c r="AD52" s="100">
        <v>6.108785701684269</v>
      </c>
      <c r="AE52" s="100">
        <v>3298.7442789095053</v>
      </c>
      <c r="AF52" s="100">
        <v>6.7921127377256889</v>
      </c>
      <c r="AG52" s="100">
        <v>3667.740878371872</v>
      </c>
      <c r="AH52" s="100">
        <v>12</v>
      </c>
      <c r="AI52" s="100">
        <v>6480</v>
      </c>
      <c r="AJ52" s="100">
        <v>3.2301770142627655</v>
      </c>
      <c r="AK52" s="100">
        <v>1744.2955877018933</v>
      </c>
      <c r="AL52" s="100">
        <v>7.4736612493114274</v>
      </c>
      <c r="AM52" s="100">
        <v>4035.7770746281708</v>
      </c>
      <c r="AN52" s="100">
        <v>10.776694579713629</v>
      </c>
      <c r="AO52" s="100">
        <v>5819.4150730453593</v>
      </c>
      <c r="AP52" s="100">
        <v>6</v>
      </c>
      <c r="AQ52" s="100">
        <v>3240</v>
      </c>
      <c r="AR52" s="100">
        <v>6</v>
      </c>
      <c r="AS52" s="100">
        <v>3240</v>
      </c>
      <c r="AT52" s="100">
        <v>3.3994399727394562</v>
      </c>
      <c r="AU52" s="100">
        <v>1835.6975852793064</v>
      </c>
      <c r="AV52" s="100">
        <v>8</v>
      </c>
      <c r="AW52" s="100">
        <v>4320</v>
      </c>
      <c r="AX52" s="100">
        <v>4.7589642566354486</v>
      </c>
      <c r="AY52" s="100">
        <v>2569.8406985831421</v>
      </c>
      <c r="AZ52" s="100">
        <v>6</v>
      </c>
      <c r="BA52" s="100">
        <v>3240</v>
      </c>
      <c r="BB52" s="100">
        <v>11</v>
      </c>
      <c r="BC52" s="100">
        <v>5940</v>
      </c>
      <c r="BD52" s="100">
        <v>7</v>
      </c>
      <c r="BE52" s="100">
        <v>3780</v>
      </c>
      <c r="BF52" s="100">
        <v>3.9425768298548203</v>
      </c>
      <c r="BG52" s="100">
        <v>2128.9914881216027</v>
      </c>
      <c r="BH52" s="100">
        <v>6.480175505983647</v>
      </c>
      <c r="BI52" s="100">
        <v>3499.2947732311695</v>
      </c>
      <c r="BJ52" s="100">
        <v>10</v>
      </c>
      <c r="BK52" s="100">
        <v>5400</v>
      </c>
      <c r="BL52" s="100">
        <v>8</v>
      </c>
      <c r="BM52" s="100">
        <v>4320</v>
      </c>
      <c r="BN52" s="100">
        <v>7</v>
      </c>
      <c r="BO52" s="100">
        <v>3780</v>
      </c>
      <c r="BP52" s="100">
        <v>1.0323264317605636</v>
      </c>
      <c r="BQ52" s="100">
        <v>557.45627315070431</v>
      </c>
      <c r="BR52" s="100">
        <v>11</v>
      </c>
      <c r="BS52" s="100">
        <v>5940</v>
      </c>
      <c r="BT52" s="100">
        <v>9</v>
      </c>
      <c r="BU52" s="100">
        <v>4860</v>
      </c>
      <c r="BV52" s="100">
        <v>9</v>
      </c>
      <c r="BW52" s="100">
        <v>4860</v>
      </c>
      <c r="BX52" s="100">
        <v>1.8471567611769908</v>
      </c>
      <c r="BY52" s="100">
        <v>997.464651035575</v>
      </c>
      <c r="BZ52" s="100">
        <v>12</v>
      </c>
      <c r="CA52" s="100">
        <v>6480</v>
      </c>
      <c r="CB52" s="100">
        <v>4.3007011023242256</v>
      </c>
      <c r="CC52" s="100">
        <v>2322.378595255082</v>
      </c>
      <c r="CD52" s="100">
        <v>7</v>
      </c>
      <c r="CE52" s="100">
        <v>3780</v>
      </c>
      <c r="CF52" s="100">
        <v>5.8251824302763096</v>
      </c>
      <c r="CG52" s="100">
        <v>3145.5985123492073</v>
      </c>
      <c r="CH52" s="100">
        <v>11</v>
      </c>
      <c r="CI52" s="100">
        <v>5940</v>
      </c>
      <c r="CJ52" s="100">
        <v>6</v>
      </c>
      <c r="CK52" s="100">
        <v>3240</v>
      </c>
      <c r="CL52" s="100">
        <v>10</v>
      </c>
      <c r="CM52" s="100">
        <v>5400</v>
      </c>
      <c r="CN52" s="100">
        <v>6</v>
      </c>
      <c r="CO52" s="100">
        <v>3240</v>
      </c>
      <c r="CP52" s="100">
        <v>8.9941031219813112</v>
      </c>
      <c r="CQ52" s="100">
        <v>4856.8156858699076</v>
      </c>
      <c r="CR52" s="100">
        <v>6.2834701771029983E-4</v>
      </c>
      <c r="CS52" s="100">
        <v>0.33930738956356188</v>
      </c>
      <c r="CT52" s="100">
        <v>8.7202355521184032</v>
      </c>
      <c r="CU52" s="100">
        <v>4708.9271981439379</v>
      </c>
    </row>
    <row r="53" spans="2:99">
      <c r="C53" s="99" t="s">
        <v>219</v>
      </c>
      <c r="D53" s="100">
        <v>6.2393653256072543</v>
      </c>
      <c r="E53" s="100">
        <v>2538.1738144570313</v>
      </c>
      <c r="F53" s="100">
        <v>1.9338914592406431</v>
      </c>
      <c r="G53" s="100">
        <v>786.70704561909361</v>
      </c>
      <c r="H53" s="100">
        <v>6.5976436859477565E-4</v>
      </c>
      <c r="I53" s="100">
        <v>0.26839214514435472</v>
      </c>
      <c r="J53" s="100">
        <v>7.0002830900382076</v>
      </c>
      <c r="K53" s="100">
        <v>2847.7151610275428</v>
      </c>
      <c r="L53" s="100">
        <v>6.1930739960204413</v>
      </c>
      <c r="M53" s="100">
        <v>2519.3425015811158</v>
      </c>
      <c r="N53" s="100">
        <v>10.513105132196246</v>
      </c>
      <c r="O53" s="100">
        <v>4276.7311677774333</v>
      </c>
      <c r="P53" s="100">
        <v>7</v>
      </c>
      <c r="Q53" s="100">
        <v>2847.6</v>
      </c>
      <c r="R53" s="100">
        <v>8.6201363508063693</v>
      </c>
      <c r="S53" s="100">
        <v>3506.6714675080311</v>
      </c>
      <c r="T53" s="100">
        <v>7.3012503751628612</v>
      </c>
      <c r="U53" s="100">
        <v>2970.1486526162521</v>
      </c>
      <c r="V53" s="100">
        <v>5.81166420338144E-4</v>
      </c>
      <c r="W53" s="100">
        <v>0.23641849979355697</v>
      </c>
      <c r="X53" s="100">
        <v>6.5528772175058165</v>
      </c>
      <c r="Y53" s="100">
        <v>2665.7104520813664</v>
      </c>
      <c r="Z53" s="100">
        <v>6</v>
      </c>
      <c r="AA53" s="100">
        <v>2440.8000000000002</v>
      </c>
      <c r="AB53" s="100">
        <v>9</v>
      </c>
      <c r="AC53" s="100">
        <v>3661.2000000000003</v>
      </c>
      <c r="AD53" s="100">
        <v>6.108785701684269</v>
      </c>
      <c r="AE53" s="100">
        <v>2485.0540234451605</v>
      </c>
      <c r="AF53" s="100">
        <v>7.4095775320643877</v>
      </c>
      <c r="AG53" s="100">
        <v>3014.2161400437931</v>
      </c>
      <c r="AH53" s="100">
        <v>11</v>
      </c>
      <c r="AI53" s="100">
        <v>4474.8</v>
      </c>
      <c r="AJ53" s="100">
        <v>3.6916308734431604</v>
      </c>
      <c r="AK53" s="100">
        <v>1501.7554393166777</v>
      </c>
      <c r="AL53" s="100">
        <v>6.5394535931474982</v>
      </c>
      <c r="AM53" s="100">
        <v>2660.2497216924025</v>
      </c>
      <c r="AN53" s="100">
        <v>10.776694579713629</v>
      </c>
      <c r="AO53" s="100">
        <v>4383.959355027504</v>
      </c>
      <c r="AP53" s="100">
        <v>6</v>
      </c>
      <c r="AQ53" s="100">
        <v>2440.8000000000002</v>
      </c>
      <c r="AR53" s="100">
        <v>6</v>
      </c>
      <c r="AS53" s="100">
        <v>2440.8000000000002</v>
      </c>
      <c r="AT53" s="100">
        <v>3.3994399727394562</v>
      </c>
      <c r="AU53" s="100">
        <v>1382.8921809104108</v>
      </c>
      <c r="AV53" s="100">
        <v>7</v>
      </c>
      <c r="AW53" s="100">
        <v>2847.6</v>
      </c>
      <c r="AX53" s="100">
        <v>4.7589642566354486</v>
      </c>
      <c r="AY53" s="100">
        <v>1935.9466595993006</v>
      </c>
      <c r="AZ53" s="100">
        <v>6</v>
      </c>
      <c r="BA53" s="100">
        <v>2440.8000000000002</v>
      </c>
      <c r="BB53" s="100">
        <v>9</v>
      </c>
      <c r="BC53" s="100">
        <v>3661.2000000000003</v>
      </c>
      <c r="BD53" s="100">
        <v>6</v>
      </c>
      <c r="BE53" s="100">
        <v>2440.8000000000002</v>
      </c>
      <c r="BF53" s="100">
        <v>4.3806409220609117</v>
      </c>
      <c r="BG53" s="100">
        <v>1782.0447270943789</v>
      </c>
      <c r="BH53" s="100">
        <v>6.480175505983647</v>
      </c>
      <c r="BI53" s="100">
        <v>2636.1353958341479</v>
      </c>
      <c r="BJ53" s="100">
        <v>9</v>
      </c>
      <c r="BK53" s="100">
        <v>3661.2000000000003</v>
      </c>
      <c r="BL53" s="100">
        <v>7</v>
      </c>
      <c r="BM53" s="100">
        <v>2847.6</v>
      </c>
      <c r="BN53" s="100">
        <v>8</v>
      </c>
      <c r="BO53" s="100">
        <v>3254.4</v>
      </c>
      <c r="BP53" s="100">
        <v>1.0323264317605636</v>
      </c>
      <c r="BQ53" s="100">
        <v>419.95039244019728</v>
      </c>
      <c r="BR53" s="100">
        <v>11</v>
      </c>
      <c r="BS53" s="100">
        <v>4474.8</v>
      </c>
      <c r="BT53" s="100">
        <v>8</v>
      </c>
      <c r="BU53" s="100">
        <v>3254.4</v>
      </c>
      <c r="BV53" s="100">
        <v>8</v>
      </c>
      <c r="BW53" s="100">
        <v>3254.4</v>
      </c>
      <c r="BX53" s="100">
        <v>2.0780513563241145</v>
      </c>
      <c r="BY53" s="100">
        <v>845.35129175264979</v>
      </c>
      <c r="BZ53" s="100">
        <v>11</v>
      </c>
      <c r="CA53" s="100">
        <v>4474.8</v>
      </c>
      <c r="CB53" s="100">
        <v>3.9097282748402051</v>
      </c>
      <c r="CC53" s="100">
        <v>1590.4774622049954</v>
      </c>
      <c r="CD53" s="100">
        <v>7</v>
      </c>
      <c r="CE53" s="100">
        <v>2847.6</v>
      </c>
      <c r="CF53" s="100">
        <v>5.2426641872486792</v>
      </c>
      <c r="CG53" s="100">
        <v>2132.7157913727629</v>
      </c>
      <c r="CH53" s="100">
        <v>9</v>
      </c>
      <c r="CI53" s="100">
        <v>3661.2000000000003</v>
      </c>
      <c r="CJ53" s="100">
        <v>7</v>
      </c>
      <c r="CK53" s="100">
        <v>2847.6</v>
      </c>
      <c r="CL53" s="100">
        <v>9</v>
      </c>
      <c r="CM53" s="100">
        <v>3661.2000000000003</v>
      </c>
      <c r="CN53" s="100">
        <v>6</v>
      </c>
      <c r="CO53" s="100">
        <v>2440.8000000000002</v>
      </c>
      <c r="CP53" s="100">
        <v>9.9934479133125667</v>
      </c>
      <c r="CQ53" s="100">
        <v>4065.3346111355522</v>
      </c>
      <c r="CR53" s="100">
        <v>5.026776141682398E-4</v>
      </c>
      <c r="CS53" s="100">
        <v>0.20448925344363997</v>
      </c>
      <c r="CT53" s="100">
        <v>9.5922591073302428</v>
      </c>
      <c r="CU53" s="100">
        <v>3902.131004861943</v>
      </c>
    </row>
    <row r="54" spans="2:99">
      <c r="C54" s="99" t="s">
        <v>220</v>
      </c>
      <c r="D54" s="100">
        <v>7.2393653256072543</v>
      </c>
      <c r="E54" s="100">
        <v>2423.7395110133089</v>
      </c>
      <c r="F54" s="100">
        <v>1.6612614388154272</v>
      </c>
      <c r="G54" s="100">
        <v>556.19032971540503</v>
      </c>
      <c r="H54" s="100">
        <v>5.6551231593837919E-4</v>
      </c>
      <c r="I54" s="100">
        <v>0.18933352337616935</v>
      </c>
      <c r="J54" s="100">
        <v>7.0002830900382076</v>
      </c>
      <c r="K54" s="100">
        <v>2343.6947785447919</v>
      </c>
      <c r="L54" s="100">
        <v>5.3083491394460927</v>
      </c>
      <c r="M54" s="100">
        <v>1777.235291886552</v>
      </c>
      <c r="N54" s="100">
        <v>8.7609209434968722</v>
      </c>
      <c r="O54" s="100">
        <v>2933.156331882753</v>
      </c>
      <c r="P54" s="100">
        <v>7</v>
      </c>
      <c r="Q54" s="100">
        <v>2343.6</v>
      </c>
      <c r="R54" s="100">
        <v>9.4037851099705847</v>
      </c>
      <c r="S54" s="100">
        <v>3148.3872548181521</v>
      </c>
      <c r="T54" s="100">
        <v>6.4900003334780987</v>
      </c>
      <c r="U54" s="100">
        <v>2172.8521116484676</v>
      </c>
      <c r="V54" s="100">
        <v>5.81166420338144E-4</v>
      </c>
      <c r="W54" s="100">
        <v>0.19457451752921062</v>
      </c>
      <c r="X54" s="100">
        <v>6.5528772175058165</v>
      </c>
      <c r="Y54" s="100">
        <v>2193.9032924209473</v>
      </c>
      <c r="Z54" s="100">
        <v>7</v>
      </c>
      <c r="AA54" s="100">
        <v>2343.6</v>
      </c>
      <c r="AB54" s="100">
        <v>9</v>
      </c>
      <c r="AC54" s="100">
        <v>3013.2000000000003</v>
      </c>
      <c r="AD54" s="100">
        <v>6.7196642718526958</v>
      </c>
      <c r="AE54" s="100">
        <v>2249.7435982162824</v>
      </c>
      <c r="AF54" s="100">
        <v>7.4095775320643877</v>
      </c>
      <c r="AG54" s="100">
        <v>2480.7265577351573</v>
      </c>
      <c r="AH54" s="100">
        <v>11</v>
      </c>
      <c r="AI54" s="100">
        <v>3682.8</v>
      </c>
      <c r="AJ54" s="100">
        <v>3.6916308734431604</v>
      </c>
      <c r="AK54" s="100">
        <v>1235.9580164287702</v>
      </c>
      <c r="AL54" s="100">
        <v>6.5394535931474982</v>
      </c>
      <c r="AM54" s="100">
        <v>2189.4090629857824</v>
      </c>
      <c r="AN54" s="100">
        <v>9.7969950724669363</v>
      </c>
      <c r="AO54" s="100">
        <v>3280.0339502619304</v>
      </c>
      <c r="AP54" s="100">
        <v>7</v>
      </c>
      <c r="AQ54" s="100">
        <v>2343.6</v>
      </c>
      <c r="AR54" s="100">
        <v>6</v>
      </c>
      <c r="AS54" s="100">
        <v>2008.8000000000002</v>
      </c>
      <c r="AT54" s="100">
        <v>3.9660133015293662</v>
      </c>
      <c r="AU54" s="100">
        <v>1327.8212533520318</v>
      </c>
      <c r="AV54" s="100">
        <v>7</v>
      </c>
      <c r="AW54" s="100">
        <v>2343.6</v>
      </c>
      <c r="AX54" s="100">
        <v>4.7589642566354486</v>
      </c>
      <c r="AY54" s="100">
        <v>1593.3012331215482</v>
      </c>
      <c r="AZ54" s="100">
        <v>6</v>
      </c>
      <c r="BA54" s="100">
        <v>2008.8000000000002</v>
      </c>
      <c r="BB54" s="100">
        <v>10</v>
      </c>
      <c r="BC54" s="100">
        <v>3348</v>
      </c>
      <c r="BD54" s="100">
        <v>6</v>
      </c>
      <c r="BE54" s="100">
        <v>2008.8000000000002</v>
      </c>
      <c r="BF54" s="100">
        <v>4.3806409220609117</v>
      </c>
      <c r="BG54" s="100">
        <v>1466.6385807059933</v>
      </c>
      <c r="BH54" s="100">
        <v>6.480175505983647</v>
      </c>
      <c r="BI54" s="100">
        <v>2169.5627594033249</v>
      </c>
      <c r="BJ54" s="100">
        <v>10</v>
      </c>
      <c r="BK54" s="100">
        <v>3348</v>
      </c>
      <c r="BL54" s="100">
        <v>8</v>
      </c>
      <c r="BM54" s="100">
        <v>2678.4</v>
      </c>
      <c r="BN54" s="100">
        <v>8</v>
      </c>
      <c r="BO54" s="100">
        <v>2678.4</v>
      </c>
      <c r="BP54" s="100">
        <v>1.0323264317605636</v>
      </c>
      <c r="BQ54" s="100">
        <v>345.62288935343673</v>
      </c>
      <c r="BR54" s="100">
        <v>10</v>
      </c>
      <c r="BS54" s="100">
        <v>3348</v>
      </c>
      <c r="BT54" s="100">
        <v>9</v>
      </c>
      <c r="BU54" s="100">
        <v>3013.2000000000003</v>
      </c>
      <c r="BV54" s="100">
        <v>8</v>
      </c>
      <c r="BW54" s="100">
        <v>2678.4</v>
      </c>
      <c r="BX54" s="100">
        <v>2.0780513563241145</v>
      </c>
      <c r="BY54" s="100">
        <v>695.73159409731352</v>
      </c>
      <c r="BZ54" s="100">
        <v>11</v>
      </c>
      <c r="CA54" s="100">
        <v>3682.8</v>
      </c>
      <c r="CB54" s="100">
        <v>3.9097282748402051</v>
      </c>
      <c r="CC54" s="100">
        <v>1308.9770264165006</v>
      </c>
      <c r="CD54" s="100">
        <v>7</v>
      </c>
      <c r="CE54" s="100">
        <v>2343.6</v>
      </c>
      <c r="CF54" s="100">
        <v>5.8251824302763096</v>
      </c>
      <c r="CG54" s="100">
        <v>1950.2710776565084</v>
      </c>
      <c r="CH54" s="100">
        <v>10</v>
      </c>
      <c r="CI54" s="100">
        <v>3348</v>
      </c>
      <c r="CJ54" s="100">
        <v>7</v>
      </c>
      <c r="CK54" s="100">
        <v>2343.6</v>
      </c>
      <c r="CL54" s="100">
        <v>10</v>
      </c>
      <c r="CM54" s="100">
        <v>3348</v>
      </c>
      <c r="CN54" s="100">
        <v>7</v>
      </c>
      <c r="CO54" s="100">
        <v>2343.6</v>
      </c>
      <c r="CP54" s="100">
        <v>9.9934479133125667</v>
      </c>
      <c r="CQ54" s="100">
        <v>3345.8063613770473</v>
      </c>
      <c r="CR54" s="100">
        <v>6.2834701771029983E-4</v>
      </c>
      <c r="CS54" s="100">
        <v>0.21037058152940838</v>
      </c>
      <c r="CT54" s="100">
        <v>8.7202355521184032</v>
      </c>
      <c r="CU54" s="100">
        <v>2919.5348628492416</v>
      </c>
    </row>
    <row r="55" spans="2:99">
      <c r="C55" s="99" t="s">
        <v>221</v>
      </c>
      <c r="D55" s="100">
        <v>7.2393653256072543</v>
      </c>
      <c r="E55" s="100">
        <v>4804.0428300729745</v>
      </c>
      <c r="F55" s="100">
        <v>1.6740020969474938</v>
      </c>
      <c r="G55" s="100">
        <v>1110.8677915343569</v>
      </c>
      <c r="H55" s="100">
        <v>5.6551231593837919E-4</v>
      </c>
      <c r="I55" s="100">
        <v>0.37527397285670844</v>
      </c>
      <c r="J55" s="100">
        <v>7.0002830900382076</v>
      </c>
      <c r="K55" s="100">
        <v>4645.3878585493549</v>
      </c>
      <c r="L55" s="100">
        <v>5.3083491394460927</v>
      </c>
      <c r="M55" s="100">
        <v>3522.6204889364271</v>
      </c>
      <c r="N55" s="100">
        <v>9.6370130378465575</v>
      </c>
      <c r="O55" s="100">
        <v>6395.1218519149761</v>
      </c>
      <c r="P55" s="100">
        <v>6</v>
      </c>
      <c r="Q55" s="100">
        <v>3981.6000000000004</v>
      </c>
      <c r="R55" s="100">
        <v>7.836487591642153</v>
      </c>
      <c r="S55" s="100">
        <v>5200.2931658137331</v>
      </c>
      <c r="T55" s="100">
        <v>6.4900003334780987</v>
      </c>
      <c r="U55" s="100">
        <v>4306.7642212960664</v>
      </c>
      <c r="V55" s="100">
        <v>4.9814264600412349E-4</v>
      </c>
      <c r="W55" s="100">
        <v>0.33056745988833636</v>
      </c>
      <c r="X55" s="100">
        <v>6.5528772175058165</v>
      </c>
      <c r="Y55" s="100">
        <v>4348.4893215368602</v>
      </c>
      <c r="Z55" s="100">
        <v>7</v>
      </c>
      <c r="AA55" s="100">
        <v>4645.2</v>
      </c>
      <c r="AB55" s="100">
        <v>9</v>
      </c>
      <c r="AC55" s="100">
        <v>5972.4000000000005</v>
      </c>
      <c r="AD55" s="100">
        <v>6.7196642718526958</v>
      </c>
      <c r="AE55" s="100">
        <v>4459.1692108014495</v>
      </c>
      <c r="AF55" s="100">
        <v>7.4095775320643877</v>
      </c>
      <c r="AG55" s="100">
        <v>4916.9956502779278</v>
      </c>
      <c r="AH55" s="100">
        <v>11</v>
      </c>
      <c r="AI55" s="100">
        <v>7299.6</v>
      </c>
      <c r="AJ55" s="100">
        <v>3.2301770142627655</v>
      </c>
      <c r="AK55" s="100">
        <v>2143.5454666647711</v>
      </c>
      <c r="AL55" s="100">
        <v>6.5394535931474982</v>
      </c>
      <c r="AM55" s="100">
        <v>4339.5814044126801</v>
      </c>
      <c r="AN55" s="100">
        <v>9.7969950724669363</v>
      </c>
      <c r="AO55" s="100">
        <v>6501.2859300890595</v>
      </c>
      <c r="AP55" s="100">
        <v>7</v>
      </c>
      <c r="AQ55" s="100">
        <v>4645.2</v>
      </c>
      <c r="AR55" s="100">
        <v>6</v>
      </c>
      <c r="AS55" s="100">
        <v>3981.6000000000004</v>
      </c>
      <c r="AT55" s="100">
        <v>3.3994399727394562</v>
      </c>
      <c r="AU55" s="100">
        <v>2255.8683659099033</v>
      </c>
      <c r="AV55" s="100">
        <v>7</v>
      </c>
      <c r="AW55" s="100">
        <v>4645.2</v>
      </c>
      <c r="AX55" s="100">
        <v>4.7589642566354486</v>
      </c>
      <c r="AY55" s="100">
        <v>3158.0486807032839</v>
      </c>
      <c r="AZ55" s="100">
        <v>5</v>
      </c>
      <c r="BA55" s="100">
        <v>3318</v>
      </c>
      <c r="BB55" s="100">
        <v>9</v>
      </c>
      <c r="BC55" s="100">
        <v>5972.4000000000005</v>
      </c>
      <c r="BD55" s="100">
        <v>7</v>
      </c>
      <c r="BE55" s="100">
        <v>4645.2</v>
      </c>
      <c r="BF55" s="100">
        <v>3.9425768298548203</v>
      </c>
      <c r="BG55" s="100">
        <v>2616.2939842916589</v>
      </c>
      <c r="BH55" s="100">
        <v>5.0401365046539475</v>
      </c>
      <c r="BI55" s="100">
        <v>3344.6345844883595</v>
      </c>
      <c r="BJ55" s="100">
        <v>11</v>
      </c>
      <c r="BK55" s="100">
        <v>7299.6</v>
      </c>
      <c r="BL55" s="100">
        <v>7</v>
      </c>
      <c r="BM55" s="100">
        <v>4645.2</v>
      </c>
      <c r="BN55" s="100">
        <v>7</v>
      </c>
      <c r="BO55" s="100">
        <v>4645.2</v>
      </c>
      <c r="BP55" s="100">
        <v>1.0323264317605636</v>
      </c>
      <c r="BQ55" s="100">
        <v>685.05182011631007</v>
      </c>
      <c r="BR55" s="100">
        <v>11</v>
      </c>
      <c r="BS55" s="100">
        <v>7299.6</v>
      </c>
      <c r="BT55" s="100">
        <v>8</v>
      </c>
      <c r="BU55" s="100">
        <v>5308.8</v>
      </c>
      <c r="BV55" s="100">
        <v>8</v>
      </c>
      <c r="BW55" s="100">
        <v>5308.8</v>
      </c>
      <c r="BX55" s="100">
        <v>1.8471567611769908</v>
      </c>
      <c r="BY55" s="100">
        <v>1225.7732267170511</v>
      </c>
      <c r="BZ55" s="100">
        <v>10</v>
      </c>
      <c r="CA55" s="100">
        <v>6636</v>
      </c>
      <c r="CB55" s="100">
        <v>3.5187554473561846</v>
      </c>
      <c r="CC55" s="100">
        <v>2335.046114865564</v>
      </c>
      <c r="CD55" s="100">
        <v>8</v>
      </c>
      <c r="CE55" s="100">
        <v>5308.8</v>
      </c>
      <c r="CF55" s="100">
        <v>5.8251824302763096</v>
      </c>
      <c r="CG55" s="100">
        <v>3865.591060731359</v>
      </c>
      <c r="CH55" s="100">
        <v>9</v>
      </c>
      <c r="CI55" s="100">
        <v>5972.4000000000005</v>
      </c>
      <c r="CJ55" s="100">
        <v>6</v>
      </c>
      <c r="CK55" s="100">
        <v>3981.6000000000004</v>
      </c>
      <c r="CL55" s="100">
        <v>9</v>
      </c>
      <c r="CM55" s="100">
        <v>5972.4000000000005</v>
      </c>
      <c r="CN55" s="100">
        <v>6</v>
      </c>
      <c r="CO55" s="100">
        <v>3981.6000000000004</v>
      </c>
      <c r="CP55" s="100">
        <v>9.9934479133125667</v>
      </c>
      <c r="CQ55" s="100">
        <v>6631.6520352742191</v>
      </c>
      <c r="CR55" s="100">
        <v>5.026776141682398E-4</v>
      </c>
      <c r="CS55" s="100">
        <v>0.33357686476204396</v>
      </c>
      <c r="CT55" s="100">
        <v>9.5922591073302428</v>
      </c>
      <c r="CU55" s="100">
        <v>6365.423143624349</v>
      </c>
    </row>
    <row r="56" spans="2:99">
      <c r="C56" s="99" t="s">
        <v>222</v>
      </c>
      <c r="D56" s="100">
        <v>2.5921722559180194</v>
      </c>
      <c r="E56" s="100">
        <v>2544.4762864091276</v>
      </c>
      <c r="F56" s="100">
        <v>6.0506757154985706</v>
      </c>
      <c r="G56" s="100">
        <v>5939.343282333396</v>
      </c>
      <c r="H56" s="100">
        <v>4.8930200824097776</v>
      </c>
      <c r="I56" s="100">
        <v>4802.9885128934375</v>
      </c>
      <c r="J56" s="100">
        <v>5.7745264597860571</v>
      </c>
      <c r="K56" s="100">
        <v>5668.2751729259935</v>
      </c>
      <c r="L56" s="100">
        <v>4.3475625738230921</v>
      </c>
      <c r="M56" s="100">
        <v>4267.5674224647464</v>
      </c>
      <c r="N56" s="100">
        <v>9.320236874850357</v>
      </c>
      <c r="O56" s="100">
        <v>9148.7445163531102</v>
      </c>
      <c r="P56" s="100">
        <v>4.7797549970883173</v>
      </c>
      <c r="Q56" s="100">
        <v>4691.8075051418919</v>
      </c>
      <c r="R56" s="100">
        <v>7.675701393672461</v>
      </c>
      <c r="S56" s="100">
        <v>7534.4684880288869</v>
      </c>
      <c r="T56" s="100">
        <v>7.1344022739545006</v>
      </c>
      <c r="U56" s="100">
        <v>7003.129272113737</v>
      </c>
      <c r="V56" s="100">
        <v>5.0932838595406045</v>
      </c>
      <c r="W56" s="100">
        <v>4999.567436525057</v>
      </c>
      <c r="X56" s="100">
        <v>4.3828560398061853</v>
      </c>
      <c r="Y56" s="100">
        <v>4302.2114886737509</v>
      </c>
      <c r="Z56" s="100">
        <v>4.582238494622886</v>
      </c>
      <c r="AA56" s="100">
        <v>4497.9253063218248</v>
      </c>
      <c r="AB56" s="100">
        <v>2.4277017505720342</v>
      </c>
      <c r="AC56" s="100">
        <v>2383.0320383615085</v>
      </c>
      <c r="AD56" s="100">
        <v>4.9465646387612514</v>
      </c>
      <c r="AE56" s="100">
        <v>4855.5478494080444</v>
      </c>
      <c r="AF56" s="100">
        <v>8.6728984996062284</v>
      </c>
      <c r="AG56" s="100">
        <v>8513.3171672134722</v>
      </c>
      <c r="AH56" s="100">
        <v>6.239774288926843</v>
      </c>
      <c r="AI56" s="100">
        <v>6124.9624420105883</v>
      </c>
      <c r="AJ56" s="100">
        <v>6.4789754453367348</v>
      </c>
      <c r="AK56" s="100">
        <v>6359.762297142538</v>
      </c>
      <c r="AL56" s="100">
        <v>5.6805127024152845E-4</v>
      </c>
      <c r="AM56" s="100">
        <v>0.55759912686908431</v>
      </c>
      <c r="AN56" s="100">
        <v>8.3711561889538295</v>
      </c>
      <c r="AO56" s="100">
        <v>8217.1269150770786</v>
      </c>
      <c r="AP56" s="100">
        <v>0.28781078763765494</v>
      </c>
      <c r="AQ56" s="100">
        <v>282.51506914512208</v>
      </c>
      <c r="AR56" s="100">
        <v>4.4639127761540038</v>
      </c>
      <c r="AS56" s="100">
        <v>4381.7767810727701</v>
      </c>
      <c r="AT56" s="100">
        <v>6.8745769280850091</v>
      </c>
      <c r="AU56" s="100">
        <v>6748.0847126082444</v>
      </c>
      <c r="AV56" s="100">
        <v>6</v>
      </c>
      <c r="AW56" s="100">
        <v>5889.5999999999995</v>
      </c>
      <c r="AX56" s="100">
        <v>4.3817774076116116</v>
      </c>
      <c r="AY56" s="100">
        <v>4301.1527033115572</v>
      </c>
      <c r="AZ56" s="100">
        <v>4.9139323379812874</v>
      </c>
      <c r="BA56" s="100">
        <v>4823.5159829624308</v>
      </c>
      <c r="BB56" s="100">
        <v>5.685454416622143</v>
      </c>
      <c r="BC56" s="100">
        <v>5580.8420553562946</v>
      </c>
      <c r="BD56" s="100">
        <v>4.7002454376717973</v>
      </c>
      <c r="BE56" s="100">
        <v>4613.7609216186356</v>
      </c>
      <c r="BF56" s="100">
        <v>0.50903750719519281</v>
      </c>
      <c r="BG56" s="100">
        <v>499.67121706280119</v>
      </c>
      <c r="BH56" s="100">
        <v>7.1866321085348002</v>
      </c>
      <c r="BI56" s="100">
        <v>7054.3980777377592</v>
      </c>
      <c r="BJ56" s="100">
        <v>8.6823612240591217</v>
      </c>
      <c r="BK56" s="100">
        <v>8522.6057775364334</v>
      </c>
      <c r="BL56" s="100">
        <v>5.7069593141376345</v>
      </c>
      <c r="BM56" s="100">
        <v>5601.9512627575014</v>
      </c>
      <c r="BN56" s="100">
        <v>0.44465337908295405</v>
      </c>
      <c r="BO56" s="100">
        <v>436.47175690782763</v>
      </c>
      <c r="BP56" s="100">
        <v>7.1646789237213371</v>
      </c>
      <c r="BQ56" s="100">
        <v>7032.8488315248642</v>
      </c>
      <c r="BR56" s="100">
        <v>4.2020016425979039</v>
      </c>
      <c r="BS56" s="100">
        <v>4124.684812374102</v>
      </c>
      <c r="BT56" s="100">
        <v>7.6103903399633115</v>
      </c>
      <c r="BU56" s="100">
        <v>7470.359157707986</v>
      </c>
      <c r="BV56" s="100">
        <v>6.7384646422911896</v>
      </c>
      <c r="BW56" s="100">
        <v>6614.4768928730309</v>
      </c>
      <c r="BX56" s="100">
        <v>5.257804563140307</v>
      </c>
      <c r="BY56" s="100">
        <v>5161.0609591785251</v>
      </c>
      <c r="BZ56" s="100">
        <v>7.3612050400195784E-4</v>
      </c>
      <c r="CA56" s="100">
        <v>0.72257588672832174</v>
      </c>
      <c r="CB56" s="100">
        <v>6.1947457974425104</v>
      </c>
      <c r="CC56" s="100">
        <v>6080.7624747695672</v>
      </c>
      <c r="CD56" s="100">
        <v>0.46707467181895335</v>
      </c>
      <c r="CE56" s="100">
        <v>458.48049785748458</v>
      </c>
      <c r="CF56" s="100">
        <v>9.1369175187767393</v>
      </c>
      <c r="CG56" s="100">
        <v>8968.7982364312466</v>
      </c>
      <c r="CH56" s="100">
        <v>10</v>
      </c>
      <c r="CI56" s="100">
        <v>9816</v>
      </c>
      <c r="CJ56" s="100">
        <v>4.4186104272087565</v>
      </c>
      <c r="CK56" s="100">
        <v>4337.3079953481147</v>
      </c>
      <c r="CL56" s="100">
        <v>0.63909761870535708</v>
      </c>
      <c r="CM56" s="100">
        <v>627.33822252117841</v>
      </c>
      <c r="CN56" s="100">
        <v>6.2164009336743105</v>
      </c>
      <c r="CO56" s="100">
        <v>6102.0191564947027</v>
      </c>
      <c r="CP56" s="100">
        <v>6.9150068645552514</v>
      </c>
      <c r="CQ56" s="100">
        <v>6787.7707382474346</v>
      </c>
      <c r="CR56" s="100">
        <v>6.6462477079628979</v>
      </c>
      <c r="CS56" s="100">
        <v>6523.9567501363799</v>
      </c>
      <c r="CT56" s="100">
        <v>6.2454172054798409</v>
      </c>
      <c r="CU56" s="100">
        <v>6130.5015288990116</v>
      </c>
    </row>
    <row r="57" spans="2:99">
      <c r="C57" s="99" t="s">
        <v>223</v>
      </c>
      <c r="D57" s="100">
        <v>6.1914922604858038</v>
      </c>
      <c r="E57" s="100">
        <v>8737.433877997566</v>
      </c>
      <c r="F57" s="100">
        <v>1.6485207806833606</v>
      </c>
      <c r="G57" s="100">
        <v>2326.3925257003584</v>
      </c>
      <c r="H57" s="100">
        <v>5.6551231593837919E-4</v>
      </c>
      <c r="I57" s="100">
        <v>0.79805098025224075</v>
      </c>
      <c r="J57" s="100">
        <v>6.0002830900382076</v>
      </c>
      <c r="K57" s="100">
        <v>8467.5994966619182</v>
      </c>
      <c r="L57" s="100">
        <v>5.3083491394460927</v>
      </c>
      <c r="M57" s="100">
        <v>7491.1423055863261</v>
      </c>
      <c r="N57" s="100">
        <v>7.8848288491471834</v>
      </c>
      <c r="O57" s="100">
        <v>11127.070471916506</v>
      </c>
      <c r="P57" s="100">
        <v>6</v>
      </c>
      <c r="Q57" s="100">
        <v>8467.2000000000007</v>
      </c>
      <c r="R57" s="100">
        <v>8.6201363508063693</v>
      </c>
      <c r="S57" s="100">
        <v>12164.736418257949</v>
      </c>
      <c r="T57" s="100">
        <v>6.4900003334780987</v>
      </c>
      <c r="U57" s="100">
        <v>9158.6884706042929</v>
      </c>
      <c r="V57" s="100">
        <v>4.9814264600412349E-4</v>
      </c>
      <c r="W57" s="100">
        <v>0.70297890204101909</v>
      </c>
      <c r="X57" s="100">
        <v>5.6167519007192714</v>
      </c>
      <c r="Y57" s="100">
        <v>7926.3602822950361</v>
      </c>
      <c r="Z57" s="100">
        <v>6</v>
      </c>
      <c r="AA57" s="100">
        <v>8467.2000000000007</v>
      </c>
      <c r="AB57" s="100">
        <v>9</v>
      </c>
      <c r="AC57" s="100">
        <v>12700.800000000001</v>
      </c>
      <c r="AD57" s="100">
        <v>4.8870285613474147</v>
      </c>
      <c r="AE57" s="100">
        <v>6896.5747057734716</v>
      </c>
      <c r="AF57" s="100">
        <v>6.1746479433869901</v>
      </c>
      <c r="AG57" s="100">
        <v>8713.66317770772</v>
      </c>
      <c r="AH57" s="100">
        <v>10</v>
      </c>
      <c r="AI57" s="100">
        <v>14112</v>
      </c>
      <c r="AJ57" s="100">
        <v>2.7687231550823701</v>
      </c>
      <c r="AK57" s="100">
        <v>3907.2221164522407</v>
      </c>
      <c r="AL57" s="100">
        <v>5.6052459369835699</v>
      </c>
      <c r="AM57" s="100">
        <v>7910.1230662712142</v>
      </c>
      <c r="AN57" s="100">
        <v>9.7969950724669363</v>
      </c>
      <c r="AO57" s="100">
        <v>13825.519446265342</v>
      </c>
      <c r="AP57" s="100">
        <v>5</v>
      </c>
      <c r="AQ57" s="100">
        <v>7056</v>
      </c>
      <c r="AR57" s="100">
        <v>6</v>
      </c>
      <c r="AS57" s="100">
        <v>8467.2000000000007</v>
      </c>
      <c r="AT57" s="100">
        <v>3.3994399727394562</v>
      </c>
      <c r="AU57" s="100">
        <v>4797.2896895299209</v>
      </c>
      <c r="AV57" s="100">
        <v>6</v>
      </c>
      <c r="AW57" s="100">
        <v>8467.2000000000007</v>
      </c>
      <c r="AX57" s="100">
        <v>4.7589642566354486</v>
      </c>
      <c r="AY57" s="100">
        <v>6715.8503589639449</v>
      </c>
      <c r="AZ57" s="100">
        <v>5</v>
      </c>
      <c r="BA57" s="100">
        <v>7056</v>
      </c>
      <c r="BB57" s="100">
        <v>9</v>
      </c>
      <c r="BC57" s="100">
        <v>12700.800000000001</v>
      </c>
      <c r="BD57" s="100">
        <v>6</v>
      </c>
      <c r="BE57" s="100">
        <v>8467.2000000000007</v>
      </c>
      <c r="BF57" s="100">
        <v>3.5045127376487293</v>
      </c>
      <c r="BG57" s="100">
        <v>4945.5683753698868</v>
      </c>
      <c r="BH57" s="100">
        <v>5.0401365046539475</v>
      </c>
      <c r="BI57" s="100">
        <v>7112.6406353676512</v>
      </c>
      <c r="BJ57" s="100">
        <v>10</v>
      </c>
      <c r="BK57" s="100">
        <v>14112</v>
      </c>
      <c r="BL57" s="100">
        <v>7</v>
      </c>
      <c r="BM57" s="100">
        <v>9878.4</v>
      </c>
      <c r="BN57" s="100">
        <v>7</v>
      </c>
      <c r="BO57" s="100">
        <v>9878.4</v>
      </c>
      <c r="BP57" s="100">
        <v>0.88485122722334031</v>
      </c>
      <c r="BQ57" s="100">
        <v>1248.7020518575778</v>
      </c>
      <c r="BR57" s="100">
        <v>9</v>
      </c>
      <c r="BS57" s="100">
        <v>12700.800000000001</v>
      </c>
      <c r="BT57" s="100">
        <v>7</v>
      </c>
      <c r="BU57" s="100">
        <v>9878.4</v>
      </c>
      <c r="BV57" s="100">
        <v>8</v>
      </c>
      <c r="BW57" s="100">
        <v>11289.6</v>
      </c>
      <c r="BX57" s="100">
        <v>1.8471567611769908</v>
      </c>
      <c r="BY57" s="100">
        <v>2606.7076213729697</v>
      </c>
      <c r="BZ57" s="100">
        <v>9</v>
      </c>
      <c r="CA57" s="100">
        <v>12700.800000000001</v>
      </c>
      <c r="CB57" s="100">
        <v>3.5187554473561846</v>
      </c>
      <c r="CC57" s="100">
        <v>4965.6676873090482</v>
      </c>
      <c r="CD57" s="100">
        <v>6</v>
      </c>
      <c r="CE57" s="100">
        <v>8467.2000000000007</v>
      </c>
      <c r="CF57" s="100">
        <v>5.2426641872486792</v>
      </c>
      <c r="CG57" s="100">
        <v>7398.4477010453365</v>
      </c>
      <c r="CH57" s="100">
        <v>8</v>
      </c>
      <c r="CI57" s="100">
        <v>11289.6</v>
      </c>
      <c r="CJ57" s="100">
        <v>6</v>
      </c>
      <c r="CK57" s="100">
        <v>8467.2000000000007</v>
      </c>
      <c r="CL57" s="100">
        <v>7</v>
      </c>
      <c r="CM57" s="100">
        <v>9878.4</v>
      </c>
      <c r="CN57" s="100">
        <v>6</v>
      </c>
      <c r="CO57" s="100">
        <v>8467.2000000000007</v>
      </c>
      <c r="CP57" s="100">
        <v>8.9941031219813112</v>
      </c>
      <c r="CQ57" s="100">
        <v>12692.478325740027</v>
      </c>
      <c r="CR57" s="100">
        <v>5.6551231593926987E-4</v>
      </c>
      <c r="CS57" s="100">
        <v>0.79805098025349763</v>
      </c>
      <c r="CT57" s="100">
        <v>8.7202355521184032</v>
      </c>
      <c r="CU57" s="100">
        <v>12305.99641114949</v>
      </c>
    </row>
    <row r="58" spans="2:99">
      <c r="C58" s="99" t="s">
        <v>224</v>
      </c>
      <c r="D58" s="100">
        <v>6.6031066996875376</v>
      </c>
      <c r="E58" s="100">
        <v>7773.1772068721693</v>
      </c>
      <c r="F58" s="100">
        <v>3.0680407921710011</v>
      </c>
      <c r="G58" s="100">
        <v>3611.6976205437027</v>
      </c>
      <c r="H58" s="100">
        <v>4.9029545201824227</v>
      </c>
      <c r="I58" s="100">
        <v>5771.7580611587482</v>
      </c>
      <c r="J58" s="100">
        <v>3.2982340804624526</v>
      </c>
      <c r="K58" s="100">
        <v>3882.6811595203994</v>
      </c>
      <c r="L58" s="100">
        <v>7.0012902292988635</v>
      </c>
      <c r="M58" s="100">
        <v>8241.9188579306228</v>
      </c>
      <c r="N58" s="100">
        <v>9</v>
      </c>
      <c r="O58" s="100">
        <v>10594.800000000001</v>
      </c>
      <c r="P58" s="100">
        <v>3.825284728378513</v>
      </c>
      <c r="Q58" s="100">
        <v>4503.1251822471859</v>
      </c>
      <c r="R58" s="100">
        <v>10</v>
      </c>
      <c r="S58" s="100">
        <v>11772</v>
      </c>
      <c r="T58" s="100">
        <v>8.0110228235878598</v>
      </c>
      <c r="U58" s="100">
        <v>9430.5760679276282</v>
      </c>
      <c r="V58" s="100">
        <v>6.0247574679836138</v>
      </c>
      <c r="W58" s="100">
        <v>7092.3444913103103</v>
      </c>
      <c r="X58" s="100">
        <v>2.5622662415076234</v>
      </c>
      <c r="Y58" s="100">
        <v>3016.2998195027744</v>
      </c>
      <c r="Z58" s="100">
        <v>2.1875477396292475</v>
      </c>
      <c r="AA58" s="100">
        <v>2575.1811990915503</v>
      </c>
      <c r="AB58" s="100">
        <v>9</v>
      </c>
      <c r="AC58" s="100">
        <v>10594.800000000001</v>
      </c>
      <c r="AD58" s="100">
        <v>8.8595651273333296</v>
      </c>
      <c r="AE58" s="100">
        <v>10429.480067896797</v>
      </c>
      <c r="AF58" s="100">
        <v>7.8677828519768189</v>
      </c>
      <c r="AG58" s="100">
        <v>9261.953973347112</v>
      </c>
      <c r="AH58" s="100">
        <v>11</v>
      </c>
      <c r="AI58" s="100">
        <v>12949.2</v>
      </c>
      <c r="AJ58" s="100">
        <v>6.2185780814441314</v>
      </c>
      <c r="AK58" s="100">
        <v>7320.5101174760321</v>
      </c>
      <c r="AL58" s="100">
        <v>3.694235885793693</v>
      </c>
      <c r="AM58" s="100">
        <v>4348.8544847563353</v>
      </c>
      <c r="AN58" s="100">
        <v>8.6195640398292142</v>
      </c>
      <c r="AO58" s="100">
        <v>10146.950787686952</v>
      </c>
      <c r="AP58" s="100">
        <v>1.9584079792377502</v>
      </c>
      <c r="AQ58" s="100">
        <v>2305.4378731586798</v>
      </c>
      <c r="AR58" s="100">
        <v>4.1891491690660914</v>
      </c>
      <c r="AS58" s="100">
        <v>4931.4664018246031</v>
      </c>
      <c r="AT58" s="100">
        <v>7</v>
      </c>
      <c r="AU58" s="100">
        <v>8240.4</v>
      </c>
      <c r="AV58" s="100">
        <v>7</v>
      </c>
      <c r="AW58" s="100">
        <v>8240.4</v>
      </c>
      <c r="AX58" s="100">
        <v>6</v>
      </c>
      <c r="AY58" s="100">
        <v>7063.2000000000007</v>
      </c>
      <c r="AZ58" s="100">
        <v>6</v>
      </c>
      <c r="BA58" s="100">
        <v>7063.2000000000007</v>
      </c>
      <c r="BB58" s="100">
        <v>8.4529618052284885</v>
      </c>
      <c r="BC58" s="100">
        <v>9950.8266371149766</v>
      </c>
      <c r="BD58" s="100">
        <v>4.4226950130077691</v>
      </c>
      <c r="BE58" s="100">
        <v>5206.3965693127457</v>
      </c>
      <c r="BF58" s="100">
        <v>5.2761408092613811E-4</v>
      </c>
      <c r="BG58" s="100">
        <v>0.62110729606624981</v>
      </c>
      <c r="BH58" s="100">
        <v>7</v>
      </c>
      <c r="BI58" s="100">
        <v>8240.4</v>
      </c>
      <c r="BJ58" s="100">
        <v>6.3248861529839102</v>
      </c>
      <c r="BK58" s="100">
        <v>7445.6559792926591</v>
      </c>
      <c r="BL58" s="100">
        <v>7.6012206034616154</v>
      </c>
      <c r="BM58" s="100">
        <v>8948.1568943950133</v>
      </c>
      <c r="BN58" s="100">
        <v>6</v>
      </c>
      <c r="BO58" s="100">
        <v>7063.2000000000007</v>
      </c>
      <c r="BP58" s="100">
        <v>6</v>
      </c>
      <c r="BQ58" s="100">
        <v>7063.2000000000007</v>
      </c>
      <c r="BR58" s="100">
        <v>7.9161074581060449</v>
      </c>
      <c r="BS58" s="100">
        <v>9318.8416996824362</v>
      </c>
      <c r="BT58" s="100">
        <v>8</v>
      </c>
      <c r="BU58" s="100">
        <v>9417.6</v>
      </c>
      <c r="BV58" s="100">
        <v>7</v>
      </c>
      <c r="BW58" s="100">
        <v>8240.4</v>
      </c>
      <c r="BX58" s="100">
        <v>8</v>
      </c>
      <c r="BY58" s="100">
        <v>9417.6</v>
      </c>
      <c r="BZ58" s="100">
        <v>0.44465161641094186</v>
      </c>
      <c r="CA58" s="100">
        <v>523.4438828389608</v>
      </c>
      <c r="CB58" s="100">
        <v>10</v>
      </c>
      <c r="CC58" s="100">
        <v>11772</v>
      </c>
      <c r="CD58" s="100">
        <v>1.971714643766366</v>
      </c>
      <c r="CE58" s="100">
        <v>2321.1024786417661</v>
      </c>
      <c r="CF58" s="100">
        <v>8</v>
      </c>
      <c r="CG58" s="100">
        <v>9417.6</v>
      </c>
      <c r="CH58" s="100">
        <v>3.0457699799674018</v>
      </c>
      <c r="CI58" s="100">
        <v>3585.4804204176257</v>
      </c>
      <c r="CJ58" s="100">
        <v>7</v>
      </c>
      <c r="CK58" s="100">
        <v>8240.4</v>
      </c>
      <c r="CL58" s="100">
        <v>9</v>
      </c>
      <c r="CM58" s="100">
        <v>10594.800000000001</v>
      </c>
      <c r="CN58" s="100">
        <v>5</v>
      </c>
      <c r="CO58" s="100">
        <v>5886</v>
      </c>
      <c r="CP58" s="100">
        <v>3.5970200798592291</v>
      </c>
      <c r="CQ58" s="100">
        <v>4234.412038010285</v>
      </c>
      <c r="CR58" s="100">
        <v>9</v>
      </c>
      <c r="CS58" s="100">
        <v>10594.800000000001</v>
      </c>
      <c r="CT58" s="100">
        <v>4.9105726499434672</v>
      </c>
      <c r="CU58" s="100">
        <v>5780.7261235134501</v>
      </c>
    </row>
    <row r="59" spans="2:99">
      <c r="C59" s="99" t="s">
        <v>225</v>
      </c>
      <c r="D59" s="100">
        <v>7.2393653256072543</v>
      </c>
      <c r="E59" s="100">
        <v>2197.8713128543623</v>
      </c>
      <c r="F59" s="100">
        <v>1.6612614388154272</v>
      </c>
      <c r="G59" s="100">
        <v>504.35897282436366</v>
      </c>
      <c r="H59" s="100">
        <v>6.5976436859477565E-4</v>
      </c>
      <c r="I59" s="100">
        <v>0.20030446230537385</v>
      </c>
      <c r="J59" s="100">
        <v>6.0002830900382076</v>
      </c>
      <c r="K59" s="100">
        <v>1821.6859461355996</v>
      </c>
      <c r="L59" s="100">
        <v>5.3083491394460927</v>
      </c>
      <c r="M59" s="100">
        <v>1611.6147987358336</v>
      </c>
      <c r="N59" s="100">
        <v>8.7609209434968722</v>
      </c>
      <c r="O59" s="100">
        <v>2659.8155984456503</v>
      </c>
      <c r="P59" s="100">
        <v>7</v>
      </c>
      <c r="Q59" s="100">
        <v>2125.1999999999998</v>
      </c>
      <c r="R59" s="100">
        <v>9.4037851099705847</v>
      </c>
      <c r="S59" s="100">
        <v>2854.9891593870693</v>
      </c>
      <c r="T59" s="100">
        <v>6.4900003334780987</v>
      </c>
      <c r="U59" s="100">
        <v>1970.3641012439505</v>
      </c>
      <c r="V59" s="100">
        <v>6.6419019467216461E-4</v>
      </c>
      <c r="W59" s="100">
        <v>0.20164814310246915</v>
      </c>
      <c r="X59" s="100">
        <v>6.5528772175058165</v>
      </c>
      <c r="Y59" s="100">
        <v>1989.4535232347657</v>
      </c>
      <c r="Z59" s="100">
        <v>6</v>
      </c>
      <c r="AA59" s="100">
        <v>1821.6</v>
      </c>
      <c r="AB59" s="100">
        <v>9</v>
      </c>
      <c r="AC59" s="100">
        <v>2732.3999999999996</v>
      </c>
      <c r="AD59" s="100">
        <v>5.4979071315158423</v>
      </c>
      <c r="AE59" s="100">
        <v>1669.1646051282096</v>
      </c>
      <c r="AF59" s="100">
        <v>7.4095775320643877</v>
      </c>
      <c r="AG59" s="100">
        <v>2249.5477387347478</v>
      </c>
      <c r="AH59" s="100">
        <v>10</v>
      </c>
      <c r="AI59" s="100">
        <v>3035.9999999999995</v>
      </c>
      <c r="AJ59" s="100">
        <v>3.2301770142627655</v>
      </c>
      <c r="AK59" s="100">
        <v>980.68174153017549</v>
      </c>
      <c r="AL59" s="100">
        <v>7.4736612493114274</v>
      </c>
      <c r="AM59" s="100">
        <v>2269.003555290949</v>
      </c>
      <c r="AN59" s="100">
        <v>9.7969950724669363</v>
      </c>
      <c r="AO59" s="100">
        <v>2974.3677040009616</v>
      </c>
      <c r="AP59" s="100">
        <v>7</v>
      </c>
      <c r="AQ59" s="100">
        <v>2125.1999999999998</v>
      </c>
      <c r="AR59" s="100">
        <v>6</v>
      </c>
      <c r="AS59" s="100">
        <v>1821.6</v>
      </c>
      <c r="AT59" s="100">
        <v>3.3994399727394562</v>
      </c>
      <c r="AU59" s="100">
        <v>1032.0699757236987</v>
      </c>
      <c r="AV59" s="100">
        <v>7</v>
      </c>
      <c r="AW59" s="100">
        <v>2125.1999999999998</v>
      </c>
      <c r="AX59" s="100">
        <v>4.7589642566354486</v>
      </c>
      <c r="AY59" s="100">
        <v>1444.821548314522</v>
      </c>
      <c r="AZ59" s="100">
        <v>6</v>
      </c>
      <c r="BA59" s="100">
        <v>1821.6</v>
      </c>
      <c r="BB59" s="100">
        <v>10</v>
      </c>
      <c r="BC59" s="100">
        <v>3035.9999999999995</v>
      </c>
      <c r="BD59" s="100">
        <v>6</v>
      </c>
      <c r="BE59" s="100">
        <v>1821.6</v>
      </c>
      <c r="BF59" s="100">
        <v>3.9425768298548203</v>
      </c>
      <c r="BG59" s="100">
        <v>1196.9663255439234</v>
      </c>
      <c r="BH59" s="100">
        <v>5.7601560053187972</v>
      </c>
      <c r="BI59" s="100">
        <v>1748.7833632147867</v>
      </c>
      <c r="BJ59" s="100">
        <v>10</v>
      </c>
      <c r="BK59" s="100">
        <v>3035.9999999999995</v>
      </c>
      <c r="BL59" s="100">
        <v>7</v>
      </c>
      <c r="BM59" s="100">
        <v>2125.1999999999998</v>
      </c>
      <c r="BN59" s="100">
        <v>8</v>
      </c>
      <c r="BO59" s="100">
        <v>2428.7999999999997</v>
      </c>
      <c r="BP59" s="100">
        <v>1.0323264317605636</v>
      </c>
      <c r="BQ59" s="100">
        <v>313.41430468250707</v>
      </c>
      <c r="BR59" s="100">
        <v>10</v>
      </c>
      <c r="BS59" s="100">
        <v>3035.9999999999995</v>
      </c>
      <c r="BT59" s="100">
        <v>8</v>
      </c>
      <c r="BU59" s="100">
        <v>2428.7999999999997</v>
      </c>
      <c r="BV59" s="100">
        <v>9</v>
      </c>
      <c r="BW59" s="100">
        <v>2732.3999999999996</v>
      </c>
      <c r="BX59" s="100">
        <v>1.8471567611769908</v>
      </c>
      <c r="BY59" s="100">
        <v>560.7967926933344</v>
      </c>
      <c r="BZ59" s="100">
        <v>10</v>
      </c>
      <c r="CA59" s="100">
        <v>3035.9999999999995</v>
      </c>
      <c r="CB59" s="100">
        <v>3.9097282748402051</v>
      </c>
      <c r="CC59" s="100">
        <v>1186.9935042414861</v>
      </c>
      <c r="CD59" s="100">
        <v>8</v>
      </c>
      <c r="CE59" s="100">
        <v>2428.7999999999997</v>
      </c>
      <c r="CF59" s="100">
        <v>5.2426641872486792</v>
      </c>
      <c r="CG59" s="100">
        <v>1591.6728472486989</v>
      </c>
      <c r="CH59" s="100">
        <v>11</v>
      </c>
      <c r="CI59" s="100">
        <v>3339.5999999999995</v>
      </c>
      <c r="CJ59" s="100">
        <v>7</v>
      </c>
      <c r="CK59" s="100">
        <v>2125.1999999999998</v>
      </c>
      <c r="CL59" s="100">
        <v>9</v>
      </c>
      <c r="CM59" s="100">
        <v>2732.3999999999996</v>
      </c>
      <c r="CN59" s="100">
        <v>7</v>
      </c>
      <c r="CO59" s="100">
        <v>2125.1999999999998</v>
      </c>
      <c r="CP59" s="100">
        <v>9.9934479133125667</v>
      </c>
      <c r="CQ59" s="100">
        <v>3034.010786481695</v>
      </c>
      <c r="CR59" s="100">
        <v>5.6551231593926987E-4</v>
      </c>
      <c r="CS59" s="100">
        <v>0.17168953911916232</v>
      </c>
      <c r="CT59" s="100">
        <v>8.7202355521184032</v>
      </c>
      <c r="CU59" s="100">
        <v>2647.4635136231468</v>
      </c>
    </row>
    <row r="60" spans="2:99">
      <c r="C60" s="99" t="s">
        <v>226</v>
      </c>
      <c r="D60" s="100">
        <v>6.2393653256072543</v>
      </c>
      <c r="E60" s="100">
        <v>4065.5704461656869</v>
      </c>
      <c r="F60" s="100">
        <v>1.6612614388154272</v>
      </c>
      <c r="G60" s="100">
        <v>1082.4779535321325</v>
      </c>
      <c r="H60" s="100">
        <v>5.6551231593837919E-4</v>
      </c>
      <c r="I60" s="100">
        <v>0.36848782506544792</v>
      </c>
      <c r="J60" s="100">
        <v>7.0002830900382076</v>
      </c>
      <c r="K60" s="100">
        <v>4561.384461468896</v>
      </c>
      <c r="L60" s="100">
        <v>5.3083491394460927</v>
      </c>
      <c r="M60" s="100">
        <v>3458.920299263074</v>
      </c>
      <c r="N60" s="100">
        <v>9.6370130378465575</v>
      </c>
      <c r="O60" s="100">
        <v>6279.4776954608169</v>
      </c>
      <c r="P60" s="100">
        <v>7</v>
      </c>
      <c r="Q60" s="100">
        <v>4561.2</v>
      </c>
      <c r="R60" s="100">
        <v>9.4037851099705847</v>
      </c>
      <c r="S60" s="100">
        <v>6127.5063776568331</v>
      </c>
      <c r="T60" s="100">
        <v>6.4900003334780987</v>
      </c>
      <c r="U60" s="100">
        <v>4228.8842172943296</v>
      </c>
      <c r="V60" s="100">
        <v>6.6419019467216461E-4</v>
      </c>
      <c r="W60" s="100">
        <v>0.43278633084838247</v>
      </c>
      <c r="X60" s="100">
        <v>7.4890025342923616</v>
      </c>
      <c r="Y60" s="100">
        <v>4879.8340513449029</v>
      </c>
      <c r="Z60" s="100">
        <v>6</v>
      </c>
      <c r="AA60" s="100">
        <v>3909.6000000000004</v>
      </c>
      <c r="AB60" s="100">
        <v>9</v>
      </c>
      <c r="AC60" s="100">
        <v>5864.4000000000005</v>
      </c>
      <c r="AD60" s="100">
        <v>5.4979071315158423</v>
      </c>
      <c r="AE60" s="100">
        <v>3582.4362868957228</v>
      </c>
      <c r="AF60" s="100">
        <v>6.1746479433869901</v>
      </c>
      <c r="AG60" s="100">
        <v>4023.4005999109627</v>
      </c>
      <c r="AH60" s="100">
        <v>12</v>
      </c>
      <c r="AI60" s="100">
        <v>7819.2000000000007</v>
      </c>
      <c r="AJ60" s="100">
        <v>3.2301770142627655</v>
      </c>
      <c r="AK60" s="100">
        <v>2104.783342493618</v>
      </c>
      <c r="AL60" s="100">
        <v>6.5394535931474982</v>
      </c>
      <c r="AM60" s="100">
        <v>4261.1079612949097</v>
      </c>
      <c r="AN60" s="100">
        <v>9.7969950724669363</v>
      </c>
      <c r="AO60" s="100">
        <v>6383.7219892194562</v>
      </c>
      <c r="AP60" s="100">
        <v>6</v>
      </c>
      <c r="AQ60" s="100">
        <v>3909.6000000000004</v>
      </c>
      <c r="AR60" s="100">
        <v>6</v>
      </c>
      <c r="AS60" s="100">
        <v>3909.6000000000004</v>
      </c>
      <c r="AT60" s="100">
        <v>3.9660133015293662</v>
      </c>
      <c r="AU60" s="100">
        <v>2584.2542672765353</v>
      </c>
      <c r="AV60" s="100">
        <v>8</v>
      </c>
      <c r="AW60" s="100">
        <v>5212.8</v>
      </c>
      <c r="AX60" s="100">
        <v>4.7589642566354486</v>
      </c>
      <c r="AY60" s="100">
        <v>3100.9411096236586</v>
      </c>
      <c r="AZ60" s="100">
        <v>6</v>
      </c>
      <c r="BA60" s="100">
        <v>3909.6000000000004</v>
      </c>
      <c r="BB60" s="100">
        <v>11</v>
      </c>
      <c r="BC60" s="100">
        <v>7167.6</v>
      </c>
      <c r="BD60" s="100">
        <v>6</v>
      </c>
      <c r="BE60" s="100">
        <v>3909.6000000000004</v>
      </c>
      <c r="BF60" s="100">
        <v>3.9425768298548203</v>
      </c>
      <c r="BG60" s="100">
        <v>2568.983062333401</v>
      </c>
      <c r="BH60" s="100">
        <v>5.7601560053187972</v>
      </c>
      <c r="BI60" s="100">
        <v>3753.3176530657283</v>
      </c>
      <c r="BJ60" s="100">
        <v>9</v>
      </c>
      <c r="BK60" s="100">
        <v>5864.4000000000005</v>
      </c>
      <c r="BL60" s="100">
        <v>8</v>
      </c>
      <c r="BM60" s="100">
        <v>5212.8</v>
      </c>
      <c r="BN60" s="100">
        <v>8</v>
      </c>
      <c r="BO60" s="100">
        <v>5212.8</v>
      </c>
      <c r="BP60" s="100">
        <v>1.0323264317605636</v>
      </c>
      <c r="BQ60" s="100">
        <v>672.66390293518327</v>
      </c>
      <c r="BR60" s="100">
        <v>10</v>
      </c>
      <c r="BS60" s="100">
        <v>6516</v>
      </c>
      <c r="BT60" s="100">
        <v>8</v>
      </c>
      <c r="BU60" s="100">
        <v>5212.8</v>
      </c>
      <c r="BV60" s="100">
        <v>8</v>
      </c>
      <c r="BW60" s="100">
        <v>5212.8</v>
      </c>
      <c r="BX60" s="100">
        <v>1.8471567611769908</v>
      </c>
      <c r="BY60" s="100">
        <v>1203.6073455829273</v>
      </c>
      <c r="BZ60" s="100">
        <v>12</v>
      </c>
      <c r="CA60" s="100">
        <v>7819.2000000000007</v>
      </c>
      <c r="CB60" s="100">
        <v>4.3007011023242256</v>
      </c>
      <c r="CC60" s="100">
        <v>2802.3368382744657</v>
      </c>
      <c r="CD60" s="100">
        <v>7</v>
      </c>
      <c r="CE60" s="100">
        <v>4561.2</v>
      </c>
      <c r="CF60" s="100">
        <v>5.8251824302763096</v>
      </c>
      <c r="CG60" s="100">
        <v>3795.6888715680434</v>
      </c>
      <c r="CH60" s="100">
        <v>10</v>
      </c>
      <c r="CI60" s="100">
        <v>6516</v>
      </c>
      <c r="CJ60" s="100">
        <v>7</v>
      </c>
      <c r="CK60" s="100">
        <v>4561.2</v>
      </c>
      <c r="CL60" s="100">
        <v>9</v>
      </c>
      <c r="CM60" s="100">
        <v>5864.4000000000005</v>
      </c>
      <c r="CN60" s="100">
        <v>6</v>
      </c>
      <c r="CO60" s="100">
        <v>3909.6000000000004</v>
      </c>
      <c r="CP60" s="100">
        <v>9.9934479133125667</v>
      </c>
      <c r="CQ60" s="100">
        <v>6511.7306603144689</v>
      </c>
      <c r="CR60" s="100">
        <v>5.026776141682398E-4</v>
      </c>
      <c r="CS60" s="100">
        <v>0.32754473339202506</v>
      </c>
      <c r="CT60" s="100">
        <v>8.7202355521184032</v>
      </c>
      <c r="CU60" s="100">
        <v>5682.1054857603513</v>
      </c>
    </row>
    <row r="61" spans="2:99">
      <c r="C61" s="99" t="s">
        <v>227</v>
      </c>
      <c r="D61" s="100">
        <v>6.2393653256072543</v>
      </c>
      <c r="E61" s="100">
        <v>5937.3800438478629</v>
      </c>
      <c r="F61" s="100">
        <v>1.6740020969474938</v>
      </c>
      <c r="G61" s="100">
        <v>1592.9803954552349</v>
      </c>
      <c r="H61" s="100">
        <v>6.5976436859477565E-4</v>
      </c>
      <c r="I61" s="100">
        <v>0.62783177315478844</v>
      </c>
      <c r="J61" s="100">
        <v>6.0002830900382076</v>
      </c>
      <c r="K61" s="100">
        <v>5709.8693884803579</v>
      </c>
      <c r="L61" s="100">
        <v>5.3083491394460927</v>
      </c>
      <c r="M61" s="100">
        <v>5051.4250410969016</v>
      </c>
      <c r="N61" s="100">
        <v>9.6370130378465575</v>
      </c>
      <c r="O61" s="100">
        <v>9170.5816068147833</v>
      </c>
      <c r="P61" s="100">
        <v>6</v>
      </c>
      <c r="Q61" s="100">
        <v>5709.5999999999995</v>
      </c>
      <c r="R61" s="100">
        <v>7.836487591642153</v>
      </c>
      <c r="S61" s="100">
        <v>7457.2015922066721</v>
      </c>
      <c r="T61" s="100">
        <v>6.4900003334780987</v>
      </c>
      <c r="U61" s="100">
        <v>6175.8843173377581</v>
      </c>
      <c r="V61" s="100">
        <v>4.9814264600412349E-4</v>
      </c>
      <c r="W61" s="100">
        <v>0.47403254193752387</v>
      </c>
      <c r="X61" s="100">
        <v>6.5528772175058165</v>
      </c>
      <c r="Y61" s="100">
        <v>6235.7179601785347</v>
      </c>
      <c r="Z61" s="100">
        <v>6</v>
      </c>
      <c r="AA61" s="100">
        <v>5709.5999999999995</v>
      </c>
      <c r="AB61" s="100">
        <v>9</v>
      </c>
      <c r="AC61" s="100">
        <v>8564.4</v>
      </c>
      <c r="AD61" s="100">
        <v>5.4979071315158423</v>
      </c>
      <c r="AE61" s="100">
        <v>5231.8084263504752</v>
      </c>
      <c r="AF61" s="100">
        <v>6.7921127377256889</v>
      </c>
      <c r="AG61" s="100">
        <v>6463.3744812197647</v>
      </c>
      <c r="AH61" s="100">
        <v>11</v>
      </c>
      <c r="AI61" s="100">
        <v>10467.599999999999</v>
      </c>
      <c r="AJ61" s="100">
        <v>3.6916308734431604</v>
      </c>
      <c r="AK61" s="100">
        <v>3512.9559391685111</v>
      </c>
      <c r="AL61" s="100">
        <v>6.5394535931474982</v>
      </c>
      <c r="AM61" s="100">
        <v>6222.9440392391589</v>
      </c>
      <c r="AN61" s="100">
        <v>9.7969950724669363</v>
      </c>
      <c r="AO61" s="100">
        <v>9322.8205109595365</v>
      </c>
      <c r="AP61" s="100">
        <v>6</v>
      </c>
      <c r="AQ61" s="100">
        <v>5709.5999999999995</v>
      </c>
      <c r="AR61" s="100">
        <v>6</v>
      </c>
      <c r="AS61" s="100">
        <v>5709.5999999999995</v>
      </c>
      <c r="AT61" s="100">
        <v>3.9660133015293662</v>
      </c>
      <c r="AU61" s="100">
        <v>3774.0582577353443</v>
      </c>
      <c r="AV61" s="100">
        <v>7</v>
      </c>
      <c r="AW61" s="100">
        <v>6661.1999999999989</v>
      </c>
      <c r="AX61" s="100">
        <v>4.7589642566354486</v>
      </c>
      <c r="AY61" s="100">
        <v>4528.6303866142925</v>
      </c>
      <c r="AZ61" s="100">
        <v>6</v>
      </c>
      <c r="BA61" s="100">
        <v>5709.5999999999995</v>
      </c>
      <c r="BB61" s="100">
        <v>10</v>
      </c>
      <c r="BC61" s="100">
        <v>9516</v>
      </c>
      <c r="BD61" s="100">
        <v>6</v>
      </c>
      <c r="BE61" s="100">
        <v>5709.5999999999995</v>
      </c>
      <c r="BF61" s="100">
        <v>4.3806409220609117</v>
      </c>
      <c r="BG61" s="100">
        <v>4168.6179014331628</v>
      </c>
      <c r="BH61" s="100">
        <v>5.7601560053187972</v>
      </c>
      <c r="BI61" s="100">
        <v>5481.3644546613668</v>
      </c>
      <c r="BJ61" s="100">
        <v>10</v>
      </c>
      <c r="BK61" s="100">
        <v>9516</v>
      </c>
      <c r="BL61" s="100">
        <v>7</v>
      </c>
      <c r="BM61" s="100">
        <v>6661.1999999999989</v>
      </c>
      <c r="BN61" s="100">
        <v>8</v>
      </c>
      <c r="BO61" s="100">
        <v>7612.7999999999993</v>
      </c>
      <c r="BP61" s="100">
        <v>1.0323264317605636</v>
      </c>
      <c r="BQ61" s="100">
        <v>982.36183246335224</v>
      </c>
      <c r="BR61" s="100">
        <v>10</v>
      </c>
      <c r="BS61" s="100">
        <v>9516</v>
      </c>
      <c r="BT61" s="100">
        <v>8</v>
      </c>
      <c r="BU61" s="100">
        <v>7612.7999999999993</v>
      </c>
      <c r="BV61" s="100">
        <v>7</v>
      </c>
      <c r="BW61" s="100">
        <v>6661.1999999999989</v>
      </c>
      <c r="BX61" s="100">
        <v>1.6162621660298668</v>
      </c>
      <c r="BY61" s="100">
        <v>1538.0350771940211</v>
      </c>
      <c r="BZ61" s="100">
        <v>12</v>
      </c>
      <c r="CA61" s="100">
        <v>11419.199999999999</v>
      </c>
      <c r="CB61" s="100">
        <v>3.9097282748402051</v>
      </c>
      <c r="CC61" s="100">
        <v>3720.497426337939</v>
      </c>
      <c r="CD61" s="100">
        <v>7</v>
      </c>
      <c r="CE61" s="100">
        <v>6661.1999999999989</v>
      </c>
      <c r="CF61" s="100">
        <v>5.2426641872486792</v>
      </c>
      <c r="CG61" s="100">
        <v>4988.919240585843</v>
      </c>
      <c r="CH61" s="100">
        <v>9</v>
      </c>
      <c r="CI61" s="100">
        <v>8564.4</v>
      </c>
      <c r="CJ61" s="100">
        <v>7</v>
      </c>
      <c r="CK61" s="100">
        <v>6661.1999999999989</v>
      </c>
      <c r="CL61" s="100">
        <v>8</v>
      </c>
      <c r="CM61" s="100">
        <v>7612.7999999999993</v>
      </c>
      <c r="CN61" s="100">
        <v>7</v>
      </c>
      <c r="CO61" s="100">
        <v>6661.1999999999989</v>
      </c>
      <c r="CP61" s="100">
        <v>8.9941031219813112</v>
      </c>
      <c r="CQ61" s="100">
        <v>8558.7885308774148</v>
      </c>
      <c r="CR61" s="100">
        <v>5.026776141682398E-4</v>
      </c>
      <c r="CS61" s="100">
        <v>0.47834801764249696</v>
      </c>
      <c r="CT61" s="100">
        <v>8.7202355521184032</v>
      </c>
      <c r="CU61" s="100">
        <v>8298.1761513958718</v>
      </c>
    </row>
    <row r="62" spans="2:99">
      <c r="C62" s="99" t="s">
        <v>228</v>
      </c>
      <c r="D62" s="100">
        <v>2.5312873918397538</v>
      </c>
      <c r="E62" s="100">
        <v>4225.2249144589168</v>
      </c>
      <c r="F62" s="100">
        <v>5.2956951931433345</v>
      </c>
      <c r="G62" s="100">
        <v>8839.5744163948548</v>
      </c>
      <c r="H62" s="100">
        <v>4.781537862807574</v>
      </c>
      <c r="I62" s="100">
        <v>7981.3430005984028</v>
      </c>
      <c r="J62" s="100">
        <v>4.9675865991953767</v>
      </c>
      <c r="K62" s="100">
        <v>8291.8955513769233</v>
      </c>
      <c r="L62" s="100">
        <v>3.246907555581807</v>
      </c>
      <c r="M62" s="100">
        <v>5419.7380917771525</v>
      </c>
      <c r="N62" s="100">
        <v>7.8629072049123749</v>
      </c>
      <c r="O62" s="100">
        <v>13124.764706439737</v>
      </c>
      <c r="P62" s="100">
        <v>4.1460996553645808</v>
      </c>
      <c r="Q62" s="100">
        <v>6920.6695447345583</v>
      </c>
      <c r="R62" s="100">
        <v>7.5310166490137584</v>
      </c>
      <c r="S62" s="100">
        <v>12570.772990533766</v>
      </c>
      <c r="T62" s="100">
        <v>6.9691691338097979</v>
      </c>
      <c r="U62" s="100">
        <v>11632.937118155314</v>
      </c>
      <c r="V62" s="100">
        <v>4.3680114330984292</v>
      </c>
      <c r="W62" s="100">
        <v>7291.0846841278981</v>
      </c>
      <c r="X62" s="100">
        <v>3.8428956173867697</v>
      </c>
      <c r="Y62" s="100">
        <v>6414.5613645419962</v>
      </c>
      <c r="Z62" s="100">
        <v>4.5766755623856792</v>
      </c>
      <c r="AA62" s="100">
        <v>7639.3868487341761</v>
      </c>
      <c r="AB62" s="100">
        <v>2.165555958898929</v>
      </c>
      <c r="AC62" s="100">
        <v>3614.7460065940923</v>
      </c>
      <c r="AD62" s="100">
        <v>5.400396906824863</v>
      </c>
      <c r="AE62" s="100">
        <v>9014.3425168720623</v>
      </c>
      <c r="AF62" s="100">
        <v>7.3549809124240229</v>
      </c>
      <c r="AG62" s="100">
        <v>12276.93413901818</v>
      </c>
      <c r="AH62" s="100">
        <v>5.6165579990978669</v>
      </c>
      <c r="AI62" s="100">
        <v>9375.1586120941593</v>
      </c>
      <c r="AJ62" s="100">
        <v>6.3987693486634472</v>
      </c>
      <c r="AK62" s="100">
        <v>10680.825796789026</v>
      </c>
      <c r="AL62" s="100">
        <v>5.6805127024152845E-4</v>
      </c>
      <c r="AM62" s="100">
        <v>0.94819118028715932</v>
      </c>
      <c r="AN62" s="100">
        <v>7.5340267720556318</v>
      </c>
      <c r="AO62" s="100">
        <v>12575.797487915261</v>
      </c>
      <c r="AP62" s="100">
        <v>0.28781078763765494</v>
      </c>
      <c r="AQ62" s="100">
        <v>480.41376672477367</v>
      </c>
      <c r="AR62" s="100">
        <v>3.7374882950881729</v>
      </c>
      <c r="AS62" s="100">
        <v>6238.6154621611786</v>
      </c>
      <c r="AT62" s="100">
        <v>5.8745769280850091</v>
      </c>
      <c r="AU62" s="100">
        <v>9805.8438083594974</v>
      </c>
      <c r="AV62" s="100">
        <v>6</v>
      </c>
      <c r="AW62" s="100">
        <v>10015.200000000001</v>
      </c>
      <c r="AX62" s="100">
        <v>4.4291954777045879</v>
      </c>
      <c r="AY62" s="100">
        <v>7393.2130913844985</v>
      </c>
      <c r="AZ62" s="100">
        <v>4.7758688290962068</v>
      </c>
      <c r="BA62" s="100">
        <v>7971.8802495273885</v>
      </c>
      <c r="BB62" s="100">
        <v>6.1705555644931556</v>
      </c>
      <c r="BC62" s="100">
        <v>10299.891348251975</v>
      </c>
      <c r="BD62" s="100">
        <v>4.696542331045114</v>
      </c>
      <c r="BE62" s="100">
        <v>7839.4684589805047</v>
      </c>
      <c r="BF62" s="100">
        <v>0.45225512394867984</v>
      </c>
      <c r="BG62" s="100">
        <v>754.90425289513644</v>
      </c>
      <c r="BH62" s="100">
        <v>7.1555267571123329</v>
      </c>
      <c r="BI62" s="100">
        <v>11944.005262971907</v>
      </c>
      <c r="BJ62" s="100">
        <v>7.8141251016532092</v>
      </c>
      <c r="BK62" s="100">
        <v>13043.337619679538</v>
      </c>
      <c r="BL62" s="100">
        <v>5.013932945525327</v>
      </c>
      <c r="BM62" s="100">
        <v>8369.256872670876</v>
      </c>
      <c r="BN62" s="100">
        <v>0.38220376363097741</v>
      </c>
      <c r="BO62" s="100">
        <v>637.97452225282746</v>
      </c>
      <c r="BP62" s="100">
        <v>6.1646789237213371</v>
      </c>
      <c r="BQ62" s="100">
        <v>10290.082059475657</v>
      </c>
      <c r="BR62" s="100">
        <v>3.4380013439437391</v>
      </c>
      <c r="BS62" s="100">
        <v>5738.7118433108899</v>
      </c>
      <c r="BT62" s="100">
        <v>7.7629879249541389</v>
      </c>
      <c r="BU62" s="100">
        <v>12957.979444333449</v>
      </c>
      <c r="BV62" s="100">
        <v>5.8966411857489858</v>
      </c>
      <c r="BW62" s="100">
        <v>9842.673467252207</v>
      </c>
      <c r="BX62" s="100">
        <v>5.257804563140307</v>
      </c>
      <c r="BY62" s="100">
        <v>8776.3273767938008</v>
      </c>
      <c r="BZ62" s="100">
        <v>8.0781283907622699E-4</v>
      </c>
      <c r="CA62" s="100">
        <v>1.3484011909860381</v>
      </c>
      <c r="CB62" s="100">
        <v>6.1947215945708383</v>
      </c>
      <c r="CC62" s="100">
        <v>10340.229285657644</v>
      </c>
      <c r="CD62" s="100">
        <v>0.46707467181895335</v>
      </c>
      <c r="CE62" s="100">
        <v>779.64104220019692</v>
      </c>
      <c r="CF62" s="100">
        <v>9.1369175187767393</v>
      </c>
      <c r="CG62" s="100">
        <v>15251.342722342133</v>
      </c>
      <c r="CH62" s="100">
        <v>9.0150536853399785</v>
      </c>
      <c r="CI62" s="100">
        <v>15047.927611569492</v>
      </c>
      <c r="CJ62" s="100">
        <v>3.6820319691187704</v>
      </c>
      <c r="CK62" s="100">
        <v>6146.0477628530516</v>
      </c>
      <c r="CL62" s="100">
        <v>0.63909761870535708</v>
      </c>
      <c r="CM62" s="100">
        <v>1066.7817451429821</v>
      </c>
      <c r="CN62" s="100">
        <v>6.1854865145779803</v>
      </c>
      <c r="CO62" s="100">
        <v>10324.814090133565</v>
      </c>
      <c r="CP62" s="100">
        <v>6.9150068645552514</v>
      </c>
      <c r="CQ62" s="100">
        <v>11542.529458315626</v>
      </c>
      <c r="CR62" s="100">
        <v>5.3861548949805655</v>
      </c>
      <c r="CS62" s="100">
        <v>8990.5697507015611</v>
      </c>
      <c r="CT62" s="100">
        <v>6.2454172054798409</v>
      </c>
      <c r="CU62" s="100">
        <v>10424.850399386951</v>
      </c>
    </row>
    <row r="63" spans="2:99">
      <c r="C63" s="99" t="s">
        <v>229</v>
      </c>
      <c r="D63" s="100">
        <v>7.2393653256072543</v>
      </c>
      <c r="E63" s="100">
        <v>5759.6390530531316</v>
      </c>
      <c r="F63" s="100">
        <v>1.9211508011085765</v>
      </c>
      <c r="G63" s="100">
        <v>1528.4675773619836</v>
      </c>
      <c r="H63" s="100">
        <v>6.5976436859477565E-4</v>
      </c>
      <c r="I63" s="100">
        <v>0.52490853165400353</v>
      </c>
      <c r="J63" s="100">
        <v>6.0002830900382076</v>
      </c>
      <c r="K63" s="100">
        <v>4773.8252264343982</v>
      </c>
      <c r="L63" s="100">
        <v>5.3083491394460927</v>
      </c>
      <c r="M63" s="100">
        <v>4223.3225753433117</v>
      </c>
      <c r="N63" s="100">
        <v>8.7609209434968722</v>
      </c>
      <c r="O63" s="100">
        <v>6970.1887026461118</v>
      </c>
      <c r="P63" s="100">
        <v>6</v>
      </c>
      <c r="Q63" s="100">
        <v>4773.6000000000004</v>
      </c>
      <c r="R63" s="100">
        <v>7.836487591642153</v>
      </c>
      <c r="S63" s="100">
        <v>6234.7095279104969</v>
      </c>
      <c r="T63" s="100">
        <v>6.4900003334780987</v>
      </c>
      <c r="U63" s="100">
        <v>5163.4442653151755</v>
      </c>
      <c r="V63" s="100">
        <v>5.81166420338144E-4</v>
      </c>
      <c r="W63" s="100">
        <v>0.46237600402102735</v>
      </c>
      <c r="X63" s="100">
        <v>6.5528772175058165</v>
      </c>
      <c r="Y63" s="100">
        <v>5213.4691142476277</v>
      </c>
      <c r="Z63" s="100">
        <v>6</v>
      </c>
      <c r="AA63" s="100">
        <v>4773.6000000000004</v>
      </c>
      <c r="AB63" s="100">
        <v>9</v>
      </c>
      <c r="AC63" s="100">
        <v>7160.4000000000005</v>
      </c>
      <c r="AD63" s="100">
        <v>6.108785701684269</v>
      </c>
      <c r="AE63" s="100">
        <v>4860.1499042600044</v>
      </c>
      <c r="AF63" s="100">
        <v>6.7921127377256889</v>
      </c>
      <c r="AG63" s="100">
        <v>5403.8048941345578</v>
      </c>
      <c r="AH63" s="100">
        <v>11</v>
      </c>
      <c r="AI63" s="100">
        <v>8751.6</v>
      </c>
      <c r="AJ63" s="100">
        <v>3.2301770142627655</v>
      </c>
      <c r="AK63" s="100">
        <v>2569.9288325474563</v>
      </c>
      <c r="AL63" s="100">
        <v>5.6052459369835699</v>
      </c>
      <c r="AM63" s="100">
        <v>4459.5336674641285</v>
      </c>
      <c r="AN63" s="100">
        <v>8.8172955652202436</v>
      </c>
      <c r="AO63" s="100">
        <v>7015.0403516892256</v>
      </c>
      <c r="AP63" s="100">
        <v>5</v>
      </c>
      <c r="AQ63" s="100">
        <v>3978</v>
      </c>
      <c r="AR63" s="100">
        <v>6</v>
      </c>
      <c r="AS63" s="100">
        <v>4773.6000000000004</v>
      </c>
      <c r="AT63" s="100">
        <v>3.3994399727394562</v>
      </c>
      <c r="AU63" s="100">
        <v>2704.5944423115116</v>
      </c>
      <c r="AV63" s="100">
        <v>7</v>
      </c>
      <c r="AW63" s="100">
        <v>5569.2</v>
      </c>
      <c r="AX63" s="100">
        <v>3.9658035471962068</v>
      </c>
      <c r="AY63" s="100">
        <v>3155.1933021493023</v>
      </c>
      <c r="AZ63" s="100">
        <v>6</v>
      </c>
      <c r="BA63" s="100">
        <v>4773.6000000000004</v>
      </c>
      <c r="BB63" s="100">
        <v>10</v>
      </c>
      <c r="BC63" s="100">
        <v>7956</v>
      </c>
      <c r="BD63" s="100">
        <v>7</v>
      </c>
      <c r="BE63" s="100">
        <v>5569.2</v>
      </c>
      <c r="BF63" s="100">
        <v>4.3806409220609117</v>
      </c>
      <c r="BG63" s="100">
        <v>3485.2379175916612</v>
      </c>
      <c r="BH63" s="100">
        <v>6.480175505983647</v>
      </c>
      <c r="BI63" s="100">
        <v>5155.6276325605895</v>
      </c>
      <c r="BJ63" s="100">
        <v>10</v>
      </c>
      <c r="BK63" s="100">
        <v>7956</v>
      </c>
      <c r="BL63" s="100">
        <v>7</v>
      </c>
      <c r="BM63" s="100">
        <v>5569.2</v>
      </c>
      <c r="BN63" s="100">
        <v>7</v>
      </c>
      <c r="BO63" s="100">
        <v>5569.2</v>
      </c>
      <c r="BP63" s="100">
        <v>1.0323264317605636</v>
      </c>
      <c r="BQ63" s="100">
        <v>821.31890910870447</v>
      </c>
      <c r="BR63" s="100">
        <v>10</v>
      </c>
      <c r="BS63" s="100">
        <v>7956</v>
      </c>
      <c r="BT63" s="100">
        <v>8</v>
      </c>
      <c r="BU63" s="100">
        <v>6364.8</v>
      </c>
      <c r="BV63" s="100">
        <v>9</v>
      </c>
      <c r="BW63" s="100">
        <v>7160.4000000000005</v>
      </c>
      <c r="BX63" s="100">
        <v>1.8471567611769908</v>
      </c>
      <c r="BY63" s="100">
        <v>1469.5979191924139</v>
      </c>
      <c r="BZ63" s="100">
        <v>10</v>
      </c>
      <c r="CA63" s="100">
        <v>7956</v>
      </c>
      <c r="CB63" s="100">
        <v>3.9097282748402051</v>
      </c>
      <c r="CC63" s="100">
        <v>3110.5798154628674</v>
      </c>
      <c r="CD63" s="100">
        <v>7</v>
      </c>
      <c r="CE63" s="100">
        <v>5569.2</v>
      </c>
      <c r="CF63" s="100">
        <v>4.660145944221048</v>
      </c>
      <c r="CG63" s="100">
        <v>3707.6121132222661</v>
      </c>
      <c r="CH63" s="100">
        <v>10</v>
      </c>
      <c r="CI63" s="100">
        <v>7956</v>
      </c>
      <c r="CJ63" s="100">
        <v>7</v>
      </c>
      <c r="CK63" s="100">
        <v>5569.2</v>
      </c>
      <c r="CL63" s="100">
        <v>9</v>
      </c>
      <c r="CM63" s="100">
        <v>7160.4000000000005</v>
      </c>
      <c r="CN63" s="100">
        <v>6</v>
      </c>
      <c r="CO63" s="100">
        <v>4773.6000000000004</v>
      </c>
      <c r="CP63" s="100">
        <v>7.994758330650054</v>
      </c>
      <c r="CQ63" s="100">
        <v>6360.6297278651828</v>
      </c>
      <c r="CR63" s="100">
        <v>5.6551231593926987E-4</v>
      </c>
      <c r="CS63" s="100">
        <v>0.44992159856128311</v>
      </c>
      <c r="CT63" s="100">
        <v>9.5922591073302428</v>
      </c>
      <c r="CU63" s="100">
        <v>7631.6013457919416</v>
      </c>
    </row>
    <row r="64" spans="2:99">
      <c r="C64" s="99" t="s">
        <v>230</v>
      </c>
      <c r="D64" s="100">
        <v>6.2393653256072543</v>
      </c>
      <c r="E64" s="100">
        <v>6296.7674866028401</v>
      </c>
      <c r="F64" s="100">
        <v>1.6612614388154272</v>
      </c>
      <c r="G64" s="100">
        <v>1676.5450440525287</v>
      </c>
      <c r="H64" s="100">
        <v>6.5976436859477565E-4</v>
      </c>
      <c r="I64" s="100">
        <v>0.66583420078584743</v>
      </c>
      <c r="J64" s="100">
        <v>6.0002830900382076</v>
      </c>
      <c r="K64" s="100">
        <v>6055.485694466558</v>
      </c>
      <c r="L64" s="100">
        <v>5.3083491394460927</v>
      </c>
      <c r="M64" s="100">
        <v>5357.1859515289962</v>
      </c>
      <c r="N64" s="100">
        <v>7.8848288491471834</v>
      </c>
      <c r="O64" s="100">
        <v>7957.3692745593362</v>
      </c>
      <c r="P64" s="100">
        <v>7</v>
      </c>
      <c r="Q64" s="100">
        <v>7064.3999999999987</v>
      </c>
      <c r="R64" s="100">
        <v>9.4037851099705847</v>
      </c>
      <c r="S64" s="100">
        <v>9490.2999329823124</v>
      </c>
      <c r="T64" s="100">
        <v>6.4900003334780987</v>
      </c>
      <c r="U64" s="100">
        <v>6549.7083365460958</v>
      </c>
      <c r="V64" s="100">
        <v>4.9814264600412349E-4</v>
      </c>
      <c r="W64" s="100">
        <v>0.50272555834736132</v>
      </c>
      <c r="X64" s="100">
        <v>5.6167519007192714</v>
      </c>
      <c r="Y64" s="100">
        <v>5668.4260182058879</v>
      </c>
      <c r="Z64" s="100">
        <v>6</v>
      </c>
      <c r="AA64" s="100">
        <v>6055.1999999999989</v>
      </c>
      <c r="AB64" s="100">
        <v>9</v>
      </c>
      <c r="AC64" s="100">
        <v>9082.7999999999993</v>
      </c>
      <c r="AD64" s="100">
        <v>5.4979071315158423</v>
      </c>
      <c r="AE64" s="100">
        <v>5548.4878771257872</v>
      </c>
      <c r="AF64" s="100">
        <v>6.1746479433869901</v>
      </c>
      <c r="AG64" s="100">
        <v>6231.4547044661495</v>
      </c>
      <c r="AH64" s="100">
        <v>11</v>
      </c>
      <c r="AI64" s="100">
        <v>11101.199999999997</v>
      </c>
      <c r="AJ64" s="100">
        <v>3.2301770142627655</v>
      </c>
      <c r="AK64" s="100">
        <v>3259.8946427939823</v>
      </c>
      <c r="AL64" s="100">
        <v>6.5394535931474982</v>
      </c>
      <c r="AM64" s="100">
        <v>6599.6165662044541</v>
      </c>
      <c r="AN64" s="100">
        <v>10.776694579713629</v>
      </c>
      <c r="AO64" s="100">
        <v>10875.840169846993</v>
      </c>
      <c r="AP64" s="100">
        <v>6</v>
      </c>
      <c r="AQ64" s="100">
        <v>6055.1999999999989</v>
      </c>
      <c r="AR64" s="100">
        <v>6</v>
      </c>
      <c r="AS64" s="100">
        <v>6055.1999999999989</v>
      </c>
      <c r="AT64" s="100">
        <v>3.3994399727394562</v>
      </c>
      <c r="AU64" s="100">
        <v>3430.7148204886585</v>
      </c>
      <c r="AV64" s="100">
        <v>7</v>
      </c>
      <c r="AW64" s="100">
        <v>7064.3999999999987</v>
      </c>
      <c r="AX64" s="100">
        <v>4.7589642566354486</v>
      </c>
      <c r="AY64" s="100">
        <v>4802.7467277964943</v>
      </c>
      <c r="AZ64" s="100">
        <v>6</v>
      </c>
      <c r="BA64" s="100">
        <v>6055.1999999999989</v>
      </c>
      <c r="BB64" s="100">
        <v>10</v>
      </c>
      <c r="BC64" s="100">
        <v>10091.999999999998</v>
      </c>
      <c r="BD64" s="100">
        <v>6</v>
      </c>
      <c r="BE64" s="100">
        <v>6055.1999999999989</v>
      </c>
      <c r="BF64" s="100">
        <v>3.5045127376487293</v>
      </c>
      <c r="BG64" s="100">
        <v>3536.7542548350971</v>
      </c>
      <c r="BH64" s="100">
        <v>5.7601560053187972</v>
      </c>
      <c r="BI64" s="100">
        <v>5813.1494405677295</v>
      </c>
      <c r="BJ64" s="100">
        <v>9</v>
      </c>
      <c r="BK64" s="100">
        <v>9082.7999999999993</v>
      </c>
      <c r="BL64" s="100">
        <v>7</v>
      </c>
      <c r="BM64" s="100">
        <v>7064.3999999999987</v>
      </c>
      <c r="BN64" s="100">
        <v>7</v>
      </c>
      <c r="BO64" s="100">
        <v>7064.3999999999987</v>
      </c>
      <c r="BP64" s="100">
        <v>0.88485122722334031</v>
      </c>
      <c r="BQ64" s="100">
        <v>892.99185851379491</v>
      </c>
      <c r="BR64" s="100">
        <v>10</v>
      </c>
      <c r="BS64" s="100">
        <v>10091.999999999998</v>
      </c>
      <c r="BT64" s="100">
        <v>8</v>
      </c>
      <c r="BU64" s="100">
        <v>8073.5999999999985</v>
      </c>
      <c r="BV64" s="100">
        <v>7</v>
      </c>
      <c r="BW64" s="100">
        <v>7064.3999999999987</v>
      </c>
      <c r="BX64" s="100">
        <v>1.8471567611769908</v>
      </c>
      <c r="BY64" s="100">
        <v>1864.1506033798187</v>
      </c>
      <c r="BZ64" s="100">
        <v>11</v>
      </c>
      <c r="CA64" s="100">
        <v>11101.199999999997</v>
      </c>
      <c r="CB64" s="100">
        <v>3.5187554473561846</v>
      </c>
      <c r="CC64" s="100">
        <v>3551.1279974718609</v>
      </c>
      <c r="CD64" s="100">
        <v>8</v>
      </c>
      <c r="CE64" s="100">
        <v>8073.5999999999985</v>
      </c>
      <c r="CF64" s="100">
        <v>4.660145944221048</v>
      </c>
      <c r="CG64" s="100">
        <v>4703.019286907881</v>
      </c>
      <c r="CH64" s="100">
        <v>9</v>
      </c>
      <c r="CI64" s="100">
        <v>9082.7999999999993</v>
      </c>
      <c r="CJ64" s="100">
        <v>6</v>
      </c>
      <c r="CK64" s="100">
        <v>6055.1999999999989</v>
      </c>
      <c r="CL64" s="100">
        <v>8</v>
      </c>
      <c r="CM64" s="100">
        <v>8073.5999999999985</v>
      </c>
      <c r="CN64" s="100">
        <v>6</v>
      </c>
      <c r="CO64" s="100">
        <v>6055.1999999999989</v>
      </c>
      <c r="CP64" s="100">
        <v>8.9941031219813112</v>
      </c>
      <c r="CQ64" s="100">
        <v>9076.8488707035376</v>
      </c>
      <c r="CR64" s="100">
        <v>5.6551231593926987E-4</v>
      </c>
      <c r="CS64" s="100">
        <v>0.570715029245911</v>
      </c>
      <c r="CT64" s="100">
        <v>9.5922591073302428</v>
      </c>
      <c r="CU64" s="100">
        <v>9680.5078911176788</v>
      </c>
    </row>
    <row r="65" spans="2:99">
      <c r="C65" s="99" t="s">
        <v>231</v>
      </c>
      <c r="D65" s="100">
        <v>6.2393653256072543</v>
      </c>
      <c r="E65" s="100">
        <v>6401.5888240730428</v>
      </c>
      <c r="F65" s="100">
        <v>1.6612614388154272</v>
      </c>
      <c r="G65" s="100">
        <v>1704.4542362246284</v>
      </c>
      <c r="H65" s="100">
        <v>5.6551231593837919E-4</v>
      </c>
      <c r="I65" s="100">
        <v>0.58021563615277705</v>
      </c>
      <c r="J65" s="100">
        <v>6.0002830900382076</v>
      </c>
      <c r="K65" s="100">
        <v>6156.2904503792006</v>
      </c>
      <c r="L65" s="100">
        <v>5.3083491394460927</v>
      </c>
      <c r="M65" s="100">
        <v>5446.3662170716907</v>
      </c>
      <c r="N65" s="100">
        <v>9.6370130378465575</v>
      </c>
      <c r="O65" s="100">
        <v>9887.5753768305676</v>
      </c>
      <c r="P65" s="100">
        <v>6</v>
      </c>
      <c r="Q65" s="100">
        <v>6156</v>
      </c>
      <c r="R65" s="100">
        <v>8.6201363508063693</v>
      </c>
      <c r="S65" s="100">
        <v>8844.2598959273346</v>
      </c>
      <c r="T65" s="100">
        <v>6.4900003334780987</v>
      </c>
      <c r="U65" s="100">
        <v>6658.7403421485296</v>
      </c>
      <c r="V65" s="100">
        <v>5.81166420338144E-4</v>
      </c>
      <c r="W65" s="100">
        <v>0.59627674726693569</v>
      </c>
      <c r="X65" s="100">
        <v>6.5528772175058165</v>
      </c>
      <c r="Y65" s="100">
        <v>6723.2520251609676</v>
      </c>
      <c r="Z65" s="100">
        <v>6</v>
      </c>
      <c r="AA65" s="100">
        <v>6156</v>
      </c>
      <c r="AB65" s="100">
        <v>9</v>
      </c>
      <c r="AC65" s="100">
        <v>9234</v>
      </c>
      <c r="AD65" s="100">
        <v>5.4979071315158423</v>
      </c>
      <c r="AE65" s="100">
        <v>5640.8527169352546</v>
      </c>
      <c r="AF65" s="100">
        <v>6.1746479433869901</v>
      </c>
      <c r="AG65" s="100">
        <v>6335.1887899150515</v>
      </c>
      <c r="AH65" s="100">
        <v>11</v>
      </c>
      <c r="AI65" s="100">
        <v>11286</v>
      </c>
      <c r="AJ65" s="100">
        <v>3.2301770142627655</v>
      </c>
      <c r="AK65" s="100">
        <v>3314.1616166335975</v>
      </c>
      <c r="AL65" s="100">
        <v>6.5394535931474982</v>
      </c>
      <c r="AM65" s="100">
        <v>6709.4793865693327</v>
      </c>
      <c r="AN65" s="100">
        <v>9.7969950724669363</v>
      </c>
      <c r="AO65" s="100">
        <v>10051.716944351077</v>
      </c>
      <c r="AP65" s="100">
        <v>6</v>
      </c>
      <c r="AQ65" s="100">
        <v>6156</v>
      </c>
      <c r="AR65" s="100">
        <v>5</v>
      </c>
      <c r="AS65" s="100">
        <v>5130</v>
      </c>
      <c r="AT65" s="100">
        <v>3.3994399727394562</v>
      </c>
      <c r="AU65" s="100">
        <v>3487.8254120306819</v>
      </c>
      <c r="AV65" s="100">
        <v>7</v>
      </c>
      <c r="AW65" s="100">
        <v>7182</v>
      </c>
      <c r="AX65" s="100">
        <v>4.7589642566354486</v>
      </c>
      <c r="AY65" s="100">
        <v>4882.6973273079702</v>
      </c>
      <c r="AZ65" s="100">
        <v>6</v>
      </c>
      <c r="BA65" s="100">
        <v>6156</v>
      </c>
      <c r="BB65" s="100">
        <v>9</v>
      </c>
      <c r="BC65" s="100">
        <v>9234</v>
      </c>
      <c r="BD65" s="100">
        <v>6</v>
      </c>
      <c r="BE65" s="100">
        <v>6156</v>
      </c>
      <c r="BF65" s="100">
        <v>3.9425768298548203</v>
      </c>
      <c r="BG65" s="100">
        <v>4045.0838274310454</v>
      </c>
      <c r="BH65" s="100">
        <v>5.7601560053187972</v>
      </c>
      <c r="BI65" s="100">
        <v>5909.9200614570864</v>
      </c>
      <c r="BJ65" s="100">
        <v>9</v>
      </c>
      <c r="BK65" s="100">
        <v>9234</v>
      </c>
      <c r="BL65" s="100">
        <v>8</v>
      </c>
      <c r="BM65" s="100">
        <v>8208</v>
      </c>
      <c r="BN65" s="100">
        <v>8</v>
      </c>
      <c r="BO65" s="100">
        <v>8208</v>
      </c>
      <c r="BP65" s="100">
        <v>0.88485122722334031</v>
      </c>
      <c r="BQ65" s="100">
        <v>907.85735913114718</v>
      </c>
      <c r="BR65" s="100">
        <v>9</v>
      </c>
      <c r="BS65" s="100">
        <v>9234</v>
      </c>
      <c r="BT65" s="100">
        <v>8</v>
      </c>
      <c r="BU65" s="100">
        <v>8208</v>
      </c>
      <c r="BV65" s="100">
        <v>7</v>
      </c>
      <c r="BW65" s="100">
        <v>7182</v>
      </c>
      <c r="BX65" s="100">
        <v>1.8471567611769908</v>
      </c>
      <c r="BY65" s="100">
        <v>1895.1828369675925</v>
      </c>
      <c r="BZ65" s="100">
        <v>10</v>
      </c>
      <c r="CA65" s="100">
        <v>10260</v>
      </c>
      <c r="CB65" s="100">
        <v>3.9097282748402051</v>
      </c>
      <c r="CC65" s="100">
        <v>4011.3812099860506</v>
      </c>
      <c r="CD65" s="100">
        <v>6</v>
      </c>
      <c r="CE65" s="100">
        <v>6156</v>
      </c>
      <c r="CF65" s="100">
        <v>5.2426641872486792</v>
      </c>
      <c r="CG65" s="100">
        <v>5378.9734561171445</v>
      </c>
      <c r="CH65" s="100">
        <v>9</v>
      </c>
      <c r="CI65" s="100">
        <v>9234</v>
      </c>
      <c r="CJ65" s="100">
        <v>7</v>
      </c>
      <c r="CK65" s="100">
        <v>7182</v>
      </c>
      <c r="CL65" s="100">
        <v>9</v>
      </c>
      <c r="CM65" s="100">
        <v>9234</v>
      </c>
      <c r="CN65" s="100">
        <v>6</v>
      </c>
      <c r="CO65" s="100">
        <v>6156</v>
      </c>
      <c r="CP65" s="100">
        <v>7.994758330650054</v>
      </c>
      <c r="CQ65" s="100">
        <v>8202.6220472469558</v>
      </c>
      <c r="CR65" s="100">
        <v>5.6551231593926987E-4</v>
      </c>
      <c r="CS65" s="100">
        <v>0.58021563615369087</v>
      </c>
      <c r="CT65" s="100">
        <v>8.7202355521184032</v>
      </c>
      <c r="CU65" s="100">
        <v>8946.9616764734819</v>
      </c>
    </row>
    <row r="66" spans="2:99">
      <c r="C66" s="99" t="s">
        <v>232</v>
      </c>
      <c r="D66" s="100">
        <v>6.1914922604858038</v>
      </c>
      <c r="E66" s="100">
        <v>7370.3523868823004</v>
      </c>
      <c r="F66" s="100">
        <v>1.6612614388154272</v>
      </c>
      <c r="G66" s="100">
        <v>1977.5656167658842</v>
      </c>
      <c r="H66" s="100">
        <v>6.5976436859477565E-4</v>
      </c>
      <c r="I66" s="100">
        <v>0.78538350437522086</v>
      </c>
      <c r="J66" s="100">
        <v>6.0002830900382076</v>
      </c>
      <c r="K66" s="100">
        <v>7142.7369903814815</v>
      </c>
      <c r="L66" s="100">
        <v>5.3083491394460927</v>
      </c>
      <c r="M66" s="100">
        <v>6319.0588155966279</v>
      </c>
      <c r="N66" s="100">
        <v>8.7609209434968722</v>
      </c>
      <c r="O66" s="100">
        <v>10429.000291138676</v>
      </c>
      <c r="P66" s="100">
        <v>6</v>
      </c>
      <c r="Q66" s="100">
        <v>7142.4</v>
      </c>
      <c r="R66" s="100">
        <v>7.836487591642153</v>
      </c>
      <c r="S66" s="100">
        <v>9328.5548290908173</v>
      </c>
      <c r="T66" s="100">
        <v>6.4900003334780987</v>
      </c>
      <c r="U66" s="100">
        <v>7725.6963969723274</v>
      </c>
      <c r="V66" s="100">
        <v>5.81166420338144E-4</v>
      </c>
      <c r="W66" s="100">
        <v>0.69182050677052653</v>
      </c>
      <c r="X66" s="100">
        <v>5.6167519007192714</v>
      </c>
      <c r="Y66" s="100">
        <v>6686.1814626162195</v>
      </c>
      <c r="Z66" s="100">
        <v>6</v>
      </c>
      <c r="AA66" s="100">
        <v>7142.4</v>
      </c>
      <c r="AB66" s="100">
        <v>9</v>
      </c>
      <c r="AC66" s="100">
        <v>10713.599999999999</v>
      </c>
      <c r="AD66" s="100">
        <v>5.4979071315158423</v>
      </c>
      <c r="AE66" s="100">
        <v>6544.7086493564575</v>
      </c>
      <c r="AF66" s="100">
        <v>6.1746479433869901</v>
      </c>
      <c r="AG66" s="100">
        <v>7350.3009118078726</v>
      </c>
      <c r="AH66" s="100">
        <v>11</v>
      </c>
      <c r="AI66" s="100">
        <v>13094.399999999998</v>
      </c>
      <c r="AJ66" s="100">
        <v>3.2301770142627655</v>
      </c>
      <c r="AK66" s="100">
        <v>3845.2027177783957</v>
      </c>
      <c r="AL66" s="100">
        <v>5.6052459369835699</v>
      </c>
      <c r="AM66" s="100">
        <v>6672.4847633852405</v>
      </c>
      <c r="AN66" s="100">
        <v>9.7969950724669363</v>
      </c>
      <c r="AO66" s="100">
        <v>11662.34293426464</v>
      </c>
      <c r="AP66" s="100">
        <v>6</v>
      </c>
      <c r="AQ66" s="100">
        <v>7142.4</v>
      </c>
      <c r="AR66" s="100">
        <v>5</v>
      </c>
      <c r="AS66" s="100">
        <v>5951.9999999999991</v>
      </c>
      <c r="AT66" s="100">
        <v>3.3994399727394562</v>
      </c>
      <c r="AU66" s="100">
        <v>4046.6933435490482</v>
      </c>
      <c r="AV66" s="100">
        <v>6</v>
      </c>
      <c r="AW66" s="100">
        <v>7142.4</v>
      </c>
      <c r="AX66" s="100">
        <v>3.9658035471962068</v>
      </c>
      <c r="AY66" s="100">
        <v>4720.8925425823636</v>
      </c>
      <c r="AZ66" s="100">
        <v>6</v>
      </c>
      <c r="BA66" s="100">
        <v>7142.4</v>
      </c>
      <c r="BB66" s="100">
        <v>10</v>
      </c>
      <c r="BC66" s="100">
        <v>11903.999999999998</v>
      </c>
      <c r="BD66" s="100">
        <v>5</v>
      </c>
      <c r="BE66" s="100">
        <v>5951.9999999999991</v>
      </c>
      <c r="BF66" s="100">
        <v>3.9425768298548203</v>
      </c>
      <c r="BG66" s="100">
        <v>4693.2434582591777</v>
      </c>
      <c r="BH66" s="100">
        <v>5.7601560053187972</v>
      </c>
      <c r="BI66" s="100">
        <v>6856.8897087314954</v>
      </c>
      <c r="BJ66" s="100">
        <v>9</v>
      </c>
      <c r="BK66" s="100">
        <v>10713.599999999999</v>
      </c>
      <c r="BL66" s="100">
        <v>7</v>
      </c>
      <c r="BM66" s="100">
        <v>8332.7999999999993</v>
      </c>
      <c r="BN66" s="100">
        <v>7</v>
      </c>
      <c r="BO66" s="100">
        <v>8332.7999999999993</v>
      </c>
      <c r="BP66" s="100">
        <v>1.0323264317605636</v>
      </c>
      <c r="BQ66" s="100">
        <v>1228.8813843677747</v>
      </c>
      <c r="BR66" s="100">
        <v>9</v>
      </c>
      <c r="BS66" s="100">
        <v>10713.599999999999</v>
      </c>
      <c r="BT66" s="100">
        <v>7</v>
      </c>
      <c r="BU66" s="100">
        <v>8332.7999999999993</v>
      </c>
      <c r="BV66" s="100">
        <v>8</v>
      </c>
      <c r="BW66" s="100">
        <v>9523.1999999999989</v>
      </c>
      <c r="BX66" s="100">
        <v>1.8471567611769908</v>
      </c>
      <c r="BY66" s="100">
        <v>2198.8554085050896</v>
      </c>
      <c r="BZ66" s="100">
        <v>11</v>
      </c>
      <c r="CA66" s="100">
        <v>13094.399999999998</v>
      </c>
      <c r="CB66" s="100">
        <v>3.9097282748402051</v>
      </c>
      <c r="CC66" s="100">
        <v>4654.1405383697793</v>
      </c>
      <c r="CD66" s="100">
        <v>7</v>
      </c>
      <c r="CE66" s="100">
        <v>8332.7999999999993</v>
      </c>
      <c r="CF66" s="100">
        <v>5.2426641872486792</v>
      </c>
      <c r="CG66" s="100">
        <v>6240.8674485008269</v>
      </c>
      <c r="CH66" s="100">
        <v>9</v>
      </c>
      <c r="CI66" s="100">
        <v>10713.599999999999</v>
      </c>
      <c r="CJ66" s="100">
        <v>7</v>
      </c>
      <c r="CK66" s="100">
        <v>8332.7999999999993</v>
      </c>
      <c r="CL66" s="100">
        <v>8</v>
      </c>
      <c r="CM66" s="100">
        <v>9523.1999999999989</v>
      </c>
      <c r="CN66" s="100">
        <v>6</v>
      </c>
      <c r="CO66" s="100">
        <v>7142.4</v>
      </c>
      <c r="CP66" s="100">
        <v>8.9941031219813112</v>
      </c>
      <c r="CQ66" s="100">
        <v>10706.580356406552</v>
      </c>
      <c r="CR66" s="100">
        <v>5.6551231593926987E-4</v>
      </c>
      <c r="CS66" s="100">
        <v>0.67318586089410681</v>
      </c>
      <c r="CT66" s="100">
        <v>7.8482119969065618</v>
      </c>
      <c r="CU66" s="100">
        <v>9342.5115611175697</v>
      </c>
    </row>
    <row r="67" spans="2:99">
      <c r="C67" s="99" t="s">
        <v>233</v>
      </c>
      <c r="D67" s="100">
        <v>6.1914922604858038</v>
      </c>
      <c r="E67" s="100">
        <v>6954.284106977655</v>
      </c>
      <c r="F67" s="100">
        <v>1.6612614388154272</v>
      </c>
      <c r="G67" s="100">
        <v>1865.9288480774878</v>
      </c>
      <c r="H67" s="100">
        <v>5.6551231593837919E-4</v>
      </c>
      <c r="I67" s="100">
        <v>0.63518343326198756</v>
      </c>
      <c r="J67" s="100">
        <v>6.0002830900382076</v>
      </c>
      <c r="K67" s="100">
        <v>6739.5179667309148</v>
      </c>
      <c r="L67" s="100">
        <v>5.3083491394460927</v>
      </c>
      <c r="M67" s="100">
        <v>5962.3377534258516</v>
      </c>
      <c r="N67" s="100">
        <v>7.8848288491471834</v>
      </c>
      <c r="O67" s="100">
        <v>8856.2397633621167</v>
      </c>
      <c r="P67" s="100">
        <v>6</v>
      </c>
      <c r="Q67" s="100">
        <v>6739.2000000000007</v>
      </c>
      <c r="R67" s="100">
        <v>7.836487591642153</v>
      </c>
      <c r="S67" s="100">
        <v>8801.9428629324666</v>
      </c>
      <c r="T67" s="100">
        <v>6.4900003334780987</v>
      </c>
      <c r="U67" s="100">
        <v>7289.5683745626011</v>
      </c>
      <c r="V67" s="100">
        <v>5.81166420338144E-4</v>
      </c>
      <c r="W67" s="100">
        <v>0.65276612332380335</v>
      </c>
      <c r="X67" s="100">
        <v>6.5528772175058165</v>
      </c>
      <c r="Y67" s="100">
        <v>7360.1916907025334</v>
      </c>
      <c r="Z67" s="100">
        <v>6</v>
      </c>
      <c r="AA67" s="100">
        <v>6739.2000000000007</v>
      </c>
      <c r="AB67" s="100">
        <v>8</v>
      </c>
      <c r="AC67" s="100">
        <v>8985.6</v>
      </c>
      <c r="AD67" s="100">
        <v>5.4979071315158423</v>
      </c>
      <c r="AE67" s="100">
        <v>6175.2492901185942</v>
      </c>
      <c r="AF67" s="100">
        <v>6.7921127377256889</v>
      </c>
      <c r="AG67" s="100">
        <v>7628.9010270134941</v>
      </c>
      <c r="AH67" s="100">
        <v>10</v>
      </c>
      <c r="AI67" s="100">
        <v>11232</v>
      </c>
      <c r="AJ67" s="100">
        <v>2.7687231550823701</v>
      </c>
      <c r="AK67" s="100">
        <v>3109.8298477885182</v>
      </c>
      <c r="AL67" s="100">
        <v>6.5394535931474982</v>
      </c>
      <c r="AM67" s="100">
        <v>7345.11427582327</v>
      </c>
      <c r="AN67" s="100">
        <v>9.7969950724669363</v>
      </c>
      <c r="AO67" s="100">
        <v>11003.984865394863</v>
      </c>
      <c r="AP67" s="100">
        <v>5</v>
      </c>
      <c r="AQ67" s="100">
        <v>5616</v>
      </c>
      <c r="AR67" s="100">
        <v>5</v>
      </c>
      <c r="AS67" s="100">
        <v>5616</v>
      </c>
      <c r="AT67" s="100">
        <v>3.3994399727394562</v>
      </c>
      <c r="AU67" s="100">
        <v>3818.2509773809575</v>
      </c>
      <c r="AV67" s="100">
        <v>6</v>
      </c>
      <c r="AW67" s="100">
        <v>6739.2000000000007</v>
      </c>
      <c r="AX67" s="100">
        <v>3.9658035471962068</v>
      </c>
      <c r="AY67" s="100">
        <v>4454.3905442107798</v>
      </c>
      <c r="AZ67" s="100">
        <v>6</v>
      </c>
      <c r="BA67" s="100">
        <v>6739.2000000000007</v>
      </c>
      <c r="BB67" s="100">
        <v>9</v>
      </c>
      <c r="BC67" s="100">
        <v>10108.800000000001</v>
      </c>
      <c r="BD67" s="100">
        <v>5</v>
      </c>
      <c r="BE67" s="100">
        <v>5616</v>
      </c>
      <c r="BF67" s="100">
        <v>3.5045127376487293</v>
      </c>
      <c r="BG67" s="100">
        <v>3936.2687069270528</v>
      </c>
      <c r="BH67" s="100">
        <v>5.0401365046539475</v>
      </c>
      <c r="BI67" s="100">
        <v>5661.0813220273139</v>
      </c>
      <c r="BJ67" s="100">
        <v>8</v>
      </c>
      <c r="BK67" s="100">
        <v>8985.6</v>
      </c>
      <c r="BL67" s="100">
        <v>7</v>
      </c>
      <c r="BM67" s="100">
        <v>7862.4000000000005</v>
      </c>
      <c r="BN67" s="100">
        <v>6</v>
      </c>
      <c r="BO67" s="100">
        <v>6739.2000000000007</v>
      </c>
      <c r="BP67" s="100">
        <v>0.88485122722334031</v>
      </c>
      <c r="BQ67" s="100">
        <v>993.86489841725586</v>
      </c>
      <c r="BR67" s="100">
        <v>10</v>
      </c>
      <c r="BS67" s="100">
        <v>11232</v>
      </c>
      <c r="BT67" s="100">
        <v>8</v>
      </c>
      <c r="BU67" s="100">
        <v>8985.6</v>
      </c>
      <c r="BV67" s="100">
        <v>7</v>
      </c>
      <c r="BW67" s="100">
        <v>7862.4000000000005</v>
      </c>
      <c r="BX67" s="100">
        <v>1.6162621660298668</v>
      </c>
      <c r="BY67" s="100">
        <v>1815.3856648847466</v>
      </c>
      <c r="BZ67" s="100">
        <v>12</v>
      </c>
      <c r="CA67" s="100">
        <v>13478.400000000001</v>
      </c>
      <c r="CB67" s="100">
        <v>3.9097282748402051</v>
      </c>
      <c r="CC67" s="100">
        <v>4391.4067983005189</v>
      </c>
      <c r="CD67" s="100">
        <v>7</v>
      </c>
      <c r="CE67" s="100">
        <v>7862.4000000000005</v>
      </c>
      <c r="CF67" s="100">
        <v>5.8251824302763096</v>
      </c>
      <c r="CG67" s="100">
        <v>6542.844905686351</v>
      </c>
      <c r="CH67" s="100">
        <v>9</v>
      </c>
      <c r="CI67" s="100">
        <v>10108.800000000001</v>
      </c>
      <c r="CJ67" s="100">
        <v>6</v>
      </c>
      <c r="CK67" s="100">
        <v>6739.2000000000007</v>
      </c>
      <c r="CL67" s="100">
        <v>8</v>
      </c>
      <c r="CM67" s="100">
        <v>8985.6</v>
      </c>
      <c r="CN67" s="100">
        <v>6</v>
      </c>
      <c r="CO67" s="100">
        <v>6739.2000000000007</v>
      </c>
      <c r="CP67" s="100">
        <v>8.9941031219813112</v>
      </c>
      <c r="CQ67" s="100">
        <v>10102.176626609409</v>
      </c>
      <c r="CR67" s="100">
        <v>5.026776141682398E-4</v>
      </c>
      <c r="CS67" s="100">
        <v>0.56460749623376694</v>
      </c>
      <c r="CT67" s="100">
        <v>8.7202355521184032</v>
      </c>
      <c r="CU67" s="100">
        <v>9794.5685721393911</v>
      </c>
    </row>
    <row r="68" spans="2:99">
      <c r="C68" s="99" t="s">
        <v>234</v>
      </c>
      <c r="D68" s="100">
        <v>7.2393653256072543</v>
      </c>
      <c r="E68" s="100">
        <v>7479.7122544174154</v>
      </c>
      <c r="F68" s="100">
        <v>1.6612614388154272</v>
      </c>
      <c r="G68" s="100">
        <v>1716.4153185840994</v>
      </c>
      <c r="H68" s="100">
        <v>5.6551231593837919E-4</v>
      </c>
      <c r="I68" s="100">
        <v>0.58428732482753343</v>
      </c>
      <c r="J68" s="100">
        <v>6.0002830900382076</v>
      </c>
      <c r="K68" s="100">
        <v>6199.4924886274766</v>
      </c>
      <c r="L68" s="100">
        <v>6.1930739960204413</v>
      </c>
      <c r="M68" s="100">
        <v>6398.6840526883207</v>
      </c>
      <c r="N68" s="100">
        <v>8.7609209434968722</v>
      </c>
      <c r="O68" s="100">
        <v>9051.7835188209683</v>
      </c>
      <c r="P68" s="100">
        <v>7</v>
      </c>
      <c r="Q68" s="100">
        <v>7232.4000000000005</v>
      </c>
      <c r="R68" s="100">
        <v>7.836487591642153</v>
      </c>
      <c r="S68" s="100">
        <v>8096.6589796846729</v>
      </c>
      <c r="T68" s="100">
        <v>5.6787502917933361</v>
      </c>
      <c r="U68" s="100">
        <v>5867.2848014808751</v>
      </c>
      <c r="V68" s="100">
        <v>5.81166420338144E-4</v>
      </c>
      <c r="W68" s="100">
        <v>0.60046114549337037</v>
      </c>
      <c r="X68" s="100">
        <v>6.5528772175058165</v>
      </c>
      <c r="Y68" s="100">
        <v>6770.4327411270096</v>
      </c>
      <c r="Z68" s="100">
        <v>6</v>
      </c>
      <c r="AA68" s="100">
        <v>6199.2000000000007</v>
      </c>
      <c r="AB68" s="100">
        <v>8</v>
      </c>
      <c r="AC68" s="100">
        <v>8265.6</v>
      </c>
      <c r="AD68" s="100">
        <v>5.4979071315158423</v>
      </c>
      <c r="AE68" s="100">
        <v>5680.4376482821681</v>
      </c>
      <c r="AF68" s="100">
        <v>6.1746479433869901</v>
      </c>
      <c r="AG68" s="100">
        <v>6379.6462551074383</v>
      </c>
      <c r="AH68" s="100">
        <v>11</v>
      </c>
      <c r="AI68" s="100">
        <v>11365.2</v>
      </c>
      <c r="AJ68" s="100">
        <v>3.2301770142627655</v>
      </c>
      <c r="AK68" s="100">
        <v>3337.4188911362894</v>
      </c>
      <c r="AL68" s="100">
        <v>5.6052459369835699</v>
      </c>
      <c r="AM68" s="100">
        <v>5791.3401020914243</v>
      </c>
      <c r="AN68" s="100">
        <v>10.776694579713629</v>
      </c>
      <c r="AO68" s="100">
        <v>11134.480839760123</v>
      </c>
      <c r="AP68" s="100">
        <v>6</v>
      </c>
      <c r="AQ68" s="100">
        <v>6199.2000000000007</v>
      </c>
      <c r="AR68" s="100">
        <v>6</v>
      </c>
      <c r="AS68" s="100">
        <v>6199.2000000000007</v>
      </c>
      <c r="AT68" s="100">
        <v>3.9660133015293662</v>
      </c>
      <c r="AU68" s="100">
        <v>4097.6849431401415</v>
      </c>
      <c r="AV68" s="100">
        <v>7</v>
      </c>
      <c r="AW68" s="100">
        <v>7232.4000000000005</v>
      </c>
      <c r="AX68" s="100">
        <v>3.9658035471962068</v>
      </c>
      <c r="AY68" s="100">
        <v>4097.4682249631214</v>
      </c>
      <c r="AZ68" s="100">
        <v>6</v>
      </c>
      <c r="BA68" s="100">
        <v>6199.2000000000007</v>
      </c>
      <c r="BB68" s="100">
        <v>9</v>
      </c>
      <c r="BC68" s="100">
        <v>9298.8000000000011</v>
      </c>
      <c r="BD68" s="100">
        <v>6</v>
      </c>
      <c r="BE68" s="100">
        <v>6199.2000000000007</v>
      </c>
      <c r="BF68" s="100">
        <v>3.5045127376487293</v>
      </c>
      <c r="BG68" s="100">
        <v>3620.8625605386674</v>
      </c>
      <c r="BH68" s="100">
        <v>5.7601560053187972</v>
      </c>
      <c r="BI68" s="100">
        <v>5951.3931846953819</v>
      </c>
      <c r="BJ68" s="100">
        <v>9</v>
      </c>
      <c r="BK68" s="100">
        <v>9298.8000000000011</v>
      </c>
      <c r="BL68" s="100">
        <v>7</v>
      </c>
      <c r="BM68" s="100">
        <v>7232.4000000000005</v>
      </c>
      <c r="BN68" s="100">
        <v>7</v>
      </c>
      <c r="BO68" s="100">
        <v>7232.4000000000005</v>
      </c>
      <c r="BP68" s="100">
        <v>1.0323264317605636</v>
      </c>
      <c r="BQ68" s="100">
        <v>1066.5996692950143</v>
      </c>
      <c r="BR68" s="100">
        <v>9</v>
      </c>
      <c r="BS68" s="100">
        <v>9298.8000000000011</v>
      </c>
      <c r="BT68" s="100">
        <v>7</v>
      </c>
      <c r="BU68" s="100">
        <v>7232.4000000000005</v>
      </c>
      <c r="BV68" s="100">
        <v>8</v>
      </c>
      <c r="BW68" s="100">
        <v>8265.6</v>
      </c>
      <c r="BX68" s="100">
        <v>1.8471567611769908</v>
      </c>
      <c r="BY68" s="100">
        <v>1908.4823656480669</v>
      </c>
      <c r="BZ68" s="100">
        <v>10</v>
      </c>
      <c r="CA68" s="100">
        <v>10332</v>
      </c>
      <c r="CB68" s="100">
        <v>3.9097282748402051</v>
      </c>
      <c r="CC68" s="100">
        <v>4039.5312535649</v>
      </c>
      <c r="CD68" s="100">
        <v>7</v>
      </c>
      <c r="CE68" s="100">
        <v>7232.4000000000005</v>
      </c>
      <c r="CF68" s="100">
        <v>4.660145944221048</v>
      </c>
      <c r="CG68" s="100">
        <v>4814.862789569187</v>
      </c>
      <c r="CH68" s="100">
        <v>9</v>
      </c>
      <c r="CI68" s="100">
        <v>9298.8000000000011</v>
      </c>
      <c r="CJ68" s="100">
        <v>6</v>
      </c>
      <c r="CK68" s="100">
        <v>6199.2000000000007</v>
      </c>
      <c r="CL68" s="100">
        <v>8</v>
      </c>
      <c r="CM68" s="100">
        <v>8265.6</v>
      </c>
      <c r="CN68" s="100">
        <v>6</v>
      </c>
      <c r="CO68" s="100">
        <v>6199.2000000000007</v>
      </c>
      <c r="CP68" s="100">
        <v>8.9941031219813112</v>
      </c>
      <c r="CQ68" s="100">
        <v>9292.7073456310918</v>
      </c>
      <c r="CR68" s="100">
        <v>5.026776141682398E-4</v>
      </c>
      <c r="CS68" s="100">
        <v>0.5193665109586254</v>
      </c>
      <c r="CT68" s="100">
        <v>8.7202355521184032</v>
      </c>
      <c r="CU68" s="100">
        <v>9009.7473724487354</v>
      </c>
    </row>
    <row r="69" spans="2:99">
      <c r="C69" s="99" t="s">
        <v>235</v>
      </c>
      <c r="D69" s="100">
        <v>6.1914922604858038</v>
      </c>
      <c r="E69" s="100">
        <v>4695.6277303524339</v>
      </c>
      <c r="F69" s="100">
        <v>1.9211508011085765</v>
      </c>
      <c r="G69" s="100">
        <v>1457.0007675607444</v>
      </c>
      <c r="H69" s="100">
        <v>6.5976436859477565E-4</v>
      </c>
      <c r="I69" s="100">
        <v>0.50036529714227784</v>
      </c>
      <c r="J69" s="100">
        <v>6.0002830900382076</v>
      </c>
      <c r="K69" s="100">
        <v>4550.6146954849764</v>
      </c>
      <c r="L69" s="100">
        <v>5.3083491394460927</v>
      </c>
      <c r="M69" s="100">
        <v>4025.8519873559167</v>
      </c>
      <c r="N69" s="100">
        <v>9.6370130378465575</v>
      </c>
      <c r="O69" s="100">
        <v>7308.7106879028288</v>
      </c>
      <c r="P69" s="100">
        <v>7</v>
      </c>
      <c r="Q69" s="100">
        <v>5308.8</v>
      </c>
      <c r="R69" s="100">
        <v>8.6201363508063693</v>
      </c>
      <c r="S69" s="100">
        <v>6537.5114084515499</v>
      </c>
      <c r="T69" s="100">
        <v>6.4900003334780987</v>
      </c>
      <c r="U69" s="100">
        <v>4922.0162529097897</v>
      </c>
      <c r="V69" s="100">
        <v>6.6419019467216461E-4</v>
      </c>
      <c r="W69" s="100">
        <v>0.50372184363936967</v>
      </c>
      <c r="X69" s="100">
        <v>6.5528772175058165</v>
      </c>
      <c r="Y69" s="100">
        <v>4969.7020817564107</v>
      </c>
      <c r="Z69" s="100">
        <v>7</v>
      </c>
      <c r="AA69" s="100">
        <v>5308.8</v>
      </c>
      <c r="AB69" s="100">
        <v>10</v>
      </c>
      <c r="AC69" s="100">
        <v>7584</v>
      </c>
      <c r="AD69" s="100">
        <v>5.4979071315158423</v>
      </c>
      <c r="AE69" s="100">
        <v>4169.612768541615</v>
      </c>
      <c r="AF69" s="100">
        <v>6.1746479433869901</v>
      </c>
      <c r="AG69" s="100">
        <v>4682.853000264693</v>
      </c>
      <c r="AH69" s="100">
        <v>11</v>
      </c>
      <c r="AI69" s="100">
        <v>8342.4</v>
      </c>
      <c r="AJ69" s="100">
        <v>3.2301770142627655</v>
      </c>
      <c r="AK69" s="100">
        <v>2449.7662476168812</v>
      </c>
      <c r="AL69" s="100">
        <v>6.5394535931474982</v>
      </c>
      <c r="AM69" s="100">
        <v>4959.5216050430627</v>
      </c>
      <c r="AN69" s="100">
        <v>9.7969950724669363</v>
      </c>
      <c r="AO69" s="100">
        <v>7430.0410629589242</v>
      </c>
      <c r="AP69" s="100">
        <v>6</v>
      </c>
      <c r="AQ69" s="100">
        <v>4550.3999999999996</v>
      </c>
      <c r="AR69" s="100">
        <v>6</v>
      </c>
      <c r="AS69" s="100">
        <v>4550.3999999999996</v>
      </c>
      <c r="AT69" s="100">
        <v>3.3994399727394562</v>
      </c>
      <c r="AU69" s="100">
        <v>2578.1352753256033</v>
      </c>
      <c r="AV69" s="100">
        <v>7</v>
      </c>
      <c r="AW69" s="100">
        <v>5308.8</v>
      </c>
      <c r="AX69" s="100">
        <v>4.7589642566354486</v>
      </c>
      <c r="AY69" s="100">
        <v>3609.198492232324</v>
      </c>
      <c r="AZ69" s="100">
        <v>6</v>
      </c>
      <c r="BA69" s="100">
        <v>4550.3999999999996</v>
      </c>
      <c r="BB69" s="100">
        <v>10</v>
      </c>
      <c r="BC69" s="100">
        <v>7584</v>
      </c>
      <c r="BD69" s="100">
        <v>6</v>
      </c>
      <c r="BE69" s="100">
        <v>4550.3999999999996</v>
      </c>
      <c r="BF69" s="100">
        <v>3.5045127376487293</v>
      </c>
      <c r="BG69" s="100">
        <v>2657.8224602327964</v>
      </c>
      <c r="BH69" s="100">
        <v>5.7601560053187972</v>
      </c>
      <c r="BI69" s="100">
        <v>4368.5023144337756</v>
      </c>
      <c r="BJ69" s="100">
        <v>9</v>
      </c>
      <c r="BK69" s="100">
        <v>6825.5999999999995</v>
      </c>
      <c r="BL69" s="100">
        <v>7</v>
      </c>
      <c r="BM69" s="100">
        <v>5308.8</v>
      </c>
      <c r="BN69" s="100">
        <v>7</v>
      </c>
      <c r="BO69" s="100">
        <v>5308.8</v>
      </c>
      <c r="BP69" s="100">
        <v>1.0323264317605636</v>
      </c>
      <c r="BQ69" s="100">
        <v>782.91636584721141</v>
      </c>
      <c r="BR69" s="100">
        <v>10</v>
      </c>
      <c r="BS69" s="100">
        <v>7584</v>
      </c>
      <c r="BT69" s="100">
        <v>9</v>
      </c>
      <c r="BU69" s="100">
        <v>6825.5999999999995</v>
      </c>
      <c r="BV69" s="100">
        <v>7</v>
      </c>
      <c r="BW69" s="100">
        <v>5308.8</v>
      </c>
      <c r="BX69" s="100">
        <v>1.8471567611769908</v>
      </c>
      <c r="BY69" s="100">
        <v>1400.8836876766297</v>
      </c>
      <c r="BZ69" s="100">
        <v>10</v>
      </c>
      <c r="CA69" s="100">
        <v>7584</v>
      </c>
      <c r="CB69" s="100">
        <v>3.5187554473561846</v>
      </c>
      <c r="CC69" s="100">
        <v>2668.6241312749303</v>
      </c>
      <c r="CD69" s="100">
        <v>7</v>
      </c>
      <c r="CE69" s="100">
        <v>5308.8</v>
      </c>
      <c r="CF69" s="100">
        <v>5.8251824302763096</v>
      </c>
      <c r="CG69" s="100">
        <v>4417.8183551215534</v>
      </c>
      <c r="CH69" s="100">
        <v>9</v>
      </c>
      <c r="CI69" s="100">
        <v>6825.5999999999995</v>
      </c>
      <c r="CJ69" s="100">
        <v>7</v>
      </c>
      <c r="CK69" s="100">
        <v>5308.8</v>
      </c>
      <c r="CL69" s="100">
        <v>9</v>
      </c>
      <c r="CM69" s="100">
        <v>6825.5999999999995</v>
      </c>
      <c r="CN69" s="100">
        <v>6</v>
      </c>
      <c r="CO69" s="100">
        <v>4550.3999999999996</v>
      </c>
      <c r="CP69" s="100">
        <v>8.9941031219813112</v>
      </c>
      <c r="CQ69" s="100">
        <v>6821.1278077106263</v>
      </c>
      <c r="CR69" s="100">
        <v>5.6551231593926987E-4</v>
      </c>
      <c r="CS69" s="100">
        <v>0.42888454040834223</v>
      </c>
      <c r="CT69" s="100">
        <v>9.5922591073302428</v>
      </c>
      <c r="CU69" s="100">
        <v>7274.7693069992556</v>
      </c>
    </row>
    <row r="70" spans="2:99">
      <c r="C70" s="99" t="s">
        <v>236</v>
      </c>
      <c r="D70" s="100">
        <v>7.2393653256072543</v>
      </c>
      <c r="E70" s="100">
        <v>3874.5083222650019</v>
      </c>
      <c r="F70" s="100">
        <v>1.9338914592406431</v>
      </c>
      <c r="G70" s="100">
        <v>1035.018708985592</v>
      </c>
      <c r="H70" s="100">
        <v>5.6551231593837919E-4</v>
      </c>
      <c r="I70" s="100">
        <v>0.3026621914902205</v>
      </c>
      <c r="J70" s="100">
        <v>7.0002830900382076</v>
      </c>
      <c r="K70" s="100">
        <v>3746.5515097884481</v>
      </c>
      <c r="L70" s="100">
        <v>5.3083491394460927</v>
      </c>
      <c r="M70" s="100">
        <v>2841.0284594315485</v>
      </c>
      <c r="N70" s="100">
        <v>9.6370130378465575</v>
      </c>
      <c r="O70" s="100">
        <v>5157.7293778554767</v>
      </c>
      <c r="P70" s="100">
        <v>7</v>
      </c>
      <c r="Q70" s="100">
        <v>3746.3999999999996</v>
      </c>
      <c r="R70" s="100">
        <v>9.4037851099705847</v>
      </c>
      <c r="S70" s="100">
        <v>5032.9057908562563</v>
      </c>
      <c r="T70" s="100">
        <v>6.4900003334780987</v>
      </c>
      <c r="U70" s="100">
        <v>3473.448178477478</v>
      </c>
      <c r="V70" s="100">
        <v>5.81166420338144E-4</v>
      </c>
      <c r="W70" s="100">
        <v>0.31104026816497465</v>
      </c>
      <c r="X70" s="100">
        <v>7.4890025342923616</v>
      </c>
      <c r="Y70" s="100">
        <v>4008.1141563532715</v>
      </c>
      <c r="Z70" s="100">
        <v>7</v>
      </c>
      <c r="AA70" s="100">
        <v>3746.3999999999996</v>
      </c>
      <c r="AB70" s="100">
        <v>8</v>
      </c>
      <c r="AC70" s="100">
        <v>4281.5999999999995</v>
      </c>
      <c r="AD70" s="100">
        <v>6.108785701684269</v>
      </c>
      <c r="AE70" s="100">
        <v>3269.4221075414202</v>
      </c>
      <c r="AF70" s="100">
        <v>6.7921127377256889</v>
      </c>
      <c r="AG70" s="100">
        <v>3635.1387372307881</v>
      </c>
      <c r="AH70" s="100">
        <v>10</v>
      </c>
      <c r="AI70" s="100">
        <v>5351.9999999999991</v>
      </c>
      <c r="AJ70" s="100">
        <v>3.2301770142627655</v>
      </c>
      <c r="AK70" s="100">
        <v>1728.7907380334318</v>
      </c>
      <c r="AL70" s="100">
        <v>7.4736612493114274</v>
      </c>
      <c r="AM70" s="100">
        <v>3999.9035006314753</v>
      </c>
      <c r="AN70" s="100">
        <v>10.776694579713629</v>
      </c>
      <c r="AO70" s="100">
        <v>5767.6869390627335</v>
      </c>
      <c r="AP70" s="100">
        <v>6</v>
      </c>
      <c r="AQ70" s="100">
        <v>3211.2</v>
      </c>
      <c r="AR70" s="100">
        <v>6</v>
      </c>
      <c r="AS70" s="100">
        <v>3211.2</v>
      </c>
      <c r="AT70" s="100">
        <v>3.9660133015293662</v>
      </c>
      <c r="AU70" s="100">
        <v>2122.6103189785167</v>
      </c>
      <c r="AV70" s="100">
        <v>7</v>
      </c>
      <c r="AW70" s="100">
        <v>3746.3999999999996</v>
      </c>
      <c r="AX70" s="100">
        <v>4.7589642566354486</v>
      </c>
      <c r="AY70" s="100">
        <v>2546.9976701512919</v>
      </c>
      <c r="AZ70" s="100">
        <v>6</v>
      </c>
      <c r="BA70" s="100">
        <v>3211.2</v>
      </c>
      <c r="BB70" s="100">
        <v>11</v>
      </c>
      <c r="BC70" s="100">
        <v>5887.1999999999989</v>
      </c>
      <c r="BD70" s="100">
        <v>6</v>
      </c>
      <c r="BE70" s="100">
        <v>3211.2</v>
      </c>
      <c r="BF70" s="100">
        <v>3.5045127376487293</v>
      </c>
      <c r="BG70" s="100">
        <v>1875.6152171895997</v>
      </c>
      <c r="BH70" s="100">
        <v>5.7601560053187972</v>
      </c>
      <c r="BI70" s="100">
        <v>3082.8354940466197</v>
      </c>
      <c r="BJ70" s="100">
        <v>10</v>
      </c>
      <c r="BK70" s="100">
        <v>5351.9999999999991</v>
      </c>
      <c r="BL70" s="100">
        <v>8</v>
      </c>
      <c r="BM70" s="100">
        <v>4281.5999999999995</v>
      </c>
      <c r="BN70" s="100">
        <v>8</v>
      </c>
      <c r="BO70" s="100">
        <v>4281.5999999999995</v>
      </c>
      <c r="BP70" s="100">
        <v>0.88485122722334031</v>
      </c>
      <c r="BQ70" s="100">
        <v>473.57237680993165</v>
      </c>
      <c r="BR70" s="100">
        <v>9</v>
      </c>
      <c r="BS70" s="100">
        <v>4816.7999999999993</v>
      </c>
      <c r="BT70" s="100">
        <v>8</v>
      </c>
      <c r="BU70" s="100">
        <v>4281.5999999999995</v>
      </c>
      <c r="BV70" s="100">
        <v>8</v>
      </c>
      <c r="BW70" s="100">
        <v>4281.5999999999995</v>
      </c>
      <c r="BX70" s="100">
        <v>1.8471567611769908</v>
      </c>
      <c r="BY70" s="100">
        <v>988.59829858192529</v>
      </c>
      <c r="BZ70" s="100">
        <v>11</v>
      </c>
      <c r="CA70" s="100">
        <v>5887.1999999999989</v>
      </c>
      <c r="CB70" s="100">
        <v>3.5187554473561846</v>
      </c>
      <c r="CC70" s="100">
        <v>1883.2379154250298</v>
      </c>
      <c r="CD70" s="100">
        <v>7</v>
      </c>
      <c r="CE70" s="100">
        <v>3746.3999999999996</v>
      </c>
      <c r="CF70" s="100">
        <v>5.2426641872486792</v>
      </c>
      <c r="CG70" s="100">
        <v>2805.8738730154928</v>
      </c>
      <c r="CH70" s="100">
        <v>10</v>
      </c>
      <c r="CI70" s="100">
        <v>5351.9999999999991</v>
      </c>
      <c r="CJ70" s="100">
        <v>7</v>
      </c>
      <c r="CK70" s="100">
        <v>3746.3999999999996</v>
      </c>
      <c r="CL70" s="100">
        <v>8</v>
      </c>
      <c r="CM70" s="100">
        <v>4281.5999999999995</v>
      </c>
      <c r="CN70" s="100">
        <v>6</v>
      </c>
      <c r="CO70" s="100">
        <v>3211.2</v>
      </c>
      <c r="CP70" s="100">
        <v>9.9934479133125667</v>
      </c>
      <c r="CQ70" s="100">
        <v>5348.4933232048852</v>
      </c>
      <c r="CR70" s="100">
        <v>5.6551231593926987E-4</v>
      </c>
      <c r="CS70" s="100">
        <v>0.30266219149069717</v>
      </c>
      <c r="CT70" s="100">
        <v>8.7202355521184032</v>
      </c>
      <c r="CU70" s="100">
        <v>4667.0700674937689</v>
      </c>
    </row>
    <row r="71" spans="2:99">
      <c r="B71" s="99" t="s">
        <v>130</v>
      </c>
      <c r="C71" s="99" t="s">
        <v>237</v>
      </c>
      <c r="D71" s="100">
        <v>7.520980336367538</v>
      </c>
      <c r="E71" s="100">
        <v>4241.8329097112919</v>
      </c>
      <c r="F71" s="100">
        <v>2.4353456076999183</v>
      </c>
      <c r="G71" s="100">
        <v>1373.5349227427539</v>
      </c>
      <c r="H71" s="100">
        <v>6.3838924880349186</v>
      </c>
      <c r="I71" s="100">
        <v>3600.515363251694</v>
      </c>
      <c r="J71" s="100">
        <v>3.3510382167552581</v>
      </c>
      <c r="K71" s="100">
        <v>1889.9855542499656</v>
      </c>
      <c r="L71" s="100">
        <v>5.8344085244157196</v>
      </c>
      <c r="M71" s="100">
        <v>3290.6064077704659</v>
      </c>
      <c r="N71" s="100">
        <v>6</v>
      </c>
      <c r="O71" s="100">
        <v>3384</v>
      </c>
      <c r="P71" s="100">
        <v>5.1003796378380182</v>
      </c>
      <c r="Q71" s="100">
        <v>2876.6141157406423</v>
      </c>
      <c r="R71" s="100">
        <v>7</v>
      </c>
      <c r="S71" s="100">
        <v>3948</v>
      </c>
      <c r="T71" s="100">
        <v>5</v>
      </c>
      <c r="U71" s="100">
        <v>2820</v>
      </c>
      <c r="V71" s="100">
        <v>7.7461167445503607</v>
      </c>
      <c r="W71" s="100">
        <v>4368.8098439264031</v>
      </c>
      <c r="X71" s="100">
        <v>3.4163549886768307</v>
      </c>
      <c r="Y71" s="100">
        <v>1926.8242136137326</v>
      </c>
      <c r="Z71" s="100">
        <v>1.5938114478033267</v>
      </c>
      <c r="AA71" s="100">
        <v>898.9096565610763</v>
      </c>
      <c r="AB71" s="100">
        <v>6</v>
      </c>
      <c r="AC71" s="100">
        <v>3384</v>
      </c>
      <c r="AD71" s="100">
        <v>5.3157390763999972</v>
      </c>
      <c r="AE71" s="100">
        <v>2998.0768390895983</v>
      </c>
      <c r="AF71" s="100">
        <v>3.5046104640718134</v>
      </c>
      <c r="AG71" s="100">
        <v>1976.6003017365028</v>
      </c>
      <c r="AH71" s="100">
        <v>5</v>
      </c>
      <c r="AI71" s="100">
        <v>2820</v>
      </c>
      <c r="AJ71" s="100">
        <v>6.2185780814441314</v>
      </c>
      <c r="AK71" s="100">
        <v>3507.2780379344899</v>
      </c>
      <c r="AL71" s="100">
        <v>5.6288052648747611</v>
      </c>
      <c r="AM71" s="100">
        <v>3174.6461693893652</v>
      </c>
      <c r="AN71" s="100">
        <v>6.5574205104122534</v>
      </c>
      <c r="AO71" s="100">
        <v>3698.3851678725109</v>
      </c>
      <c r="AP71" s="100">
        <v>2.3572113763369233</v>
      </c>
      <c r="AQ71" s="100">
        <v>1329.4672162540248</v>
      </c>
      <c r="AR71" s="100">
        <v>6.9412069871915332</v>
      </c>
      <c r="AS71" s="100">
        <v>3914.8407407760246</v>
      </c>
      <c r="AT71" s="100">
        <v>5</v>
      </c>
      <c r="AU71" s="100">
        <v>2820</v>
      </c>
      <c r="AV71" s="100">
        <v>6</v>
      </c>
      <c r="AW71" s="100">
        <v>3384</v>
      </c>
      <c r="AX71" s="100">
        <v>5</v>
      </c>
      <c r="AY71" s="100">
        <v>2820</v>
      </c>
      <c r="AZ71" s="100">
        <v>9</v>
      </c>
      <c r="BA71" s="100">
        <v>5076</v>
      </c>
      <c r="BB71" s="100">
        <v>6.7623694441827906</v>
      </c>
      <c r="BC71" s="100">
        <v>3813.976366519094</v>
      </c>
      <c r="BD71" s="100">
        <v>6.6340425195116541</v>
      </c>
      <c r="BE71" s="100">
        <v>3741.5999810045728</v>
      </c>
      <c r="BF71" s="100">
        <v>5.431848972878748E-4</v>
      </c>
      <c r="BG71" s="100">
        <v>0.30635628207036136</v>
      </c>
      <c r="BH71" s="100">
        <v>5</v>
      </c>
      <c r="BI71" s="100">
        <v>2820</v>
      </c>
      <c r="BJ71" s="100">
        <v>4.1526618385782461</v>
      </c>
      <c r="BK71" s="100">
        <v>2342.1012769581307</v>
      </c>
      <c r="BL71" s="100">
        <v>7.6012206034616154</v>
      </c>
      <c r="BM71" s="100">
        <v>4287.088420352351</v>
      </c>
      <c r="BN71" s="100">
        <v>7</v>
      </c>
      <c r="BO71" s="100">
        <v>3948</v>
      </c>
      <c r="BP71" s="100">
        <v>8</v>
      </c>
      <c r="BQ71" s="100">
        <v>4512</v>
      </c>
      <c r="BR71" s="100">
        <v>6.3328859664848363</v>
      </c>
      <c r="BS71" s="100">
        <v>3571.7476850974476</v>
      </c>
      <c r="BT71" s="100">
        <v>6</v>
      </c>
      <c r="BU71" s="100">
        <v>3384</v>
      </c>
      <c r="BV71" s="100">
        <v>5</v>
      </c>
      <c r="BW71" s="100">
        <v>2820</v>
      </c>
      <c r="BX71" s="100">
        <v>8</v>
      </c>
      <c r="BY71" s="100">
        <v>4512</v>
      </c>
      <c r="BZ71" s="100">
        <v>0.3123451915554652</v>
      </c>
      <c r="CA71" s="100">
        <v>176.16268803728238</v>
      </c>
      <c r="CB71" s="100">
        <v>6</v>
      </c>
      <c r="CC71" s="100">
        <v>3384</v>
      </c>
      <c r="CD71" s="100">
        <v>1.417621887530923</v>
      </c>
      <c r="CE71" s="100">
        <v>799.53874456744052</v>
      </c>
      <c r="CF71" s="100">
        <v>8</v>
      </c>
      <c r="CG71" s="100">
        <v>4512</v>
      </c>
      <c r="CH71" s="100">
        <v>2.6449822427569227</v>
      </c>
      <c r="CI71" s="100">
        <v>1491.7699849149044</v>
      </c>
      <c r="CJ71" s="100">
        <v>7</v>
      </c>
      <c r="CK71" s="100">
        <v>3948</v>
      </c>
      <c r="CL71" s="100">
        <v>9</v>
      </c>
      <c r="CM71" s="100">
        <v>5076</v>
      </c>
      <c r="CN71" s="100">
        <v>8</v>
      </c>
      <c r="CO71" s="100">
        <v>4512</v>
      </c>
      <c r="CP71" s="100">
        <v>4.0466475898416325</v>
      </c>
      <c r="CQ71" s="100">
        <v>2282.3092406706805</v>
      </c>
      <c r="CR71" s="100">
        <v>9</v>
      </c>
      <c r="CS71" s="100">
        <v>5076</v>
      </c>
      <c r="CT71" s="100">
        <v>4.4195153849491211</v>
      </c>
      <c r="CU71" s="100">
        <v>2492.6066771113042</v>
      </c>
    </row>
    <row r="72" spans="2:99">
      <c r="C72" s="99" t="s">
        <v>238</v>
      </c>
      <c r="D72" s="100">
        <v>7.520980336367538</v>
      </c>
      <c r="E72" s="100">
        <v>559.56093702574481</v>
      </c>
      <c r="F72" s="100">
        <v>2.4353456076999183</v>
      </c>
      <c r="G72" s="100">
        <v>181.1897132128739</v>
      </c>
      <c r="H72" s="100">
        <v>7.239396626117399</v>
      </c>
      <c r="I72" s="100">
        <v>538.61110898313439</v>
      </c>
      <c r="J72" s="100">
        <v>3.3510382167552581</v>
      </c>
      <c r="K72" s="100">
        <v>249.31724332659118</v>
      </c>
      <c r="L72" s="100">
        <v>6.1681719341820074</v>
      </c>
      <c r="M72" s="100">
        <v>458.91199190314131</v>
      </c>
      <c r="N72" s="100">
        <v>7</v>
      </c>
      <c r="O72" s="100">
        <v>520.79999999999995</v>
      </c>
      <c r="P72" s="100">
        <v>5.7379270925677703</v>
      </c>
      <c r="Q72" s="100">
        <v>426.90177568704206</v>
      </c>
      <c r="R72" s="100">
        <v>7</v>
      </c>
      <c r="S72" s="100">
        <v>520.79999999999995</v>
      </c>
      <c r="T72" s="100">
        <v>5</v>
      </c>
      <c r="U72" s="100">
        <v>371.99999999999994</v>
      </c>
      <c r="V72" s="100">
        <v>6.8854371062669868</v>
      </c>
      <c r="W72" s="100">
        <v>512.2765207062638</v>
      </c>
      <c r="X72" s="100">
        <v>3.4163549886768307</v>
      </c>
      <c r="Y72" s="100">
        <v>254.17681115755619</v>
      </c>
      <c r="Z72" s="100">
        <v>1.5816480346657129</v>
      </c>
      <c r="AA72" s="100">
        <v>117.67461377912903</v>
      </c>
      <c r="AB72" s="100">
        <v>7</v>
      </c>
      <c r="AC72" s="100">
        <v>520.79999999999995</v>
      </c>
      <c r="AD72" s="100">
        <v>4.4297825636666648</v>
      </c>
      <c r="AE72" s="100">
        <v>329.57582273679981</v>
      </c>
      <c r="AF72" s="100">
        <v>2.8036883712574507</v>
      </c>
      <c r="AG72" s="100">
        <v>208.59441482155432</v>
      </c>
      <c r="AH72" s="100">
        <v>5</v>
      </c>
      <c r="AI72" s="100">
        <v>371.99999999999994</v>
      </c>
      <c r="AJ72" s="100">
        <v>6.9959003416246475</v>
      </c>
      <c r="AK72" s="100">
        <v>520.49498541687376</v>
      </c>
      <c r="AL72" s="100">
        <v>5.6288052648747611</v>
      </c>
      <c r="AM72" s="100">
        <v>418.78311170668218</v>
      </c>
      <c r="AN72" s="100">
        <v>6.5574205104122534</v>
      </c>
      <c r="AO72" s="100">
        <v>487.87208597467162</v>
      </c>
      <c r="AP72" s="100">
        <v>2.6182594158420147</v>
      </c>
      <c r="AQ72" s="100">
        <v>194.79850053864587</v>
      </c>
      <c r="AR72" s="100">
        <v>7.0698364451702842</v>
      </c>
      <c r="AS72" s="100">
        <v>525.99583152066907</v>
      </c>
      <c r="AT72" s="100">
        <v>5</v>
      </c>
      <c r="AU72" s="100">
        <v>371.99999999999994</v>
      </c>
      <c r="AV72" s="100">
        <v>7</v>
      </c>
      <c r="AW72" s="100">
        <v>520.79999999999995</v>
      </c>
      <c r="AX72" s="100">
        <v>6</v>
      </c>
      <c r="AY72" s="100">
        <v>446.4</v>
      </c>
      <c r="AZ72" s="100">
        <v>10</v>
      </c>
      <c r="BA72" s="100">
        <v>743.99999999999989</v>
      </c>
      <c r="BB72" s="100">
        <v>7.6076656247056391</v>
      </c>
      <c r="BC72" s="100">
        <v>566.01032247809951</v>
      </c>
      <c r="BD72" s="100">
        <v>7.3711583550129491</v>
      </c>
      <c r="BE72" s="100">
        <v>548.41418161296338</v>
      </c>
      <c r="BF72" s="100">
        <v>5.4578003334816423E-4</v>
      </c>
      <c r="BG72" s="100">
        <v>4.0606034481103413E-2</v>
      </c>
      <c r="BH72" s="100">
        <v>5</v>
      </c>
      <c r="BI72" s="100">
        <v>371.99999999999994</v>
      </c>
      <c r="BJ72" s="100">
        <v>4.1526618385782461</v>
      </c>
      <c r="BK72" s="100">
        <v>308.9580407902215</v>
      </c>
      <c r="BL72" s="100">
        <v>9.5015257543270195</v>
      </c>
      <c r="BM72" s="100">
        <v>706.91351612193012</v>
      </c>
      <c r="BN72" s="100">
        <v>7</v>
      </c>
      <c r="BO72" s="100">
        <v>520.79999999999995</v>
      </c>
      <c r="BP72" s="100">
        <v>8</v>
      </c>
      <c r="BQ72" s="100">
        <v>595.19999999999993</v>
      </c>
      <c r="BR72" s="100">
        <v>6.3328859664848363</v>
      </c>
      <c r="BS72" s="100">
        <v>471.16671590647178</v>
      </c>
      <c r="BT72" s="100">
        <v>6</v>
      </c>
      <c r="BU72" s="100">
        <v>446.4</v>
      </c>
      <c r="BV72" s="100">
        <v>5</v>
      </c>
      <c r="BW72" s="100">
        <v>371.99999999999994</v>
      </c>
      <c r="BX72" s="100">
        <v>9</v>
      </c>
      <c r="BY72" s="100">
        <v>669.59999999999991</v>
      </c>
      <c r="BZ72" s="100">
        <v>0.31288972158936812</v>
      </c>
      <c r="CA72" s="100">
        <v>23.278995286248986</v>
      </c>
      <c r="CB72" s="100">
        <v>6</v>
      </c>
      <c r="CC72" s="100">
        <v>446.4</v>
      </c>
      <c r="CD72" s="100">
        <v>1.4240998869193862</v>
      </c>
      <c r="CE72" s="100">
        <v>105.95303158680233</v>
      </c>
      <c r="CF72" s="100">
        <v>8</v>
      </c>
      <c r="CG72" s="100">
        <v>595.19999999999993</v>
      </c>
      <c r="CH72" s="100">
        <v>2.6449822427569227</v>
      </c>
      <c r="CI72" s="100">
        <v>196.78667886111504</v>
      </c>
      <c r="CJ72" s="100">
        <v>8</v>
      </c>
      <c r="CK72" s="100">
        <v>595.19999999999993</v>
      </c>
      <c r="CL72" s="100">
        <v>9</v>
      </c>
      <c r="CM72" s="100">
        <v>669.59999999999991</v>
      </c>
      <c r="CN72" s="100">
        <v>8</v>
      </c>
      <c r="CO72" s="100">
        <v>595.19999999999993</v>
      </c>
      <c r="CP72" s="100">
        <v>4.4962750998240359</v>
      </c>
      <c r="CQ72" s="100">
        <v>334.52286742690825</v>
      </c>
      <c r="CR72" s="100">
        <v>9</v>
      </c>
      <c r="CS72" s="100">
        <v>669.59999999999991</v>
      </c>
      <c r="CT72" s="100">
        <v>3.9284581199547737</v>
      </c>
      <c r="CU72" s="100">
        <v>292.27728412463512</v>
      </c>
    </row>
    <row r="73" spans="2:99">
      <c r="C73" s="99" t="s">
        <v>239</v>
      </c>
      <c r="D73" s="100">
        <v>6.5882740961102426</v>
      </c>
      <c r="E73" s="100">
        <v>3684.162874544847</v>
      </c>
      <c r="F73" s="100">
        <v>2.4353456076999183</v>
      </c>
      <c r="G73" s="100">
        <v>1361.8452638257941</v>
      </c>
      <c r="H73" s="100">
        <v>7.239396626117399</v>
      </c>
      <c r="I73" s="100">
        <v>4048.270593324849</v>
      </c>
      <c r="J73" s="100">
        <v>3.3510382167552581</v>
      </c>
      <c r="K73" s="100">
        <v>1873.9005708095401</v>
      </c>
      <c r="L73" s="100">
        <v>6.0012902292988635</v>
      </c>
      <c r="M73" s="100">
        <v>3355.9214962239239</v>
      </c>
      <c r="N73" s="100">
        <v>6</v>
      </c>
      <c r="O73" s="100">
        <v>3355.2</v>
      </c>
      <c r="P73" s="100">
        <v>5.1003796378380182</v>
      </c>
      <c r="Q73" s="100">
        <v>2852.1322934790196</v>
      </c>
      <c r="R73" s="100">
        <v>7</v>
      </c>
      <c r="S73" s="100">
        <v>3914.3999999999996</v>
      </c>
      <c r="T73" s="100">
        <v>5</v>
      </c>
      <c r="U73" s="100">
        <v>2795.9999999999995</v>
      </c>
      <c r="V73" s="100">
        <v>7.7461167445503607</v>
      </c>
      <c r="W73" s="100">
        <v>4331.6284835525612</v>
      </c>
      <c r="X73" s="100">
        <v>2.9893106150922271</v>
      </c>
      <c r="Y73" s="100">
        <v>1671.6224959595731</v>
      </c>
      <c r="Z73" s="100">
        <v>1.5938114478033267</v>
      </c>
      <c r="AA73" s="100">
        <v>891.25936161162019</v>
      </c>
      <c r="AB73" s="100">
        <v>6</v>
      </c>
      <c r="AC73" s="100">
        <v>3355.2</v>
      </c>
      <c r="AD73" s="100">
        <v>4.4297825636666648</v>
      </c>
      <c r="AE73" s="100">
        <v>2477.1344096023986</v>
      </c>
      <c r="AF73" s="100">
        <v>3.5046104640718134</v>
      </c>
      <c r="AG73" s="100">
        <v>1959.7781715089579</v>
      </c>
      <c r="AH73" s="100">
        <v>5</v>
      </c>
      <c r="AI73" s="100">
        <v>2795.9999999999995</v>
      </c>
      <c r="AJ73" s="100">
        <v>6.2185780814441314</v>
      </c>
      <c r="AK73" s="100">
        <v>3477.4288631435579</v>
      </c>
      <c r="AL73" s="100">
        <v>5.6288052648747611</v>
      </c>
      <c r="AM73" s="100">
        <v>3147.627904117966</v>
      </c>
      <c r="AN73" s="100">
        <v>6.5574205104122534</v>
      </c>
      <c r="AO73" s="100">
        <v>3666.9095494225317</v>
      </c>
      <c r="AP73" s="100">
        <v>2.6546518793193958</v>
      </c>
      <c r="AQ73" s="100">
        <v>1484.481330915406</v>
      </c>
      <c r="AR73" s="100">
        <v>6.9412069871915332</v>
      </c>
      <c r="AS73" s="100">
        <v>3881.5229472375049</v>
      </c>
      <c r="AT73" s="100">
        <v>5</v>
      </c>
      <c r="AU73" s="100">
        <v>2795.9999999999995</v>
      </c>
      <c r="AV73" s="100">
        <v>6</v>
      </c>
      <c r="AW73" s="100">
        <v>3355.2</v>
      </c>
      <c r="AX73" s="100">
        <v>6</v>
      </c>
      <c r="AY73" s="100">
        <v>3355.2</v>
      </c>
      <c r="AZ73" s="100">
        <v>8</v>
      </c>
      <c r="BA73" s="100">
        <v>4473.5999999999995</v>
      </c>
      <c r="BB73" s="100">
        <v>6.7623694441827906</v>
      </c>
      <c r="BC73" s="100">
        <v>3781.5169931870159</v>
      </c>
      <c r="BD73" s="100">
        <v>5.89692668401036</v>
      </c>
      <c r="BE73" s="100">
        <v>3297.5614016985928</v>
      </c>
      <c r="BF73" s="100">
        <v>4.7917948921732462E-4</v>
      </c>
      <c r="BG73" s="100">
        <v>0.2679571703703279</v>
      </c>
      <c r="BH73" s="100">
        <v>5</v>
      </c>
      <c r="BI73" s="100">
        <v>2795.9999999999995</v>
      </c>
      <c r="BJ73" s="100">
        <v>4.1526618385782461</v>
      </c>
      <c r="BK73" s="100">
        <v>2322.1685001329552</v>
      </c>
      <c r="BL73" s="100">
        <v>8.5513731788943179</v>
      </c>
      <c r="BM73" s="100">
        <v>4781.9278816377018</v>
      </c>
      <c r="BN73" s="100">
        <v>7</v>
      </c>
      <c r="BO73" s="100">
        <v>3914.3999999999996</v>
      </c>
      <c r="BP73" s="100">
        <v>8</v>
      </c>
      <c r="BQ73" s="100">
        <v>4473.5999999999995</v>
      </c>
      <c r="BR73" s="100">
        <v>6.3328859664848363</v>
      </c>
      <c r="BS73" s="100">
        <v>3541.3498324583202</v>
      </c>
      <c r="BT73" s="100">
        <v>6</v>
      </c>
      <c r="BU73" s="100">
        <v>3355.2</v>
      </c>
      <c r="BV73" s="100">
        <v>5</v>
      </c>
      <c r="BW73" s="100">
        <v>2795.9999999999995</v>
      </c>
      <c r="BX73" s="100">
        <v>9</v>
      </c>
      <c r="BY73" s="100">
        <v>5032.7999999999993</v>
      </c>
      <c r="BZ73" s="100">
        <v>0.3123451915554652</v>
      </c>
      <c r="CA73" s="100">
        <v>174.66343111781612</v>
      </c>
      <c r="CB73" s="100">
        <v>6</v>
      </c>
      <c r="CC73" s="100">
        <v>3355.2</v>
      </c>
      <c r="CD73" s="100">
        <v>1.6946682656486445</v>
      </c>
      <c r="CE73" s="100">
        <v>947.65849415072182</v>
      </c>
      <c r="CF73" s="100">
        <v>8</v>
      </c>
      <c r="CG73" s="100">
        <v>4473.5999999999995</v>
      </c>
      <c r="CH73" s="100">
        <v>2.6449822427569227</v>
      </c>
      <c r="CI73" s="100">
        <v>1479.0740701496711</v>
      </c>
      <c r="CJ73" s="100">
        <v>6</v>
      </c>
      <c r="CK73" s="100">
        <v>3355.2</v>
      </c>
      <c r="CL73" s="100">
        <v>9</v>
      </c>
      <c r="CM73" s="100">
        <v>5032.7999999999993</v>
      </c>
      <c r="CN73" s="100">
        <v>7</v>
      </c>
      <c r="CO73" s="100">
        <v>3914.3999999999996</v>
      </c>
      <c r="CP73" s="100">
        <v>3.5970200798592291</v>
      </c>
      <c r="CQ73" s="100">
        <v>2011.4536286572807</v>
      </c>
      <c r="CR73" s="100">
        <v>9</v>
      </c>
      <c r="CS73" s="100">
        <v>5032.7999999999993</v>
      </c>
      <c r="CT73" s="100">
        <v>3.9284581199547737</v>
      </c>
      <c r="CU73" s="100">
        <v>2196.793780678709</v>
      </c>
    </row>
    <row r="74" spans="2:99">
      <c r="C74" s="99" t="s">
        <v>240</v>
      </c>
      <c r="D74" s="100">
        <v>7.520980336367538</v>
      </c>
      <c r="E74" s="100">
        <v>3032.459271623391</v>
      </c>
      <c r="F74" s="100">
        <v>2.9224147292399016</v>
      </c>
      <c r="G74" s="100">
        <v>1178.3176188295283</v>
      </c>
      <c r="H74" s="100">
        <v>7.239396626117399</v>
      </c>
      <c r="I74" s="100">
        <v>2918.9247196505353</v>
      </c>
      <c r="J74" s="100">
        <v>3.3510382167552581</v>
      </c>
      <c r="K74" s="100">
        <v>1351.13860899572</v>
      </c>
      <c r="L74" s="100">
        <v>6.0012902292988635</v>
      </c>
      <c r="M74" s="100">
        <v>2419.7202204533019</v>
      </c>
      <c r="N74" s="100">
        <v>6</v>
      </c>
      <c r="O74" s="100">
        <v>2419.1999999999998</v>
      </c>
      <c r="P74" s="100">
        <v>5.7379270925677703</v>
      </c>
      <c r="Q74" s="100">
        <v>2313.532203723325</v>
      </c>
      <c r="R74" s="100">
        <v>6</v>
      </c>
      <c r="S74" s="100">
        <v>2419.1999999999998</v>
      </c>
      <c r="T74" s="100">
        <v>5</v>
      </c>
      <c r="U74" s="100">
        <v>2016</v>
      </c>
      <c r="V74" s="100">
        <v>7.7461167445503607</v>
      </c>
      <c r="W74" s="100">
        <v>3123.2342714027054</v>
      </c>
      <c r="X74" s="100">
        <v>2.9893106150922271</v>
      </c>
      <c r="Y74" s="100">
        <v>1205.290040005186</v>
      </c>
      <c r="Z74" s="100">
        <v>1.5816480346657129</v>
      </c>
      <c r="AA74" s="100">
        <v>637.72048757721541</v>
      </c>
      <c r="AB74" s="100">
        <v>7</v>
      </c>
      <c r="AC74" s="100">
        <v>2822.4</v>
      </c>
      <c r="AD74" s="100">
        <v>5.3157390763999972</v>
      </c>
      <c r="AE74" s="100">
        <v>2143.305995604479</v>
      </c>
      <c r="AF74" s="100">
        <v>3.5046104640718134</v>
      </c>
      <c r="AG74" s="100">
        <v>1413.0589391137551</v>
      </c>
      <c r="AH74" s="100">
        <v>5</v>
      </c>
      <c r="AI74" s="100">
        <v>2016</v>
      </c>
      <c r="AJ74" s="100">
        <v>7.7732226018051636</v>
      </c>
      <c r="AK74" s="100">
        <v>3134.1633530478421</v>
      </c>
      <c r="AL74" s="100">
        <v>6.1570598096561557</v>
      </c>
      <c r="AM74" s="100">
        <v>2482.526515253362</v>
      </c>
      <c r="AN74" s="100">
        <v>6.5574205104122534</v>
      </c>
      <c r="AO74" s="100">
        <v>2643.9519497982205</v>
      </c>
      <c r="AP74" s="100">
        <v>2.6182594158420147</v>
      </c>
      <c r="AQ74" s="100">
        <v>1055.6821964675003</v>
      </c>
      <c r="AR74" s="100">
        <v>6.2128382523853913</v>
      </c>
      <c r="AS74" s="100">
        <v>2505.0163833617898</v>
      </c>
      <c r="AT74" s="100">
        <v>5</v>
      </c>
      <c r="AU74" s="100">
        <v>2016</v>
      </c>
      <c r="AV74" s="100">
        <v>7</v>
      </c>
      <c r="AW74" s="100">
        <v>2822.4</v>
      </c>
      <c r="AX74" s="100">
        <v>6</v>
      </c>
      <c r="AY74" s="100">
        <v>2419.1999999999998</v>
      </c>
      <c r="AZ74" s="100">
        <v>10</v>
      </c>
      <c r="BA74" s="100">
        <v>4032</v>
      </c>
      <c r="BB74" s="100">
        <v>7.6076656247056391</v>
      </c>
      <c r="BC74" s="100">
        <v>3067.4107798813138</v>
      </c>
      <c r="BD74" s="100">
        <v>7.3711583550129491</v>
      </c>
      <c r="BE74" s="100">
        <v>2972.0510487412212</v>
      </c>
      <c r="BF74" s="100">
        <v>5.4578003334816423E-4</v>
      </c>
      <c r="BG74" s="100">
        <v>0.22005850944597982</v>
      </c>
      <c r="BH74" s="100">
        <v>5</v>
      </c>
      <c r="BI74" s="100">
        <v>2016</v>
      </c>
      <c r="BJ74" s="100">
        <v>4.1526618385782461</v>
      </c>
      <c r="BK74" s="100">
        <v>1674.3532533147488</v>
      </c>
      <c r="BL74" s="100">
        <v>8.5513731788943179</v>
      </c>
      <c r="BM74" s="100">
        <v>3447.9136657301888</v>
      </c>
      <c r="BN74" s="100">
        <v>7</v>
      </c>
      <c r="BO74" s="100">
        <v>2822.4</v>
      </c>
      <c r="BP74" s="100">
        <v>7</v>
      </c>
      <c r="BQ74" s="100">
        <v>2822.4</v>
      </c>
      <c r="BR74" s="100">
        <v>6.3328859664848363</v>
      </c>
      <c r="BS74" s="100">
        <v>2553.4196216866858</v>
      </c>
      <c r="BT74" s="100">
        <v>6</v>
      </c>
      <c r="BU74" s="100">
        <v>2419.1999999999998</v>
      </c>
      <c r="BV74" s="100">
        <v>5</v>
      </c>
      <c r="BW74" s="100">
        <v>2016</v>
      </c>
      <c r="BX74" s="100">
        <v>10</v>
      </c>
      <c r="BY74" s="100">
        <v>4032</v>
      </c>
      <c r="BZ74" s="100">
        <v>0.26842455994827391</v>
      </c>
      <c r="CA74" s="100">
        <v>108.22878257114404</v>
      </c>
      <c r="CB74" s="100">
        <v>6</v>
      </c>
      <c r="CC74" s="100">
        <v>2419.1999999999998</v>
      </c>
      <c r="CD74" s="100">
        <v>1.4305778863078493</v>
      </c>
      <c r="CE74" s="100">
        <v>576.80900375932481</v>
      </c>
      <c r="CF74" s="100">
        <v>8</v>
      </c>
      <c r="CG74" s="100">
        <v>3225.6</v>
      </c>
      <c r="CH74" s="100">
        <v>2.9756050231015383</v>
      </c>
      <c r="CI74" s="100">
        <v>1199.7639453145403</v>
      </c>
      <c r="CJ74" s="100">
        <v>7</v>
      </c>
      <c r="CK74" s="100">
        <v>2822.4</v>
      </c>
      <c r="CL74" s="100">
        <v>8</v>
      </c>
      <c r="CM74" s="100">
        <v>3225.6</v>
      </c>
      <c r="CN74" s="100">
        <v>8</v>
      </c>
      <c r="CO74" s="100">
        <v>3225.6</v>
      </c>
      <c r="CP74" s="100">
        <v>3.5970200798592291</v>
      </c>
      <c r="CQ74" s="100">
        <v>1450.3184961992411</v>
      </c>
      <c r="CR74" s="100">
        <v>8</v>
      </c>
      <c r="CS74" s="100">
        <v>3225.6</v>
      </c>
      <c r="CT74" s="100">
        <v>4.4195153849491211</v>
      </c>
      <c r="CU74" s="100">
        <v>1781.9486032114855</v>
      </c>
    </row>
    <row r="75" spans="2:99">
      <c r="C75" s="99" t="s">
        <v>241</v>
      </c>
      <c r="D75" s="100">
        <v>6.5882740961102426</v>
      </c>
      <c r="E75" s="100">
        <v>4237.5778986181076</v>
      </c>
      <c r="F75" s="100">
        <v>2.4353456076999183</v>
      </c>
      <c r="G75" s="100">
        <v>1566.4142948725873</v>
      </c>
      <c r="H75" s="100">
        <v>6.3838924880349186</v>
      </c>
      <c r="I75" s="100">
        <v>4106.1196483040594</v>
      </c>
      <c r="J75" s="100">
        <v>3.8749925382073798</v>
      </c>
      <c r="K75" s="100">
        <v>2492.3952005749866</v>
      </c>
      <c r="L75" s="100">
        <v>5.8344085244157196</v>
      </c>
      <c r="M75" s="100">
        <v>3752.6915629041905</v>
      </c>
      <c r="N75" s="100">
        <v>6</v>
      </c>
      <c r="O75" s="100">
        <v>3859.2</v>
      </c>
      <c r="P75" s="100">
        <v>5.1003796378380182</v>
      </c>
      <c r="Q75" s="100">
        <v>3280.5641830574127</v>
      </c>
      <c r="R75" s="100">
        <v>6</v>
      </c>
      <c r="S75" s="100">
        <v>3859.2</v>
      </c>
      <c r="T75" s="100">
        <v>4</v>
      </c>
      <c r="U75" s="100">
        <v>2572.7999999999997</v>
      </c>
      <c r="V75" s="100">
        <v>6.8854371062669868</v>
      </c>
      <c r="W75" s="100">
        <v>4428.7131467509253</v>
      </c>
      <c r="X75" s="100">
        <v>2.9893106150922271</v>
      </c>
      <c r="Y75" s="100">
        <v>1922.7245876273203</v>
      </c>
      <c r="Z75" s="100">
        <v>1.5938114478033267</v>
      </c>
      <c r="AA75" s="100">
        <v>1025.1395232270997</v>
      </c>
      <c r="AB75" s="100">
        <v>7</v>
      </c>
      <c r="AC75" s="100">
        <v>4502.3999999999996</v>
      </c>
      <c r="AD75" s="100">
        <v>5.3157390763999972</v>
      </c>
      <c r="AE75" s="100">
        <v>3419.0833739404779</v>
      </c>
      <c r="AF75" s="100">
        <v>2.8036883712574507</v>
      </c>
      <c r="AG75" s="100">
        <v>1803.3323603927922</v>
      </c>
      <c r="AH75" s="100">
        <v>5</v>
      </c>
      <c r="AI75" s="100">
        <v>3215.9999999999995</v>
      </c>
      <c r="AJ75" s="100">
        <v>6.2185780814441314</v>
      </c>
      <c r="AK75" s="100">
        <v>3999.7894219848649</v>
      </c>
      <c r="AL75" s="100">
        <v>5.6288052648747611</v>
      </c>
      <c r="AM75" s="100">
        <v>3620.4475463674457</v>
      </c>
      <c r="AN75" s="100">
        <v>5.8293327532232517</v>
      </c>
      <c r="AO75" s="100">
        <v>3749.4268268731953</v>
      </c>
      <c r="AP75" s="100">
        <v>2.306338499414299</v>
      </c>
      <c r="AQ75" s="100">
        <v>1483.436922823277</v>
      </c>
      <c r="AR75" s="100">
        <v>6.9412069871915332</v>
      </c>
      <c r="AS75" s="100">
        <v>4464.5843341615937</v>
      </c>
      <c r="AT75" s="100">
        <v>5</v>
      </c>
      <c r="AU75" s="100">
        <v>3215.9999999999995</v>
      </c>
      <c r="AV75" s="100">
        <v>7</v>
      </c>
      <c r="AW75" s="100">
        <v>4502.3999999999996</v>
      </c>
      <c r="AX75" s="100">
        <v>5</v>
      </c>
      <c r="AY75" s="100">
        <v>3215.9999999999995</v>
      </c>
      <c r="AZ75" s="100">
        <v>9</v>
      </c>
      <c r="BA75" s="100">
        <v>5788.7999999999993</v>
      </c>
      <c r="BB75" s="100">
        <v>5.9170732636599412</v>
      </c>
      <c r="BC75" s="100">
        <v>3805.861523186074</v>
      </c>
      <c r="BD75" s="100">
        <v>6.6340425195116541</v>
      </c>
      <c r="BE75" s="100">
        <v>4267.0161485498957</v>
      </c>
      <c r="BF75" s="100">
        <v>4.7917948921732462E-4</v>
      </c>
      <c r="BG75" s="100">
        <v>0.30820824746458314</v>
      </c>
      <c r="BH75" s="100">
        <v>5</v>
      </c>
      <c r="BI75" s="100">
        <v>3215.9999999999995</v>
      </c>
      <c r="BJ75" s="100">
        <v>4.1526618385782461</v>
      </c>
      <c r="BK75" s="100">
        <v>2670.9920945735275</v>
      </c>
      <c r="BL75" s="100">
        <v>7.6012206034616154</v>
      </c>
      <c r="BM75" s="100">
        <v>4889.1050921465103</v>
      </c>
      <c r="BN75" s="100">
        <v>7</v>
      </c>
      <c r="BO75" s="100">
        <v>4502.3999999999996</v>
      </c>
      <c r="BP75" s="100">
        <v>7</v>
      </c>
      <c r="BQ75" s="100">
        <v>4502.3999999999996</v>
      </c>
      <c r="BR75" s="100">
        <v>6.3328859664848363</v>
      </c>
      <c r="BS75" s="100">
        <v>4073.3122536430465</v>
      </c>
      <c r="BT75" s="100">
        <v>7</v>
      </c>
      <c r="BU75" s="100">
        <v>4502.3999999999996</v>
      </c>
      <c r="BV75" s="100">
        <v>5</v>
      </c>
      <c r="BW75" s="100">
        <v>3215.9999999999995</v>
      </c>
      <c r="BX75" s="100">
        <v>9</v>
      </c>
      <c r="BY75" s="100">
        <v>5788.7999999999993</v>
      </c>
      <c r="BZ75" s="100">
        <v>0.26788002991437104</v>
      </c>
      <c r="CA75" s="100">
        <v>172.30043524092343</v>
      </c>
      <c r="CB75" s="100">
        <v>6</v>
      </c>
      <c r="CC75" s="100">
        <v>3859.2</v>
      </c>
      <c r="CD75" s="100">
        <v>1.417621887530923</v>
      </c>
      <c r="CE75" s="100">
        <v>911.81439805988953</v>
      </c>
      <c r="CF75" s="100">
        <v>8</v>
      </c>
      <c r="CG75" s="100">
        <v>5145.5999999999995</v>
      </c>
      <c r="CH75" s="100">
        <v>2.6449822427569227</v>
      </c>
      <c r="CI75" s="100">
        <v>1701.2525785412524</v>
      </c>
      <c r="CJ75" s="100">
        <v>7</v>
      </c>
      <c r="CK75" s="100">
        <v>4502.3999999999996</v>
      </c>
      <c r="CL75" s="100">
        <v>9</v>
      </c>
      <c r="CM75" s="100">
        <v>5788.7999999999993</v>
      </c>
      <c r="CN75" s="100">
        <v>7</v>
      </c>
      <c r="CO75" s="100">
        <v>4502.3999999999996</v>
      </c>
      <c r="CP75" s="100">
        <v>4.4962750998240359</v>
      </c>
      <c r="CQ75" s="100">
        <v>2892.0041442068195</v>
      </c>
      <c r="CR75" s="100">
        <v>8</v>
      </c>
      <c r="CS75" s="100">
        <v>5145.5999999999995</v>
      </c>
      <c r="CT75" s="100">
        <v>3.9284581199547737</v>
      </c>
      <c r="CU75" s="100">
        <v>2526.7842627549103</v>
      </c>
    </row>
    <row r="76" spans="2:99">
      <c r="C76" s="99" t="s">
        <v>242</v>
      </c>
      <c r="D76" s="100">
        <v>6.5882740961102426</v>
      </c>
      <c r="E76" s="100">
        <v>5130.9478660506566</v>
      </c>
      <c r="F76" s="100">
        <v>2.4353456076999183</v>
      </c>
      <c r="G76" s="100">
        <v>1896.6471592766961</v>
      </c>
      <c r="H76" s="100">
        <v>7.239396626117399</v>
      </c>
      <c r="I76" s="100">
        <v>5638.0420924202299</v>
      </c>
      <c r="J76" s="100">
        <v>3.3510382167552581</v>
      </c>
      <c r="K76" s="100">
        <v>2609.7885632089947</v>
      </c>
      <c r="L76" s="100">
        <v>6.0012902292988635</v>
      </c>
      <c r="M76" s="100">
        <v>4673.8048305779548</v>
      </c>
      <c r="N76" s="100">
        <v>6</v>
      </c>
      <c r="O76" s="100">
        <v>4672.7999999999993</v>
      </c>
      <c r="P76" s="100">
        <v>5.7379270925677703</v>
      </c>
      <c r="Q76" s="100">
        <v>4468.6976196917794</v>
      </c>
      <c r="R76" s="100">
        <v>7</v>
      </c>
      <c r="S76" s="100">
        <v>5451.5999999999995</v>
      </c>
      <c r="T76" s="100">
        <v>5</v>
      </c>
      <c r="U76" s="100">
        <v>3894</v>
      </c>
      <c r="V76" s="100">
        <v>6.8854371062669868</v>
      </c>
      <c r="W76" s="100">
        <v>5362.3784183607286</v>
      </c>
      <c r="X76" s="100">
        <v>2.9893106150922271</v>
      </c>
      <c r="Y76" s="100">
        <v>2328.0751070338265</v>
      </c>
      <c r="Z76" s="100">
        <v>1.2969433018903667</v>
      </c>
      <c r="AA76" s="100">
        <v>1010.0594435122175</v>
      </c>
      <c r="AB76" s="100">
        <v>7</v>
      </c>
      <c r="AC76" s="100">
        <v>5451.5999999999995</v>
      </c>
      <c r="AD76" s="100">
        <v>4.4297825636666648</v>
      </c>
      <c r="AE76" s="100">
        <v>3449.9146605835981</v>
      </c>
      <c r="AF76" s="100">
        <v>2.8036883712574507</v>
      </c>
      <c r="AG76" s="100">
        <v>2183.5125035353026</v>
      </c>
      <c r="AH76" s="100">
        <v>4</v>
      </c>
      <c r="AI76" s="100">
        <v>3115.2</v>
      </c>
      <c r="AJ76" s="100">
        <v>6.9959003416246475</v>
      </c>
      <c r="AK76" s="100">
        <v>5448.4071860572749</v>
      </c>
      <c r="AL76" s="100">
        <v>5.6288052648747611</v>
      </c>
      <c r="AM76" s="100">
        <v>4383.7135402844633</v>
      </c>
      <c r="AN76" s="100">
        <v>5.8293327532232517</v>
      </c>
      <c r="AO76" s="100">
        <v>4539.8843482102684</v>
      </c>
      <c r="AP76" s="100">
        <v>2.6691322927646386</v>
      </c>
      <c r="AQ76" s="100">
        <v>2078.7202296051005</v>
      </c>
      <c r="AR76" s="100">
        <v>6.2128382523853913</v>
      </c>
      <c r="AS76" s="100">
        <v>4838.5584309577425</v>
      </c>
      <c r="AT76" s="100">
        <v>4</v>
      </c>
      <c r="AU76" s="100">
        <v>3115.2</v>
      </c>
      <c r="AV76" s="100">
        <v>6</v>
      </c>
      <c r="AW76" s="100">
        <v>4672.7999999999993</v>
      </c>
      <c r="AX76" s="100">
        <v>6</v>
      </c>
      <c r="AY76" s="100">
        <v>4672.7999999999993</v>
      </c>
      <c r="AZ76" s="100">
        <v>9</v>
      </c>
      <c r="BA76" s="100">
        <v>7009.2</v>
      </c>
      <c r="BB76" s="100">
        <v>6.7623694441827906</v>
      </c>
      <c r="BC76" s="100">
        <v>5266.5333231295572</v>
      </c>
      <c r="BD76" s="100">
        <v>6.6340425195116541</v>
      </c>
      <c r="BE76" s="100">
        <v>5166.5923141956755</v>
      </c>
      <c r="BF76" s="100">
        <v>5.4578003334816423E-4</v>
      </c>
      <c r="BG76" s="100">
        <v>0.42505348997155029</v>
      </c>
      <c r="BH76" s="100">
        <v>5</v>
      </c>
      <c r="BI76" s="100">
        <v>3894</v>
      </c>
      <c r="BJ76" s="100">
        <v>4.1526618385782461</v>
      </c>
      <c r="BK76" s="100">
        <v>3234.0930398847377</v>
      </c>
      <c r="BL76" s="100">
        <v>7.6012206034616154</v>
      </c>
      <c r="BM76" s="100">
        <v>5919.8306059759061</v>
      </c>
      <c r="BN76" s="100">
        <v>7</v>
      </c>
      <c r="BO76" s="100">
        <v>5451.5999999999995</v>
      </c>
      <c r="BP76" s="100">
        <v>8</v>
      </c>
      <c r="BQ76" s="100">
        <v>6230.4</v>
      </c>
      <c r="BR76" s="100">
        <v>6.3328859664848363</v>
      </c>
      <c r="BS76" s="100">
        <v>4932.0515906983901</v>
      </c>
      <c r="BT76" s="100">
        <v>6</v>
      </c>
      <c r="BU76" s="100">
        <v>4672.7999999999993</v>
      </c>
      <c r="BV76" s="100">
        <v>5</v>
      </c>
      <c r="BW76" s="100">
        <v>3894</v>
      </c>
      <c r="BX76" s="100">
        <v>8</v>
      </c>
      <c r="BY76" s="100">
        <v>6230.4</v>
      </c>
      <c r="BZ76" s="100">
        <v>0.26842455994827391</v>
      </c>
      <c r="CA76" s="100">
        <v>209.04904728771572</v>
      </c>
      <c r="CB76" s="100">
        <v>6</v>
      </c>
      <c r="CC76" s="100">
        <v>4672.7999999999993</v>
      </c>
      <c r="CD76" s="100">
        <v>1.417621887530923</v>
      </c>
      <c r="CE76" s="100">
        <v>1104.0439260090827</v>
      </c>
      <c r="CF76" s="100">
        <v>8</v>
      </c>
      <c r="CG76" s="100">
        <v>6230.4</v>
      </c>
      <c r="CH76" s="100">
        <v>2.9756050231015383</v>
      </c>
      <c r="CI76" s="100">
        <v>2317.4011919914778</v>
      </c>
      <c r="CJ76" s="100">
        <v>6</v>
      </c>
      <c r="CK76" s="100">
        <v>4672.7999999999993</v>
      </c>
      <c r="CL76" s="100">
        <v>8</v>
      </c>
      <c r="CM76" s="100">
        <v>6230.4</v>
      </c>
      <c r="CN76" s="100">
        <v>7</v>
      </c>
      <c r="CO76" s="100">
        <v>5451.5999999999995</v>
      </c>
      <c r="CP76" s="100">
        <v>3.5970200798592291</v>
      </c>
      <c r="CQ76" s="100">
        <v>2801.3592381943677</v>
      </c>
      <c r="CR76" s="100">
        <v>9</v>
      </c>
      <c r="CS76" s="100">
        <v>7009.2</v>
      </c>
      <c r="CT76" s="100">
        <v>4.4195153849491211</v>
      </c>
      <c r="CU76" s="100">
        <v>3441.9185817983753</v>
      </c>
    </row>
    <row r="77" spans="2:99">
      <c r="C77" s="99" t="s">
        <v>243</v>
      </c>
      <c r="D77" s="100">
        <v>6.5882740961102426</v>
      </c>
      <c r="E77" s="100">
        <v>1834.1755083570913</v>
      </c>
      <c r="F77" s="100">
        <v>2.4353456076999183</v>
      </c>
      <c r="G77" s="100">
        <v>678.00021718365724</v>
      </c>
      <c r="H77" s="100">
        <v>7.1243614719611665</v>
      </c>
      <c r="I77" s="100">
        <v>1983.4222337939887</v>
      </c>
      <c r="J77" s="100">
        <v>3.8749925382073798</v>
      </c>
      <c r="K77" s="100">
        <v>1078.7979226369343</v>
      </c>
      <c r="L77" s="100">
        <v>6.0012902292988635</v>
      </c>
      <c r="M77" s="100">
        <v>1670.7591998368034</v>
      </c>
      <c r="N77" s="100">
        <v>6</v>
      </c>
      <c r="O77" s="100">
        <v>1670.3999999999999</v>
      </c>
      <c r="P77" s="100">
        <v>5.7379270925677703</v>
      </c>
      <c r="Q77" s="100">
        <v>1597.4389025708672</v>
      </c>
      <c r="R77" s="100">
        <v>7</v>
      </c>
      <c r="S77" s="100">
        <v>1948.7999999999997</v>
      </c>
      <c r="T77" s="100">
        <v>5</v>
      </c>
      <c r="U77" s="100">
        <v>1392</v>
      </c>
      <c r="V77" s="100">
        <v>7.7461167445503607</v>
      </c>
      <c r="W77" s="100">
        <v>2156.5189016828203</v>
      </c>
      <c r="X77" s="100">
        <v>3.4163549886768307</v>
      </c>
      <c r="Y77" s="100">
        <v>951.11322884762956</v>
      </c>
      <c r="Z77" s="100">
        <v>1.5938114478033267</v>
      </c>
      <c r="AA77" s="100">
        <v>443.71710706844613</v>
      </c>
      <c r="AB77" s="100">
        <v>7</v>
      </c>
      <c r="AC77" s="100">
        <v>1948.7999999999997</v>
      </c>
      <c r="AD77" s="100">
        <v>4.4297825636666648</v>
      </c>
      <c r="AE77" s="100">
        <v>1233.2514657247993</v>
      </c>
      <c r="AF77" s="100">
        <v>2.8036883712574507</v>
      </c>
      <c r="AG77" s="100">
        <v>780.54684255807422</v>
      </c>
      <c r="AH77" s="100">
        <v>6</v>
      </c>
      <c r="AI77" s="100">
        <v>1670.3999999999999</v>
      </c>
      <c r="AJ77" s="100">
        <v>6.9959003416246475</v>
      </c>
      <c r="AK77" s="100">
        <v>1947.6586551083017</v>
      </c>
      <c r="AL77" s="100">
        <v>5.04224976263722</v>
      </c>
      <c r="AM77" s="100">
        <v>1403.7623339182019</v>
      </c>
      <c r="AN77" s="100">
        <v>6.679540252562294</v>
      </c>
      <c r="AO77" s="100">
        <v>1859.5840063133426</v>
      </c>
      <c r="AP77" s="100">
        <v>2.6691322927646386</v>
      </c>
      <c r="AQ77" s="100">
        <v>743.08643030567532</v>
      </c>
      <c r="AR77" s="100">
        <v>6.9412069871915332</v>
      </c>
      <c r="AS77" s="100">
        <v>1932.4320252341226</v>
      </c>
      <c r="AT77" s="100">
        <v>5</v>
      </c>
      <c r="AU77" s="100">
        <v>1392</v>
      </c>
      <c r="AV77" s="100">
        <v>7</v>
      </c>
      <c r="AW77" s="100">
        <v>1948.7999999999997</v>
      </c>
      <c r="AX77" s="100">
        <v>5</v>
      </c>
      <c r="AY77" s="100">
        <v>1392</v>
      </c>
      <c r="AZ77" s="100">
        <v>10</v>
      </c>
      <c r="BA77" s="100">
        <v>2784</v>
      </c>
      <c r="BB77" s="100">
        <v>6.7623694441827906</v>
      </c>
      <c r="BC77" s="100">
        <v>1882.6436532604887</v>
      </c>
      <c r="BD77" s="100">
        <v>6.6340425195116541</v>
      </c>
      <c r="BE77" s="100">
        <v>1846.9174374320444</v>
      </c>
      <c r="BF77" s="100">
        <v>4.8177462527761405E-4</v>
      </c>
      <c r="BG77" s="100">
        <v>0.13412605567728775</v>
      </c>
      <c r="BH77" s="100">
        <v>6</v>
      </c>
      <c r="BI77" s="100">
        <v>1670.3999999999999</v>
      </c>
      <c r="BJ77" s="100">
        <v>4.1526618385782461</v>
      </c>
      <c r="BK77" s="100">
        <v>1156.1010558601836</v>
      </c>
      <c r="BL77" s="100">
        <v>7.6012206034616154</v>
      </c>
      <c r="BM77" s="100">
        <v>2116.1798160037138</v>
      </c>
      <c r="BN77" s="100">
        <v>8</v>
      </c>
      <c r="BO77" s="100">
        <v>2227.1999999999998</v>
      </c>
      <c r="BP77" s="100">
        <v>7</v>
      </c>
      <c r="BQ77" s="100">
        <v>1948.7999999999997</v>
      </c>
      <c r="BR77" s="100">
        <v>7.124496712295441</v>
      </c>
      <c r="BS77" s="100">
        <v>1983.4598847030506</v>
      </c>
      <c r="BT77" s="100">
        <v>6</v>
      </c>
      <c r="BU77" s="100">
        <v>1670.3999999999999</v>
      </c>
      <c r="BV77" s="100">
        <v>5</v>
      </c>
      <c r="BW77" s="100">
        <v>1392</v>
      </c>
      <c r="BX77" s="100">
        <v>9</v>
      </c>
      <c r="BY77" s="100">
        <v>2505.6</v>
      </c>
      <c r="BZ77" s="100">
        <v>0.3123451915554652</v>
      </c>
      <c r="CA77" s="100">
        <v>86.9569013290415</v>
      </c>
      <c r="CB77" s="100">
        <v>6</v>
      </c>
      <c r="CC77" s="100">
        <v>1670.3999999999999</v>
      </c>
      <c r="CD77" s="100">
        <v>1.6946682656486445</v>
      </c>
      <c r="CE77" s="100">
        <v>471.79564515658257</v>
      </c>
      <c r="CF77" s="100">
        <v>8</v>
      </c>
      <c r="CG77" s="100">
        <v>2227.1999999999998</v>
      </c>
      <c r="CH77" s="100">
        <v>2.9756050231015383</v>
      </c>
      <c r="CI77" s="100">
        <v>828.4084384314682</v>
      </c>
      <c r="CJ77" s="100">
        <v>6</v>
      </c>
      <c r="CK77" s="100">
        <v>1670.3999999999999</v>
      </c>
      <c r="CL77" s="100">
        <v>9</v>
      </c>
      <c r="CM77" s="100">
        <v>2505.6</v>
      </c>
      <c r="CN77" s="100">
        <v>8</v>
      </c>
      <c r="CO77" s="100">
        <v>2227.1999999999998</v>
      </c>
      <c r="CP77" s="100">
        <v>4.4962750998240359</v>
      </c>
      <c r="CQ77" s="100">
        <v>1251.7629877910115</v>
      </c>
      <c r="CR77" s="100">
        <v>8</v>
      </c>
      <c r="CS77" s="100">
        <v>2227.1999999999998</v>
      </c>
      <c r="CT77" s="100">
        <v>4.4195153849491211</v>
      </c>
      <c r="CU77" s="100">
        <v>1230.3930831698351</v>
      </c>
    </row>
    <row r="78" spans="2:99">
      <c r="C78" s="99" t="s">
        <v>244</v>
      </c>
      <c r="D78" s="100">
        <v>6.5882740961102426</v>
      </c>
      <c r="E78" s="100">
        <v>3636.7273010528538</v>
      </c>
      <c r="F78" s="100">
        <v>2.4353456076999183</v>
      </c>
      <c r="G78" s="100">
        <v>1344.3107754503549</v>
      </c>
      <c r="H78" s="100">
        <v>6.498927642191151</v>
      </c>
      <c r="I78" s="100">
        <v>3587.4080584895155</v>
      </c>
      <c r="J78" s="100">
        <v>3.3510382167552581</v>
      </c>
      <c r="K78" s="100">
        <v>1849.7730956489024</v>
      </c>
      <c r="L78" s="100">
        <v>6.0012902292988635</v>
      </c>
      <c r="M78" s="100">
        <v>3312.7122065729727</v>
      </c>
      <c r="N78" s="100">
        <v>6</v>
      </c>
      <c r="O78" s="100">
        <v>3312</v>
      </c>
      <c r="P78" s="100">
        <v>5.7379270925677703</v>
      </c>
      <c r="Q78" s="100">
        <v>3167.3357550974092</v>
      </c>
      <c r="R78" s="100">
        <v>7</v>
      </c>
      <c r="S78" s="100">
        <v>3864</v>
      </c>
      <c r="T78" s="100">
        <v>4</v>
      </c>
      <c r="U78" s="100">
        <v>2208</v>
      </c>
      <c r="V78" s="100">
        <v>6.8854371062669868</v>
      </c>
      <c r="W78" s="100">
        <v>3800.7612826593768</v>
      </c>
      <c r="X78" s="100">
        <v>2.9893106150922271</v>
      </c>
      <c r="Y78" s="100">
        <v>1650.0994595309094</v>
      </c>
      <c r="Z78" s="100">
        <v>1.5816480346657129</v>
      </c>
      <c r="AA78" s="100">
        <v>873.06971513547353</v>
      </c>
      <c r="AB78" s="100">
        <v>7</v>
      </c>
      <c r="AC78" s="100">
        <v>3864</v>
      </c>
      <c r="AD78" s="100">
        <v>5.3157390763999972</v>
      </c>
      <c r="AE78" s="100">
        <v>2934.2879701727984</v>
      </c>
      <c r="AF78" s="100">
        <v>2.8036883712574507</v>
      </c>
      <c r="AG78" s="100">
        <v>1547.6359809341129</v>
      </c>
      <c r="AH78" s="100">
        <v>5</v>
      </c>
      <c r="AI78" s="100">
        <v>2760</v>
      </c>
      <c r="AJ78" s="100">
        <v>6.2185780814441314</v>
      </c>
      <c r="AK78" s="100">
        <v>3432.6551009571604</v>
      </c>
      <c r="AL78" s="100">
        <v>6.215360767112303</v>
      </c>
      <c r="AM78" s="100">
        <v>3430.8791434459913</v>
      </c>
      <c r="AN78" s="100">
        <v>6.5574205104122534</v>
      </c>
      <c r="AO78" s="100">
        <v>3619.6961217475637</v>
      </c>
      <c r="AP78" s="100">
        <v>2.3572113763369233</v>
      </c>
      <c r="AQ78" s="100">
        <v>1301.1806797379818</v>
      </c>
      <c r="AR78" s="100">
        <v>7.0698364451702842</v>
      </c>
      <c r="AS78" s="100">
        <v>3902.5497177339967</v>
      </c>
      <c r="AT78" s="100">
        <v>5</v>
      </c>
      <c r="AU78" s="100">
        <v>2760</v>
      </c>
      <c r="AV78" s="100">
        <v>6</v>
      </c>
      <c r="AW78" s="100">
        <v>3312</v>
      </c>
      <c r="AX78" s="100">
        <v>6</v>
      </c>
      <c r="AY78" s="100">
        <v>3312</v>
      </c>
      <c r="AZ78" s="100">
        <v>8</v>
      </c>
      <c r="BA78" s="100">
        <v>4416</v>
      </c>
      <c r="BB78" s="100">
        <v>6.7623694441827906</v>
      </c>
      <c r="BC78" s="100">
        <v>3732.8279331889003</v>
      </c>
      <c r="BD78" s="100">
        <v>6.6340425195116541</v>
      </c>
      <c r="BE78" s="100">
        <v>3661.9914707704329</v>
      </c>
      <c r="BF78" s="100">
        <v>5.431848972878748E-4</v>
      </c>
      <c r="BG78" s="100">
        <v>0.29983806330290691</v>
      </c>
      <c r="BH78" s="100">
        <v>5</v>
      </c>
      <c r="BI78" s="100">
        <v>2760</v>
      </c>
      <c r="BJ78" s="100">
        <v>4.1526618385782461</v>
      </c>
      <c r="BK78" s="100">
        <v>2292.2693348951921</v>
      </c>
      <c r="BL78" s="100">
        <v>8.5513731788943179</v>
      </c>
      <c r="BM78" s="100">
        <v>4720.3579947496637</v>
      </c>
      <c r="BN78" s="100">
        <v>7</v>
      </c>
      <c r="BO78" s="100">
        <v>3864</v>
      </c>
      <c r="BP78" s="100">
        <v>8</v>
      </c>
      <c r="BQ78" s="100">
        <v>4416</v>
      </c>
      <c r="BR78" s="100">
        <v>6.3328859664848363</v>
      </c>
      <c r="BS78" s="100">
        <v>3495.7530534996295</v>
      </c>
      <c r="BT78" s="100">
        <v>5</v>
      </c>
      <c r="BU78" s="100">
        <v>2760</v>
      </c>
      <c r="BV78" s="100">
        <v>4</v>
      </c>
      <c r="BW78" s="100">
        <v>2208</v>
      </c>
      <c r="BX78" s="100">
        <v>8</v>
      </c>
      <c r="BY78" s="100">
        <v>4416</v>
      </c>
      <c r="BZ78" s="100">
        <v>0.31180066152156227</v>
      </c>
      <c r="CA78" s="100">
        <v>172.11396515990236</v>
      </c>
      <c r="CB78" s="100">
        <v>6</v>
      </c>
      <c r="CC78" s="100">
        <v>3312</v>
      </c>
      <c r="CD78" s="100">
        <v>1.6881902662601813</v>
      </c>
      <c r="CE78" s="100">
        <v>931.8810269756201</v>
      </c>
      <c r="CF78" s="100">
        <v>8</v>
      </c>
      <c r="CG78" s="100">
        <v>4416</v>
      </c>
      <c r="CH78" s="100">
        <v>2.9756050231015383</v>
      </c>
      <c r="CI78" s="100">
        <v>1642.5339727520491</v>
      </c>
      <c r="CJ78" s="100">
        <v>7</v>
      </c>
      <c r="CK78" s="100">
        <v>3864</v>
      </c>
      <c r="CL78" s="100">
        <v>9</v>
      </c>
      <c r="CM78" s="100">
        <v>4968</v>
      </c>
      <c r="CN78" s="100">
        <v>7</v>
      </c>
      <c r="CO78" s="100">
        <v>3864</v>
      </c>
      <c r="CP78" s="100">
        <v>3.5970200798592291</v>
      </c>
      <c r="CQ78" s="100">
        <v>1985.5550840822946</v>
      </c>
      <c r="CR78" s="100">
        <v>8</v>
      </c>
      <c r="CS78" s="100">
        <v>4416</v>
      </c>
      <c r="CT78" s="100">
        <v>3.9284581199547737</v>
      </c>
      <c r="CU78" s="100">
        <v>2168.5088822150351</v>
      </c>
    </row>
    <row r="79" spans="2:99">
      <c r="C79" s="99" t="s">
        <v>245</v>
      </c>
      <c r="D79" s="100">
        <v>7.520980336367538</v>
      </c>
      <c r="E79" s="100">
        <v>5694.8863106974995</v>
      </c>
      <c r="F79" s="100">
        <v>2.4353456076999183</v>
      </c>
      <c r="G79" s="100">
        <v>1844.0436941503779</v>
      </c>
      <c r="H79" s="100">
        <v>7.1243614719611665</v>
      </c>
      <c r="I79" s="100">
        <v>5394.5665065689946</v>
      </c>
      <c r="J79" s="100">
        <v>3.8749925382073798</v>
      </c>
      <c r="K79" s="100">
        <v>2934.1443499306279</v>
      </c>
      <c r="L79" s="100">
        <v>6.0012902292988635</v>
      </c>
      <c r="M79" s="100">
        <v>4544.1769616250986</v>
      </c>
      <c r="N79" s="100">
        <v>6</v>
      </c>
      <c r="O79" s="100">
        <v>4543.2</v>
      </c>
      <c r="P79" s="100">
        <v>5.7379270925677703</v>
      </c>
      <c r="Q79" s="100">
        <v>4344.7583944923153</v>
      </c>
      <c r="R79" s="100">
        <v>6</v>
      </c>
      <c r="S79" s="100">
        <v>4543.2</v>
      </c>
      <c r="T79" s="100">
        <v>4</v>
      </c>
      <c r="U79" s="100">
        <v>3028.7999999999997</v>
      </c>
      <c r="V79" s="100">
        <v>6.8854371062669868</v>
      </c>
      <c r="W79" s="100">
        <v>5213.6529768653618</v>
      </c>
      <c r="X79" s="100">
        <v>2.9893106150922271</v>
      </c>
      <c r="Y79" s="100">
        <v>2263.505997747834</v>
      </c>
      <c r="Z79" s="100">
        <v>1.2847798887527528</v>
      </c>
      <c r="AA79" s="100">
        <v>972.83533176358435</v>
      </c>
      <c r="AB79" s="100">
        <v>7</v>
      </c>
      <c r="AC79" s="100">
        <v>5300.4</v>
      </c>
      <c r="AD79" s="100">
        <v>4.4297825636666648</v>
      </c>
      <c r="AE79" s="100">
        <v>3354.2313572083981</v>
      </c>
      <c r="AF79" s="100">
        <v>2.8036883712574507</v>
      </c>
      <c r="AG79" s="100">
        <v>2122.9528347161413</v>
      </c>
      <c r="AH79" s="100">
        <v>5</v>
      </c>
      <c r="AI79" s="100">
        <v>3785.9999999999995</v>
      </c>
      <c r="AJ79" s="100">
        <v>6.2185780814441314</v>
      </c>
      <c r="AK79" s="100">
        <v>4708.7073232694956</v>
      </c>
      <c r="AL79" s="100">
        <v>6.215360767112303</v>
      </c>
      <c r="AM79" s="100">
        <v>4706.271172857435</v>
      </c>
      <c r="AN79" s="100">
        <v>5.8293327532232517</v>
      </c>
      <c r="AO79" s="100">
        <v>4413.9707607406463</v>
      </c>
      <c r="AP79" s="100">
        <v>2.3427309628916801</v>
      </c>
      <c r="AQ79" s="100">
        <v>1773.91588510158</v>
      </c>
      <c r="AR79" s="100">
        <v>6.9412069871915332</v>
      </c>
      <c r="AS79" s="100">
        <v>5255.8819307014282</v>
      </c>
      <c r="AT79" s="100">
        <v>5</v>
      </c>
      <c r="AU79" s="100">
        <v>3785.9999999999995</v>
      </c>
      <c r="AV79" s="100">
        <v>7</v>
      </c>
      <c r="AW79" s="100">
        <v>5300.4</v>
      </c>
      <c r="AX79" s="100">
        <v>6</v>
      </c>
      <c r="AY79" s="100">
        <v>4543.2</v>
      </c>
      <c r="AZ79" s="100">
        <v>8</v>
      </c>
      <c r="BA79" s="100">
        <v>6057.5999999999995</v>
      </c>
      <c r="BB79" s="100">
        <v>6.7623694441827906</v>
      </c>
      <c r="BC79" s="100">
        <v>5120.4661431352088</v>
      </c>
      <c r="BD79" s="100">
        <v>6.6340425195116541</v>
      </c>
      <c r="BE79" s="100">
        <v>5023.2969957742243</v>
      </c>
      <c r="BF79" s="100">
        <v>4.7658435315703519E-4</v>
      </c>
      <c r="BG79" s="100">
        <v>0.36086967221050703</v>
      </c>
      <c r="BH79" s="100">
        <v>6</v>
      </c>
      <c r="BI79" s="100">
        <v>4543.2</v>
      </c>
      <c r="BJ79" s="100">
        <v>4.1526618385782461</v>
      </c>
      <c r="BK79" s="100">
        <v>3144.3955441714475</v>
      </c>
      <c r="BL79" s="100">
        <v>8.5513731788943179</v>
      </c>
      <c r="BM79" s="100">
        <v>6475.0997710587772</v>
      </c>
      <c r="BN79" s="100">
        <v>7</v>
      </c>
      <c r="BO79" s="100">
        <v>5300.4</v>
      </c>
      <c r="BP79" s="100">
        <v>7</v>
      </c>
      <c r="BQ79" s="100">
        <v>5300.4</v>
      </c>
      <c r="BR79" s="100">
        <v>6.3328859664848363</v>
      </c>
      <c r="BS79" s="100">
        <v>4795.2612538223175</v>
      </c>
      <c r="BT79" s="100">
        <v>6</v>
      </c>
      <c r="BU79" s="100">
        <v>4543.2</v>
      </c>
      <c r="BV79" s="100">
        <v>5</v>
      </c>
      <c r="BW79" s="100">
        <v>3785.9999999999995</v>
      </c>
      <c r="BX79" s="100">
        <v>9</v>
      </c>
      <c r="BY79" s="100">
        <v>6814.7999999999993</v>
      </c>
      <c r="BZ79" s="100">
        <v>0.26842455994827391</v>
      </c>
      <c r="CA79" s="100">
        <v>203.25107679283298</v>
      </c>
      <c r="CB79" s="100">
        <v>6</v>
      </c>
      <c r="CC79" s="100">
        <v>4543.2</v>
      </c>
      <c r="CD79" s="100">
        <v>1.4240998869193862</v>
      </c>
      <c r="CE79" s="100">
        <v>1078.3284343753592</v>
      </c>
      <c r="CF79" s="100">
        <v>8</v>
      </c>
      <c r="CG79" s="100">
        <v>6057.5999999999995</v>
      </c>
      <c r="CH79" s="100">
        <v>2.9756050231015383</v>
      </c>
      <c r="CI79" s="100">
        <v>2253.1281234924845</v>
      </c>
      <c r="CJ79" s="100">
        <v>7</v>
      </c>
      <c r="CK79" s="100">
        <v>5300.4</v>
      </c>
      <c r="CL79" s="100">
        <v>8</v>
      </c>
      <c r="CM79" s="100">
        <v>6057.5999999999995</v>
      </c>
      <c r="CN79" s="100">
        <v>7</v>
      </c>
      <c r="CO79" s="100">
        <v>5300.4</v>
      </c>
      <c r="CP79" s="100">
        <v>3.5970200798592291</v>
      </c>
      <c r="CQ79" s="100">
        <v>2723.6636044694083</v>
      </c>
      <c r="CR79" s="100">
        <v>8</v>
      </c>
      <c r="CS79" s="100">
        <v>6057.5999999999995</v>
      </c>
      <c r="CT79" s="100">
        <v>3.9284581199547737</v>
      </c>
      <c r="CU79" s="100">
        <v>2974.6284884297543</v>
      </c>
    </row>
    <row r="80" spans="2:99">
      <c r="C80" s="99" t="s">
        <v>246</v>
      </c>
      <c r="D80" s="100">
        <v>7.520980336367538</v>
      </c>
      <c r="E80" s="100">
        <v>6055.8933668431409</v>
      </c>
      <c r="F80" s="100">
        <v>2.4353456076999183</v>
      </c>
      <c r="G80" s="100">
        <v>1960.940283319974</v>
      </c>
      <c r="H80" s="100">
        <v>6.3838924880349186</v>
      </c>
      <c r="I80" s="100">
        <v>5140.3102313657164</v>
      </c>
      <c r="J80" s="100">
        <v>3.3510382167552581</v>
      </c>
      <c r="K80" s="100">
        <v>2698.2559721313337</v>
      </c>
      <c r="L80" s="100">
        <v>5.0012902292988635</v>
      </c>
      <c r="M80" s="100">
        <v>4027.0388926314445</v>
      </c>
      <c r="N80" s="100">
        <v>6</v>
      </c>
      <c r="O80" s="100">
        <v>4831.2</v>
      </c>
      <c r="P80" s="100">
        <v>5.1003796378380182</v>
      </c>
      <c r="Q80" s="100">
        <v>4106.8256843871723</v>
      </c>
      <c r="R80" s="100">
        <v>7</v>
      </c>
      <c r="S80" s="100">
        <v>5636.4</v>
      </c>
      <c r="T80" s="100">
        <v>5</v>
      </c>
      <c r="U80" s="100">
        <v>4025.9999999999995</v>
      </c>
      <c r="V80" s="100">
        <v>6.8854371062669868</v>
      </c>
      <c r="W80" s="100">
        <v>5544.1539579661776</v>
      </c>
      <c r="X80" s="100">
        <v>3.4163549886768307</v>
      </c>
      <c r="Y80" s="100">
        <v>2750.8490368825837</v>
      </c>
      <c r="Z80" s="100">
        <v>1.2969433018903667</v>
      </c>
      <c r="AA80" s="100">
        <v>1044.2987466821232</v>
      </c>
      <c r="AB80" s="100">
        <v>6</v>
      </c>
      <c r="AC80" s="100">
        <v>4831.2</v>
      </c>
      <c r="AD80" s="100">
        <v>5.3157390763999972</v>
      </c>
      <c r="AE80" s="100">
        <v>4280.2331043172771</v>
      </c>
      <c r="AF80" s="100">
        <v>2.8036883712574507</v>
      </c>
      <c r="AG80" s="100">
        <v>2257.5298765364992</v>
      </c>
      <c r="AH80" s="100">
        <v>5</v>
      </c>
      <c r="AI80" s="100">
        <v>4025.9999999999995</v>
      </c>
      <c r="AJ80" s="100">
        <v>6.2185780814441314</v>
      </c>
      <c r="AK80" s="100">
        <v>5007.1990711788139</v>
      </c>
      <c r="AL80" s="100">
        <v>4.9839488051810727</v>
      </c>
      <c r="AM80" s="100">
        <v>4013.0755779317992</v>
      </c>
      <c r="AN80" s="100">
        <v>5.8293327532232517</v>
      </c>
      <c r="AO80" s="100">
        <v>4693.7787328953618</v>
      </c>
      <c r="AP80" s="100">
        <v>2.6691322927646386</v>
      </c>
      <c r="AQ80" s="100">
        <v>2149.1853221340866</v>
      </c>
      <c r="AR80" s="100">
        <v>6.2128382523853913</v>
      </c>
      <c r="AS80" s="100">
        <v>5002.5773608207164</v>
      </c>
      <c r="AT80" s="100">
        <v>4</v>
      </c>
      <c r="AU80" s="100">
        <v>3220.7999999999997</v>
      </c>
      <c r="AV80" s="100">
        <v>6</v>
      </c>
      <c r="AW80" s="100">
        <v>4831.2</v>
      </c>
      <c r="AX80" s="100">
        <v>5</v>
      </c>
      <c r="AY80" s="100">
        <v>4025.9999999999995</v>
      </c>
      <c r="AZ80" s="100">
        <v>9</v>
      </c>
      <c r="BA80" s="100">
        <v>7246.7999999999993</v>
      </c>
      <c r="BB80" s="100">
        <v>5.9170732636599412</v>
      </c>
      <c r="BC80" s="100">
        <v>4764.4273918989838</v>
      </c>
      <c r="BD80" s="100">
        <v>6.6340425195116541</v>
      </c>
      <c r="BE80" s="100">
        <v>5341.7310367107839</v>
      </c>
      <c r="BF80" s="100">
        <v>4.7917948921732462E-4</v>
      </c>
      <c r="BG80" s="100">
        <v>0.38583532471778975</v>
      </c>
      <c r="BH80" s="100">
        <v>5</v>
      </c>
      <c r="BI80" s="100">
        <v>4025.9999999999995</v>
      </c>
      <c r="BJ80" s="100">
        <v>3.4605515321485383</v>
      </c>
      <c r="BK80" s="100">
        <v>2786.436093686003</v>
      </c>
      <c r="BL80" s="100">
        <v>6.6510680280289138</v>
      </c>
      <c r="BM80" s="100">
        <v>5355.439976168881</v>
      </c>
      <c r="BN80" s="100">
        <v>7</v>
      </c>
      <c r="BO80" s="100">
        <v>5636.4</v>
      </c>
      <c r="BP80" s="100">
        <v>7</v>
      </c>
      <c r="BQ80" s="100">
        <v>5636.4</v>
      </c>
      <c r="BR80" s="100">
        <v>5.5412752206742315</v>
      </c>
      <c r="BS80" s="100">
        <v>4461.8348076868906</v>
      </c>
      <c r="BT80" s="100">
        <v>6</v>
      </c>
      <c r="BU80" s="100">
        <v>4831.2</v>
      </c>
      <c r="BV80" s="100">
        <v>4</v>
      </c>
      <c r="BW80" s="100">
        <v>3220.7999999999997</v>
      </c>
      <c r="BX80" s="100">
        <v>8</v>
      </c>
      <c r="BY80" s="100">
        <v>6441.5999999999995</v>
      </c>
      <c r="BZ80" s="100">
        <v>0.3123451915554652</v>
      </c>
      <c r="CA80" s="100">
        <v>251.50034824046057</v>
      </c>
      <c r="CB80" s="100">
        <v>5</v>
      </c>
      <c r="CC80" s="100">
        <v>4025.9999999999995</v>
      </c>
      <c r="CD80" s="100">
        <v>1.4240998869193862</v>
      </c>
      <c r="CE80" s="100">
        <v>1146.6852289474896</v>
      </c>
      <c r="CF80" s="100">
        <v>7</v>
      </c>
      <c r="CG80" s="100">
        <v>5636.4</v>
      </c>
      <c r="CH80" s="100">
        <v>2.6449822427569227</v>
      </c>
      <c r="CI80" s="100">
        <v>2129.7397018678739</v>
      </c>
      <c r="CJ80" s="100">
        <v>7</v>
      </c>
      <c r="CK80" s="100">
        <v>5636.4</v>
      </c>
      <c r="CL80" s="100">
        <v>8</v>
      </c>
      <c r="CM80" s="100">
        <v>6441.5999999999995</v>
      </c>
      <c r="CN80" s="100">
        <v>7</v>
      </c>
      <c r="CO80" s="100">
        <v>5636.4</v>
      </c>
      <c r="CP80" s="100">
        <v>4.0466475898416325</v>
      </c>
      <c r="CQ80" s="100">
        <v>3258.3606393404821</v>
      </c>
      <c r="CR80" s="100">
        <v>8</v>
      </c>
      <c r="CS80" s="100">
        <v>6441.5999999999995</v>
      </c>
      <c r="CT80" s="100">
        <v>3.9284581199547737</v>
      </c>
      <c r="CU80" s="100">
        <v>3163.1944781875836</v>
      </c>
    </row>
    <row r="81" spans="2:99">
      <c r="C81" s="99" t="s">
        <v>247</v>
      </c>
      <c r="D81" s="100">
        <v>7.535812939944833</v>
      </c>
      <c r="E81" s="100">
        <v>5678.9886315424264</v>
      </c>
      <c r="F81" s="100">
        <v>2.4353456076999183</v>
      </c>
      <c r="G81" s="100">
        <v>1835.2764499626585</v>
      </c>
      <c r="H81" s="100">
        <v>6.3838924880349186</v>
      </c>
      <c r="I81" s="100">
        <v>4810.9013789831151</v>
      </c>
      <c r="J81" s="100">
        <v>3.8749925382073798</v>
      </c>
      <c r="K81" s="100">
        <v>2920.1943767930816</v>
      </c>
      <c r="L81" s="100">
        <v>6.0012902292988635</v>
      </c>
      <c r="M81" s="100">
        <v>4522.5723167996239</v>
      </c>
      <c r="N81" s="100">
        <v>6</v>
      </c>
      <c r="O81" s="100">
        <v>4521.6000000000004</v>
      </c>
      <c r="P81" s="100">
        <v>5.1003796378380182</v>
      </c>
      <c r="Q81" s="100">
        <v>3843.6460950747305</v>
      </c>
      <c r="R81" s="100">
        <v>7</v>
      </c>
      <c r="S81" s="100">
        <v>5275.2</v>
      </c>
      <c r="T81" s="100">
        <v>4</v>
      </c>
      <c r="U81" s="100">
        <v>3014.4</v>
      </c>
      <c r="V81" s="100">
        <v>7.7461167445503607</v>
      </c>
      <c r="W81" s="100">
        <v>5837.4735786931524</v>
      </c>
      <c r="X81" s="100">
        <v>3.4163549886768307</v>
      </c>
      <c r="Y81" s="100">
        <v>2574.5651194668599</v>
      </c>
      <c r="Z81" s="100">
        <v>1.5938114478033267</v>
      </c>
      <c r="AA81" s="100">
        <v>1201.0963070645871</v>
      </c>
      <c r="AB81" s="100">
        <v>7</v>
      </c>
      <c r="AC81" s="100">
        <v>5275.2</v>
      </c>
      <c r="AD81" s="100">
        <v>5.3157390763999972</v>
      </c>
      <c r="AE81" s="100">
        <v>4005.9409679750379</v>
      </c>
      <c r="AF81" s="100">
        <v>3.5046104640718134</v>
      </c>
      <c r="AG81" s="100">
        <v>2641.0744457245187</v>
      </c>
      <c r="AH81" s="100">
        <v>4</v>
      </c>
      <c r="AI81" s="100">
        <v>3014.4</v>
      </c>
      <c r="AJ81" s="100">
        <v>6.2185780814441314</v>
      </c>
      <c r="AK81" s="100">
        <v>4686.3204421762975</v>
      </c>
      <c r="AL81" s="100">
        <v>5.6288052648747611</v>
      </c>
      <c r="AM81" s="100">
        <v>4241.8676476096198</v>
      </c>
      <c r="AN81" s="100">
        <v>6.5574205104122534</v>
      </c>
      <c r="AO81" s="100">
        <v>4941.6720966466746</v>
      </c>
      <c r="AP81" s="100">
        <v>2.6546518793193958</v>
      </c>
      <c r="AQ81" s="100">
        <v>2000.5456562550967</v>
      </c>
      <c r="AR81" s="100">
        <v>6.2128382523853913</v>
      </c>
      <c r="AS81" s="100">
        <v>4681.994906997631</v>
      </c>
      <c r="AT81" s="100">
        <v>5</v>
      </c>
      <c r="AU81" s="100">
        <v>3768</v>
      </c>
      <c r="AV81" s="100">
        <v>7</v>
      </c>
      <c r="AW81" s="100">
        <v>5275.2</v>
      </c>
      <c r="AX81" s="100">
        <v>5</v>
      </c>
      <c r="AY81" s="100">
        <v>3768</v>
      </c>
      <c r="AZ81" s="100">
        <v>9</v>
      </c>
      <c r="BA81" s="100">
        <v>6782.4000000000005</v>
      </c>
      <c r="BB81" s="100">
        <v>5.9170732636599412</v>
      </c>
      <c r="BC81" s="100">
        <v>4459.1064114941319</v>
      </c>
      <c r="BD81" s="100">
        <v>6.6340425195116541</v>
      </c>
      <c r="BE81" s="100">
        <v>4999.4144427039828</v>
      </c>
      <c r="BF81" s="100">
        <v>4.7917948921732462E-4</v>
      </c>
      <c r="BG81" s="100">
        <v>0.36110966307417586</v>
      </c>
      <c r="BH81" s="100">
        <v>5</v>
      </c>
      <c r="BI81" s="100">
        <v>3768</v>
      </c>
      <c r="BJ81" s="100">
        <v>4.1526618385782461</v>
      </c>
      <c r="BK81" s="100">
        <v>3129.4459615525666</v>
      </c>
      <c r="BL81" s="100">
        <v>6.6510680280289138</v>
      </c>
      <c r="BM81" s="100">
        <v>5012.2448659225893</v>
      </c>
      <c r="BN81" s="100">
        <v>8</v>
      </c>
      <c r="BO81" s="100">
        <v>6028.8</v>
      </c>
      <c r="BP81" s="100">
        <v>7</v>
      </c>
      <c r="BQ81" s="100">
        <v>5275.2</v>
      </c>
      <c r="BR81" s="100">
        <v>6.3328859664848363</v>
      </c>
      <c r="BS81" s="100">
        <v>4772.4628643429724</v>
      </c>
      <c r="BT81" s="100">
        <v>5</v>
      </c>
      <c r="BU81" s="100">
        <v>3768</v>
      </c>
      <c r="BV81" s="100">
        <v>5</v>
      </c>
      <c r="BW81" s="100">
        <v>3768</v>
      </c>
      <c r="BX81" s="100">
        <v>9</v>
      </c>
      <c r="BY81" s="100">
        <v>6782.4000000000005</v>
      </c>
      <c r="BZ81" s="100">
        <v>0.26842455994827391</v>
      </c>
      <c r="CA81" s="100">
        <v>202.28474837701921</v>
      </c>
      <c r="CB81" s="100">
        <v>6</v>
      </c>
      <c r="CC81" s="100">
        <v>4521.6000000000004</v>
      </c>
      <c r="CD81" s="100">
        <v>1.417621887530923</v>
      </c>
      <c r="CE81" s="100">
        <v>1068.3198544433037</v>
      </c>
      <c r="CF81" s="100">
        <v>9</v>
      </c>
      <c r="CG81" s="100">
        <v>6782.4000000000005</v>
      </c>
      <c r="CH81" s="100">
        <v>2.6449822427569227</v>
      </c>
      <c r="CI81" s="100">
        <v>1993.258618141617</v>
      </c>
      <c r="CJ81" s="100">
        <v>6</v>
      </c>
      <c r="CK81" s="100">
        <v>4521.6000000000004</v>
      </c>
      <c r="CL81" s="100">
        <v>9</v>
      </c>
      <c r="CM81" s="100">
        <v>6782.4000000000005</v>
      </c>
      <c r="CN81" s="100">
        <v>7</v>
      </c>
      <c r="CO81" s="100">
        <v>5275.2</v>
      </c>
      <c r="CP81" s="100">
        <v>4.0466475898416325</v>
      </c>
      <c r="CQ81" s="100">
        <v>3049.5536237046545</v>
      </c>
      <c r="CR81" s="100">
        <v>9</v>
      </c>
      <c r="CS81" s="100">
        <v>6782.4000000000005</v>
      </c>
      <c r="CT81" s="100">
        <v>3.9284581199547737</v>
      </c>
      <c r="CU81" s="100">
        <v>2960.4860391979173</v>
      </c>
    </row>
    <row r="82" spans="2:99">
      <c r="C82" s="99" t="s">
        <v>248</v>
      </c>
      <c r="D82" s="100">
        <v>6.5882740961102426</v>
      </c>
      <c r="E82" s="100">
        <v>3352.1138601008906</v>
      </c>
      <c r="F82" s="100">
        <v>2.4353456076999183</v>
      </c>
      <c r="G82" s="100">
        <v>1239.1038451977181</v>
      </c>
      <c r="H82" s="100">
        <v>7.8648304558874145</v>
      </c>
      <c r="I82" s="100">
        <v>4001.6257359555157</v>
      </c>
      <c r="J82" s="100">
        <v>3.3510382167552581</v>
      </c>
      <c r="K82" s="100">
        <v>1705.0082446850749</v>
      </c>
      <c r="L82" s="100">
        <v>6.0012902292988635</v>
      </c>
      <c r="M82" s="100">
        <v>3053.4564686672611</v>
      </c>
      <c r="N82" s="100">
        <v>5</v>
      </c>
      <c r="O82" s="100">
        <v>2543.9999999999995</v>
      </c>
      <c r="P82" s="100">
        <v>5.7379270925677703</v>
      </c>
      <c r="Q82" s="100">
        <v>2919.457304698481</v>
      </c>
      <c r="R82" s="100">
        <v>7</v>
      </c>
      <c r="S82" s="100">
        <v>3561.5999999999995</v>
      </c>
      <c r="T82" s="100">
        <v>5</v>
      </c>
      <c r="U82" s="100">
        <v>2543.9999999999995</v>
      </c>
      <c r="V82" s="100">
        <v>6.8854371062669868</v>
      </c>
      <c r="W82" s="100">
        <v>3503.3103996686423</v>
      </c>
      <c r="X82" s="100">
        <v>3.4163549886768307</v>
      </c>
      <c r="Y82" s="100">
        <v>1738.2414182387711</v>
      </c>
      <c r="Z82" s="100">
        <v>1.5816480346657129</v>
      </c>
      <c r="AA82" s="100">
        <v>804.74252003791457</v>
      </c>
      <c r="AB82" s="100">
        <v>7</v>
      </c>
      <c r="AC82" s="100">
        <v>3561.5999999999995</v>
      </c>
      <c r="AD82" s="100">
        <v>4.4297825636666648</v>
      </c>
      <c r="AE82" s="100">
        <v>2253.8733683935984</v>
      </c>
      <c r="AF82" s="100">
        <v>2.8036883712574507</v>
      </c>
      <c r="AG82" s="100">
        <v>1426.5166432957906</v>
      </c>
      <c r="AH82" s="100">
        <v>5</v>
      </c>
      <c r="AI82" s="100">
        <v>2543.9999999999995</v>
      </c>
      <c r="AJ82" s="100">
        <v>6.2185780814441314</v>
      </c>
      <c r="AK82" s="100">
        <v>3164.0125278387736</v>
      </c>
      <c r="AL82" s="100">
        <v>5.04224976263722</v>
      </c>
      <c r="AM82" s="100">
        <v>2565.4966792298169</v>
      </c>
      <c r="AN82" s="100">
        <v>5.8293327532232517</v>
      </c>
      <c r="AO82" s="100">
        <v>2965.9645048399898</v>
      </c>
      <c r="AP82" s="100">
        <v>2.306338499414299</v>
      </c>
      <c r="AQ82" s="100">
        <v>1173.4650285019952</v>
      </c>
      <c r="AR82" s="100">
        <v>6.2128382523853913</v>
      </c>
      <c r="AS82" s="100">
        <v>3161.0921028136863</v>
      </c>
      <c r="AT82" s="100">
        <v>5</v>
      </c>
      <c r="AU82" s="100">
        <v>2543.9999999999995</v>
      </c>
      <c r="AV82" s="100">
        <v>7</v>
      </c>
      <c r="AW82" s="100">
        <v>3561.5999999999995</v>
      </c>
      <c r="AX82" s="100">
        <v>6</v>
      </c>
      <c r="AY82" s="100">
        <v>3052.7999999999993</v>
      </c>
      <c r="AZ82" s="100">
        <v>10</v>
      </c>
      <c r="BA82" s="100">
        <v>5087.9999999999991</v>
      </c>
      <c r="BB82" s="100">
        <v>6.7623694441827906</v>
      </c>
      <c r="BC82" s="100">
        <v>3440.693573200203</v>
      </c>
      <c r="BD82" s="100">
        <v>6.6340425195116541</v>
      </c>
      <c r="BE82" s="100">
        <v>3375.4008339275288</v>
      </c>
      <c r="BF82" s="100">
        <v>5.431848972878748E-4</v>
      </c>
      <c r="BG82" s="100">
        <v>0.27637247574007062</v>
      </c>
      <c r="BH82" s="100">
        <v>5</v>
      </c>
      <c r="BI82" s="100">
        <v>2543.9999999999995</v>
      </c>
      <c r="BJ82" s="100">
        <v>4.1526618385782461</v>
      </c>
      <c r="BK82" s="100">
        <v>2112.8743434686112</v>
      </c>
      <c r="BL82" s="100">
        <v>8.5513731788943179</v>
      </c>
      <c r="BM82" s="100">
        <v>4350.9386734214277</v>
      </c>
      <c r="BN82" s="100">
        <v>8</v>
      </c>
      <c r="BO82" s="100">
        <v>4070.3999999999992</v>
      </c>
      <c r="BP82" s="100">
        <v>8</v>
      </c>
      <c r="BQ82" s="100">
        <v>4070.3999999999992</v>
      </c>
      <c r="BR82" s="100">
        <v>7.124496712295441</v>
      </c>
      <c r="BS82" s="100">
        <v>3624.9439272159198</v>
      </c>
      <c r="BT82" s="100">
        <v>6</v>
      </c>
      <c r="BU82" s="100">
        <v>3052.7999999999993</v>
      </c>
      <c r="BV82" s="100">
        <v>5</v>
      </c>
      <c r="BW82" s="100">
        <v>2543.9999999999995</v>
      </c>
      <c r="BX82" s="100">
        <v>9</v>
      </c>
      <c r="BY82" s="100">
        <v>4579.1999999999989</v>
      </c>
      <c r="BZ82" s="100">
        <v>0.26842455994827391</v>
      </c>
      <c r="CA82" s="100">
        <v>136.57441610168175</v>
      </c>
      <c r="CB82" s="100">
        <v>6</v>
      </c>
      <c r="CC82" s="100">
        <v>3052.7999999999993</v>
      </c>
      <c r="CD82" s="100">
        <v>1.4240998869193862</v>
      </c>
      <c r="CE82" s="100">
        <v>724.58202246458359</v>
      </c>
      <c r="CF82" s="100">
        <v>7</v>
      </c>
      <c r="CG82" s="100">
        <v>3561.5999999999995</v>
      </c>
      <c r="CH82" s="100">
        <v>2.6449822427569227</v>
      </c>
      <c r="CI82" s="100">
        <v>1345.7669651147221</v>
      </c>
      <c r="CJ82" s="100">
        <v>7</v>
      </c>
      <c r="CK82" s="100">
        <v>3561.5999999999995</v>
      </c>
      <c r="CL82" s="100">
        <v>9</v>
      </c>
      <c r="CM82" s="100">
        <v>4579.1999999999989</v>
      </c>
      <c r="CN82" s="100">
        <v>7</v>
      </c>
      <c r="CO82" s="100">
        <v>3561.5999999999995</v>
      </c>
      <c r="CP82" s="100">
        <v>4.4962750998240359</v>
      </c>
      <c r="CQ82" s="100">
        <v>2287.704770790469</v>
      </c>
      <c r="CR82" s="100">
        <v>8</v>
      </c>
      <c r="CS82" s="100">
        <v>4070.3999999999992</v>
      </c>
      <c r="CT82" s="100">
        <v>3.9284581199547737</v>
      </c>
      <c r="CU82" s="100">
        <v>1998.7994914329884</v>
      </c>
    </row>
    <row r="83" spans="2:99">
      <c r="C83" s="99" t="s">
        <v>249</v>
      </c>
      <c r="D83" s="100">
        <v>7.520980336367538</v>
      </c>
      <c r="E83" s="100">
        <v>6471.05148141063</v>
      </c>
      <c r="F83" s="100">
        <v>2.4353456076999183</v>
      </c>
      <c r="G83" s="100">
        <v>2095.3713608650096</v>
      </c>
      <c r="H83" s="100">
        <v>7.1243614719611665</v>
      </c>
      <c r="I83" s="100">
        <v>6129.8006104753877</v>
      </c>
      <c r="J83" s="100">
        <v>3.8749925382073798</v>
      </c>
      <c r="K83" s="100">
        <v>3334.0435798736294</v>
      </c>
      <c r="L83" s="100">
        <v>6.0012902292988635</v>
      </c>
      <c r="M83" s="100">
        <v>5163.5101132887421</v>
      </c>
      <c r="N83" s="100">
        <v>6</v>
      </c>
      <c r="O83" s="100">
        <v>5162.3999999999996</v>
      </c>
      <c r="P83" s="100">
        <v>5.7379270925677703</v>
      </c>
      <c r="Q83" s="100">
        <v>4936.9124704453097</v>
      </c>
      <c r="R83" s="100">
        <v>6</v>
      </c>
      <c r="S83" s="100">
        <v>5162.3999999999996</v>
      </c>
      <c r="T83" s="100">
        <v>5</v>
      </c>
      <c r="U83" s="100">
        <v>4302</v>
      </c>
      <c r="V83" s="100">
        <v>7.7461167445503607</v>
      </c>
      <c r="W83" s="100">
        <v>6664.7588470111305</v>
      </c>
      <c r="X83" s="100">
        <v>2.9893106150922271</v>
      </c>
      <c r="Y83" s="100">
        <v>2572.0028532253523</v>
      </c>
      <c r="Z83" s="100">
        <v>1.2969433018903667</v>
      </c>
      <c r="AA83" s="100">
        <v>1115.8900169464714</v>
      </c>
      <c r="AB83" s="100">
        <v>6</v>
      </c>
      <c r="AC83" s="100">
        <v>5162.3999999999996</v>
      </c>
      <c r="AD83" s="100">
        <v>4.4297825636666648</v>
      </c>
      <c r="AE83" s="100">
        <v>3811.3849177787984</v>
      </c>
      <c r="AF83" s="100">
        <v>2.8036883712574507</v>
      </c>
      <c r="AG83" s="100">
        <v>2412.2934746299106</v>
      </c>
      <c r="AH83" s="100">
        <v>5</v>
      </c>
      <c r="AI83" s="100">
        <v>4302</v>
      </c>
      <c r="AJ83" s="100">
        <v>6.2185780814441314</v>
      </c>
      <c r="AK83" s="100">
        <v>5350.4645812745302</v>
      </c>
      <c r="AL83" s="100">
        <v>5.04224976263722</v>
      </c>
      <c r="AM83" s="100">
        <v>4338.3516957730644</v>
      </c>
      <c r="AN83" s="100">
        <v>5.8293327532232517</v>
      </c>
      <c r="AO83" s="100">
        <v>5015.5579008732857</v>
      </c>
      <c r="AP83" s="100">
        <v>2.3572113763369233</v>
      </c>
      <c r="AQ83" s="100">
        <v>2028.1446682002888</v>
      </c>
      <c r="AR83" s="100">
        <v>6.2128382523853913</v>
      </c>
      <c r="AS83" s="100">
        <v>5345.5260323523908</v>
      </c>
      <c r="AT83" s="100">
        <v>5</v>
      </c>
      <c r="AU83" s="100">
        <v>4302</v>
      </c>
      <c r="AV83" s="100">
        <v>6</v>
      </c>
      <c r="AW83" s="100">
        <v>5162.3999999999996</v>
      </c>
      <c r="AX83" s="100">
        <v>5</v>
      </c>
      <c r="AY83" s="100">
        <v>4302</v>
      </c>
      <c r="AZ83" s="100">
        <v>9</v>
      </c>
      <c r="BA83" s="100">
        <v>7743.5999999999995</v>
      </c>
      <c r="BB83" s="100">
        <v>6.7623694441827906</v>
      </c>
      <c r="BC83" s="100">
        <v>5818.3426697748728</v>
      </c>
      <c r="BD83" s="100">
        <v>6.6340425195116541</v>
      </c>
      <c r="BE83" s="100">
        <v>5707.9301837878274</v>
      </c>
      <c r="BF83" s="100">
        <v>5.431848972878748E-4</v>
      </c>
      <c r="BG83" s="100">
        <v>0.46735628562648746</v>
      </c>
      <c r="BH83" s="100">
        <v>6</v>
      </c>
      <c r="BI83" s="100">
        <v>5162.3999999999996</v>
      </c>
      <c r="BJ83" s="100">
        <v>4.1526618385782461</v>
      </c>
      <c r="BK83" s="100">
        <v>3572.9502459127229</v>
      </c>
      <c r="BL83" s="100">
        <v>6.6510680280289138</v>
      </c>
      <c r="BM83" s="100">
        <v>5722.5789313160776</v>
      </c>
      <c r="BN83" s="100">
        <v>6</v>
      </c>
      <c r="BO83" s="100">
        <v>5162.3999999999996</v>
      </c>
      <c r="BP83" s="100">
        <v>8</v>
      </c>
      <c r="BQ83" s="100">
        <v>6883.2</v>
      </c>
      <c r="BR83" s="100">
        <v>6.3328859664848363</v>
      </c>
      <c r="BS83" s="100">
        <v>5448.8150855635531</v>
      </c>
      <c r="BT83" s="100">
        <v>6</v>
      </c>
      <c r="BU83" s="100">
        <v>5162.3999999999996</v>
      </c>
      <c r="BV83" s="100">
        <v>5</v>
      </c>
      <c r="BW83" s="100">
        <v>4302</v>
      </c>
      <c r="BX83" s="100">
        <v>8</v>
      </c>
      <c r="BY83" s="100">
        <v>6883.2</v>
      </c>
      <c r="BZ83" s="100">
        <v>0.26788002991437104</v>
      </c>
      <c r="CA83" s="100">
        <v>230.48397773832485</v>
      </c>
      <c r="CB83" s="100">
        <v>6</v>
      </c>
      <c r="CC83" s="100">
        <v>5162.3999999999996</v>
      </c>
      <c r="CD83" s="100">
        <v>1.417621887530923</v>
      </c>
      <c r="CE83" s="100">
        <v>1219.7218720316062</v>
      </c>
      <c r="CF83" s="100">
        <v>7</v>
      </c>
      <c r="CG83" s="100">
        <v>6022.8</v>
      </c>
      <c r="CH83" s="100">
        <v>2.9756050231015383</v>
      </c>
      <c r="CI83" s="100">
        <v>2560.2105618765636</v>
      </c>
      <c r="CJ83" s="100">
        <v>7</v>
      </c>
      <c r="CK83" s="100">
        <v>6022.8</v>
      </c>
      <c r="CL83" s="100">
        <v>8</v>
      </c>
      <c r="CM83" s="100">
        <v>6883.2</v>
      </c>
      <c r="CN83" s="100">
        <v>7</v>
      </c>
      <c r="CO83" s="100">
        <v>6022.8</v>
      </c>
      <c r="CP83" s="100">
        <v>3.5970200798592291</v>
      </c>
      <c r="CQ83" s="100">
        <v>3094.8760767108806</v>
      </c>
      <c r="CR83" s="100">
        <v>8</v>
      </c>
      <c r="CS83" s="100">
        <v>6883.2</v>
      </c>
      <c r="CT83" s="100">
        <v>4.4195153849491211</v>
      </c>
      <c r="CU83" s="100">
        <v>3802.5510372102235</v>
      </c>
    </row>
    <row r="84" spans="2:99">
      <c r="C84" s="99" t="s">
        <v>250</v>
      </c>
      <c r="D84" s="100">
        <v>7.520980336367538</v>
      </c>
      <c r="E84" s="100">
        <v>5875.3898387703202</v>
      </c>
      <c r="F84" s="100">
        <v>2.4353456076999183</v>
      </c>
      <c r="G84" s="100">
        <v>1902.4919887351759</v>
      </c>
      <c r="H84" s="100">
        <v>7.1243614719611665</v>
      </c>
      <c r="I84" s="100">
        <v>5565.5511818960631</v>
      </c>
      <c r="J84" s="100">
        <v>3.3510382167552581</v>
      </c>
      <c r="K84" s="100">
        <v>2617.8310549292073</v>
      </c>
      <c r="L84" s="100">
        <v>6.0012902292988635</v>
      </c>
      <c r="M84" s="100">
        <v>4688.2079271282719</v>
      </c>
      <c r="N84" s="100">
        <v>5</v>
      </c>
      <c r="O84" s="100">
        <v>3905.9999999999995</v>
      </c>
      <c r="P84" s="100">
        <v>5.1003796378380182</v>
      </c>
      <c r="Q84" s="100">
        <v>3984.4165730790596</v>
      </c>
      <c r="R84" s="100">
        <v>6</v>
      </c>
      <c r="S84" s="100">
        <v>4687.2</v>
      </c>
      <c r="T84" s="100">
        <v>5</v>
      </c>
      <c r="U84" s="100">
        <v>3905.9999999999995</v>
      </c>
      <c r="V84" s="100">
        <v>6.8854371062669868</v>
      </c>
      <c r="W84" s="100">
        <v>5378.9034674157692</v>
      </c>
      <c r="X84" s="100">
        <v>2.9893106150922271</v>
      </c>
      <c r="Y84" s="100">
        <v>2335.2494525100474</v>
      </c>
      <c r="Z84" s="100">
        <v>1.2847798887527528</v>
      </c>
      <c r="AA84" s="100">
        <v>1003.6700490936504</v>
      </c>
      <c r="AB84" s="100">
        <v>7</v>
      </c>
      <c r="AC84" s="100">
        <v>5468.4</v>
      </c>
      <c r="AD84" s="100">
        <v>4.4297825636666648</v>
      </c>
      <c r="AE84" s="100">
        <v>3460.546138736398</v>
      </c>
      <c r="AF84" s="100">
        <v>2.8036883712574507</v>
      </c>
      <c r="AG84" s="100">
        <v>2190.2413556263205</v>
      </c>
      <c r="AH84" s="100">
        <v>5</v>
      </c>
      <c r="AI84" s="100">
        <v>3905.9999999999995</v>
      </c>
      <c r="AJ84" s="100">
        <v>6.2185780814441314</v>
      </c>
      <c r="AK84" s="100">
        <v>4857.9531972241548</v>
      </c>
      <c r="AL84" s="100">
        <v>5.5705043074186147</v>
      </c>
      <c r="AM84" s="100">
        <v>4351.677964955421</v>
      </c>
      <c r="AN84" s="100">
        <v>6.4353007682622119</v>
      </c>
      <c r="AO84" s="100">
        <v>5027.2569601664391</v>
      </c>
      <c r="AP84" s="100">
        <v>2.6691322927646386</v>
      </c>
      <c r="AQ84" s="100">
        <v>2085.1261471077355</v>
      </c>
      <c r="AR84" s="100">
        <v>6.2128382523853913</v>
      </c>
      <c r="AS84" s="100">
        <v>4853.4692427634673</v>
      </c>
      <c r="AT84" s="100">
        <v>5</v>
      </c>
      <c r="AU84" s="100">
        <v>3905.9999999999995</v>
      </c>
      <c r="AV84" s="100">
        <v>6</v>
      </c>
      <c r="AW84" s="100">
        <v>4687.2</v>
      </c>
      <c r="AX84" s="100">
        <v>5</v>
      </c>
      <c r="AY84" s="100">
        <v>3905.9999999999995</v>
      </c>
      <c r="AZ84" s="100">
        <v>9</v>
      </c>
      <c r="BA84" s="100">
        <v>7030.7999999999993</v>
      </c>
      <c r="BB84" s="100">
        <v>6.7623694441827906</v>
      </c>
      <c r="BC84" s="100">
        <v>5282.7630097955953</v>
      </c>
      <c r="BD84" s="100">
        <v>6.6340425195116541</v>
      </c>
      <c r="BE84" s="100">
        <v>5182.5140162425041</v>
      </c>
      <c r="BF84" s="100">
        <v>5.431848972878748E-4</v>
      </c>
      <c r="BG84" s="100">
        <v>0.42433604176128775</v>
      </c>
      <c r="BH84" s="100">
        <v>5</v>
      </c>
      <c r="BI84" s="100">
        <v>3905.9999999999995</v>
      </c>
      <c r="BJ84" s="100">
        <v>4.1526618385782461</v>
      </c>
      <c r="BK84" s="100">
        <v>3244.0594282973257</v>
      </c>
      <c r="BL84" s="100">
        <v>8.5513731788943179</v>
      </c>
      <c r="BM84" s="100">
        <v>6680.3327273522409</v>
      </c>
      <c r="BN84" s="100">
        <v>7</v>
      </c>
      <c r="BO84" s="100">
        <v>5468.4</v>
      </c>
      <c r="BP84" s="100">
        <v>8</v>
      </c>
      <c r="BQ84" s="100">
        <v>6249.5999999999995</v>
      </c>
      <c r="BR84" s="100">
        <v>6.3328859664848363</v>
      </c>
      <c r="BS84" s="100">
        <v>4947.2505170179538</v>
      </c>
      <c r="BT84" s="100">
        <v>5</v>
      </c>
      <c r="BU84" s="100">
        <v>3905.9999999999995</v>
      </c>
      <c r="BV84" s="100">
        <v>5</v>
      </c>
      <c r="BW84" s="100">
        <v>3905.9999999999995</v>
      </c>
      <c r="BX84" s="100">
        <v>9</v>
      </c>
      <c r="BY84" s="100">
        <v>7030.7999999999993</v>
      </c>
      <c r="BZ84" s="100">
        <v>0.26842455994827391</v>
      </c>
      <c r="CA84" s="100">
        <v>209.69326623159156</v>
      </c>
      <c r="CB84" s="100">
        <v>6</v>
      </c>
      <c r="CC84" s="100">
        <v>4687.2</v>
      </c>
      <c r="CD84" s="100">
        <v>1.417621887530923</v>
      </c>
      <c r="CE84" s="100">
        <v>1107.4462185391569</v>
      </c>
      <c r="CF84" s="100">
        <v>8</v>
      </c>
      <c r="CG84" s="100">
        <v>6249.5999999999995</v>
      </c>
      <c r="CH84" s="100">
        <v>2.6449822427569227</v>
      </c>
      <c r="CI84" s="100">
        <v>2066.260128041708</v>
      </c>
      <c r="CJ84" s="100">
        <v>7</v>
      </c>
      <c r="CK84" s="100">
        <v>5468.4</v>
      </c>
      <c r="CL84" s="100">
        <v>9</v>
      </c>
      <c r="CM84" s="100">
        <v>7030.7999999999993</v>
      </c>
      <c r="CN84" s="100">
        <v>7</v>
      </c>
      <c r="CO84" s="100">
        <v>5468.4</v>
      </c>
      <c r="CP84" s="100">
        <v>4.0466475898416325</v>
      </c>
      <c r="CQ84" s="100">
        <v>3161.2410971842833</v>
      </c>
      <c r="CR84" s="100">
        <v>8</v>
      </c>
      <c r="CS84" s="100">
        <v>6249.5999999999995</v>
      </c>
      <c r="CT84" s="100">
        <v>4.4195153849491211</v>
      </c>
      <c r="CU84" s="100">
        <v>3452.5254187222531</v>
      </c>
    </row>
    <row r="85" spans="2:99">
      <c r="C85" s="99" t="s">
        <v>251</v>
      </c>
      <c r="D85" s="100">
        <v>7.535812939944833</v>
      </c>
      <c r="E85" s="100">
        <v>1130.3719409917248</v>
      </c>
      <c r="F85" s="100">
        <v>2.9224147292399016</v>
      </c>
      <c r="G85" s="100">
        <v>438.36220938598524</v>
      </c>
      <c r="H85" s="100">
        <v>7.9798656100436478</v>
      </c>
      <c r="I85" s="100">
        <v>1196.9798415065472</v>
      </c>
      <c r="J85" s="100">
        <v>3.3925006743637636</v>
      </c>
      <c r="K85" s="100">
        <v>508.87510115456456</v>
      </c>
      <c r="L85" s="100">
        <v>6.0012902292988635</v>
      </c>
      <c r="M85" s="100">
        <v>900.1935343948295</v>
      </c>
      <c r="N85" s="100">
        <v>6</v>
      </c>
      <c r="O85" s="100">
        <v>900</v>
      </c>
      <c r="P85" s="100">
        <v>5.1003796378380182</v>
      </c>
      <c r="Q85" s="100">
        <v>765.05694567570276</v>
      </c>
      <c r="R85" s="100">
        <v>8</v>
      </c>
      <c r="S85" s="100">
        <v>1200</v>
      </c>
      <c r="T85" s="100">
        <v>4</v>
      </c>
      <c r="U85" s="100">
        <v>600</v>
      </c>
      <c r="V85" s="100">
        <v>7.7461167445503607</v>
      </c>
      <c r="W85" s="100">
        <v>1161.917511682554</v>
      </c>
      <c r="X85" s="100">
        <v>3.4163549886768307</v>
      </c>
      <c r="Y85" s="100">
        <v>512.45324830152458</v>
      </c>
      <c r="Z85" s="100">
        <v>1.5816480346657129</v>
      </c>
      <c r="AA85" s="100">
        <v>237.24720519985695</v>
      </c>
      <c r="AB85" s="100">
        <v>7</v>
      </c>
      <c r="AC85" s="100">
        <v>1050</v>
      </c>
      <c r="AD85" s="100">
        <v>4.4297825636666648</v>
      </c>
      <c r="AE85" s="100">
        <v>664.46738454999968</v>
      </c>
      <c r="AF85" s="100">
        <v>2.8036883712574507</v>
      </c>
      <c r="AG85" s="100">
        <v>420.55325568861758</v>
      </c>
      <c r="AH85" s="100">
        <v>5</v>
      </c>
      <c r="AI85" s="100">
        <v>750</v>
      </c>
      <c r="AJ85" s="100">
        <v>6.2185780814441314</v>
      </c>
      <c r="AK85" s="100">
        <v>932.78671221661966</v>
      </c>
      <c r="AL85" s="100">
        <v>6.1570598096561557</v>
      </c>
      <c r="AM85" s="100">
        <v>923.55897144842334</v>
      </c>
      <c r="AN85" s="100">
        <v>5.9514524953732932</v>
      </c>
      <c r="AO85" s="100">
        <v>892.71787430599397</v>
      </c>
      <c r="AP85" s="100">
        <v>2.3572113763369233</v>
      </c>
      <c r="AQ85" s="100">
        <v>353.58170645053849</v>
      </c>
      <c r="AR85" s="100">
        <v>6.9412069871915332</v>
      </c>
      <c r="AS85" s="100">
        <v>1041.1810480787299</v>
      </c>
      <c r="AT85" s="100">
        <v>5</v>
      </c>
      <c r="AU85" s="100">
        <v>750</v>
      </c>
      <c r="AV85" s="100">
        <v>7</v>
      </c>
      <c r="AW85" s="100">
        <v>1050</v>
      </c>
      <c r="AX85" s="100">
        <v>6</v>
      </c>
      <c r="AY85" s="100">
        <v>900</v>
      </c>
      <c r="AZ85" s="100">
        <v>9</v>
      </c>
      <c r="BA85" s="100">
        <v>1350</v>
      </c>
      <c r="BB85" s="100">
        <v>7.6076656247056391</v>
      </c>
      <c r="BC85" s="100">
        <v>1141.1498437058458</v>
      </c>
      <c r="BD85" s="100">
        <v>6.6340425195116541</v>
      </c>
      <c r="BE85" s="100">
        <v>995.10637792674811</v>
      </c>
      <c r="BF85" s="100">
        <v>5.431848972878748E-4</v>
      </c>
      <c r="BG85" s="100">
        <v>8.1477734593181222E-2</v>
      </c>
      <c r="BH85" s="100">
        <v>6</v>
      </c>
      <c r="BI85" s="100">
        <v>900</v>
      </c>
      <c r="BJ85" s="100">
        <v>4.1526618385782461</v>
      </c>
      <c r="BK85" s="100">
        <v>622.89927578673689</v>
      </c>
      <c r="BL85" s="100">
        <v>8.5513731788943179</v>
      </c>
      <c r="BM85" s="100">
        <v>1282.7059768341476</v>
      </c>
      <c r="BN85" s="100">
        <v>7</v>
      </c>
      <c r="BO85" s="100">
        <v>1050</v>
      </c>
      <c r="BP85" s="100">
        <v>8</v>
      </c>
      <c r="BQ85" s="100">
        <v>1200</v>
      </c>
      <c r="BR85" s="100">
        <v>6.3328859664848363</v>
      </c>
      <c r="BS85" s="100">
        <v>949.93289497272542</v>
      </c>
      <c r="BT85" s="100">
        <v>6</v>
      </c>
      <c r="BU85" s="100">
        <v>900</v>
      </c>
      <c r="BV85" s="100">
        <v>5</v>
      </c>
      <c r="BW85" s="100">
        <v>750</v>
      </c>
      <c r="BX85" s="100">
        <v>9</v>
      </c>
      <c r="BY85" s="100">
        <v>1350</v>
      </c>
      <c r="BZ85" s="100">
        <v>0.26842455994827391</v>
      </c>
      <c r="CA85" s="100">
        <v>40.263683992241084</v>
      </c>
      <c r="CB85" s="100">
        <v>6</v>
      </c>
      <c r="CC85" s="100">
        <v>900</v>
      </c>
      <c r="CD85" s="100">
        <v>1.417621887530923</v>
      </c>
      <c r="CE85" s="100">
        <v>212.64328312963846</v>
      </c>
      <c r="CF85" s="100">
        <v>9</v>
      </c>
      <c r="CG85" s="100">
        <v>1350</v>
      </c>
      <c r="CH85" s="100">
        <v>2.6449822427569227</v>
      </c>
      <c r="CI85" s="100">
        <v>396.74733641353839</v>
      </c>
      <c r="CJ85" s="100">
        <v>7</v>
      </c>
      <c r="CK85" s="100">
        <v>1050</v>
      </c>
      <c r="CL85" s="100">
        <v>10</v>
      </c>
      <c r="CM85" s="100">
        <v>1500</v>
      </c>
      <c r="CN85" s="100">
        <v>8</v>
      </c>
      <c r="CO85" s="100">
        <v>1200</v>
      </c>
      <c r="CP85" s="100">
        <v>4.0466475898416325</v>
      </c>
      <c r="CQ85" s="100">
        <v>606.99713847624491</v>
      </c>
      <c r="CR85" s="100">
        <v>8</v>
      </c>
      <c r="CS85" s="100">
        <v>1200</v>
      </c>
      <c r="CT85" s="100">
        <v>4.4195153849491211</v>
      </c>
      <c r="CU85" s="100">
        <v>662.92730774236816</v>
      </c>
    </row>
    <row r="86" spans="2:99">
      <c r="C86" s="99" t="s">
        <v>252</v>
      </c>
      <c r="D86" s="100">
        <v>6.5882740961102426</v>
      </c>
      <c r="E86" s="100">
        <v>3557.6680118995309</v>
      </c>
      <c r="F86" s="100">
        <v>2.9224147292399016</v>
      </c>
      <c r="G86" s="100">
        <v>1578.1039537895469</v>
      </c>
      <c r="H86" s="100">
        <v>7.1243614719611665</v>
      </c>
      <c r="I86" s="100">
        <v>3847.15519485903</v>
      </c>
      <c r="J86" s="100">
        <v>3.8749925382073798</v>
      </c>
      <c r="K86" s="100">
        <v>2092.4959706319851</v>
      </c>
      <c r="L86" s="100">
        <v>6.0012902292988635</v>
      </c>
      <c r="M86" s="100">
        <v>3240.6967238213861</v>
      </c>
      <c r="N86" s="100">
        <v>6</v>
      </c>
      <c r="O86" s="100">
        <v>3240</v>
      </c>
      <c r="P86" s="100">
        <v>5.7379270925677703</v>
      </c>
      <c r="Q86" s="100">
        <v>3098.4806299865959</v>
      </c>
      <c r="R86" s="100">
        <v>6</v>
      </c>
      <c r="S86" s="100">
        <v>3240</v>
      </c>
      <c r="T86" s="100">
        <v>4</v>
      </c>
      <c r="U86" s="100">
        <v>2160</v>
      </c>
      <c r="V86" s="100">
        <v>6.8854371062669868</v>
      </c>
      <c r="W86" s="100">
        <v>3718.1360373841731</v>
      </c>
      <c r="X86" s="100">
        <v>3.4163549886768307</v>
      </c>
      <c r="Y86" s="100">
        <v>1844.8316938854887</v>
      </c>
      <c r="Z86" s="100">
        <v>1.2847798887527528</v>
      </c>
      <c r="AA86" s="100">
        <v>693.7811399264865</v>
      </c>
      <c r="AB86" s="100">
        <v>6</v>
      </c>
      <c r="AC86" s="100">
        <v>3240</v>
      </c>
      <c r="AD86" s="100">
        <v>4.4297825636666648</v>
      </c>
      <c r="AE86" s="100">
        <v>2392.0825843799989</v>
      </c>
      <c r="AF86" s="100">
        <v>3.5046104640718134</v>
      </c>
      <c r="AG86" s="100">
        <v>1892.4896505987792</v>
      </c>
      <c r="AH86" s="100">
        <v>5</v>
      </c>
      <c r="AI86" s="100">
        <v>2700</v>
      </c>
      <c r="AJ86" s="100">
        <v>6.2185780814441314</v>
      </c>
      <c r="AK86" s="100">
        <v>3358.0321639798308</v>
      </c>
      <c r="AL86" s="100">
        <v>5.6288052648747611</v>
      </c>
      <c r="AM86" s="100">
        <v>3039.5548430323711</v>
      </c>
      <c r="AN86" s="100">
        <v>6.5574205104122534</v>
      </c>
      <c r="AO86" s="100">
        <v>3541.0070756226169</v>
      </c>
      <c r="AP86" s="100">
        <v>2.6546518793193958</v>
      </c>
      <c r="AQ86" s="100">
        <v>1433.5120148324738</v>
      </c>
      <c r="AR86" s="100">
        <v>6.9412069871915332</v>
      </c>
      <c r="AS86" s="100">
        <v>3748.2517730834279</v>
      </c>
      <c r="AT86" s="100">
        <v>4</v>
      </c>
      <c r="AU86" s="100">
        <v>2160</v>
      </c>
      <c r="AV86" s="100">
        <v>6</v>
      </c>
      <c r="AW86" s="100">
        <v>3240</v>
      </c>
      <c r="AX86" s="100">
        <v>6</v>
      </c>
      <c r="AY86" s="100">
        <v>3240</v>
      </c>
      <c r="AZ86" s="100">
        <v>10</v>
      </c>
      <c r="BA86" s="100">
        <v>5400</v>
      </c>
      <c r="BB86" s="100">
        <v>6.7623694441827906</v>
      </c>
      <c r="BC86" s="100">
        <v>3651.679499858707</v>
      </c>
      <c r="BD86" s="100">
        <v>6.6340425195116541</v>
      </c>
      <c r="BE86" s="100">
        <v>3582.382960536293</v>
      </c>
      <c r="BF86" s="100">
        <v>5.4058976122758537E-4</v>
      </c>
      <c r="BG86" s="100">
        <v>0.29191847106289609</v>
      </c>
      <c r="BH86" s="100">
        <v>6</v>
      </c>
      <c r="BI86" s="100">
        <v>3240</v>
      </c>
      <c r="BJ86" s="100">
        <v>4.1526618385782461</v>
      </c>
      <c r="BK86" s="100">
        <v>2242.437392832253</v>
      </c>
      <c r="BL86" s="100">
        <v>7.6012206034616154</v>
      </c>
      <c r="BM86" s="100">
        <v>4104.6591258692724</v>
      </c>
      <c r="BN86" s="100">
        <v>7</v>
      </c>
      <c r="BO86" s="100">
        <v>3780</v>
      </c>
      <c r="BP86" s="100">
        <v>7</v>
      </c>
      <c r="BQ86" s="100">
        <v>3780</v>
      </c>
      <c r="BR86" s="100">
        <v>5.5412752206742315</v>
      </c>
      <c r="BS86" s="100">
        <v>2992.288619164085</v>
      </c>
      <c r="BT86" s="100">
        <v>6</v>
      </c>
      <c r="BU86" s="100">
        <v>3240</v>
      </c>
      <c r="BV86" s="100">
        <v>4</v>
      </c>
      <c r="BW86" s="100">
        <v>2160</v>
      </c>
      <c r="BX86" s="100">
        <v>10</v>
      </c>
      <c r="BY86" s="100">
        <v>5400</v>
      </c>
      <c r="BZ86" s="100">
        <v>0.26788002991437104</v>
      </c>
      <c r="CA86" s="100">
        <v>144.65521615376036</v>
      </c>
      <c r="CB86" s="100">
        <v>6</v>
      </c>
      <c r="CC86" s="100">
        <v>3240</v>
      </c>
      <c r="CD86" s="100">
        <v>1.417621887530923</v>
      </c>
      <c r="CE86" s="100">
        <v>765.51581926669837</v>
      </c>
      <c r="CF86" s="100">
        <v>8</v>
      </c>
      <c r="CG86" s="100">
        <v>4320</v>
      </c>
      <c r="CH86" s="100">
        <v>2.6449822427569227</v>
      </c>
      <c r="CI86" s="100">
        <v>1428.2904110887382</v>
      </c>
      <c r="CJ86" s="100">
        <v>7</v>
      </c>
      <c r="CK86" s="100">
        <v>3780</v>
      </c>
      <c r="CL86" s="100">
        <v>9</v>
      </c>
      <c r="CM86" s="100">
        <v>4860</v>
      </c>
      <c r="CN86" s="100">
        <v>7</v>
      </c>
      <c r="CO86" s="100">
        <v>3780</v>
      </c>
      <c r="CP86" s="100">
        <v>4.0466475898416325</v>
      </c>
      <c r="CQ86" s="100">
        <v>2185.1896985144817</v>
      </c>
      <c r="CR86" s="100">
        <v>8</v>
      </c>
      <c r="CS86" s="100">
        <v>4320</v>
      </c>
      <c r="CT86" s="100">
        <v>3.9284581199547737</v>
      </c>
      <c r="CU86" s="100">
        <v>2121.3673847755776</v>
      </c>
    </row>
    <row r="87" spans="2:99">
      <c r="B87" s="99" t="s">
        <v>131</v>
      </c>
      <c r="C87" s="99" t="s">
        <v>253</v>
      </c>
      <c r="D87" s="100">
        <v>2.8983028480294291</v>
      </c>
      <c r="E87" s="100">
        <v>3112.7772587836066</v>
      </c>
      <c r="F87" s="100">
        <v>6.0506757154985706</v>
      </c>
      <c r="G87" s="100">
        <v>6498.4257184454646</v>
      </c>
      <c r="H87" s="100">
        <v>3.4478170876101908</v>
      </c>
      <c r="I87" s="100">
        <v>3702.955552093345</v>
      </c>
      <c r="J87" s="100">
        <v>4.4758445794300705</v>
      </c>
      <c r="K87" s="100">
        <v>4807.0570783078956</v>
      </c>
      <c r="L87" s="100">
        <v>2.5084059746713097</v>
      </c>
      <c r="M87" s="100">
        <v>2694.0280167969868</v>
      </c>
      <c r="N87" s="100">
        <v>4.4108932545213193</v>
      </c>
      <c r="O87" s="100">
        <v>4737.2993553558972</v>
      </c>
      <c r="P87" s="100">
        <v>4.7797549970883173</v>
      </c>
      <c r="Q87" s="100">
        <v>5133.4568668728525</v>
      </c>
      <c r="R87" s="100">
        <v>5.3636393255157611</v>
      </c>
      <c r="S87" s="100">
        <v>5760.5486356039273</v>
      </c>
      <c r="T87" s="100">
        <v>6.7269800857765958</v>
      </c>
      <c r="U87" s="100">
        <v>7224.7766121240638</v>
      </c>
      <c r="V87" s="100">
        <v>4.3680114330984292</v>
      </c>
      <c r="W87" s="100">
        <v>4691.2442791477133</v>
      </c>
      <c r="X87" s="100">
        <v>2.4783094196933968</v>
      </c>
      <c r="Y87" s="100">
        <v>2661.7043167507081</v>
      </c>
      <c r="Z87" s="100">
        <v>4.1634176946711028</v>
      </c>
      <c r="AA87" s="100">
        <v>4471.5106040767641</v>
      </c>
      <c r="AB87" s="100">
        <v>1.3791185838796127</v>
      </c>
      <c r="AC87" s="100">
        <v>1481.1733590867041</v>
      </c>
      <c r="AD87" s="100">
        <v>2.9456953707857436</v>
      </c>
      <c r="AE87" s="100">
        <v>3163.6768282238886</v>
      </c>
      <c r="AF87" s="100">
        <v>4.8459791550739597</v>
      </c>
      <c r="AG87" s="100">
        <v>5204.581612549433</v>
      </c>
      <c r="AH87" s="100">
        <v>4.2958361009368851</v>
      </c>
      <c r="AI87" s="100">
        <v>4613.7279724062146</v>
      </c>
      <c r="AJ87" s="100">
        <v>3.8352957414889359</v>
      </c>
      <c r="AK87" s="100">
        <v>4119.1076263591176</v>
      </c>
      <c r="AL87" s="100">
        <v>4.8690108877845305E-4</v>
      </c>
      <c r="AM87" s="100">
        <v>0.52293176934805852</v>
      </c>
      <c r="AN87" s="100">
        <v>5.8598391664697775</v>
      </c>
      <c r="AO87" s="100">
        <v>6293.4672647885409</v>
      </c>
      <c r="AP87" s="100">
        <v>0.45977091150203869</v>
      </c>
      <c r="AQ87" s="100">
        <v>493.79395895318953</v>
      </c>
      <c r="AR87" s="100">
        <v>5.9153314713399938</v>
      </c>
      <c r="AS87" s="100">
        <v>6353.0660002191535</v>
      </c>
      <c r="AT87" s="100">
        <v>5.04949231370201</v>
      </c>
      <c r="AU87" s="100">
        <v>5423.1547449159589</v>
      </c>
      <c r="AV87" s="100">
        <v>5</v>
      </c>
      <c r="AW87" s="100">
        <v>5370</v>
      </c>
      <c r="AX87" s="100">
        <v>3.0015523524710188</v>
      </c>
      <c r="AY87" s="100">
        <v>3223.6672265538741</v>
      </c>
      <c r="AZ87" s="100">
        <v>4.7932626786789907</v>
      </c>
      <c r="BA87" s="100">
        <v>5147.9641169012357</v>
      </c>
      <c r="BB87" s="100">
        <v>3.349326680227116</v>
      </c>
      <c r="BC87" s="100">
        <v>3597.1768545639225</v>
      </c>
      <c r="BD87" s="100">
        <v>5.2771216597975759</v>
      </c>
      <c r="BE87" s="100">
        <v>5667.6286626225965</v>
      </c>
      <c r="BF87" s="100">
        <v>0.40014860542349001</v>
      </c>
      <c r="BG87" s="100">
        <v>429.75960222482826</v>
      </c>
      <c r="BH87" s="100">
        <v>6.1866321085348002</v>
      </c>
      <c r="BI87" s="100">
        <v>6644.4428845663751</v>
      </c>
      <c r="BJ87" s="100">
        <v>6.077652856841385</v>
      </c>
      <c r="BK87" s="100">
        <v>6527.3991682476471</v>
      </c>
      <c r="BL87" s="100">
        <v>5.5442109488984626</v>
      </c>
      <c r="BM87" s="100">
        <v>5954.4825591169492</v>
      </c>
      <c r="BN87" s="100">
        <v>0.50485117325919537</v>
      </c>
      <c r="BO87" s="100">
        <v>542.21016008037589</v>
      </c>
      <c r="BP87" s="100">
        <v>7.1646789237213371</v>
      </c>
      <c r="BQ87" s="100">
        <v>7694.8651640767157</v>
      </c>
      <c r="BR87" s="100">
        <v>2.7864588564486525</v>
      </c>
      <c r="BS87" s="100">
        <v>2992.6568118258529</v>
      </c>
      <c r="BT87" s="100">
        <v>8.7629879249541389</v>
      </c>
      <c r="BU87" s="100">
        <v>9411.4490314007453</v>
      </c>
      <c r="BV87" s="100">
        <v>5.900518175702544</v>
      </c>
      <c r="BW87" s="100">
        <v>6337.1565207045323</v>
      </c>
      <c r="BX87" s="100">
        <v>4.5907999991899349</v>
      </c>
      <c r="BY87" s="100">
        <v>4930.5191991299898</v>
      </c>
      <c r="BZ87" s="100">
        <v>5.9273583385341941E-4</v>
      </c>
      <c r="CA87" s="100">
        <v>0.63659828555857245</v>
      </c>
      <c r="CB87" s="100">
        <v>4.9558470119893165</v>
      </c>
      <c r="CC87" s="100">
        <v>5322.579690876526</v>
      </c>
      <c r="CD87" s="100">
        <v>0.38975309676537068</v>
      </c>
      <c r="CE87" s="100">
        <v>418.59482592600813</v>
      </c>
      <c r="CF87" s="100">
        <v>5.1643010225320873</v>
      </c>
      <c r="CG87" s="100">
        <v>5546.459298199462</v>
      </c>
      <c r="CH87" s="100">
        <v>5</v>
      </c>
      <c r="CI87" s="100">
        <v>5370</v>
      </c>
      <c r="CJ87" s="100">
        <v>5.1558449414462091</v>
      </c>
      <c r="CK87" s="100">
        <v>5537.3774671132287</v>
      </c>
      <c r="CL87" s="100">
        <v>0.50149738937424504</v>
      </c>
      <c r="CM87" s="100">
        <v>538.60819618793914</v>
      </c>
      <c r="CN87" s="100">
        <v>9.2164009336743096</v>
      </c>
      <c r="CO87" s="100">
        <v>9898.4146027662082</v>
      </c>
      <c r="CP87" s="100">
        <v>6.1466727684935574</v>
      </c>
      <c r="CQ87" s="100">
        <v>6601.5265533620804</v>
      </c>
      <c r="CR87" s="100">
        <v>5.3189589478689454</v>
      </c>
      <c r="CS87" s="100">
        <v>5712.5619100112472</v>
      </c>
      <c r="CT87" s="100">
        <v>4.0319556196332913</v>
      </c>
      <c r="CU87" s="100">
        <v>4330.3203354861553</v>
      </c>
    </row>
    <row r="88" spans="2:99">
      <c r="C88" s="99" t="s">
        <v>254</v>
      </c>
      <c r="D88" s="100">
        <v>2.9011580213090502</v>
      </c>
      <c r="E88" s="100">
        <v>2879.1092203471012</v>
      </c>
      <c r="F88" s="100">
        <v>6.0506757154985706</v>
      </c>
      <c r="G88" s="100">
        <v>6004.690580060781</v>
      </c>
      <c r="H88" s="100">
        <v>3.4478170876101908</v>
      </c>
      <c r="I88" s="100">
        <v>3421.6136777443535</v>
      </c>
      <c r="J88" s="100">
        <v>4.4758445794300705</v>
      </c>
      <c r="K88" s="100">
        <v>4441.8281606264018</v>
      </c>
      <c r="L88" s="100">
        <v>2.512379547551943</v>
      </c>
      <c r="M88" s="100">
        <v>2493.2854629905482</v>
      </c>
      <c r="N88" s="100">
        <v>5.3438719659735856</v>
      </c>
      <c r="O88" s="100">
        <v>5303.2585390321865</v>
      </c>
      <c r="P88" s="100">
        <v>4.8657968983438584</v>
      </c>
      <c r="Q88" s="100">
        <v>4828.8168419164449</v>
      </c>
      <c r="R88" s="100">
        <v>5.3636393255157611</v>
      </c>
      <c r="S88" s="100">
        <v>5322.8756666418412</v>
      </c>
      <c r="T88" s="100">
        <v>7.6187803700209074</v>
      </c>
      <c r="U88" s="100">
        <v>7560.8776392087484</v>
      </c>
      <c r="V88" s="100">
        <v>4.3680114330984292</v>
      </c>
      <c r="W88" s="100">
        <v>4334.8145462068815</v>
      </c>
      <c r="X88" s="100">
        <v>2.5675641411180452</v>
      </c>
      <c r="Y88" s="100">
        <v>2548.0506536455482</v>
      </c>
      <c r="Z88" s="100">
        <v>4.157854762433896</v>
      </c>
      <c r="AA88" s="100">
        <v>4126.2550662393978</v>
      </c>
      <c r="AB88" s="100">
        <v>1.6526626464717327</v>
      </c>
      <c r="AC88" s="100">
        <v>1640.1024103585476</v>
      </c>
      <c r="AD88" s="100">
        <v>2.9428603554035879</v>
      </c>
      <c r="AE88" s="100">
        <v>2920.4946167025205</v>
      </c>
      <c r="AF88" s="100">
        <v>5.5703533132133902</v>
      </c>
      <c r="AG88" s="100">
        <v>5528.0186280329681</v>
      </c>
      <c r="AH88" s="100">
        <v>4.2996530087350964</v>
      </c>
      <c r="AI88" s="100">
        <v>4266.9756458687098</v>
      </c>
      <c r="AJ88" s="100">
        <v>3.8321888025615189</v>
      </c>
      <c r="AK88" s="100">
        <v>3803.0641676620512</v>
      </c>
      <c r="AL88" s="100">
        <v>5.6805127024152845E-4</v>
      </c>
      <c r="AM88" s="100">
        <v>0.56373408058769281</v>
      </c>
      <c r="AN88" s="100">
        <v>5.0227448041277345</v>
      </c>
      <c r="AO88" s="100">
        <v>4984.5719436163636</v>
      </c>
      <c r="AP88" s="100">
        <v>0.45916562090353114</v>
      </c>
      <c r="AQ88" s="100">
        <v>455.67596218466429</v>
      </c>
      <c r="AR88" s="100">
        <v>5.9420305105161662</v>
      </c>
      <c r="AS88" s="100">
        <v>5896.8710786362435</v>
      </c>
      <c r="AT88" s="100">
        <v>6.04949231370201</v>
      </c>
      <c r="AU88" s="100">
        <v>6003.5161721178747</v>
      </c>
      <c r="AV88" s="100">
        <v>6</v>
      </c>
      <c r="AW88" s="100">
        <v>5954.4</v>
      </c>
      <c r="AX88" s="100">
        <v>2.9811303818532742</v>
      </c>
      <c r="AY88" s="100">
        <v>2958.4737909511891</v>
      </c>
      <c r="AZ88" s="100">
        <v>4.7990606285399187</v>
      </c>
      <c r="BA88" s="100">
        <v>4762.5877677630151</v>
      </c>
      <c r="BB88" s="100">
        <v>3.442355607956797</v>
      </c>
      <c r="BC88" s="100">
        <v>3416.1937053363254</v>
      </c>
      <c r="BD88" s="100">
        <v>5.2771216597975759</v>
      </c>
      <c r="BE88" s="100">
        <v>5237.0155351831145</v>
      </c>
      <c r="BF88" s="100">
        <v>0.40014860542349001</v>
      </c>
      <c r="BG88" s="100">
        <v>397.1074760222715</v>
      </c>
      <c r="BH88" s="100">
        <v>7.1555267571123329</v>
      </c>
      <c r="BI88" s="100">
        <v>7101.144753758279</v>
      </c>
      <c r="BJ88" s="100">
        <v>6.9458889792472966</v>
      </c>
      <c r="BK88" s="100">
        <v>6893.1002230050171</v>
      </c>
      <c r="BL88" s="100">
        <v>6.2372373175107709</v>
      </c>
      <c r="BM88" s="100">
        <v>6189.8343138976888</v>
      </c>
      <c r="BN88" s="100">
        <v>0.50560178035110703</v>
      </c>
      <c r="BO88" s="100">
        <v>501.75920682043864</v>
      </c>
      <c r="BP88" s="100">
        <v>7.1646789237213371</v>
      </c>
      <c r="BQ88" s="100">
        <v>7110.2273639010546</v>
      </c>
      <c r="BR88" s="100">
        <v>3.168459005775734</v>
      </c>
      <c r="BS88" s="100">
        <v>3144.3787173318383</v>
      </c>
      <c r="BT88" s="100">
        <v>8.7629879249541389</v>
      </c>
      <c r="BU88" s="100">
        <v>8696.3892167244867</v>
      </c>
      <c r="BV88" s="100">
        <v>5.900518175702544</v>
      </c>
      <c r="BW88" s="100">
        <v>5855.6742375672047</v>
      </c>
      <c r="BX88" s="100">
        <v>4.5907999991899349</v>
      </c>
      <c r="BY88" s="100">
        <v>4555.9099191960913</v>
      </c>
      <c r="BZ88" s="100">
        <v>5.1891048175034288E-4</v>
      </c>
      <c r="CA88" s="100">
        <v>0.51496676208904024</v>
      </c>
      <c r="CB88" s="100">
        <v>4.9558459184937815</v>
      </c>
      <c r="CC88" s="100">
        <v>4918.1814895132284</v>
      </c>
      <c r="CD88" s="100">
        <v>0.46707467181895335</v>
      </c>
      <c r="CE88" s="100">
        <v>463.5249043131293</v>
      </c>
      <c r="CF88" s="100">
        <v>5.1643010225320873</v>
      </c>
      <c r="CG88" s="100">
        <v>5125.0523347608432</v>
      </c>
      <c r="CH88" s="100">
        <v>5</v>
      </c>
      <c r="CI88" s="100">
        <v>4962</v>
      </c>
      <c r="CJ88" s="100">
        <v>5.346725308567148</v>
      </c>
      <c r="CK88" s="100">
        <v>5306.0901962220378</v>
      </c>
      <c r="CL88" s="100">
        <v>0.57268509444564342</v>
      </c>
      <c r="CM88" s="100">
        <v>568.33268772785652</v>
      </c>
      <c r="CN88" s="100">
        <v>8.1854865145779812</v>
      </c>
      <c r="CO88" s="100">
        <v>8123.2768170671879</v>
      </c>
      <c r="CP88" s="100">
        <v>6.9150068645552514</v>
      </c>
      <c r="CQ88" s="100">
        <v>6862.4528123846312</v>
      </c>
      <c r="CR88" s="100">
        <v>5.6523389940307123</v>
      </c>
      <c r="CS88" s="100">
        <v>5609.3812176760784</v>
      </c>
      <c r="CT88" s="100">
        <v>4.0319556196332913</v>
      </c>
      <c r="CU88" s="100">
        <v>4001.3127569240783</v>
      </c>
    </row>
    <row r="89" spans="2:99">
      <c r="C89" s="99" t="s">
        <v>255</v>
      </c>
      <c r="D89" s="100">
        <v>2.5255770452805111</v>
      </c>
      <c r="E89" s="100">
        <v>2682.1628220879029</v>
      </c>
      <c r="F89" s="100">
        <v>6.9439101088871826</v>
      </c>
      <c r="G89" s="100">
        <v>7374.4325356381878</v>
      </c>
      <c r="H89" s="100">
        <v>3.4478170876101908</v>
      </c>
      <c r="I89" s="100">
        <v>3661.5817470420225</v>
      </c>
      <c r="J89" s="100">
        <v>4.581328891071629</v>
      </c>
      <c r="K89" s="100">
        <v>4865.3712823180704</v>
      </c>
      <c r="L89" s="100">
        <v>2.5657374614203809</v>
      </c>
      <c r="M89" s="100">
        <v>2724.8131840284445</v>
      </c>
      <c r="N89" s="100">
        <v>5.20651157753238</v>
      </c>
      <c r="O89" s="100">
        <v>5529.3152953393874</v>
      </c>
      <c r="P89" s="100">
        <v>4.2321415566201228</v>
      </c>
      <c r="Q89" s="100">
        <v>4494.5343331305703</v>
      </c>
      <c r="R89" s="100">
        <v>6.1573142976463515</v>
      </c>
      <c r="S89" s="100">
        <v>6539.0677841004253</v>
      </c>
      <c r="T89" s="100">
        <v>7.6187803700209074</v>
      </c>
      <c r="U89" s="100">
        <v>8091.1447529622037</v>
      </c>
      <c r="V89" s="100">
        <v>4.3516345586530498</v>
      </c>
      <c r="W89" s="100">
        <v>4621.4359012895393</v>
      </c>
      <c r="X89" s="100">
        <v>2.5675641411180452</v>
      </c>
      <c r="Y89" s="100">
        <v>2726.7531178673639</v>
      </c>
      <c r="Z89" s="100">
        <v>4.1634176946711028</v>
      </c>
      <c r="AA89" s="100">
        <v>4421.5495917407115</v>
      </c>
      <c r="AB89" s="100">
        <v>1.3791185838796127</v>
      </c>
      <c r="AC89" s="100">
        <v>1464.6239360801487</v>
      </c>
      <c r="AD89" s="100">
        <v>2.9456953707857436</v>
      </c>
      <c r="AE89" s="100">
        <v>3128.3284837744595</v>
      </c>
      <c r="AF89" s="100">
        <v>5.5703533132133902</v>
      </c>
      <c r="AG89" s="100">
        <v>5915.7152186326202</v>
      </c>
      <c r="AH89" s="100">
        <v>4.2996530087350964</v>
      </c>
      <c r="AI89" s="100">
        <v>4566.2314952766719</v>
      </c>
      <c r="AJ89" s="100">
        <v>3.8104402300696019</v>
      </c>
      <c r="AK89" s="100">
        <v>4046.6875243339173</v>
      </c>
      <c r="AL89" s="100">
        <v>4.8690108877845305E-4</v>
      </c>
      <c r="AM89" s="100">
        <v>0.51708895628271712</v>
      </c>
      <c r="AN89" s="100">
        <v>5.0227787395856573</v>
      </c>
      <c r="AO89" s="100">
        <v>5334.1910214399677</v>
      </c>
      <c r="AP89" s="100">
        <v>0.45916562090353114</v>
      </c>
      <c r="AQ89" s="100">
        <v>487.63388939955007</v>
      </c>
      <c r="AR89" s="100">
        <v>5.2098849616676457</v>
      </c>
      <c r="AS89" s="100">
        <v>5532.8978292910397</v>
      </c>
      <c r="AT89" s="100">
        <v>6.04949231370201</v>
      </c>
      <c r="AU89" s="100">
        <v>6424.5608371515345</v>
      </c>
      <c r="AV89" s="100">
        <v>5</v>
      </c>
      <c r="AW89" s="100">
        <v>5310</v>
      </c>
      <c r="AX89" s="100">
        <v>3.7259989388566344</v>
      </c>
      <c r="AY89" s="100">
        <v>3957.0108730657457</v>
      </c>
      <c r="AZ89" s="100">
        <v>4.7990606285399187</v>
      </c>
      <c r="BA89" s="100">
        <v>5096.6023875093933</v>
      </c>
      <c r="BB89" s="100">
        <v>3.349326680227116</v>
      </c>
      <c r="BC89" s="100">
        <v>3556.9849344011973</v>
      </c>
      <c r="BD89" s="100">
        <v>4.5942190989586909</v>
      </c>
      <c r="BE89" s="100">
        <v>4879.0606830941297</v>
      </c>
      <c r="BF89" s="100">
        <v>0.4555950273210535</v>
      </c>
      <c r="BG89" s="100">
        <v>483.84191901495882</v>
      </c>
      <c r="BH89" s="100">
        <v>7.1866321085348002</v>
      </c>
      <c r="BI89" s="100">
        <v>7632.2032992639579</v>
      </c>
      <c r="BJ89" s="100">
        <v>6.077652856841385</v>
      </c>
      <c r="BK89" s="100">
        <v>6454.467333965551</v>
      </c>
      <c r="BL89" s="100">
        <v>6.2372373175107709</v>
      </c>
      <c r="BM89" s="100">
        <v>6623.9460311964385</v>
      </c>
      <c r="BN89" s="100">
        <v>0.50560178035110703</v>
      </c>
      <c r="BO89" s="100">
        <v>536.94909073287567</v>
      </c>
      <c r="BP89" s="100">
        <v>6.1646789237213371</v>
      </c>
      <c r="BQ89" s="100">
        <v>6546.8890169920596</v>
      </c>
      <c r="BR89" s="100">
        <v>2.7724016300537673</v>
      </c>
      <c r="BS89" s="100">
        <v>2944.2905311171007</v>
      </c>
      <c r="BT89" s="100">
        <v>8.7629879249541389</v>
      </c>
      <c r="BU89" s="100">
        <v>9306.2931763012948</v>
      </c>
      <c r="BV89" s="100">
        <v>6.7436339622292687</v>
      </c>
      <c r="BW89" s="100">
        <v>7161.739267887483</v>
      </c>
      <c r="BX89" s="100">
        <v>4.0802593321649008</v>
      </c>
      <c r="BY89" s="100">
        <v>4333.2354107591245</v>
      </c>
      <c r="BZ89" s="100">
        <v>5.9273583385341941E-4</v>
      </c>
      <c r="CA89" s="100">
        <v>0.62948545555233137</v>
      </c>
      <c r="CB89" s="100">
        <v>4.9558470119893165</v>
      </c>
      <c r="CC89" s="100">
        <v>5263.1095267326546</v>
      </c>
      <c r="CD89" s="100">
        <v>0.46628836644458899</v>
      </c>
      <c r="CE89" s="100">
        <v>495.19824516415349</v>
      </c>
      <c r="CF89" s="100">
        <v>5.1643010225320873</v>
      </c>
      <c r="CG89" s="100">
        <v>5484.4876859290771</v>
      </c>
      <c r="CH89" s="100">
        <v>5</v>
      </c>
      <c r="CI89" s="100">
        <v>5310</v>
      </c>
      <c r="CJ89" s="100">
        <v>4.6111530755109627</v>
      </c>
      <c r="CK89" s="100">
        <v>4897.0445661926424</v>
      </c>
      <c r="CL89" s="100">
        <v>0.500701525905631</v>
      </c>
      <c r="CM89" s="100">
        <v>531.74502051178013</v>
      </c>
      <c r="CN89" s="100">
        <v>8.2164009336743096</v>
      </c>
      <c r="CO89" s="100">
        <v>8725.8177915621163</v>
      </c>
      <c r="CP89" s="100">
        <v>6.9150068645552514</v>
      </c>
      <c r="CQ89" s="100">
        <v>7343.7372901576773</v>
      </c>
      <c r="CR89" s="100">
        <v>5.5688272404514976</v>
      </c>
      <c r="CS89" s="100">
        <v>5914.0945293594905</v>
      </c>
      <c r="CT89" s="100">
        <v>4.6179934835778207</v>
      </c>
      <c r="CU89" s="100">
        <v>4904.3090795596454</v>
      </c>
    </row>
    <row r="90" spans="2:99">
      <c r="C90" s="99" t="s">
        <v>256</v>
      </c>
      <c r="D90" s="100">
        <v>2.8374179839511631</v>
      </c>
      <c r="E90" s="100">
        <v>3146.1290606050493</v>
      </c>
      <c r="F90" s="100">
        <v>6.0506757154985706</v>
      </c>
      <c r="G90" s="100">
        <v>6708.9892333448151</v>
      </c>
      <c r="H90" s="100">
        <v>3.4478170876101908</v>
      </c>
      <c r="I90" s="100">
        <v>3822.9395867421795</v>
      </c>
      <c r="J90" s="100">
        <v>3.6689047188393893</v>
      </c>
      <c r="K90" s="100">
        <v>4068.0815522491148</v>
      </c>
      <c r="L90" s="100">
        <v>2.512379547551943</v>
      </c>
      <c r="M90" s="100">
        <v>2785.7264423255942</v>
      </c>
      <c r="N90" s="100">
        <v>4.5465269367839918</v>
      </c>
      <c r="O90" s="100">
        <v>5041.1890675060895</v>
      </c>
      <c r="P90" s="100">
        <v>4.8657968983438584</v>
      </c>
      <c r="Q90" s="100">
        <v>5395.1956008836696</v>
      </c>
      <c r="R90" s="100">
        <v>6.0545333974798536</v>
      </c>
      <c r="S90" s="100">
        <v>6713.2666311256617</v>
      </c>
      <c r="T90" s="100">
        <v>7.6187803700209074</v>
      </c>
      <c r="U90" s="100">
        <v>8447.7036742791825</v>
      </c>
      <c r="V90" s="100">
        <v>4.3680114330984292</v>
      </c>
      <c r="W90" s="100">
        <v>4843.2510770195377</v>
      </c>
      <c r="X90" s="100">
        <v>2.5675641411180452</v>
      </c>
      <c r="Y90" s="100">
        <v>2846.9151196716884</v>
      </c>
      <c r="Z90" s="100">
        <v>3.4908002485628518</v>
      </c>
      <c r="AA90" s="100">
        <v>3870.5993156064897</v>
      </c>
      <c r="AB90" s="100">
        <v>1.3905168547986273</v>
      </c>
      <c r="AC90" s="100">
        <v>1541.8050886007179</v>
      </c>
      <c r="AD90" s="100">
        <v>2.9456953707857436</v>
      </c>
      <c r="AE90" s="100">
        <v>3266.1870271272323</v>
      </c>
      <c r="AF90" s="100">
        <v>4.8506968971038091</v>
      </c>
      <c r="AG90" s="100">
        <v>5378.452719508703</v>
      </c>
      <c r="AH90" s="100">
        <v>4.2024398184834544</v>
      </c>
      <c r="AI90" s="100">
        <v>4659.6652707344538</v>
      </c>
      <c r="AJ90" s="100">
        <v>3.8321888025615189</v>
      </c>
      <c r="AK90" s="100">
        <v>4249.1309442802121</v>
      </c>
      <c r="AL90" s="100">
        <v>4.8690108877845305E-4</v>
      </c>
      <c r="AM90" s="100">
        <v>0.53987592723754874</v>
      </c>
      <c r="AN90" s="100">
        <v>5.0227776204874246</v>
      </c>
      <c r="AO90" s="100">
        <v>5569.2558255964559</v>
      </c>
      <c r="AP90" s="100">
        <v>0.45916562090353114</v>
      </c>
      <c r="AQ90" s="100">
        <v>509.12284045783531</v>
      </c>
      <c r="AR90" s="100">
        <v>5.9413153770433293</v>
      </c>
      <c r="AS90" s="100">
        <v>6587.7304900656436</v>
      </c>
      <c r="AT90" s="100">
        <v>6.04949231370201</v>
      </c>
      <c r="AU90" s="100">
        <v>6707.6770774327888</v>
      </c>
      <c r="AV90" s="100">
        <v>5</v>
      </c>
      <c r="AW90" s="100">
        <v>5544</v>
      </c>
      <c r="AX90" s="100">
        <v>3.0019663909309773</v>
      </c>
      <c r="AY90" s="100">
        <v>3328.5803342642675</v>
      </c>
      <c r="AZ90" s="100">
        <v>4.7990606285399187</v>
      </c>
      <c r="BA90" s="100">
        <v>5321.1984249250618</v>
      </c>
      <c r="BB90" s="100">
        <v>3.4462901802888388</v>
      </c>
      <c r="BC90" s="100">
        <v>3821.2465519042644</v>
      </c>
      <c r="BD90" s="100">
        <v>4.2572725347703466</v>
      </c>
      <c r="BE90" s="100">
        <v>4720.4637865533605</v>
      </c>
      <c r="BF90" s="100">
        <v>0.39948062474901519</v>
      </c>
      <c r="BG90" s="100">
        <v>442.94411672170804</v>
      </c>
      <c r="BH90" s="100">
        <v>7.1866321085348002</v>
      </c>
      <c r="BI90" s="100">
        <v>7968.5376819433859</v>
      </c>
      <c r="BJ90" s="100">
        <v>6.077652856841385</v>
      </c>
      <c r="BK90" s="100">
        <v>6738.9014876657275</v>
      </c>
      <c r="BL90" s="100">
        <v>5.5442109488984626</v>
      </c>
      <c r="BM90" s="100">
        <v>6147.4211001386147</v>
      </c>
      <c r="BN90" s="100">
        <v>0.50560178035110703</v>
      </c>
      <c r="BO90" s="100">
        <v>560.61125405330745</v>
      </c>
      <c r="BP90" s="100">
        <v>6.1646789237213371</v>
      </c>
      <c r="BQ90" s="100">
        <v>6835.3959906222181</v>
      </c>
      <c r="BR90" s="100">
        <v>2.7864588564486525</v>
      </c>
      <c r="BS90" s="100">
        <v>3089.6255800302656</v>
      </c>
      <c r="BT90" s="100">
        <v>9.7629879249541389</v>
      </c>
      <c r="BU90" s="100">
        <v>10825.201011189149</v>
      </c>
      <c r="BV90" s="100">
        <v>6.7423416322447487</v>
      </c>
      <c r="BW90" s="100">
        <v>7475.9084018329768</v>
      </c>
      <c r="BX90" s="100">
        <v>4.5907999991899349</v>
      </c>
      <c r="BY90" s="100">
        <v>5090.2790391017998</v>
      </c>
      <c r="BZ90" s="100">
        <v>5.2104349877915015E-4</v>
      </c>
      <c r="CA90" s="100">
        <v>0.57773303144632171</v>
      </c>
      <c r="CB90" s="100">
        <v>5.5753074126562145</v>
      </c>
      <c r="CC90" s="100">
        <v>6181.9008591532101</v>
      </c>
      <c r="CD90" s="100">
        <v>0.46707467181895335</v>
      </c>
      <c r="CE90" s="100">
        <v>517.89239611285541</v>
      </c>
      <c r="CF90" s="100">
        <v>4.1643010225320873</v>
      </c>
      <c r="CG90" s="100">
        <v>4617.3769737835783</v>
      </c>
      <c r="CH90" s="100">
        <v>5</v>
      </c>
      <c r="CI90" s="100">
        <v>5544</v>
      </c>
      <c r="CJ90" s="100">
        <v>4.4205645157953022</v>
      </c>
      <c r="CK90" s="100">
        <v>4901.5219351138312</v>
      </c>
      <c r="CL90" s="100">
        <v>0.50229325284285919</v>
      </c>
      <c r="CM90" s="100">
        <v>556.94275875216226</v>
      </c>
      <c r="CN90" s="100">
        <v>9.1854865145779812</v>
      </c>
      <c r="CO90" s="100">
        <v>10184.867447364066</v>
      </c>
      <c r="CP90" s="100">
        <v>6.1466727684935574</v>
      </c>
      <c r="CQ90" s="100">
        <v>6815.4307657056561</v>
      </c>
      <c r="CR90" s="100">
        <v>5.6523389940307123</v>
      </c>
      <c r="CS90" s="100">
        <v>6267.3134765812538</v>
      </c>
      <c r="CT90" s="100">
        <v>4.6179934835778207</v>
      </c>
      <c r="CU90" s="100">
        <v>5120.4311745910873</v>
      </c>
    </row>
    <row r="91" spans="2:99">
      <c r="C91" s="99" t="s">
        <v>257</v>
      </c>
      <c r="D91" s="100">
        <v>2.5227218720008899</v>
      </c>
      <c r="E91" s="100">
        <v>2866.821135341811</v>
      </c>
      <c r="F91" s="100">
        <v>6.0506757154985706</v>
      </c>
      <c r="G91" s="100">
        <v>6875.9878830925745</v>
      </c>
      <c r="H91" s="100">
        <v>4.1704185850099842</v>
      </c>
      <c r="I91" s="100">
        <v>4739.2636800053451</v>
      </c>
      <c r="J91" s="100">
        <v>4.4758445794300705</v>
      </c>
      <c r="K91" s="100">
        <v>5086.3497800643318</v>
      </c>
      <c r="L91" s="100">
        <v>2.4766173916262448</v>
      </c>
      <c r="M91" s="100">
        <v>2814.4280038440643</v>
      </c>
      <c r="N91" s="100">
        <v>5.20651157753238</v>
      </c>
      <c r="O91" s="100">
        <v>5916.6797567077956</v>
      </c>
      <c r="P91" s="100">
        <v>4.2321415566201228</v>
      </c>
      <c r="Q91" s="100">
        <v>4809.4056649431068</v>
      </c>
      <c r="R91" s="100">
        <v>5.4691154898691847</v>
      </c>
      <c r="S91" s="100">
        <v>6215.1028426873409</v>
      </c>
      <c r="T91" s="100">
        <v>7.6187803700209074</v>
      </c>
      <c r="U91" s="100">
        <v>8657.9820124917587</v>
      </c>
      <c r="V91" s="100">
        <v>3.6427390066562539</v>
      </c>
      <c r="W91" s="100">
        <v>4139.6086071641666</v>
      </c>
      <c r="X91" s="100">
        <v>2.5675641411180452</v>
      </c>
      <c r="Y91" s="100">
        <v>2917.7798899665463</v>
      </c>
      <c r="Z91" s="100">
        <v>4.1634176946711028</v>
      </c>
      <c r="AA91" s="100">
        <v>4731.3078682242403</v>
      </c>
      <c r="AB91" s="100">
        <v>1.6412643755527183</v>
      </c>
      <c r="AC91" s="100">
        <v>1865.1328363781088</v>
      </c>
      <c r="AD91" s="100">
        <v>2.8857386491334935</v>
      </c>
      <c r="AE91" s="100">
        <v>3279.3534008753018</v>
      </c>
      <c r="AF91" s="100">
        <v>4.8506968971038091</v>
      </c>
      <c r="AG91" s="100">
        <v>5512.3319538687683</v>
      </c>
      <c r="AH91" s="100">
        <v>4.2062567262816666</v>
      </c>
      <c r="AI91" s="100">
        <v>4779.990143746485</v>
      </c>
      <c r="AJ91" s="100">
        <v>4.5196710567919149</v>
      </c>
      <c r="AK91" s="100">
        <v>5136.1541889383316</v>
      </c>
      <c r="AL91" s="100">
        <v>4.8690108877845305E-4</v>
      </c>
      <c r="AM91" s="100">
        <v>0.55331439728783394</v>
      </c>
      <c r="AN91" s="100">
        <v>5.8598380473715448</v>
      </c>
      <c r="AO91" s="100">
        <v>6659.1199570330227</v>
      </c>
      <c r="AP91" s="100">
        <v>0.45916562090353114</v>
      </c>
      <c r="AQ91" s="100">
        <v>521.79581159477277</v>
      </c>
      <c r="AR91" s="100">
        <v>5.9160466048128297</v>
      </c>
      <c r="AS91" s="100">
        <v>6722.9953617092988</v>
      </c>
      <c r="AT91" s="100">
        <v>6.04949231370201</v>
      </c>
      <c r="AU91" s="100">
        <v>6874.643065290963</v>
      </c>
      <c r="AV91" s="100">
        <v>5</v>
      </c>
      <c r="AW91" s="100">
        <v>5681.9999999999991</v>
      </c>
      <c r="AX91" s="100">
        <v>2.9811303818532742</v>
      </c>
      <c r="AY91" s="100">
        <v>3387.7565659380602</v>
      </c>
      <c r="AZ91" s="100">
        <v>4.7990606285399187</v>
      </c>
      <c r="BA91" s="100">
        <v>5453.6524982727633</v>
      </c>
      <c r="BB91" s="100">
        <v>3.3453921078950746</v>
      </c>
      <c r="BC91" s="100">
        <v>3801.7035914119624</v>
      </c>
      <c r="BD91" s="100">
        <v>4.2572725347703466</v>
      </c>
      <c r="BE91" s="100">
        <v>4837.9645085130214</v>
      </c>
      <c r="BF91" s="100">
        <v>0.39881264407454048</v>
      </c>
      <c r="BG91" s="100">
        <v>453.21068872630775</v>
      </c>
      <c r="BH91" s="100">
        <v>7.1555267571123329</v>
      </c>
      <c r="BI91" s="100">
        <v>8131.5406067824542</v>
      </c>
      <c r="BJ91" s="100">
        <v>6.077652856841385</v>
      </c>
      <c r="BK91" s="100">
        <v>6906.6447065145494</v>
      </c>
      <c r="BL91" s="100">
        <v>5.5442109488984626</v>
      </c>
      <c r="BM91" s="100">
        <v>6300.4413223282118</v>
      </c>
      <c r="BN91" s="100">
        <v>0.56730078871117195</v>
      </c>
      <c r="BO91" s="100">
        <v>644.68061629137571</v>
      </c>
      <c r="BP91" s="100">
        <v>7.1646789237213371</v>
      </c>
      <c r="BQ91" s="100">
        <v>8141.9411289169266</v>
      </c>
      <c r="BR91" s="100">
        <v>2.7864588564486525</v>
      </c>
      <c r="BS91" s="100">
        <v>3166.5318444682484</v>
      </c>
      <c r="BT91" s="100">
        <v>9.7629879249541389</v>
      </c>
      <c r="BU91" s="100">
        <v>11094.659477917881</v>
      </c>
      <c r="BV91" s="100">
        <v>5.900518175702544</v>
      </c>
      <c r="BW91" s="100">
        <v>6705.3488548683699</v>
      </c>
      <c r="BX91" s="100">
        <v>4.5907999991899349</v>
      </c>
      <c r="BY91" s="100">
        <v>5216.9851190794416</v>
      </c>
      <c r="BZ91" s="100">
        <v>5.9273583385341941E-4</v>
      </c>
      <c r="CA91" s="100">
        <v>0.67358500159102574</v>
      </c>
      <c r="CB91" s="100">
        <v>5.5753074126562145</v>
      </c>
      <c r="CC91" s="100">
        <v>6335.7793437425216</v>
      </c>
      <c r="CD91" s="100">
        <v>0.46707467181895335</v>
      </c>
      <c r="CE91" s="100">
        <v>530.78365705505848</v>
      </c>
      <c r="CF91" s="100">
        <v>4.1369175187767393</v>
      </c>
      <c r="CG91" s="100">
        <v>4701.193068337886</v>
      </c>
      <c r="CH91" s="100">
        <v>5</v>
      </c>
      <c r="CI91" s="100">
        <v>5681.9999999999991</v>
      </c>
      <c r="CJ91" s="100">
        <v>5.1561367488514875</v>
      </c>
      <c r="CK91" s="100">
        <v>5859.43380139483</v>
      </c>
      <c r="CL91" s="100">
        <v>0.57268509444564342</v>
      </c>
      <c r="CM91" s="100">
        <v>650.79934132802907</v>
      </c>
      <c r="CN91" s="100">
        <v>9.2164009336743096</v>
      </c>
      <c r="CO91" s="100">
        <v>10473.518021027485</v>
      </c>
      <c r="CP91" s="100">
        <v>6.1466727684935574</v>
      </c>
      <c r="CQ91" s="100">
        <v>6985.078934116078</v>
      </c>
      <c r="CR91" s="100">
        <v>6.2804292957328158</v>
      </c>
      <c r="CS91" s="100">
        <v>7137.0798516707709</v>
      </c>
      <c r="CT91" s="100">
        <v>4.0319556196332913</v>
      </c>
      <c r="CU91" s="100">
        <v>4581.9143661512717</v>
      </c>
    </row>
    <row r="92" spans="2:99">
      <c r="C92" s="99" t="s">
        <v>258</v>
      </c>
      <c r="D92" s="100">
        <v>2.9011580213090502</v>
      </c>
      <c r="E92" s="100">
        <v>2276.8288151233423</v>
      </c>
      <c r="F92" s="100">
        <v>6.0506757154985706</v>
      </c>
      <c r="G92" s="100">
        <v>4748.5703015232775</v>
      </c>
      <c r="H92" s="100">
        <v>3.4478170876101908</v>
      </c>
      <c r="I92" s="100">
        <v>2705.8468503564777</v>
      </c>
      <c r="J92" s="100">
        <v>4.581328891071629</v>
      </c>
      <c r="K92" s="100">
        <v>3595.4269137130141</v>
      </c>
      <c r="L92" s="100">
        <v>3.149840340026405</v>
      </c>
      <c r="M92" s="100">
        <v>2471.9946988527226</v>
      </c>
      <c r="N92" s="100">
        <v>5.3455986721521196</v>
      </c>
      <c r="O92" s="100">
        <v>4195.2258379049836</v>
      </c>
      <c r="P92" s="100">
        <v>4.1460996553645808</v>
      </c>
      <c r="Q92" s="100">
        <v>3253.8590095301229</v>
      </c>
      <c r="R92" s="100">
        <v>6.1573142976463515</v>
      </c>
      <c r="S92" s="100">
        <v>4832.2602607928566</v>
      </c>
      <c r="T92" s="100">
        <v>7.6187803700209074</v>
      </c>
      <c r="U92" s="100">
        <v>5979.2188343924081</v>
      </c>
      <c r="V92" s="100">
        <v>4.3680114330984292</v>
      </c>
      <c r="W92" s="100">
        <v>3428.0153726956469</v>
      </c>
      <c r="X92" s="100">
        <v>2.5675641411180452</v>
      </c>
      <c r="Y92" s="100">
        <v>2015.0243379494418</v>
      </c>
      <c r="Z92" s="100">
        <v>4.1689806269083087</v>
      </c>
      <c r="AA92" s="100">
        <v>3271.8159959976406</v>
      </c>
      <c r="AB92" s="100">
        <v>1.6526626464717327</v>
      </c>
      <c r="AC92" s="100">
        <v>1297.0096449510156</v>
      </c>
      <c r="AD92" s="100">
        <v>2.9428603554035879</v>
      </c>
      <c r="AE92" s="100">
        <v>2309.5568069207357</v>
      </c>
      <c r="AF92" s="100">
        <v>5.5656355711835408</v>
      </c>
      <c r="AG92" s="100">
        <v>4367.9107962648422</v>
      </c>
      <c r="AH92" s="100">
        <v>4.8294730161106418</v>
      </c>
      <c r="AI92" s="100">
        <v>3790.1704230436317</v>
      </c>
      <c r="AJ92" s="100">
        <v>4.627839603811954</v>
      </c>
      <c r="AK92" s="100">
        <v>3631.9285210716212</v>
      </c>
      <c r="AL92" s="100">
        <v>4.8690108877845305E-4</v>
      </c>
      <c r="AM92" s="100">
        <v>0.3821199744733299</v>
      </c>
      <c r="AN92" s="100">
        <v>5.8598391664697775</v>
      </c>
      <c r="AO92" s="100">
        <v>4598.8017778454814</v>
      </c>
      <c r="AP92" s="100">
        <v>0.51588037159315137</v>
      </c>
      <c r="AQ92" s="100">
        <v>404.86291562630515</v>
      </c>
      <c r="AR92" s="100">
        <v>5.2098849616676457</v>
      </c>
      <c r="AS92" s="100">
        <v>4088.7177179167679</v>
      </c>
      <c r="AT92" s="100">
        <v>6.04949231370201</v>
      </c>
      <c r="AU92" s="100">
        <v>4747.6415677933373</v>
      </c>
      <c r="AV92" s="100">
        <v>6</v>
      </c>
      <c r="AW92" s="100">
        <v>4708.7999999999993</v>
      </c>
      <c r="AX92" s="100">
        <v>2.9813374010832532</v>
      </c>
      <c r="AY92" s="100">
        <v>2339.7535923701371</v>
      </c>
      <c r="AZ92" s="100">
        <v>4.8048585784008457</v>
      </c>
      <c r="BA92" s="100">
        <v>3770.8530123289834</v>
      </c>
      <c r="BB92" s="100">
        <v>3.4462901802888388</v>
      </c>
      <c r="BC92" s="100">
        <v>2704.6485334906806</v>
      </c>
      <c r="BD92" s="100">
        <v>4.2839153963931862</v>
      </c>
      <c r="BE92" s="100">
        <v>3362.0168030893724</v>
      </c>
      <c r="BF92" s="100">
        <v>0.39948062474901519</v>
      </c>
      <c r="BG92" s="100">
        <v>313.51239430302712</v>
      </c>
      <c r="BH92" s="100">
        <v>7.1866321085348002</v>
      </c>
      <c r="BI92" s="100">
        <v>5640.068878778111</v>
      </c>
      <c r="BJ92" s="100">
        <v>6.077652856841385</v>
      </c>
      <c r="BK92" s="100">
        <v>4769.7419620491182</v>
      </c>
      <c r="BL92" s="100">
        <v>5.5442109488984626</v>
      </c>
      <c r="BM92" s="100">
        <v>4351.0967526955128</v>
      </c>
      <c r="BN92" s="100">
        <v>0.56730078871117195</v>
      </c>
      <c r="BO92" s="100">
        <v>445.21765898052774</v>
      </c>
      <c r="BP92" s="100">
        <v>7.1976147084656041</v>
      </c>
      <c r="BQ92" s="100">
        <v>5648.6880232038056</v>
      </c>
      <c r="BR92" s="100">
        <v>2.7864588564486525</v>
      </c>
      <c r="BS92" s="100">
        <v>2186.8129105409025</v>
      </c>
      <c r="BT92" s="100">
        <v>9.7629879249541389</v>
      </c>
      <c r="BU92" s="100">
        <v>7661.9929235040081</v>
      </c>
      <c r="BV92" s="100">
        <v>6.7423416322447487</v>
      </c>
      <c r="BW92" s="100">
        <v>5291.3897129856787</v>
      </c>
      <c r="BX92" s="100">
        <v>4.0802593321649008</v>
      </c>
      <c r="BY92" s="100">
        <v>3202.1875238830139</v>
      </c>
      <c r="BZ92" s="100">
        <v>5.2317651580795742E-4</v>
      </c>
      <c r="CA92" s="100">
        <v>0.41058892960608495</v>
      </c>
      <c r="CB92" s="100">
        <v>5.5753085061517496</v>
      </c>
      <c r="CC92" s="100">
        <v>4375.5021156278926</v>
      </c>
      <c r="CD92" s="100">
        <v>0.46628836644458899</v>
      </c>
      <c r="CE92" s="100">
        <v>365.94310998571342</v>
      </c>
      <c r="CF92" s="100">
        <v>5.1643010225320873</v>
      </c>
      <c r="CG92" s="100">
        <v>4052.943442483182</v>
      </c>
      <c r="CH92" s="100">
        <v>5</v>
      </c>
      <c r="CI92" s="100">
        <v>3924</v>
      </c>
      <c r="CJ92" s="100">
        <v>5.1558449414462091</v>
      </c>
      <c r="CK92" s="100">
        <v>4046.3071100469847</v>
      </c>
      <c r="CL92" s="100">
        <v>0.50149738937424504</v>
      </c>
      <c r="CM92" s="100">
        <v>393.57515118090748</v>
      </c>
      <c r="CN92" s="100">
        <v>10.185486514577981</v>
      </c>
      <c r="CO92" s="100">
        <v>7993.5698166407992</v>
      </c>
      <c r="CP92" s="100">
        <v>6.9150068645552514</v>
      </c>
      <c r="CQ92" s="100">
        <v>5426.8973873029609</v>
      </c>
      <c r="CR92" s="100">
        <v>6.1930053325754759</v>
      </c>
      <c r="CS92" s="100">
        <v>4860.2705850052334</v>
      </c>
      <c r="CT92" s="100">
        <v>4.0319556196332913</v>
      </c>
      <c r="CU92" s="100">
        <v>3164.2787702882069</v>
      </c>
    </row>
    <row r="93" spans="2:99">
      <c r="C93" s="99" t="s">
        <v>259</v>
      </c>
      <c r="D93" s="100">
        <v>2.9011580213090502</v>
      </c>
      <c r="E93" s="100">
        <v>2012.2432035799573</v>
      </c>
      <c r="F93" s="100">
        <v>6.0506757154985706</v>
      </c>
      <c r="G93" s="100">
        <v>4196.748676269809</v>
      </c>
      <c r="H93" s="100">
        <v>3.559299307212394</v>
      </c>
      <c r="I93" s="100">
        <v>2468.7299994825166</v>
      </c>
      <c r="J93" s="100">
        <v>4.4758445794300705</v>
      </c>
      <c r="K93" s="100">
        <v>3104.4458002926972</v>
      </c>
      <c r="L93" s="100">
        <v>2.5975260444654458</v>
      </c>
      <c r="M93" s="100">
        <v>1801.6440644412332</v>
      </c>
      <c r="N93" s="100">
        <v>4.5482536429625249</v>
      </c>
      <c r="O93" s="100">
        <v>3154.6687267588072</v>
      </c>
      <c r="P93" s="100">
        <v>4.7797549970883173</v>
      </c>
      <c r="Q93" s="100">
        <v>3315.2380659804571</v>
      </c>
      <c r="R93" s="100">
        <v>6.1573142976463515</v>
      </c>
      <c r="S93" s="100">
        <v>4270.7131968475096</v>
      </c>
      <c r="T93" s="100">
        <v>7.7398748940375102</v>
      </c>
      <c r="U93" s="100">
        <v>5368.3772265044172</v>
      </c>
      <c r="V93" s="100">
        <v>4.3680114330984292</v>
      </c>
      <c r="W93" s="100">
        <v>3029.6527299970708</v>
      </c>
      <c r="X93" s="100">
        <v>2.5675641411180452</v>
      </c>
      <c r="Y93" s="100">
        <v>1780.8624882794761</v>
      </c>
      <c r="Z93" s="100">
        <v>4.1634176946711028</v>
      </c>
      <c r="AA93" s="100">
        <v>2887.746513023877</v>
      </c>
      <c r="AB93" s="100">
        <v>1.3905168547986273</v>
      </c>
      <c r="AC93" s="100">
        <v>964.46249048832794</v>
      </c>
      <c r="AD93" s="100">
        <v>2.9428603554035879</v>
      </c>
      <c r="AE93" s="100">
        <v>2041.1679425079287</v>
      </c>
      <c r="AF93" s="100">
        <v>5.5231758929148933</v>
      </c>
      <c r="AG93" s="100">
        <v>3830.8747993257703</v>
      </c>
      <c r="AH93" s="100">
        <v>4.2996530087350964</v>
      </c>
      <c r="AI93" s="100">
        <v>2982.2393268586629</v>
      </c>
      <c r="AJ93" s="100">
        <v>4.627839603811954</v>
      </c>
      <c r="AK93" s="100">
        <v>3209.8695492039715</v>
      </c>
      <c r="AL93" s="100">
        <v>4.8690108877845305E-4</v>
      </c>
      <c r="AM93" s="100">
        <v>0.33771459517673502</v>
      </c>
      <c r="AN93" s="100">
        <v>5.8598380473715448</v>
      </c>
      <c r="AO93" s="100">
        <v>4064.3836696569037</v>
      </c>
      <c r="AP93" s="100">
        <v>0.51588037159315137</v>
      </c>
      <c r="AQ93" s="100">
        <v>357.81462573700981</v>
      </c>
      <c r="AR93" s="100">
        <v>5.2163211629231716</v>
      </c>
      <c r="AS93" s="100">
        <v>3618.0403586035118</v>
      </c>
      <c r="AT93" s="100">
        <v>6.2244076993190118</v>
      </c>
      <c r="AU93" s="100">
        <v>4317.249180247667</v>
      </c>
      <c r="AV93" s="100">
        <v>6</v>
      </c>
      <c r="AW93" s="100">
        <v>4161.6000000000004</v>
      </c>
      <c r="AX93" s="100">
        <v>3.7259989388566344</v>
      </c>
      <c r="AY93" s="100">
        <v>2584.3528639909619</v>
      </c>
      <c r="AZ93" s="100">
        <v>5.5097607023036481</v>
      </c>
      <c r="BA93" s="100">
        <v>3821.5700231178103</v>
      </c>
      <c r="BB93" s="100">
        <v>3.349326680227116</v>
      </c>
      <c r="BC93" s="100">
        <v>2323.0929854055275</v>
      </c>
      <c r="BD93" s="100">
        <v>5.2771216597975759</v>
      </c>
      <c r="BE93" s="100">
        <v>3660.2115832355989</v>
      </c>
      <c r="BF93" s="100">
        <v>0.4555950273210535</v>
      </c>
      <c r="BG93" s="100">
        <v>316.00071094988272</v>
      </c>
      <c r="BH93" s="100">
        <v>7.1866321085348002</v>
      </c>
      <c r="BI93" s="100">
        <v>4984.6480304797378</v>
      </c>
      <c r="BJ93" s="100">
        <v>6.9458889792472966</v>
      </c>
      <c r="BK93" s="100">
        <v>4817.6685960059249</v>
      </c>
      <c r="BL93" s="100">
        <v>5.5442109488984626</v>
      </c>
      <c r="BM93" s="100">
        <v>3845.464714155974</v>
      </c>
      <c r="BN93" s="100">
        <v>0.44240155780721868</v>
      </c>
      <c r="BO93" s="100">
        <v>306.8497204950869</v>
      </c>
      <c r="BP93" s="100">
        <v>6.1646789237213371</v>
      </c>
      <c r="BQ93" s="100">
        <v>4275.8213014931198</v>
      </c>
      <c r="BR93" s="100">
        <v>2.7864588564486525</v>
      </c>
      <c r="BS93" s="100">
        <v>1932.6878628327854</v>
      </c>
      <c r="BT93" s="100">
        <v>9.7629879249541389</v>
      </c>
      <c r="BU93" s="100">
        <v>6771.6084247481913</v>
      </c>
      <c r="BV93" s="100">
        <v>5.900518175702544</v>
      </c>
      <c r="BW93" s="100">
        <v>4092.5994066672847</v>
      </c>
      <c r="BX93" s="100">
        <v>5.1795726146776389</v>
      </c>
      <c r="BY93" s="100">
        <v>3592.5515655404106</v>
      </c>
      <c r="BZ93" s="100">
        <v>5.2104349877915015E-4</v>
      </c>
      <c r="CA93" s="100">
        <v>0.36139577075321855</v>
      </c>
      <c r="CB93" s="100">
        <v>4.9558470119893165</v>
      </c>
      <c r="CC93" s="100">
        <v>3437.3754875157902</v>
      </c>
      <c r="CD93" s="100">
        <v>0.39053940213973504</v>
      </c>
      <c r="CE93" s="100">
        <v>270.87812932412021</v>
      </c>
      <c r="CF93" s="100">
        <v>5.1369175187767393</v>
      </c>
      <c r="CG93" s="100">
        <v>3562.9659910235464</v>
      </c>
      <c r="CH93" s="100">
        <v>5</v>
      </c>
      <c r="CI93" s="100">
        <v>3468</v>
      </c>
      <c r="CJ93" s="100">
        <v>5.346725308567148</v>
      </c>
      <c r="CK93" s="100">
        <v>3708.4886740221741</v>
      </c>
      <c r="CL93" s="100">
        <v>0.50149738937424504</v>
      </c>
      <c r="CM93" s="100">
        <v>347.83858926997635</v>
      </c>
      <c r="CN93" s="100">
        <v>9.2164009336743096</v>
      </c>
      <c r="CO93" s="100">
        <v>6392.4956875965017</v>
      </c>
      <c r="CP93" s="100">
        <v>6.9150068645552514</v>
      </c>
      <c r="CQ93" s="100">
        <v>4796.2487612555224</v>
      </c>
      <c r="CR93" s="100">
        <v>6.2008297517317272</v>
      </c>
      <c r="CS93" s="100">
        <v>4300.8955158011258</v>
      </c>
      <c r="CT93" s="100">
        <v>4.711957776524927</v>
      </c>
      <c r="CU93" s="100">
        <v>3268.2139137976897</v>
      </c>
    </row>
    <row r="94" spans="2:99">
      <c r="C94" s="99" t="s">
        <v>260</v>
      </c>
      <c r="D94" s="100">
        <v>2.8983028480294291</v>
      </c>
      <c r="E94" s="100">
        <v>3457.0956371295028</v>
      </c>
      <c r="F94" s="100">
        <v>6.9439101088871826</v>
      </c>
      <c r="G94" s="100">
        <v>8282.6959778806304</v>
      </c>
      <c r="H94" s="100">
        <v>3.4478170876101908</v>
      </c>
      <c r="I94" s="100">
        <v>4112.5562221014352</v>
      </c>
      <c r="J94" s="100">
        <v>4.581328891071629</v>
      </c>
      <c r="K94" s="100">
        <v>5464.6091012702391</v>
      </c>
      <c r="L94" s="100">
        <v>2.5084059746713097</v>
      </c>
      <c r="M94" s="100">
        <v>2992.0266465879381</v>
      </c>
      <c r="N94" s="100">
        <v>5.3438719659735856</v>
      </c>
      <c r="O94" s="100">
        <v>6374.1704810132924</v>
      </c>
      <c r="P94" s="100">
        <v>4.2321415566201228</v>
      </c>
      <c r="Q94" s="100">
        <v>5048.0984487364822</v>
      </c>
      <c r="R94" s="100">
        <v>6.0491428691060021</v>
      </c>
      <c r="S94" s="100">
        <v>7215.4176142696388</v>
      </c>
      <c r="T94" s="100">
        <v>7.6187803700209074</v>
      </c>
      <c r="U94" s="100">
        <v>9087.6812253609387</v>
      </c>
      <c r="V94" s="100">
        <v>3.6394636317671778</v>
      </c>
      <c r="W94" s="100">
        <v>4341.1522199718893</v>
      </c>
      <c r="X94" s="100">
        <v>2.5633388439728959</v>
      </c>
      <c r="Y94" s="100">
        <v>3057.5505730908703</v>
      </c>
      <c r="Z94" s="100">
        <v>4.0337379054742657</v>
      </c>
      <c r="AA94" s="100">
        <v>4811.4425736497042</v>
      </c>
      <c r="AB94" s="100">
        <v>1.4019151257176417</v>
      </c>
      <c r="AC94" s="100">
        <v>1672.2043619560029</v>
      </c>
      <c r="AD94" s="100">
        <v>2.9456953707857436</v>
      </c>
      <c r="AE94" s="100">
        <v>3513.625438273235</v>
      </c>
      <c r="AF94" s="100">
        <v>5.5703533132133902</v>
      </c>
      <c r="AG94" s="100">
        <v>6644.3174320009321</v>
      </c>
      <c r="AH94" s="100">
        <v>4.8256561083124314</v>
      </c>
      <c r="AI94" s="100">
        <v>5756.0426059950678</v>
      </c>
      <c r="AJ94" s="100">
        <v>4.6495881763038707</v>
      </c>
      <c r="AK94" s="100">
        <v>5546.028776695257</v>
      </c>
      <c r="AL94" s="100">
        <v>4.8690108877845305E-4</v>
      </c>
      <c r="AM94" s="100">
        <v>0.58077561869493877</v>
      </c>
      <c r="AN94" s="100">
        <v>5.8598380473715448</v>
      </c>
      <c r="AO94" s="100">
        <v>6989.6148229047785</v>
      </c>
      <c r="AP94" s="100">
        <v>0.45916562090353114</v>
      </c>
      <c r="AQ94" s="100">
        <v>547.69275261373195</v>
      </c>
      <c r="AR94" s="100">
        <v>5.9413153770433293</v>
      </c>
      <c r="AS94" s="100">
        <v>7086.8009817372831</v>
      </c>
      <c r="AT94" s="100">
        <v>6.04949231370201</v>
      </c>
      <c r="AU94" s="100">
        <v>7215.8344317837573</v>
      </c>
      <c r="AV94" s="100">
        <v>6</v>
      </c>
      <c r="AW94" s="100">
        <v>7156.7999999999993</v>
      </c>
      <c r="AX94" s="100">
        <v>3.0017593717009987</v>
      </c>
      <c r="AY94" s="100">
        <v>3580.498578564951</v>
      </c>
      <c r="AZ94" s="100">
        <v>4.7990606285399187</v>
      </c>
      <c r="BA94" s="100">
        <v>5724.3195177224152</v>
      </c>
      <c r="BB94" s="100">
        <v>3.9313913281598518</v>
      </c>
      <c r="BC94" s="100">
        <v>4689.3635762290714</v>
      </c>
      <c r="BD94" s="100">
        <v>5.2771216597975759</v>
      </c>
      <c r="BE94" s="100">
        <v>6294.5507158065484</v>
      </c>
      <c r="BF94" s="100">
        <v>0.45492704664657874</v>
      </c>
      <c r="BG94" s="100">
        <v>542.63698124003906</v>
      </c>
      <c r="BH94" s="100">
        <v>7.1555267571123329</v>
      </c>
      <c r="BI94" s="100">
        <v>8535.1123158835908</v>
      </c>
      <c r="BJ94" s="100">
        <v>6.077652856841385</v>
      </c>
      <c r="BK94" s="100">
        <v>7249.424327640404</v>
      </c>
      <c r="BL94" s="100">
        <v>5.5442109488984626</v>
      </c>
      <c r="BM94" s="100">
        <v>6613.1348198460855</v>
      </c>
      <c r="BN94" s="100">
        <v>0.44240155780721868</v>
      </c>
      <c r="BO94" s="100">
        <v>527.69657815245046</v>
      </c>
      <c r="BP94" s="100">
        <v>6.1976147084656041</v>
      </c>
      <c r="BQ94" s="100">
        <v>7392.5148242577725</v>
      </c>
      <c r="BR94" s="100">
        <v>2.7864588564486525</v>
      </c>
      <c r="BS94" s="100">
        <v>3323.6881239719528</v>
      </c>
      <c r="BT94" s="100">
        <v>9.6103903399633115</v>
      </c>
      <c r="BU94" s="100">
        <v>11463.273597508238</v>
      </c>
      <c r="BV94" s="100">
        <v>5.9018105056870649</v>
      </c>
      <c r="BW94" s="100">
        <v>7039.6795711835312</v>
      </c>
      <c r="BX94" s="100">
        <v>4.5907999991899349</v>
      </c>
      <c r="BY94" s="100">
        <v>5475.906239033754</v>
      </c>
      <c r="BZ94" s="100">
        <v>5.1891048175034288E-4</v>
      </c>
      <c r="CA94" s="100">
        <v>0.61895642263180894</v>
      </c>
      <c r="CB94" s="100">
        <v>4.9558459184937815</v>
      </c>
      <c r="CC94" s="100">
        <v>5911.3330115793824</v>
      </c>
      <c r="CD94" s="100">
        <v>0.46628836644458899</v>
      </c>
      <c r="CE94" s="100">
        <v>556.18876349510572</v>
      </c>
      <c r="CF94" s="100">
        <v>4.1369175187767393</v>
      </c>
      <c r="CG94" s="100">
        <v>4934.5152163968942</v>
      </c>
      <c r="CH94" s="100">
        <v>5</v>
      </c>
      <c r="CI94" s="100">
        <v>5964</v>
      </c>
      <c r="CJ94" s="100">
        <v>4.4192956640967518</v>
      </c>
      <c r="CK94" s="100">
        <v>5271.3358681346053</v>
      </c>
      <c r="CL94" s="100">
        <v>0.57268509444564342</v>
      </c>
      <c r="CM94" s="100">
        <v>683.09878065476346</v>
      </c>
      <c r="CN94" s="100">
        <v>8.2164009336743096</v>
      </c>
      <c r="CO94" s="100">
        <v>9800.5230336867153</v>
      </c>
      <c r="CP94" s="100">
        <v>6.1466727684935574</v>
      </c>
      <c r="CQ94" s="100">
        <v>7331.7512782591148</v>
      </c>
      <c r="CR94" s="100">
        <v>5.6523389940307123</v>
      </c>
      <c r="CS94" s="100">
        <v>6742.1099520798334</v>
      </c>
      <c r="CT94" s="100">
        <v>4.0319556196332913</v>
      </c>
      <c r="CU94" s="100">
        <v>4809.3166630985897</v>
      </c>
    </row>
    <row r="95" spans="2:99">
      <c r="B95" s="99" t="s">
        <v>132</v>
      </c>
      <c r="C95" s="99" t="s">
        <v>261</v>
      </c>
      <c r="D95" s="100">
        <v>3.5316428609325192</v>
      </c>
      <c r="E95" s="100">
        <v>1161.2041726746124</v>
      </c>
      <c r="F95" s="100">
        <v>9.0068866377311654</v>
      </c>
      <c r="G95" s="100">
        <v>2961.4643264860074</v>
      </c>
      <c r="H95" s="100">
        <v>8.3408371700199684</v>
      </c>
      <c r="I95" s="100">
        <v>2742.4672615025656</v>
      </c>
      <c r="J95" s="100">
        <v>7.8953646151654802</v>
      </c>
      <c r="K95" s="100">
        <v>2595.9958854664101</v>
      </c>
      <c r="L95" s="100">
        <v>6.2478384867382095</v>
      </c>
      <c r="M95" s="100">
        <v>2054.2892944395235</v>
      </c>
      <c r="N95" s="100">
        <v>6.1714877089778852</v>
      </c>
      <c r="O95" s="100">
        <v>2029.1851587119288</v>
      </c>
      <c r="P95" s="100">
        <v>7.5725020677498849</v>
      </c>
      <c r="Q95" s="100">
        <v>2489.8386798761621</v>
      </c>
      <c r="R95" s="100">
        <v>6.2708762545605516</v>
      </c>
      <c r="S95" s="100">
        <v>2061.8641124995092</v>
      </c>
      <c r="T95" s="100">
        <v>8.8738642263150265</v>
      </c>
      <c r="U95" s="100">
        <v>2917.7265576123809</v>
      </c>
      <c r="V95" s="100">
        <v>8.7229213666405556</v>
      </c>
      <c r="W95" s="100">
        <v>2868.096545351415</v>
      </c>
      <c r="X95" s="100">
        <v>6.6657548280696881</v>
      </c>
      <c r="Y95" s="100">
        <v>2191.7001874693137</v>
      </c>
      <c r="Z95" s="100">
        <v>5.1972598471838287</v>
      </c>
      <c r="AA95" s="100">
        <v>1708.8590377540429</v>
      </c>
      <c r="AB95" s="100">
        <v>3.2597322092674075</v>
      </c>
      <c r="AC95" s="100">
        <v>1071.7999504071236</v>
      </c>
      <c r="AD95" s="100">
        <v>5.1637114023130071</v>
      </c>
      <c r="AE95" s="100">
        <v>1697.8283090805169</v>
      </c>
      <c r="AF95" s="100">
        <v>7.0925990242831682</v>
      </c>
      <c r="AG95" s="100">
        <v>2332.0465591843058</v>
      </c>
      <c r="AH95" s="100">
        <v>7.3851991954942857</v>
      </c>
      <c r="AI95" s="100">
        <v>2428.253495478521</v>
      </c>
      <c r="AJ95" s="100">
        <v>7.2161687224057998</v>
      </c>
      <c r="AK95" s="100">
        <v>2372.6762759270268</v>
      </c>
      <c r="AL95" s="100">
        <v>5.6805127024152845E-4</v>
      </c>
      <c r="AM95" s="100">
        <v>0.18677525765541456</v>
      </c>
      <c r="AN95" s="100">
        <v>5.8599103946803197</v>
      </c>
      <c r="AO95" s="100">
        <v>1926.7385377708893</v>
      </c>
      <c r="AP95" s="100">
        <v>0.63112574476791483</v>
      </c>
      <c r="AQ95" s="100">
        <v>207.51414487969041</v>
      </c>
      <c r="AR95" s="100">
        <v>6.7456915752191708</v>
      </c>
      <c r="AS95" s="100">
        <v>2217.9833899320633</v>
      </c>
      <c r="AT95" s="100">
        <v>10.749153856170018</v>
      </c>
      <c r="AU95" s="100">
        <v>3534.3217879087019</v>
      </c>
      <c r="AV95" s="100">
        <v>12</v>
      </c>
      <c r="AW95" s="100">
        <v>3945.6000000000004</v>
      </c>
      <c r="AX95" s="100">
        <v>10.139353940178905</v>
      </c>
      <c r="AY95" s="100">
        <v>3333.8195755308243</v>
      </c>
      <c r="AZ95" s="100">
        <v>7.7352628159206933</v>
      </c>
      <c r="BA95" s="100">
        <v>2543.3544138747238</v>
      </c>
      <c r="BB95" s="100">
        <v>8.9796970842006694</v>
      </c>
      <c r="BC95" s="100">
        <v>2952.5244012851804</v>
      </c>
      <c r="BD95" s="100">
        <v>8.0814302822260728</v>
      </c>
      <c r="BE95" s="100">
        <v>2657.1742767959327</v>
      </c>
      <c r="BF95" s="100">
        <v>0.62393823503716839</v>
      </c>
      <c r="BG95" s="100">
        <v>205.15089168022098</v>
      </c>
      <c r="BH95" s="100">
        <v>9.248842811379733</v>
      </c>
      <c r="BI95" s="100">
        <v>3041.0195163816561</v>
      </c>
      <c r="BJ95" s="100">
        <v>10.418833468870947</v>
      </c>
      <c r="BK95" s="100">
        <v>3425.7124445647673</v>
      </c>
      <c r="BL95" s="100">
        <v>6.2372373175107709</v>
      </c>
      <c r="BM95" s="100">
        <v>2050.8036299975415</v>
      </c>
      <c r="BN95" s="100">
        <v>0.57030321707881904</v>
      </c>
      <c r="BO95" s="100">
        <v>187.51569777551572</v>
      </c>
      <c r="BP95" s="100">
        <v>7.2964220626984062</v>
      </c>
      <c r="BQ95" s="100">
        <v>2399.0635742152363</v>
      </c>
      <c r="BR95" s="100">
        <v>3.5785736078925861</v>
      </c>
      <c r="BS95" s="100">
        <v>1176.6350022750823</v>
      </c>
      <c r="BT95" s="100">
        <v>11.525975849908278</v>
      </c>
      <c r="BU95" s="100">
        <v>3789.740859449842</v>
      </c>
      <c r="BV95" s="100">
        <v>8.4182345654220363</v>
      </c>
      <c r="BW95" s="100">
        <v>2767.9155251107654</v>
      </c>
      <c r="BX95" s="100">
        <v>8.2016676405788225</v>
      </c>
      <c r="BY95" s="100">
        <v>2696.7083202223171</v>
      </c>
      <c r="BZ95" s="100">
        <v>5.2744254986557206E-4</v>
      </c>
      <c r="CA95" s="100">
        <v>0.17342311039580011</v>
      </c>
      <c r="CB95" s="100">
        <v>6.8142458558884726</v>
      </c>
      <c r="CC95" s="100">
        <v>2240.5240374161299</v>
      </c>
      <c r="CD95" s="100">
        <v>0.54596885762126468</v>
      </c>
      <c r="CE95" s="100">
        <v>179.51456038587185</v>
      </c>
      <c r="CF95" s="100">
        <v>8.3286020450641747</v>
      </c>
      <c r="CG95" s="100">
        <v>2738.4443524171006</v>
      </c>
      <c r="CH95" s="100">
        <v>13</v>
      </c>
      <c r="CI95" s="100">
        <v>4274.4000000000005</v>
      </c>
      <c r="CJ95" s="100">
        <v>8.2670453877725745</v>
      </c>
      <c r="CK95" s="100">
        <v>2718.2045234996226</v>
      </c>
      <c r="CL95" s="100">
        <v>0.42951382083423256</v>
      </c>
      <c r="CM95" s="100">
        <v>141.22414429029567</v>
      </c>
      <c r="CN95" s="100">
        <v>12.24731535277064</v>
      </c>
      <c r="CO95" s="100">
        <v>4026.9172879909866</v>
      </c>
      <c r="CP95" s="100">
        <v>8.4516750566786421</v>
      </c>
      <c r="CQ95" s="100">
        <v>2778.9107586359378</v>
      </c>
      <c r="CR95" s="100">
        <v>6.8654852920755429</v>
      </c>
      <c r="CS95" s="100">
        <v>2257.3715640344385</v>
      </c>
      <c r="CT95" s="100">
        <v>7.1454828281270961</v>
      </c>
      <c r="CU95" s="100">
        <v>2349.4347538881893</v>
      </c>
    </row>
    <row r="96" spans="2:99">
      <c r="C96" s="99" t="s">
        <v>262</v>
      </c>
      <c r="D96" s="100">
        <v>3.1560618849039801</v>
      </c>
      <c r="E96" s="100">
        <v>2192.8317976312851</v>
      </c>
      <c r="F96" s="100">
        <v>9.1451405087645448</v>
      </c>
      <c r="G96" s="100">
        <v>6354.0436254896049</v>
      </c>
      <c r="H96" s="100">
        <v>8.3408371700199684</v>
      </c>
      <c r="I96" s="100">
        <v>5795.2136657298734</v>
      </c>
      <c r="J96" s="100">
        <v>7.0884247545747989</v>
      </c>
      <c r="K96" s="100">
        <v>4925.0375194785702</v>
      </c>
      <c r="L96" s="100">
        <v>6.2478384867382095</v>
      </c>
      <c r="M96" s="100">
        <v>4340.9981805857078</v>
      </c>
      <c r="N96" s="100">
        <v>6.9688327381674782</v>
      </c>
      <c r="O96" s="100">
        <v>4841.9449864787639</v>
      </c>
      <c r="P96" s="100">
        <v>7.5725020677498849</v>
      </c>
      <c r="Q96" s="100">
        <v>5261.3744366726196</v>
      </c>
      <c r="R96" s="100">
        <v>6.1384474483378746</v>
      </c>
      <c r="S96" s="100">
        <v>4264.9932871051551</v>
      </c>
      <c r="T96" s="100">
        <v>8.8738642263150265</v>
      </c>
      <c r="U96" s="100">
        <v>6165.5608644436797</v>
      </c>
      <c r="V96" s="100">
        <v>7.2691011388671294</v>
      </c>
      <c r="W96" s="100">
        <v>5050.5714712848812</v>
      </c>
      <c r="X96" s="100">
        <v>6.1131185142148246</v>
      </c>
      <c r="Y96" s="100">
        <v>4247.3947436764602</v>
      </c>
      <c r="Z96" s="100">
        <v>5.0787059224614062</v>
      </c>
      <c r="AA96" s="100">
        <v>3528.6848749261849</v>
      </c>
      <c r="AB96" s="100">
        <v>2.7468388968402109</v>
      </c>
      <c r="AC96" s="100">
        <v>1908.5036655245783</v>
      </c>
      <c r="AD96" s="100">
        <v>4.6782725664187019</v>
      </c>
      <c r="AE96" s="100">
        <v>3250.4637791477139</v>
      </c>
      <c r="AF96" s="100">
        <v>6.4943378532105438</v>
      </c>
      <c r="AG96" s="100">
        <v>4512.2659404106853</v>
      </c>
      <c r="AH96" s="100">
        <v>7.291802913040855</v>
      </c>
      <c r="AI96" s="100">
        <v>5066.3446639807853</v>
      </c>
      <c r="AJ96" s="100">
        <v>7.1080001753857607</v>
      </c>
      <c r="AK96" s="100">
        <v>4938.6385218580263</v>
      </c>
      <c r="AL96" s="100">
        <v>5.6805127024152845E-4</v>
      </c>
      <c r="AM96" s="100">
        <v>0.39468202256381396</v>
      </c>
      <c r="AN96" s="100">
        <v>5.8599092755820879</v>
      </c>
      <c r="AO96" s="100">
        <v>4071.4649646744342</v>
      </c>
      <c r="AP96" s="100">
        <v>0.5750162846768021</v>
      </c>
      <c r="AQ96" s="100">
        <v>399.52131459344207</v>
      </c>
      <c r="AR96" s="100">
        <v>7.4454170171088281</v>
      </c>
      <c r="AS96" s="100">
        <v>5173.075743487213</v>
      </c>
      <c r="AT96" s="100">
        <v>9.92406924178702</v>
      </c>
      <c r="AU96" s="100">
        <v>6895.2433091936209</v>
      </c>
      <c r="AV96" s="100">
        <v>11</v>
      </c>
      <c r="AW96" s="100">
        <v>7642.7999999999993</v>
      </c>
      <c r="AX96" s="100">
        <v>9.41511437302327</v>
      </c>
      <c r="AY96" s="100">
        <v>6541.6214663765677</v>
      </c>
      <c r="AZ96" s="100">
        <v>7.0303606920178909</v>
      </c>
      <c r="BA96" s="100">
        <v>4884.6946088140303</v>
      </c>
      <c r="BB96" s="100">
        <v>8.4906613639976136</v>
      </c>
      <c r="BC96" s="100">
        <v>5899.3115157055418</v>
      </c>
      <c r="BD96" s="100">
        <v>7.3036107025541321</v>
      </c>
      <c r="BE96" s="100">
        <v>5074.5487161346109</v>
      </c>
      <c r="BF96" s="100">
        <v>0.51104144921861705</v>
      </c>
      <c r="BG96" s="100">
        <v>355.07159891709512</v>
      </c>
      <c r="BH96" s="100">
        <v>8.248842811379733</v>
      </c>
      <c r="BI96" s="100">
        <v>5731.2959853466382</v>
      </c>
      <c r="BJ96" s="100">
        <v>11.287069591276857</v>
      </c>
      <c r="BK96" s="100">
        <v>7842.2559520191598</v>
      </c>
      <c r="BL96" s="100">
        <v>6.2372373175107709</v>
      </c>
      <c r="BM96" s="100">
        <v>4333.6324882064837</v>
      </c>
      <c r="BN96" s="100">
        <v>0.57030321707881904</v>
      </c>
      <c r="BO96" s="100">
        <v>396.24667522636344</v>
      </c>
      <c r="BP96" s="100">
        <v>7.2634862779541391</v>
      </c>
      <c r="BQ96" s="100">
        <v>5046.6702659225357</v>
      </c>
      <c r="BR96" s="100">
        <v>3.5504591551028164</v>
      </c>
      <c r="BS96" s="100">
        <v>2466.8590209654367</v>
      </c>
      <c r="BT96" s="100">
        <v>10.37337826491745</v>
      </c>
      <c r="BU96" s="100">
        <v>7207.4232184646444</v>
      </c>
      <c r="BV96" s="100">
        <v>8.4182345654220363</v>
      </c>
      <c r="BW96" s="100">
        <v>5848.9893760552304</v>
      </c>
      <c r="BX96" s="100">
        <v>7.0241224096034163</v>
      </c>
      <c r="BY96" s="100">
        <v>4880.3602501924533</v>
      </c>
      <c r="BZ96" s="100">
        <v>4.5575021479130285E-4</v>
      </c>
      <c r="CA96" s="100">
        <v>0.31665524923699717</v>
      </c>
      <c r="CB96" s="100">
        <v>6.8142700587601457</v>
      </c>
      <c r="CC96" s="100">
        <v>4734.554836826549</v>
      </c>
      <c r="CD96" s="100">
        <v>0.54439624687253596</v>
      </c>
      <c r="CE96" s="100">
        <v>378.24651232703798</v>
      </c>
      <c r="CF96" s="100">
        <v>9.3286020450641747</v>
      </c>
      <c r="CG96" s="100">
        <v>6481.5127009105881</v>
      </c>
      <c r="CH96" s="100">
        <v>11</v>
      </c>
      <c r="CI96" s="100">
        <v>7642.7999999999993</v>
      </c>
      <c r="CJ96" s="100">
        <v>7.5534420077357058</v>
      </c>
      <c r="CK96" s="100">
        <v>5248.1315069747679</v>
      </c>
      <c r="CL96" s="100">
        <v>0.42951382083423256</v>
      </c>
      <c r="CM96" s="100">
        <v>298.42620271562475</v>
      </c>
      <c r="CN96" s="100">
        <v>12.24731535277064</v>
      </c>
      <c r="CO96" s="100">
        <v>8509.4347071050397</v>
      </c>
      <c r="CP96" s="100">
        <v>6.9150068645552514</v>
      </c>
      <c r="CQ96" s="100">
        <v>4804.5467694929885</v>
      </c>
      <c r="CR96" s="100">
        <v>6.8654852920755429</v>
      </c>
      <c r="CS96" s="100">
        <v>4770.1391809340867</v>
      </c>
      <c r="CT96" s="100">
        <v>6.5594449641825658</v>
      </c>
      <c r="CU96" s="100">
        <v>4557.5023611140468</v>
      </c>
    </row>
    <row r="97" spans="2:99">
      <c r="C97" s="99" t="s">
        <v>263</v>
      </c>
      <c r="D97" s="100">
        <v>3.5316428609325192</v>
      </c>
      <c r="E97" s="100">
        <v>1385.8166586299205</v>
      </c>
      <c r="F97" s="100">
        <v>9.0068866377311654</v>
      </c>
      <c r="G97" s="100">
        <v>3534.3023166457092</v>
      </c>
      <c r="H97" s="100">
        <v>8.4523193896221702</v>
      </c>
      <c r="I97" s="100">
        <v>3316.6901284877395</v>
      </c>
      <c r="J97" s="100">
        <v>7.1939090662163583</v>
      </c>
      <c r="K97" s="100">
        <v>2822.8899175832989</v>
      </c>
      <c r="L97" s="100">
        <v>5.7201500819726308</v>
      </c>
      <c r="M97" s="100">
        <v>2244.5868921660604</v>
      </c>
      <c r="N97" s="100">
        <v>6.3088480974190899</v>
      </c>
      <c r="O97" s="100">
        <v>2475.5919934272506</v>
      </c>
      <c r="P97" s="100">
        <v>7.5725020677498849</v>
      </c>
      <c r="Q97" s="100">
        <v>2971.4498113850545</v>
      </c>
      <c r="R97" s="100">
        <v>5.4502486405607087</v>
      </c>
      <c r="S97" s="100">
        <v>2138.6775665560222</v>
      </c>
      <c r="T97" s="100">
        <v>8.8738642263150265</v>
      </c>
      <c r="U97" s="100">
        <v>3482.1043224060163</v>
      </c>
      <c r="V97" s="100">
        <v>7.9976489401983804</v>
      </c>
      <c r="W97" s="100">
        <v>3138.2774441338443</v>
      </c>
      <c r="X97" s="100">
        <v>6.1173438113599747</v>
      </c>
      <c r="Y97" s="100">
        <v>2400.445711577654</v>
      </c>
      <c r="Z97" s="100">
        <v>5.7457604363324499</v>
      </c>
      <c r="AA97" s="100">
        <v>2254.6363952168531</v>
      </c>
      <c r="AB97" s="100">
        <v>2.7354406259211967</v>
      </c>
      <c r="AC97" s="100">
        <v>1073.3869016114775</v>
      </c>
      <c r="AD97" s="100">
        <v>5.7686422828848309</v>
      </c>
      <c r="AE97" s="100">
        <v>2263.6152318040076</v>
      </c>
      <c r="AF97" s="100">
        <v>6.9712037792462125</v>
      </c>
      <c r="AG97" s="100">
        <v>2735.5003629762136</v>
      </c>
      <c r="AH97" s="100">
        <v>7.9150192028698312</v>
      </c>
      <c r="AI97" s="100">
        <v>3105.8535352061217</v>
      </c>
      <c r="AJ97" s="100">
        <v>7.2161687224057998</v>
      </c>
      <c r="AK97" s="100">
        <v>2831.6246066720355</v>
      </c>
      <c r="AL97" s="100">
        <v>5.6805127024152845E-4</v>
      </c>
      <c r="AM97" s="100">
        <v>0.22290331844277575</v>
      </c>
      <c r="AN97" s="100">
        <v>5.8599103946803197</v>
      </c>
      <c r="AO97" s="100">
        <v>2299.4288388725572</v>
      </c>
      <c r="AP97" s="100">
        <v>0.5750162846768021</v>
      </c>
      <c r="AQ97" s="100">
        <v>225.63639010717714</v>
      </c>
      <c r="AR97" s="100">
        <v>6.7197076695158344</v>
      </c>
      <c r="AS97" s="100">
        <v>2636.8132895180133</v>
      </c>
      <c r="AT97" s="100">
        <v>9.7491538561700182</v>
      </c>
      <c r="AU97" s="100">
        <v>3825.5679731611149</v>
      </c>
      <c r="AV97" s="100">
        <v>10</v>
      </c>
      <c r="AW97" s="100">
        <v>3924</v>
      </c>
      <c r="AX97" s="100">
        <v>8.6908748058676331</v>
      </c>
      <c r="AY97" s="100">
        <v>3410.2992738224589</v>
      </c>
      <c r="AZ97" s="100">
        <v>7.7352628159206933</v>
      </c>
      <c r="BA97" s="100">
        <v>3035.31712896728</v>
      </c>
      <c r="BB97" s="100">
        <v>8.0016256437945597</v>
      </c>
      <c r="BC97" s="100">
        <v>3139.837902624985</v>
      </c>
      <c r="BD97" s="100">
        <v>7.3036107025541321</v>
      </c>
      <c r="BE97" s="100">
        <v>2865.9368396822415</v>
      </c>
      <c r="BF97" s="100">
        <v>0.56715585179065531</v>
      </c>
      <c r="BG97" s="100">
        <v>222.55195624265312</v>
      </c>
      <c r="BH97" s="100">
        <v>8.3110535142246658</v>
      </c>
      <c r="BI97" s="100">
        <v>3261.2573989817588</v>
      </c>
      <c r="BJ97" s="100">
        <v>10.418833468870947</v>
      </c>
      <c r="BK97" s="100">
        <v>4088.3502531849595</v>
      </c>
      <c r="BL97" s="100">
        <v>7.2828851441412841</v>
      </c>
      <c r="BM97" s="100">
        <v>2857.8041305610395</v>
      </c>
      <c r="BN97" s="100">
        <v>0.50785360162684245</v>
      </c>
      <c r="BO97" s="100">
        <v>199.28175327837297</v>
      </c>
      <c r="BP97" s="100">
        <v>8.2964220626984062</v>
      </c>
      <c r="BQ97" s="100">
        <v>3255.5160174028542</v>
      </c>
      <c r="BR97" s="100">
        <v>3.5785736078925861</v>
      </c>
      <c r="BS97" s="100">
        <v>1404.2322837370507</v>
      </c>
      <c r="BT97" s="100">
        <v>10.37337826491745</v>
      </c>
      <c r="BU97" s="100">
        <v>4070.5136311536071</v>
      </c>
      <c r="BV97" s="100">
        <v>8.4182345654220363</v>
      </c>
      <c r="BW97" s="100">
        <v>3303.3152434716067</v>
      </c>
      <c r="BX97" s="100">
        <v>8.2798995890414897</v>
      </c>
      <c r="BY97" s="100">
        <v>3249.0325987398805</v>
      </c>
      <c r="BZ97" s="100">
        <v>5.2744254986557206E-4</v>
      </c>
      <c r="CA97" s="100">
        <v>0.20696845656725046</v>
      </c>
      <c r="CB97" s="100">
        <v>7.4337073500509057</v>
      </c>
      <c r="CC97" s="100">
        <v>2916.9867641599753</v>
      </c>
      <c r="CD97" s="100">
        <v>0.54518255224690038</v>
      </c>
      <c r="CE97" s="100">
        <v>213.9296335016837</v>
      </c>
      <c r="CF97" s="100">
        <v>9.3012185413088275</v>
      </c>
      <c r="CG97" s="100">
        <v>3649.7981556095838</v>
      </c>
      <c r="CH97" s="100">
        <v>11</v>
      </c>
      <c r="CI97" s="100">
        <v>4316.3999999999996</v>
      </c>
      <c r="CJ97" s="100">
        <v>7.5314731547163882</v>
      </c>
      <c r="CK97" s="100">
        <v>2955.3500659107108</v>
      </c>
      <c r="CL97" s="100">
        <v>0.500701525905631</v>
      </c>
      <c r="CM97" s="100">
        <v>196.47527876536958</v>
      </c>
      <c r="CN97" s="100">
        <v>13.24731535277064</v>
      </c>
      <c r="CO97" s="100">
        <v>5198.2465444271984</v>
      </c>
      <c r="CP97" s="100">
        <v>8.4516750566786421</v>
      </c>
      <c r="CQ97" s="100">
        <v>3316.4372922406988</v>
      </c>
      <c r="CR97" s="100">
        <v>6.8654852920755429</v>
      </c>
      <c r="CS97" s="100">
        <v>2694.0164286104427</v>
      </c>
      <c r="CT97" s="100">
        <v>7.140892131004037</v>
      </c>
      <c r="CU97" s="100">
        <v>2802.0860722059838</v>
      </c>
    </row>
    <row r="98" spans="2:99">
      <c r="C98" s="99" t="s">
        <v>264</v>
      </c>
      <c r="D98" s="100">
        <v>3.5148190746352226</v>
      </c>
      <c r="E98" s="100">
        <v>1847.3889056282731</v>
      </c>
      <c r="F98" s="100">
        <v>9.1451405087645448</v>
      </c>
      <c r="G98" s="100">
        <v>4806.6858514066453</v>
      </c>
      <c r="H98" s="100">
        <v>8.3408371700199684</v>
      </c>
      <c r="I98" s="100">
        <v>4383.9440165624956</v>
      </c>
      <c r="J98" s="100">
        <v>7.8953646151654802</v>
      </c>
      <c r="K98" s="100">
        <v>4149.8036417309768</v>
      </c>
      <c r="L98" s="100">
        <v>5.7201500819726308</v>
      </c>
      <c r="M98" s="100">
        <v>3006.5108830848149</v>
      </c>
      <c r="N98" s="100">
        <v>6.3088480974190899</v>
      </c>
      <c r="O98" s="100">
        <v>3315.9305600034736</v>
      </c>
      <c r="P98" s="100">
        <v>8.2061574094736205</v>
      </c>
      <c r="Q98" s="100">
        <v>4313.1563344193355</v>
      </c>
      <c r="R98" s="100">
        <v>6.2708762545605516</v>
      </c>
      <c r="S98" s="100">
        <v>3295.9725593970261</v>
      </c>
      <c r="T98" s="100">
        <v>7.9820639420707122</v>
      </c>
      <c r="U98" s="100">
        <v>4195.3728079523662</v>
      </c>
      <c r="V98" s="100">
        <v>8.7229213666405556</v>
      </c>
      <c r="W98" s="100">
        <v>4584.7674703062767</v>
      </c>
      <c r="X98" s="100">
        <v>6.6657548280696881</v>
      </c>
      <c r="Y98" s="100">
        <v>3503.5207376334283</v>
      </c>
      <c r="Z98" s="100">
        <v>5.0731429902241993</v>
      </c>
      <c r="AA98" s="100">
        <v>2666.4439556618395</v>
      </c>
      <c r="AB98" s="100">
        <v>3.2597322092674075</v>
      </c>
      <c r="AC98" s="100">
        <v>1713.3152491909495</v>
      </c>
      <c r="AD98" s="100">
        <v>5.7658072675026757</v>
      </c>
      <c r="AE98" s="100">
        <v>3030.5082997994064</v>
      </c>
      <c r="AF98" s="100">
        <v>7.2139942693201249</v>
      </c>
      <c r="AG98" s="100">
        <v>3791.6753879546577</v>
      </c>
      <c r="AH98" s="100">
        <v>7.3851991954942857</v>
      </c>
      <c r="AI98" s="100">
        <v>3881.6606971517967</v>
      </c>
      <c r="AJ98" s="100">
        <v>7.2161687224057998</v>
      </c>
      <c r="AK98" s="100">
        <v>3792.8182804964886</v>
      </c>
      <c r="AL98" s="100">
        <v>6.4920145170460403E-4</v>
      </c>
      <c r="AM98" s="100">
        <v>0.34122028301593987</v>
      </c>
      <c r="AN98" s="100">
        <v>5.8599092755820879</v>
      </c>
      <c r="AO98" s="100">
        <v>3079.9683152459456</v>
      </c>
      <c r="AP98" s="100">
        <v>0.57380570347978699</v>
      </c>
      <c r="AQ98" s="100">
        <v>301.59227774897607</v>
      </c>
      <c r="AR98" s="100">
        <v>6.7716754809225064</v>
      </c>
      <c r="AS98" s="100">
        <v>3559.1926327728697</v>
      </c>
      <c r="AT98" s="100">
        <v>10.749153856170018</v>
      </c>
      <c r="AU98" s="100">
        <v>5649.7552668029621</v>
      </c>
      <c r="AV98" s="100">
        <v>11</v>
      </c>
      <c r="AW98" s="100">
        <v>5781.6</v>
      </c>
      <c r="AX98" s="100">
        <v>9.41511437302327</v>
      </c>
      <c r="AY98" s="100">
        <v>4948.5841144610313</v>
      </c>
      <c r="AZ98" s="100">
        <v>7.0303606920178909</v>
      </c>
      <c r="BA98" s="100">
        <v>3695.1575797246037</v>
      </c>
      <c r="BB98" s="100">
        <v>8.3936978639358912</v>
      </c>
      <c r="BC98" s="100">
        <v>4411.7275972847046</v>
      </c>
      <c r="BD98" s="100">
        <v>7.442965000907388</v>
      </c>
      <c r="BE98" s="100">
        <v>3912.0224044769234</v>
      </c>
      <c r="BF98" s="100">
        <v>0.51170942989309176</v>
      </c>
      <c r="BG98" s="100">
        <v>268.95447635180903</v>
      </c>
      <c r="BH98" s="100">
        <v>8.3110535142246658</v>
      </c>
      <c r="BI98" s="100">
        <v>4368.2897270764843</v>
      </c>
      <c r="BJ98" s="100">
        <v>10.418833468870947</v>
      </c>
      <c r="BK98" s="100">
        <v>5476.1388712385697</v>
      </c>
      <c r="BL98" s="100">
        <v>6.2372373175107709</v>
      </c>
      <c r="BM98" s="100">
        <v>3278.2919340836615</v>
      </c>
      <c r="BN98" s="100">
        <v>0.56955260998690715</v>
      </c>
      <c r="BO98" s="100">
        <v>299.35685180911844</v>
      </c>
      <c r="BP98" s="100">
        <v>8.2964220626984062</v>
      </c>
      <c r="BQ98" s="100">
        <v>4360.5994361542826</v>
      </c>
      <c r="BR98" s="100">
        <v>3.5785736078925861</v>
      </c>
      <c r="BS98" s="100">
        <v>1880.8982883083434</v>
      </c>
      <c r="BT98" s="100">
        <v>10.220780679926623</v>
      </c>
      <c r="BU98" s="100">
        <v>5372.0423253694335</v>
      </c>
      <c r="BV98" s="100">
        <v>9.260058021964241</v>
      </c>
      <c r="BW98" s="100">
        <v>4867.0864963444055</v>
      </c>
      <c r="BX98" s="100">
        <v>7.6128950250911194</v>
      </c>
      <c r="BY98" s="100">
        <v>4001.3376251878926</v>
      </c>
      <c r="BZ98" s="100">
        <v>5.2744254986557206E-4</v>
      </c>
      <c r="CA98" s="100">
        <v>0.27722380420934467</v>
      </c>
      <c r="CB98" s="100">
        <v>6.1947843617260396</v>
      </c>
      <c r="CC98" s="100">
        <v>3255.9786605232066</v>
      </c>
      <c r="CD98" s="100">
        <v>0.62250412730048299</v>
      </c>
      <c r="CE98" s="100">
        <v>327.18816930913385</v>
      </c>
      <c r="CF98" s="100">
        <v>9.2738350375534786</v>
      </c>
      <c r="CG98" s="100">
        <v>4874.3276957381086</v>
      </c>
      <c r="CH98" s="100">
        <v>12</v>
      </c>
      <c r="CI98" s="100">
        <v>6307.2000000000007</v>
      </c>
      <c r="CJ98" s="100">
        <v>7.5314731547163882</v>
      </c>
      <c r="CK98" s="100">
        <v>3958.542290118934</v>
      </c>
      <c r="CL98" s="100">
        <v>0.500701525905631</v>
      </c>
      <c r="CM98" s="100">
        <v>263.16872201599966</v>
      </c>
      <c r="CN98" s="100">
        <v>12.27822977186697</v>
      </c>
      <c r="CO98" s="100">
        <v>6453.4375680932799</v>
      </c>
      <c r="CP98" s="100">
        <v>8.4516750566786421</v>
      </c>
      <c r="CQ98" s="100">
        <v>4442.2004097902945</v>
      </c>
      <c r="CR98" s="100">
        <v>6.1538832367942238</v>
      </c>
      <c r="CS98" s="100">
        <v>3234.4810292590441</v>
      </c>
      <c r="CT98" s="100">
        <v>6.5640356613056241</v>
      </c>
      <c r="CU98" s="100">
        <v>3450.0571435822362</v>
      </c>
    </row>
    <row r="99" spans="2:99">
      <c r="C99" s="99" t="s">
        <v>265</v>
      </c>
      <c r="D99" s="100">
        <v>2.371252360252309</v>
      </c>
      <c r="E99" s="100">
        <v>9979.1784328858157</v>
      </c>
      <c r="F99" s="100">
        <v>7.0821639799205611</v>
      </c>
      <c r="G99" s="100">
        <v>29804.578893097685</v>
      </c>
      <c r="H99" s="100">
        <v>6.784151955618178</v>
      </c>
      <c r="I99" s="100">
        <v>28550.425090023538</v>
      </c>
      <c r="J99" s="100">
        <v>5.4745450333934382</v>
      </c>
      <c r="K99" s="100">
        <v>23039.075318532945</v>
      </c>
      <c r="L99" s="100">
        <v>4.0139554136989926</v>
      </c>
      <c r="M99" s="100">
        <v>16892.329963010838</v>
      </c>
      <c r="N99" s="100">
        <v>5.0856082534776146</v>
      </c>
      <c r="O99" s="100">
        <v>21402.273773935191</v>
      </c>
      <c r="P99" s="100">
        <v>5.585494141323136</v>
      </c>
      <c r="Q99" s="100">
        <v>23505.993544344285</v>
      </c>
      <c r="R99" s="100">
        <v>4.6565736684301173</v>
      </c>
      <c r="S99" s="100">
        <v>19596.724626221305</v>
      </c>
      <c r="T99" s="100">
        <v>6.0773688495654863</v>
      </c>
      <c r="U99" s="100">
        <v>25575.999066511391</v>
      </c>
      <c r="V99" s="100">
        <v>6.5438287124249541</v>
      </c>
      <c r="W99" s="100">
        <v>27539.048753369174</v>
      </c>
      <c r="X99" s="100">
        <v>4.8420123350912494</v>
      </c>
      <c r="Y99" s="100">
        <v>20377.12471099801</v>
      </c>
      <c r="Z99" s="100">
        <v>3.5982283088108606</v>
      </c>
      <c r="AA99" s="100">
        <v>15142.784014799625</v>
      </c>
      <c r="AB99" s="100">
        <v>2.1883525007369578</v>
      </c>
      <c r="AC99" s="100">
        <v>9209.4626641014129</v>
      </c>
      <c r="AD99" s="100">
        <v>4.0162199795767837</v>
      </c>
      <c r="AE99" s="100">
        <v>16901.860162050936</v>
      </c>
      <c r="AF99" s="100">
        <v>5.5318909470270503</v>
      </c>
      <c r="AG99" s="100">
        <v>23280.409861468637</v>
      </c>
      <c r="AH99" s="100">
        <v>5.0791266010852407</v>
      </c>
      <c r="AI99" s="100">
        <v>21374.996388007126</v>
      </c>
      <c r="AJ99" s="100">
        <v>5.4452389775543057</v>
      </c>
      <c r="AK99" s="100">
        <v>22915.743713139538</v>
      </c>
      <c r="AL99" s="100">
        <v>4.0575090731537748E-4</v>
      </c>
      <c r="AM99" s="100">
        <v>1.7075621183460343</v>
      </c>
      <c r="AN99" s="100">
        <v>4.185675424457755</v>
      </c>
      <c r="AO99" s="100">
        <v>17614.996456288016</v>
      </c>
      <c r="AP99" s="100">
        <v>0.40305616081241841</v>
      </c>
      <c r="AQ99" s="100">
        <v>1696.2215471629816</v>
      </c>
      <c r="AR99" s="100">
        <v>4.5411493597911772</v>
      </c>
      <c r="AS99" s="100">
        <v>19110.97296574519</v>
      </c>
      <c r="AT99" s="100">
        <v>7.5742384705530155</v>
      </c>
      <c r="AU99" s="100">
        <v>31875.425179475307</v>
      </c>
      <c r="AV99" s="100">
        <v>8</v>
      </c>
      <c r="AW99" s="100">
        <v>33667.199999999997</v>
      </c>
      <c r="AX99" s="100">
        <v>5.7939165372450896</v>
      </c>
      <c r="AY99" s="100">
        <v>24383.118355342234</v>
      </c>
      <c r="AZ99" s="100">
        <v>5.4940888350490606</v>
      </c>
      <c r="BA99" s="100">
        <v>23121.323453420464</v>
      </c>
      <c r="BB99" s="100">
        <v>5.3667382625502809</v>
      </c>
      <c r="BC99" s="100">
        <v>22585.381304116599</v>
      </c>
      <c r="BD99" s="100">
        <v>5.2549030200374762</v>
      </c>
      <c r="BE99" s="100">
        <v>22114.733869525713</v>
      </c>
      <c r="BF99" s="100">
        <v>0.39814466340006577</v>
      </c>
      <c r="BG99" s="100">
        <v>1675.5520014528365</v>
      </c>
      <c r="BH99" s="100">
        <v>6.248842811379733</v>
      </c>
      <c r="BI99" s="100">
        <v>26297.630087410467</v>
      </c>
      <c r="BJ99" s="100">
        <v>6.9458889792472966</v>
      </c>
      <c r="BK99" s="100">
        <v>29231.079180264322</v>
      </c>
      <c r="BL99" s="100">
        <v>4.8511845802861551</v>
      </c>
      <c r="BM99" s="100">
        <v>20415.725187676253</v>
      </c>
      <c r="BN99" s="100">
        <v>0.38070254944715387</v>
      </c>
      <c r="BO99" s="100">
        <v>1602.1486090934022</v>
      </c>
      <c r="BP99" s="100">
        <v>5.2305504932098721</v>
      </c>
      <c r="BQ99" s="100">
        <v>22012.248695624425</v>
      </c>
      <c r="BR99" s="100">
        <v>2.4044587071215702</v>
      </c>
      <c r="BS99" s="100">
        <v>10118.924023050415</v>
      </c>
      <c r="BT99" s="100">
        <v>7.0681830949357947</v>
      </c>
      <c r="BU99" s="100">
        <v>29745.741736727796</v>
      </c>
      <c r="BV99" s="100">
        <v>5.8927641957954267</v>
      </c>
      <c r="BW99" s="100">
        <v>24799.108841585472</v>
      </c>
      <c r="BX99" s="100">
        <v>5.1795726146776389</v>
      </c>
      <c r="BY99" s="100">
        <v>21797.713391609374</v>
      </c>
      <c r="BZ99" s="100">
        <v>3.7979184565941899E-4</v>
      </c>
      <c r="CA99" s="100">
        <v>1.5983160032730988</v>
      </c>
      <c r="CB99" s="100">
        <v>4.9558371705295006</v>
      </c>
      <c r="CC99" s="100">
        <v>20856.145148456348</v>
      </c>
      <c r="CD99" s="100">
        <v>0.39053940213973504</v>
      </c>
      <c r="CE99" s="100">
        <v>1643.5460199648608</v>
      </c>
      <c r="CF99" s="100">
        <v>6.2738350375534786</v>
      </c>
      <c r="CG99" s="100">
        <v>26402.807372040057</v>
      </c>
      <c r="CH99" s="100">
        <v>8</v>
      </c>
      <c r="CI99" s="100">
        <v>33667.199999999997</v>
      </c>
      <c r="CJ99" s="100">
        <v>6.0163909825653841</v>
      </c>
      <c r="CK99" s="100">
        <v>25319.37981102816</v>
      </c>
      <c r="CL99" s="100">
        <v>0.28713841069143586</v>
      </c>
      <c r="CM99" s="100">
        <v>1208.3932875538385</v>
      </c>
      <c r="CN99" s="100">
        <v>8.2164009336743096</v>
      </c>
      <c r="CO99" s="100">
        <v>34577.901689274964</v>
      </c>
      <c r="CP99" s="100">
        <v>5.3783386724318634</v>
      </c>
      <c r="CQ99" s="100">
        <v>22634.200469062253</v>
      </c>
      <c r="CR99" s="100">
        <v>4.8977026333900167</v>
      </c>
      <c r="CS99" s="100">
        <v>20611.491762358546</v>
      </c>
      <c r="CT99" s="100">
        <v>5.1902592561531771</v>
      </c>
      <c r="CU99" s="100">
        <v>21842.687053595029</v>
      </c>
    </row>
    <row r="100" spans="2:99">
      <c r="C100" s="99" t="s">
        <v>266</v>
      </c>
      <c r="D100" s="100">
        <v>3.5316428609325192</v>
      </c>
      <c r="E100" s="100">
        <v>1144.2522869421362</v>
      </c>
      <c r="F100" s="100">
        <v>9.1451405087645448</v>
      </c>
      <c r="G100" s="100">
        <v>2963.0255248397125</v>
      </c>
      <c r="H100" s="100">
        <v>9.1749208870219636</v>
      </c>
      <c r="I100" s="100">
        <v>2972.6743673951164</v>
      </c>
      <c r="J100" s="100">
        <v>7.8953646151654802</v>
      </c>
      <c r="K100" s="100">
        <v>2558.0981353136158</v>
      </c>
      <c r="L100" s="100">
        <v>5.7201500819726308</v>
      </c>
      <c r="M100" s="100">
        <v>1853.3286265591323</v>
      </c>
      <c r="N100" s="100">
        <v>6.9688327381674782</v>
      </c>
      <c r="O100" s="100">
        <v>2257.9018071662631</v>
      </c>
      <c r="P100" s="100">
        <v>8.2061574094736205</v>
      </c>
      <c r="Q100" s="100">
        <v>2658.7950006694532</v>
      </c>
      <c r="R100" s="100">
        <v>6.1384474483378746</v>
      </c>
      <c r="S100" s="100">
        <v>1988.8569732614715</v>
      </c>
      <c r="T100" s="100">
        <v>7.8609694180541112</v>
      </c>
      <c r="U100" s="100">
        <v>2546.9540914495319</v>
      </c>
      <c r="V100" s="100">
        <v>8.7229213666405556</v>
      </c>
      <c r="W100" s="100">
        <v>2826.22652279154</v>
      </c>
      <c r="X100" s="100">
        <v>6.6615295309245388</v>
      </c>
      <c r="Y100" s="100">
        <v>2158.3355680195505</v>
      </c>
      <c r="Z100" s="100">
        <v>5.0787059224614062</v>
      </c>
      <c r="AA100" s="100">
        <v>1645.5007188774955</v>
      </c>
      <c r="AB100" s="100">
        <v>3.0089846885133165</v>
      </c>
      <c r="AC100" s="100">
        <v>974.9110390783145</v>
      </c>
      <c r="AD100" s="100">
        <v>5.7374571136811197</v>
      </c>
      <c r="AE100" s="100">
        <v>1858.9361048326828</v>
      </c>
      <c r="AF100" s="100">
        <v>6.9712037792462125</v>
      </c>
      <c r="AG100" s="100">
        <v>2258.6700244757731</v>
      </c>
      <c r="AH100" s="100">
        <v>7.8216229204164014</v>
      </c>
      <c r="AI100" s="100">
        <v>2534.2058262149139</v>
      </c>
      <c r="AJ100" s="100">
        <v>8.0335680961481515</v>
      </c>
      <c r="AK100" s="100">
        <v>2602.8760631520013</v>
      </c>
      <c r="AL100" s="100">
        <v>5.6805127024152845E-4</v>
      </c>
      <c r="AM100" s="100">
        <v>0.18404861155825522</v>
      </c>
      <c r="AN100" s="100">
        <v>5.8599432110400107</v>
      </c>
      <c r="AO100" s="100">
        <v>1898.6216003769634</v>
      </c>
      <c r="AP100" s="100">
        <v>0.57441099407829455</v>
      </c>
      <c r="AQ100" s="100">
        <v>186.10916208136743</v>
      </c>
      <c r="AR100" s="100">
        <v>6.7464067086920068</v>
      </c>
      <c r="AS100" s="100">
        <v>2185.8357736162102</v>
      </c>
      <c r="AT100" s="100">
        <v>10.749153856170018</v>
      </c>
      <c r="AU100" s="100">
        <v>3482.7258493990857</v>
      </c>
      <c r="AV100" s="100">
        <v>10</v>
      </c>
      <c r="AW100" s="100">
        <v>3240</v>
      </c>
      <c r="AX100" s="100">
        <v>9.41511437302327</v>
      </c>
      <c r="AY100" s="100">
        <v>3050.4970568595395</v>
      </c>
      <c r="AZ100" s="100">
        <v>7.1568283011811156</v>
      </c>
      <c r="BA100" s="100">
        <v>2318.8123695826816</v>
      </c>
      <c r="BB100" s="100">
        <v>7.9046621437328364</v>
      </c>
      <c r="BC100" s="100">
        <v>2561.1105345694391</v>
      </c>
      <c r="BD100" s="100">
        <v>7.986513263393018</v>
      </c>
      <c r="BE100" s="100">
        <v>2587.6302973393376</v>
      </c>
      <c r="BF100" s="100">
        <v>0.62327025436269357</v>
      </c>
      <c r="BG100" s="100">
        <v>201.9395624135127</v>
      </c>
      <c r="BH100" s="100">
        <v>9.3110535142246658</v>
      </c>
      <c r="BI100" s="100">
        <v>3016.7813386087919</v>
      </c>
      <c r="BJ100" s="100">
        <v>10.418833468870947</v>
      </c>
      <c r="BK100" s="100">
        <v>3375.7020439141866</v>
      </c>
      <c r="BL100" s="100">
        <v>6.5627340479891147</v>
      </c>
      <c r="BM100" s="100">
        <v>2126.3258315484732</v>
      </c>
      <c r="BN100" s="100">
        <v>0.50710299453493057</v>
      </c>
      <c r="BO100" s="100">
        <v>164.30137022931751</v>
      </c>
      <c r="BP100" s="100">
        <v>8.2964220626984062</v>
      </c>
      <c r="BQ100" s="100">
        <v>2688.0407483142835</v>
      </c>
      <c r="BR100" s="100">
        <v>3.5785736078925861</v>
      </c>
      <c r="BS100" s="100">
        <v>1159.4578489571979</v>
      </c>
      <c r="BT100" s="100">
        <v>11.37337826491745</v>
      </c>
      <c r="BU100" s="100">
        <v>3684.974557833254</v>
      </c>
      <c r="BV100" s="100">
        <v>9.260058021964241</v>
      </c>
      <c r="BW100" s="100">
        <v>3000.2587991164141</v>
      </c>
      <c r="BX100" s="100">
        <v>8.2798995890414897</v>
      </c>
      <c r="BY100" s="100">
        <v>2682.6874668494424</v>
      </c>
      <c r="BZ100" s="100">
        <v>5.2530953283676468E-4</v>
      </c>
      <c r="CA100" s="100">
        <v>0.17020028863911177</v>
      </c>
      <c r="CB100" s="100">
        <v>6.1948085645977127</v>
      </c>
      <c r="CC100" s="100">
        <v>2007.1179749296589</v>
      </c>
      <c r="CD100" s="100">
        <v>0.54439624687253596</v>
      </c>
      <c r="CE100" s="100">
        <v>176.38438398670166</v>
      </c>
      <c r="CF100" s="100">
        <v>9.3286020450641747</v>
      </c>
      <c r="CG100" s="100">
        <v>3022.4670626007928</v>
      </c>
      <c r="CH100" s="100">
        <v>12</v>
      </c>
      <c r="CI100" s="100">
        <v>3888</v>
      </c>
      <c r="CJ100" s="100">
        <v>8.2670453877725745</v>
      </c>
      <c r="CK100" s="100">
        <v>2678.5227056383142</v>
      </c>
      <c r="CL100" s="100">
        <v>0.42951382083423256</v>
      </c>
      <c r="CM100" s="100">
        <v>139.16247795029136</v>
      </c>
      <c r="CN100" s="100">
        <v>11.24731535277064</v>
      </c>
      <c r="CO100" s="100">
        <v>3644.1301742976871</v>
      </c>
      <c r="CP100" s="100">
        <v>7.6833409606169463</v>
      </c>
      <c r="CQ100" s="100">
        <v>2489.4024712398905</v>
      </c>
      <c r="CR100" s="100">
        <v>6.1538832367942238</v>
      </c>
      <c r="CS100" s="100">
        <v>1993.8581687213284</v>
      </c>
      <c r="CT100" s="100">
        <v>7.6283750048784036</v>
      </c>
      <c r="CU100" s="100">
        <v>2471.5935015806026</v>
      </c>
    </row>
    <row r="101" spans="2:99">
      <c r="C101" s="99" t="s">
        <v>267</v>
      </c>
      <c r="D101" s="100">
        <v>3.5316428609325192</v>
      </c>
      <c r="E101" s="100">
        <v>2555.496774170771</v>
      </c>
      <c r="F101" s="100">
        <v>9.0068866377311654</v>
      </c>
      <c r="G101" s="100">
        <v>6517.3831710622717</v>
      </c>
      <c r="H101" s="100">
        <v>7.618235672620175</v>
      </c>
      <c r="I101" s="100">
        <v>5512.5553327079588</v>
      </c>
      <c r="J101" s="100">
        <v>7.8953646151654802</v>
      </c>
      <c r="K101" s="100">
        <v>5713.0858355337414</v>
      </c>
      <c r="L101" s="100">
        <v>6.2478384867382095</v>
      </c>
      <c r="M101" s="100">
        <v>4520.9359290037683</v>
      </c>
      <c r="N101" s="100">
        <v>6.9550190887392134</v>
      </c>
      <c r="O101" s="100">
        <v>5032.6518126116953</v>
      </c>
      <c r="P101" s="100">
        <v>8.2061574094736205</v>
      </c>
      <c r="Q101" s="100">
        <v>5937.9755014951115</v>
      </c>
      <c r="R101" s="100">
        <v>6.1384474483378746</v>
      </c>
      <c r="S101" s="100">
        <v>4441.7805736172859</v>
      </c>
      <c r="T101" s="100">
        <v>7.9820639420707122</v>
      </c>
      <c r="U101" s="100">
        <v>5775.8214684823679</v>
      </c>
      <c r="V101" s="100">
        <v>7.2723765137562051</v>
      </c>
      <c r="W101" s="100">
        <v>5262.2916453539901</v>
      </c>
      <c r="X101" s="100">
        <v>6.6657548280696881</v>
      </c>
      <c r="Y101" s="100">
        <v>4823.3401935912261</v>
      </c>
      <c r="Z101" s="100">
        <v>5.0675800579869916</v>
      </c>
      <c r="AA101" s="100">
        <v>3666.9009299593872</v>
      </c>
      <c r="AB101" s="100">
        <v>2.9975864175943019</v>
      </c>
      <c r="AC101" s="100">
        <v>2169.053531771237</v>
      </c>
      <c r="AD101" s="100">
        <v>5.7374571136811197</v>
      </c>
      <c r="AE101" s="100">
        <v>4151.6239674596582</v>
      </c>
      <c r="AF101" s="100">
        <v>7.8122554403927493</v>
      </c>
      <c r="AG101" s="100">
        <v>5652.9480366681937</v>
      </c>
      <c r="AH101" s="100">
        <v>7.8216229204164014</v>
      </c>
      <c r="AI101" s="100">
        <v>5659.7263452133084</v>
      </c>
      <c r="AJ101" s="100">
        <v>7.0800377250390092</v>
      </c>
      <c r="AK101" s="100">
        <v>5123.115297838227</v>
      </c>
      <c r="AL101" s="100">
        <v>5.6805127024152845E-4</v>
      </c>
      <c r="AM101" s="100">
        <v>0.41104189914677003</v>
      </c>
      <c r="AN101" s="100">
        <v>5.8599320200576868</v>
      </c>
      <c r="AO101" s="100">
        <v>4240.2468097137426</v>
      </c>
      <c r="AP101" s="100">
        <v>0.51709095279016659</v>
      </c>
      <c r="AQ101" s="100">
        <v>374.16701343896455</v>
      </c>
      <c r="AR101" s="100">
        <v>6.0192670941533386</v>
      </c>
      <c r="AS101" s="100">
        <v>4355.5416693293555</v>
      </c>
      <c r="AT101" s="100">
        <v>10.09898462740402</v>
      </c>
      <c r="AU101" s="100">
        <v>7307.6252763895491</v>
      </c>
      <c r="AV101" s="100">
        <v>11</v>
      </c>
      <c r="AW101" s="100">
        <v>7959.6</v>
      </c>
      <c r="AX101" s="100">
        <v>9.41511437302327</v>
      </c>
      <c r="AY101" s="100">
        <v>6812.776760319638</v>
      </c>
      <c r="AZ101" s="100">
        <v>7.6725726552276727</v>
      </c>
      <c r="BA101" s="100">
        <v>5551.8735733227441</v>
      </c>
      <c r="BB101" s="100">
        <v>8.4906613639976136</v>
      </c>
      <c r="BC101" s="100">
        <v>6143.8425629886733</v>
      </c>
      <c r="BD101" s="100">
        <v>7.3985277213871878</v>
      </c>
      <c r="BE101" s="100">
        <v>5353.5746591957695</v>
      </c>
      <c r="BF101" s="100">
        <v>0.51170942989309176</v>
      </c>
      <c r="BG101" s="100">
        <v>370.27294347064122</v>
      </c>
      <c r="BH101" s="100">
        <v>8.248842811379733</v>
      </c>
      <c r="BI101" s="100">
        <v>5968.862658314375</v>
      </c>
      <c r="BJ101" s="100">
        <v>10.418833468870947</v>
      </c>
      <c r="BK101" s="100">
        <v>7539.0678980750172</v>
      </c>
      <c r="BL101" s="100">
        <v>6.2372373175107709</v>
      </c>
      <c r="BM101" s="100">
        <v>4513.2649229507942</v>
      </c>
      <c r="BN101" s="100">
        <v>0.50785360162684245</v>
      </c>
      <c r="BO101" s="100">
        <v>367.48286613718324</v>
      </c>
      <c r="BP101" s="100">
        <v>8.26348627795414</v>
      </c>
      <c r="BQ101" s="100">
        <v>5979.4586707276158</v>
      </c>
      <c r="BR101" s="100">
        <v>3.5785736078925861</v>
      </c>
      <c r="BS101" s="100">
        <v>2589.4558626710755</v>
      </c>
      <c r="BT101" s="100">
        <v>10.525975849908278</v>
      </c>
      <c r="BU101" s="100">
        <v>7616.5961249936299</v>
      </c>
      <c r="BV101" s="100">
        <v>8.4182345654220363</v>
      </c>
      <c r="BW101" s="100">
        <v>6091.4345315393857</v>
      </c>
      <c r="BX101" s="100">
        <v>7.0241224096034163</v>
      </c>
      <c r="BY101" s="100">
        <v>5082.6549755890319</v>
      </c>
      <c r="BZ101" s="100">
        <v>4.514841807336882E-4</v>
      </c>
      <c r="CA101" s="100">
        <v>0.32669395317889677</v>
      </c>
      <c r="CB101" s="100">
        <v>6.8142458558884726</v>
      </c>
      <c r="CC101" s="100">
        <v>4930.7883013208993</v>
      </c>
      <c r="CD101" s="100">
        <v>0.46864728256768207</v>
      </c>
      <c r="CE101" s="100">
        <v>339.11317366597473</v>
      </c>
      <c r="CF101" s="100">
        <v>8.3286020450641747</v>
      </c>
      <c r="CG101" s="100">
        <v>6026.5764398084366</v>
      </c>
      <c r="CH101" s="100">
        <v>10</v>
      </c>
      <c r="CI101" s="100">
        <v>7236</v>
      </c>
      <c r="CJ101" s="100">
        <v>7.5314731547163882</v>
      </c>
      <c r="CK101" s="100">
        <v>5449.7739747527785</v>
      </c>
      <c r="CL101" s="100">
        <v>0.42951382083423256</v>
      </c>
      <c r="CM101" s="100">
        <v>310.79620075565072</v>
      </c>
      <c r="CN101" s="100">
        <v>11.27822977186697</v>
      </c>
      <c r="CO101" s="100">
        <v>8160.9270629229395</v>
      </c>
      <c r="CP101" s="100">
        <v>8.4516750566786421</v>
      </c>
      <c r="CQ101" s="100">
        <v>6115.6320710126656</v>
      </c>
      <c r="CR101" s="100">
        <v>6.1538832367942238</v>
      </c>
      <c r="CS101" s="100">
        <v>4452.9499101443007</v>
      </c>
      <c r="CT101" s="100">
        <v>6.5548542670595067</v>
      </c>
      <c r="CU101" s="100">
        <v>4743.092547644259</v>
      </c>
    </row>
    <row r="102" spans="2:99">
      <c r="C102" s="99" t="s">
        <v>268</v>
      </c>
      <c r="D102" s="100">
        <v>3.1560618849039801</v>
      </c>
      <c r="E102" s="100">
        <v>1677.7624980149558</v>
      </c>
      <c r="F102" s="100">
        <v>9.1451405087645448</v>
      </c>
      <c r="G102" s="100">
        <v>4861.5566944592319</v>
      </c>
      <c r="H102" s="100">
        <v>8.4523193896221702</v>
      </c>
      <c r="I102" s="100">
        <v>4493.2529875231457</v>
      </c>
      <c r="J102" s="100">
        <v>8.0008489268070395</v>
      </c>
      <c r="K102" s="100">
        <v>4253.2512894906222</v>
      </c>
      <c r="L102" s="100">
        <v>6.2478384867382095</v>
      </c>
      <c r="M102" s="100">
        <v>3321.3509395500323</v>
      </c>
      <c r="N102" s="100">
        <v>6.295034447990826</v>
      </c>
      <c r="O102" s="100">
        <v>3346.4403125519234</v>
      </c>
      <c r="P102" s="100">
        <v>8.1201155082180794</v>
      </c>
      <c r="Q102" s="100">
        <v>4316.653404168731</v>
      </c>
      <c r="R102" s="100">
        <v>6.1384474483378746</v>
      </c>
      <c r="S102" s="100">
        <v>3263.1986635364142</v>
      </c>
      <c r="T102" s="100">
        <v>8.8738642263150265</v>
      </c>
      <c r="U102" s="100">
        <v>4717.3462227090686</v>
      </c>
      <c r="V102" s="100">
        <v>7.9976489401983804</v>
      </c>
      <c r="W102" s="100">
        <v>4251.5501766094594</v>
      </c>
      <c r="X102" s="100">
        <v>6.6615295309245388</v>
      </c>
      <c r="Y102" s="100">
        <v>3541.269098639485</v>
      </c>
      <c r="Z102" s="100">
        <v>5.7457604363324499</v>
      </c>
      <c r="AA102" s="100">
        <v>3054.4462479543304</v>
      </c>
      <c r="AB102" s="100">
        <v>2.9975864175943019</v>
      </c>
      <c r="AC102" s="100">
        <v>1593.5169395931309</v>
      </c>
      <c r="AD102" s="100">
        <v>5.7374571136811197</v>
      </c>
      <c r="AE102" s="100">
        <v>3050.0322016328832</v>
      </c>
      <c r="AF102" s="100">
        <v>7.8122554403927493</v>
      </c>
      <c r="AG102" s="100">
        <v>4152.9949921127854</v>
      </c>
      <c r="AH102" s="100">
        <v>7.8216229204164014</v>
      </c>
      <c r="AI102" s="100">
        <v>4157.9747444933591</v>
      </c>
      <c r="AJ102" s="100">
        <v>8.0335680961481515</v>
      </c>
      <c r="AK102" s="100">
        <v>4270.6447999123575</v>
      </c>
      <c r="AL102" s="100">
        <v>5.6805127024152845E-4</v>
      </c>
      <c r="AM102" s="100">
        <v>0.30197605526039656</v>
      </c>
      <c r="AN102" s="100">
        <v>6.6970386924802874</v>
      </c>
      <c r="AO102" s="100">
        <v>3560.1457689225208</v>
      </c>
      <c r="AP102" s="100">
        <v>0.57380570347978699</v>
      </c>
      <c r="AQ102" s="100">
        <v>305.03511196985477</v>
      </c>
      <c r="AR102" s="100">
        <v>6.7709603474496705</v>
      </c>
      <c r="AS102" s="100">
        <v>3599.442520704245</v>
      </c>
      <c r="AT102" s="100">
        <v>10.92406924178702</v>
      </c>
      <c r="AU102" s="100">
        <v>5807.2352089339802</v>
      </c>
      <c r="AV102" s="100">
        <v>11</v>
      </c>
      <c r="AW102" s="100">
        <v>5847.6</v>
      </c>
      <c r="AX102" s="100">
        <v>7.9666352387119979</v>
      </c>
      <c r="AY102" s="100">
        <v>4235.0632928992982</v>
      </c>
      <c r="AZ102" s="100">
        <v>5.6392169912224217</v>
      </c>
      <c r="BA102" s="100">
        <v>2997.8077525338394</v>
      </c>
      <c r="BB102" s="100">
        <v>8.4906613639976136</v>
      </c>
      <c r="BC102" s="100">
        <v>4513.6355811011317</v>
      </c>
      <c r="BD102" s="100">
        <v>7.3985277213871878</v>
      </c>
      <c r="BE102" s="100">
        <v>3933.0573366894291</v>
      </c>
      <c r="BF102" s="100">
        <v>0.56782383246513002</v>
      </c>
      <c r="BG102" s="100">
        <v>301.85514933846315</v>
      </c>
      <c r="BH102" s="100">
        <v>8.2799481628021994</v>
      </c>
      <c r="BI102" s="100">
        <v>4401.6204433456496</v>
      </c>
      <c r="BJ102" s="100">
        <v>11.287069591276857</v>
      </c>
      <c r="BK102" s="100">
        <v>6000.2061947227776</v>
      </c>
      <c r="BL102" s="100">
        <v>7.9759115127535916</v>
      </c>
      <c r="BM102" s="100">
        <v>4239.994560179809</v>
      </c>
      <c r="BN102" s="100">
        <v>0.50785360162684245</v>
      </c>
      <c r="BO102" s="100">
        <v>269.97497462482949</v>
      </c>
      <c r="BP102" s="100">
        <v>8.2964220626984062</v>
      </c>
      <c r="BQ102" s="100">
        <v>4410.3779685304726</v>
      </c>
      <c r="BR102" s="100">
        <v>3.5645163814977012</v>
      </c>
      <c r="BS102" s="100">
        <v>1894.896908404178</v>
      </c>
      <c r="BT102" s="100">
        <v>10.37337826491745</v>
      </c>
      <c r="BU102" s="100">
        <v>5514.4878856301166</v>
      </c>
      <c r="BV102" s="100">
        <v>8.4182345654220363</v>
      </c>
      <c r="BW102" s="100">
        <v>4475.133494978355</v>
      </c>
      <c r="BX102" s="100">
        <v>8.2016676405788225</v>
      </c>
      <c r="BY102" s="100">
        <v>4360.0065177317019</v>
      </c>
      <c r="BZ102" s="100">
        <v>5.2530953283676468E-4</v>
      </c>
      <c r="CA102" s="100">
        <v>0.27925454765602414</v>
      </c>
      <c r="CB102" s="100">
        <v>6.8142700587601457</v>
      </c>
      <c r="CC102" s="100">
        <v>3622.4659632368935</v>
      </c>
      <c r="CD102" s="100">
        <v>0.62171782192611869</v>
      </c>
      <c r="CE102" s="100">
        <v>330.50519413592468</v>
      </c>
      <c r="CF102" s="100">
        <v>9.3286020450641747</v>
      </c>
      <c r="CG102" s="100">
        <v>4959.0848471561158</v>
      </c>
      <c r="CH102" s="100">
        <v>11</v>
      </c>
      <c r="CI102" s="100">
        <v>5847.6</v>
      </c>
      <c r="CJ102" s="100">
        <v>7.5534420077357058</v>
      </c>
      <c r="CK102" s="100">
        <v>4015.4097713123015</v>
      </c>
      <c r="CL102" s="100">
        <v>0.500701525905631</v>
      </c>
      <c r="CM102" s="100">
        <v>266.17293117143345</v>
      </c>
      <c r="CN102" s="100">
        <v>12.21640093367431</v>
      </c>
      <c r="CO102" s="100">
        <v>6494.2387363412636</v>
      </c>
      <c r="CP102" s="100">
        <v>7.6833409606169463</v>
      </c>
      <c r="CQ102" s="100">
        <v>4084.4640546639689</v>
      </c>
      <c r="CR102" s="100">
        <v>6.2373949903734394</v>
      </c>
      <c r="CS102" s="100">
        <v>3315.7991768825204</v>
      </c>
      <c r="CT102" s="100">
        <v>7.1454828281270961</v>
      </c>
      <c r="CU102" s="100">
        <v>3798.5386714323645</v>
      </c>
    </row>
    <row r="103" spans="2:99">
      <c r="C103" s="99" t="s">
        <v>269</v>
      </c>
      <c r="D103" s="100">
        <v>3.1392380986066835</v>
      </c>
      <c r="E103" s="100">
        <v>1849.6390876990577</v>
      </c>
      <c r="F103" s="100">
        <v>9.1451405087645448</v>
      </c>
      <c r="G103" s="100">
        <v>5388.316787764069</v>
      </c>
      <c r="H103" s="100">
        <v>8.3408371700199684</v>
      </c>
      <c r="I103" s="100">
        <v>4914.4212605757648</v>
      </c>
      <c r="J103" s="100">
        <v>7.0884247545747989</v>
      </c>
      <c r="K103" s="100">
        <v>4176.4998653954708</v>
      </c>
      <c r="L103" s="100">
        <v>5.6955241911772507</v>
      </c>
      <c r="M103" s="100">
        <v>3355.8028534416358</v>
      </c>
      <c r="N103" s="100">
        <v>6.295034447990826</v>
      </c>
      <c r="O103" s="100">
        <v>3709.0342967561942</v>
      </c>
      <c r="P103" s="100">
        <v>7.5725020677498849</v>
      </c>
      <c r="Q103" s="100">
        <v>4461.7182183182313</v>
      </c>
      <c r="R103" s="100">
        <v>6.1384474483378746</v>
      </c>
      <c r="S103" s="100">
        <v>3616.7732365606753</v>
      </c>
      <c r="T103" s="100">
        <v>8.8738642263150265</v>
      </c>
      <c r="U103" s="100">
        <v>5228.4808021448134</v>
      </c>
      <c r="V103" s="100">
        <v>7.9976489401983804</v>
      </c>
      <c r="W103" s="100">
        <v>4712.2147555648853</v>
      </c>
      <c r="X103" s="100">
        <v>6.1131185142148246</v>
      </c>
      <c r="Y103" s="100">
        <v>3601.8494285753741</v>
      </c>
      <c r="Z103" s="100">
        <v>5.0731429902241993</v>
      </c>
      <c r="AA103" s="100">
        <v>2989.0958498400978</v>
      </c>
      <c r="AB103" s="100">
        <v>3.0089846885133165</v>
      </c>
      <c r="AC103" s="100">
        <v>1772.8937784720458</v>
      </c>
      <c r="AD103" s="100">
        <v>5.192061556134564</v>
      </c>
      <c r="AE103" s="100">
        <v>3059.1626688744846</v>
      </c>
      <c r="AF103" s="100">
        <v>7.8122554403927493</v>
      </c>
      <c r="AG103" s="100">
        <v>4602.9809054794077</v>
      </c>
      <c r="AH103" s="100">
        <v>7.3851991954942857</v>
      </c>
      <c r="AI103" s="100">
        <v>4351.3593659852322</v>
      </c>
      <c r="AJ103" s="100">
        <v>7.9253995491281124</v>
      </c>
      <c r="AK103" s="100">
        <v>4669.6454143462834</v>
      </c>
      <c r="AL103" s="100">
        <v>4.8690108877845305E-4</v>
      </c>
      <c r="AM103" s="100">
        <v>0.28688212150826448</v>
      </c>
      <c r="AN103" s="100">
        <v>5.8599432110400107</v>
      </c>
      <c r="AO103" s="100">
        <v>3452.678539944774</v>
      </c>
      <c r="AP103" s="100">
        <v>0.51830153398718193</v>
      </c>
      <c r="AQ103" s="100">
        <v>305.38326382524758</v>
      </c>
      <c r="AR103" s="100">
        <v>7.4454170171088281</v>
      </c>
      <c r="AS103" s="100">
        <v>4386.8397064805213</v>
      </c>
      <c r="AT103" s="100">
        <v>10.749153856170018</v>
      </c>
      <c r="AU103" s="100">
        <v>6333.4014520553737</v>
      </c>
      <c r="AV103" s="100">
        <v>10</v>
      </c>
      <c r="AW103" s="100">
        <v>5891.9999999999991</v>
      </c>
      <c r="AX103" s="100">
        <v>9.41511437302327</v>
      </c>
      <c r="AY103" s="100">
        <v>5547.3853885853105</v>
      </c>
      <c r="AZ103" s="100">
        <v>7.6087952067574705</v>
      </c>
      <c r="BA103" s="100">
        <v>4483.1021358215012</v>
      </c>
      <c r="BB103" s="100">
        <v>7.9046621437328364</v>
      </c>
      <c r="BC103" s="100">
        <v>4657.4269350873865</v>
      </c>
      <c r="BD103" s="100">
        <v>7.3985277213871878</v>
      </c>
      <c r="BE103" s="100">
        <v>4359.2125334413304</v>
      </c>
      <c r="BF103" s="100">
        <v>0.62327025436269357</v>
      </c>
      <c r="BG103" s="100">
        <v>367.230833870499</v>
      </c>
      <c r="BH103" s="100">
        <v>8.2799481628021994</v>
      </c>
      <c r="BI103" s="100">
        <v>4878.5454575230551</v>
      </c>
      <c r="BJ103" s="100">
        <v>10.418833468870947</v>
      </c>
      <c r="BK103" s="100">
        <v>6138.7766798587609</v>
      </c>
      <c r="BL103" s="100">
        <v>6.5898587755289766</v>
      </c>
      <c r="BM103" s="100">
        <v>3882.7447905416725</v>
      </c>
      <c r="BN103" s="100">
        <v>0.50710299453493057</v>
      </c>
      <c r="BO103" s="100">
        <v>298.78508437998107</v>
      </c>
      <c r="BP103" s="100">
        <v>7.2634862779541391</v>
      </c>
      <c r="BQ103" s="100">
        <v>4279.6461149705783</v>
      </c>
      <c r="BR103" s="100">
        <v>3.1965734585655037</v>
      </c>
      <c r="BS103" s="100">
        <v>1883.4210817867945</v>
      </c>
      <c r="BT103" s="100">
        <v>11.525975849908278</v>
      </c>
      <c r="BU103" s="100">
        <v>6791.1049707659568</v>
      </c>
      <c r="BV103" s="100">
        <v>7.5893344087250325</v>
      </c>
      <c r="BW103" s="100">
        <v>4471.6358336207886</v>
      </c>
      <c r="BX103" s="100">
        <v>7.6128950250911194</v>
      </c>
      <c r="BY103" s="100">
        <v>4485.5177487836872</v>
      </c>
      <c r="BZ103" s="100">
        <v>4.5361719776249552E-4</v>
      </c>
      <c r="CA103" s="100">
        <v>0.26727125292166232</v>
      </c>
      <c r="CB103" s="100">
        <v>6.8142831807065667</v>
      </c>
      <c r="CC103" s="100">
        <v>4014.9756500723088</v>
      </c>
      <c r="CD103" s="100">
        <v>0.54518255224690038</v>
      </c>
      <c r="CE103" s="100">
        <v>321.22155978387366</v>
      </c>
      <c r="CF103" s="100">
        <v>9.2738350375534786</v>
      </c>
      <c r="CG103" s="100">
        <v>5464.1436041265088</v>
      </c>
      <c r="CH103" s="100">
        <v>11</v>
      </c>
      <c r="CI103" s="100">
        <v>6481.1999999999989</v>
      </c>
      <c r="CJ103" s="100">
        <v>7.5314731547163882</v>
      </c>
      <c r="CK103" s="100">
        <v>4437.5439827588953</v>
      </c>
      <c r="CL103" s="100">
        <v>0.49990566243701678</v>
      </c>
      <c r="CM103" s="100">
        <v>294.54441630789023</v>
      </c>
      <c r="CN103" s="100">
        <v>11.21640093367431</v>
      </c>
      <c r="CO103" s="100">
        <v>6608.7034301209023</v>
      </c>
      <c r="CP103" s="100">
        <v>8.4516750566786421</v>
      </c>
      <c r="CQ103" s="100">
        <v>4979.7269433950551</v>
      </c>
      <c r="CR103" s="100">
        <v>6.2373949903734394</v>
      </c>
      <c r="CS103" s="100">
        <v>3675.0731283280302</v>
      </c>
      <c r="CT103" s="100">
        <v>7.6283750048784036</v>
      </c>
      <c r="CU103" s="100">
        <v>4494.6385528743549</v>
      </c>
    </row>
    <row r="104" spans="2:99">
      <c r="C104" s="99" t="s">
        <v>270</v>
      </c>
      <c r="D104" s="100">
        <v>3.1560618849039801</v>
      </c>
      <c r="E104" s="100">
        <v>1995.8935360132768</v>
      </c>
      <c r="F104" s="100">
        <v>9.1451405087645448</v>
      </c>
      <c r="G104" s="100">
        <v>5783.3868577426983</v>
      </c>
      <c r="H104" s="100">
        <v>8.4523193896221702</v>
      </c>
      <c r="I104" s="100">
        <v>5345.2467819970607</v>
      </c>
      <c r="J104" s="100">
        <v>7.8953646151654802</v>
      </c>
      <c r="K104" s="100">
        <v>4993.0285826306499</v>
      </c>
      <c r="L104" s="100">
        <v>6.2478384867382095</v>
      </c>
      <c r="M104" s="100">
        <v>3951.1330590132434</v>
      </c>
      <c r="N104" s="100">
        <v>7.0923794771804207</v>
      </c>
      <c r="O104" s="100">
        <v>4485.2207813688983</v>
      </c>
      <c r="P104" s="100">
        <v>7.5725020677498849</v>
      </c>
      <c r="Q104" s="100">
        <v>4788.850307645027</v>
      </c>
      <c r="R104" s="100">
        <v>6.2708762545605516</v>
      </c>
      <c r="S104" s="100">
        <v>3965.7021433840928</v>
      </c>
      <c r="T104" s="100">
        <v>7.9820639420707122</v>
      </c>
      <c r="U104" s="100">
        <v>5047.8572369655185</v>
      </c>
      <c r="V104" s="100">
        <v>7.9976489401983804</v>
      </c>
      <c r="W104" s="100">
        <v>5057.7131897814552</v>
      </c>
      <c r="X104" s="100">
        <v>6.6615295309245388</v>
      </c>
      <c r="Y104" s="100">
        <v>4212.751275356678</v>
      </c>
      <c r="Z104" s="100">
        <v>5.7457604363324499</v>
      </c>
      <c r="AA104" s="100">
        <v>3633.6188999366414</v>
      </c>
      <c r="AB104" s="100">
        <v>2.7468388968402109</v>
      </c>
      <c r="AC104" s="100">
        <v>1737.1009183617493</v>
      </c>
      <c r="AD104" s="100">
        <v>5.1637114023130071</v>
      </c>
      <c r="AE104" s="100">
        <v>3265.5310908227457</v>
      </c>
      <c r="AF104" s="100">
        <v>7.8122554403927493</v>
      </c>
      <c r="AG104" s="100">
        <v>4940.4703405043747</v>
      </c>
      <c r="AH104" s="100">
        <v>7.3851991954942857</v>
      </c>
      <c r="AI104" s="100">
        <v>4670.3999712305858</v>
      </c>
      <c r="AJ104" s="100">
        <v>7.1882062720590474</v>
      </c>
      <c r="AK104" s="100">
        <v>4545.8216464501411</v>
      </c>
      <c r="AL104" s="100">
        <v>5.6805127024152845E-4</v>
      </c>
      <c r="AM104" s="100">
        <v>0.3592356233007426</v>
      </c>
      <c r="AN104" s="100">
        <v>5.8599115137785525</v>
      </c>
      <c r="AO104" s="100">
        <v>3705.8080413135563</v>
      </c>
      <c r="AP104" s="100">
        <v>0.5750162846768021</v>
      </c>
      <c r="AQ104" s="100">
        <v>363.64029842960963</v>
      </c>
      <c r="AR104" s="100">
        <v>6.7716754809225064</v>
      </c>
      <c r="AS104" s="100">
        <v>4282.4075741353927</v>
      </c>
      <c r="AT104" s="100">
        <v>10.749153856170018</v>
      </c>
      <c r="AU104" s="100">
        <v>6797.764898641919</v>
      </c>
      <c r="AV104" s="100">
        <v>10</v>
      </c>
      <c r="AW104" s="100">
        <v>6324</v>
      </c>
      <c r="AX104" s="100">
        <v>7.9666352387119979</v>
      </c>
      <c r="AY104" s="100">
        <v>5038.1001249614674</v>
      </c>
      <c r="AZ104" s="100">
        <v>6.9038930828546672</v>
      </c>
      <c r="BA104" s="100">
        <v>4366.0219855972909</v>
      </c>
      <c r="BB104" s="100">
        <v>8.3936978639358912</v>
      </c>
      <c r="BC104" s="100">
        <v>5308.1745291530578</v>
      </c>
      <c r="BD104" s="100">
        <v>7.3985277213871878</v>
      </c>
      <c r="BE104" s="100">
        <v>4678.8289310052578</v>
      </c>
      <c r="BF104" s="100">
        <v>0.62327025436269357</v>
      </c>
      <c r="BG104" s="100">
        <v>394.1561088589674</v>
      </c>
      <c r="BH104" s="100">
        <v>9.2799481628021994</v>
      </c>
      <c r="BI104" s="100">
        <v>5868.6392181561105</v>
      </c>
      <c r="BJ104" s="100">
        <v>9.5505973464650342</v>
      </c>
      <c r="BK104" s="100">
        <v>6039.7977619044877</v>
      </c>
      <c r="BL104" s="100">
        <v>6.2372373175107709</v>
      </c>
      <c r="BM104" s="100">
        <v>3944.4288795938114</v>
      </c>
      <c r="BN104" s="100">
        <v>0.50710299453493057</v>
      </c>
      <c r="BO104" s="100">
        <v>320.6919337438901</v>
      </c>
      <c r="BP104" s="100">
        <v>8.2964220626984062</v>
      </c>
      <c r="BQ104" s="100">
        <v>5246.6573124504721</v>
      </c>
      <c r="BR104" s="100">
        <v>3.1825162321706189</v>
      </c>
      <c r="BS104" s="100">
        <v>2012.6232652246993</v>
      </c>
      <c r="BT104" s="100">
        <v>11.37337826491745</v>
      </c>
      <c r="BU104" s="100">
        <v>7192.5244147337953</v>
      </c>
      <c r="BV104" s="100">
        <v>9.260058021964241</v>
      </c>
      <c r="BW104" s="100">
        <v>5856.0606930901859</v>
      </c>
      <c r="BX104" s="100">
        <v>7.6128950250911194</v>
      </c>
      <c r="BY104" s="100">
        <v>4814.3948138676233</v>
      </c>
      <c r="BZ104" s="100">
        <v>5.2530953283676468E-4</v>
      </c>
      <c r="CA104" s="100">
        <v>0.33220574856596996</v>
      </c>
      <c r="CB104" s="100">
        <v>6.8142831807065667</v>
      </c>
      <c r="CC104" s="100">
        <v>4309.3526834788327</v>
      </c>
      <c r="CD104" s="100">
        <v>0.54518255224690038</v>
      </c>
      <c r="CE104" s="100">
        <v>344.7734460409398</v>
      </c>
      <c r="CF104" s="100">
        <v>9.2738350375534786</v>
      </c>
      <c r="CG104" s="100">
        <v>5864.77327774882</v>
      </c>
      <c r="CH104" s="100">
        <v>12</v>
      </c>
      <c r="CI104" s="100">
        <v>7588.7999999999993</v>
      </c>
      <c r="CJ104" s="100">
        <v>7.5534420077357058</v>
      </c>
      <c r="CK104" s="100">
        <v>4776.7967256920601</v>
      </c>
      <c r="CL104" s="100">
        <v>0.500701525905631</v>
      </c>
      <c r="CM104" s="100">
        <v>316.64364498272101</v>
      </c>
      <c r="CN104" s="100">
        <v>12.27822977186697</v>
      </c>
      <c r="CO104" s="100">
        <v>7764.7525077286718</v>
      </c>
      <c r="CP104" s="100">
        <v>6.9150068645552514</v>
      </c>
      <c r="CQ104" s="100">
        <v>4373.0503411447407</v>
      </c>
      <c r="CR104" s="100">
        <v>6.1538832367942238</v>
      </c>
      <c r="CS104" s="100">
        <v>3891.7157589486669</v>
      </c>
      <c r="CT104" s="100">
        <v>7.722339297825509</v>
      </c>
      <c r="CU104" s="100">
        <v>4883.6073719448514</v>
      </c>
    </row>
    <row r="105" spans="2:99">
      <c r="C105" s="99" t="s">
        <v>271</v>
      </c>
      <c r="D105" s="100">
        <v>3.1392380986066835</v>
      </c>
      <c r="E105" s="100">
        <v>1747.9277733042013</v>
      </c>
      <c r="F105" s="100">
        <v>9.9001210311197791</v>
      </c>
      <c r="G105" s="100">
        <v>5512.3873901274928</v>
      </c>
      <c r="H105" s="100">
        <v>9.0634386674197618</v>
      </c>
      <c r="I105" s="100">
        <v>5046.522650019323</v>
      </c>
      <c r="J105" s="100">
        <v>7.8953646151654802</v>
      </c>
      <c r="K105" s="100">
        <v>4396.1390177241392</v>
      </c>
      <c r="L105" s="100">
        <v>6.2724643775335895</v>
      </c>
      <c r="M105" s="100">
        <v>3492.5081654107025</v>
      </c>
      <c r="N105" s="100">
        <v>6.9550190887392134</v>
      </c>
      <c r="O105" s="100">
        <v>3872.5546286099939</v>
      </c>
      <c r="P105" s="100">
        <v>8.2061574094736205</v>
      </c>
      <c r="Q105" s="100">
        <v>4569.1884455949112</v>
      </c>
      <c r="R105" s="100">
        <v>6.2439236126912983</v>
      </c>
      <c r="S105" s="100">
        <v>3476.6166675465147</v>
      </c>
      <c r="T105" s="100">
        <v>7.8609694180541112</v>
      </c>
      <c r="U105" s="100">
        <v>4376.9877719725291</v>
      </c>
      <c r="V105" s="100">
        <v>7.2723765137562051</v>
      </c>
      <c r="W105" s="100">
        <v>4049.2592428594548</v>
      </c>
      <c r="X105" s="100">
        <v>6.2108238299297716</v>
      </c>
      <c r="Y105" s="100">
        <v>3458.1867085048966</v>
      </c>
      <c r="Z105" s="100">
        <v>4.9490261332645691</v>
      </c>
      <c r="AA105" s="100">
        <v>2755.6177510017119</v>
      </c>
      <c r="AB105" s="100">
        <v>3.2711304801864221</v>
      </c>
      <c r="AC105" s="100">
        <v>1821.3654513677996</v>
      </c>
      <c r="AD105" s="100">
        <v>5.2236681239652576</v>
      </c>
      <c r="AE105" s="100">
        <v>2908.538411423855</v>
      </c>
      <c r="AF105" s="100">
        <v>6.3729426081735872</v>
      </c>
      <c r="AG105" s="100">
        <v>3548.454444231053</v>
      </c>
      <c r="AH105" s="100">
        <v>7.291802913040855</v>
      </c>
      <c r="AI105" s="100">
        <v>4060.0758619811477</v>
      </c>
      <c r="AJ105" s="100">
        <v>8.0056056458013991</v>
      </c>
      <c r="AK105" s="100">
        <v>4457.5212235822182</v>
      </c>
      <c r="AL105" s="100">
        <v>6.4920145170460403E-4</v>
      </c>
      <c r="AM105" s="100">
        <v>0.36147536830912347</v>
      </c>
      <c r="AN105" s="100">
        <v>6.6970047570223628</v>
      </c>
      <c r="AO105" s="100">
        <v>3728.8922487100513</v>
      </c>
      <c r="AP105" s="100">
        <v>0.63112574476791483</v>
      </c>
      <c r="AQ105" s="100">
        <v>351.41081468677493</v>
      </c>
      <c r="AR105" s="100">
        <v>6.7456915752191708</v>
      </c>
      <c r="AS105" s="100">
        <v>3756.0010690820341</v>
      </c>
      <c r="AT105" s="100">
        <v>9.92406924178702</v>
      </c>
      <c r="AU105" s="100">
        <v>5525.7217538270124</v>
      </c>
      <c r="AV105" s="100">
        <v>12</v>
      </c>
      <c r="AW105" s="100">
        <v>6681.5999999999995</v>
      </c>
      <c r="AX105" s="100">
        <v>8.6908748058676331</v>
      </c>
      <c r="AY105" s="100">
        <v>4839.0790919070978</v>
      </c>
      <c r="AZ105" s="100">
        <v>6.9038930828546672</v>
      </c>
      <c r="BA105" s="100">
        <v>3844.0876685334783</v>
      </c>
      <c r="BB105" s="100">
        <v>7.807698643671114</v>
      </c>
      <c r="BC105" s="100">
        <v>4347.326604796076</v>
      </c>
      <c r="BD105" s="100">
        <v>6.6688485278621306</v>
      </c>
      <c r="BE105" s="100">
        <v>3713.2148603136338</v>
      </c>
      <c r="BF105" s="100">
        <v>0.62393823503716839</v>
      </c>
      <c r="BG105" s="100">
        <v>347.40880926869534</v>
      </c>
      <c r="BH105" s="100">
        <v>9.2799481628021994</v>
      </c>
      <c r="BI105" s="100">
        <v>5167.075137048264</v>
      </c>
      <c r="BJ105" s="100">
        <v>11.287069591276857</v>
      </c>
      <c r="BK105" s="100">
        <v>6284.640348422954</v>
      </c>
      <c r="BL105" s="100">
        <v>6.2372373175107709</v>
      </c>
      <c r="BM105" s="100">
        <v>3472.893738389997</v>
      </c>
      <c r="BN105" s="100">
        <v>0.50710299453493057</v>
      </c>
      <c r="BO105" s="100">
        <v>282.3549473570493</v>
      </c>
      <c r="BP105" s="100">
        <v>8.26348627795414</v>
      </c>
      <c r="BQ105" s="100">
        <v>4601.109159564865</v>
      </c>
      <c r="BR105" s="100">
        <v>3.5645163814977012</v>
      </c>
      <c r="BS105" s="100">
        <v>1984.7227212179198</v>
      </c>
      <c r="BT105" s="100">
        <v>10.37337826491745</v>
      </c>
      <c r="BU105" s="100">
        <v>5775.8970179060361</v>
      </c>
      <c r="BV105" s="100">
        <v>9.260058021964241</v>
      </c>
      <c r="BW105" s="100">
        <v>5156.0003066296886</v>
      </c>
      <c r="BX105" s="100">
        <v>7.6128950250911194</v>
      </c>
      <c r="BY105" s="100">
        <v>4238.8599499707352</v>
      </c>
      <c r="BZ105" s="100">
        <v>4.5575021479130285E-4</v>
      </c>
      <c r="CA105" s="100">
        <v>0.25376171959579741</v>
      </c>
      <c r="CB105" s="100">
        <v>6.8142458558884726</v>
      </c>
      <c r="CC105" s="100">
        <v>3794.1720925587015</v>
      </c>
      <c r="CD105" s="100">
        <v>0.62250412730048299</v>
      </c>
      <c r="CE105" s="100">
        <v>346.61029808090888</v>
      </c>
      <c r="CF105" s="100">
        <v>9.2738350375534786</v>
      </c>
      <c r="CG105" s="100">
        <v>5163.6713489097765</v>
      </c>
      <c r="CH105" s="100">
        <v>11</v>
      </c>
      <c r="CI105" s="100">
        <v>6124.7999999999993</v>
      </c>
      <c r="CJ105" s="100">
        <v>8.2890142407918912</v>
      </c>
      <c r="CK105" s="100">
        <v>4615.3231292729242</v>
      </c>
      <c r="CL105" s="100">
        <v>0.49910979896840274</v>
      </c>
      <c r="CM105" s="100">
        <v>277.90433606560663</v>
      </c>
      <c r="CN105" s="100">
        <v>12.27822977186697</v>
      </c>
      <c r="CO105" s="100">
        <v>6836.5183369755287</v>
      </c>
      <c r="CP105" s="100">
        <v>7.6833409606169463</v>
      </c>
      <c r="CQ105" s="100">
        <v>4278.0842468715155</v>
      </c>
      <c r="CR105" s="100">
        <v>5.6093046886713358</v>
      </c>
      <c r="CS105" s="100">
        <v>3123.2608506521997</v>
      </c>
      <c r="CT105" s="100">
        <v>7.0469278380569316</v>
      </c>
      <c r="CU105" s="100">
        <v>3923.7294202300991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239.0916764326046</v>
      </c>
      <c r="E109" s="100">
        <f>SUM(L$6:L$19)+SUM(N$6:N$19)+SUM(P$6:P$19)+SUM(R$6:R$19)</f>
        <v>333.44899327129735</v>
      </c>
      <c r="F109" s="100">
        <f>SUM(T$6:T$19)+SUM(V$6:V$19)+SUM(X$6:X$19)+SUM(Z$6:Z$19)</f>
        <v>318.10141525310007</v>
      </c>
      <c r="G109" s="100">
        <f>SUM(AB$6:AB$19)+SUM(AD$6:AD$19)+SUM(AF$6:AF$19)+SUM(AH$6:AH$19)</f>
        <v>327.92135222437008</v>
      </c>
      <c r="H109" s="100">
        <f>SUM(AJ$6:AJ$19)+SUM(AL$6:AL$19)+SUM(AN$6:AN$19)+SUM(AP$6:AP$19)</f>
        <v>367.91355269504783</v>
      </c>
      <c r="I109" s="100">
        <f>SUM(AR$6:AR$19)+SUM(AT$6:AT$19)+SUM(AV$6:AV$19)+SUM(AX$6:AX$19)</f>
        <v>343.25050634715456</v>
      </c>
      <c r="J109" s="100">
        <f>SUM(AZ$6:AZ$19)+SUM(BB$6:BB$19)+SUM(BD$6:BD$19)+SUM(BF$6:BF$19)</f>
        <v>342.11157602192992</v>
      </c>
      <c r="K109" s="100">
        <f>SUM(BH$6:BH$19)+SUM(BJ$6:BJ$19)+SUM(BL$6:BL$19)+SUM(BN$6:BN$19)</f>
        <v>351.88202806914433</v>
      </c>
      <c r="L109" s="100">
        <f>SUM(BP$6:BP$19)+SUM(BR$6:BR$19)+SUM(BT$6:BT$19)+SUM(BV$6:BV$19)</f>
        <v>363.94147904428576</v>
      </c>
      <c r="M109" s="100">
        <f>SUM(BX$6:BX$19)+SUM(BZ$6:BZ$19)+SUM(CB$6:CB$19)+SUM(CD$6:CD$19)</f>
        <v>343.3787261335624</v>
      </c>
      <c r="N109" s="100">
        <f>SUM(CF$6:CF$19)+SUM(CH$6:CH$19)+SUM(CJ$6:CJ$19)+SUM(CL$6:CL$19)</f>
        <v>413.63996280873016</v>
      </c>
      <c r="O109" s="100">
        <f>SUM(CN$6:CN$19)+SUM(CP$6:CP$19)+SUM(CR$6:CR$19)+SUM(CT$6:CT$19)</f>
        <v>346.05043286215499</v>
      </c>
    </row>
    <row r="110" spans="2:99">
      <c r="C110" s="99" t="s">
        <v>127</v>
      </c>
      <c r="D110" s="100">
        <f>SUM(D$20:D$36)+SUM(F$20:F$36)+SUM(H$20:H$36)+SUM(J$20:J$36)</f>
        <v>309.33478411622059</v>
      </c>
      <c r="E110" s="100">
        <f>SUM(L$20:L$36)+SUM(N$20:N$36)+SUM(P$20:P$36)+SUM(R$20:R$36)</f>
        <v>549.33433858231729</v>
      </c>
      <c r="F110" s="100">
        <f>SUM(T$20:T$36)+SUM(V$20:V$36)+SUM(X$20:X$36)+SUM(Z$20:Z$36)</f>
        <v>340.30793413489573</v>
      </c>
      <c r="G110" s="100">
        <f>SUM(AB$20:AB$36)+SUM(AD$20:AD$36)+SUM(AF$20:AF$36)+SUM(AH$20:AH$36)</f>
        <v>422.00719914433324</v>
      </c>
      <c r="H110" s="100">
        <f>SUM(AJ$20:AJ$36)+SUM(AL$20:AL$36)+SUM(AN$20:AN$36)+SUM(AP$20:AP$36)</f>
        <v>482.20134572286793</v>
      </c>
      <c r="I110" s="100">
        <f>SUM(AR$20:AR$36)+SUM(AT$20:AT$36)+SUM(AV$20:AV$36)+SUM(AX$20:AX$36)</f>
        <v>466.1225686260492</v>
      </c>
      <c r="J110" s="100">
        <f>SUM(AZ$20:AZ$36)+SUM(BB$20:BB$36)+SUM(BD$20:BD$36)+SUM(BF$20:BF$36)</f>
        <v>556.06317832708226</v>
      </c>
      <c r="K110" s="100">
        <f>SUM(BH$20:BH$36)+SUM(BJ$20:BJ$36)+SUM(BL$20:BL$36)+SUM(BN$20:BN$36)</f>
        <v>528.88251558576553</v>
      </c>
      <c r="L110" s="100">
        <f>SUM(BP$20:BP$36)+SUM(BR$20:BR$36)+SUM(BT$20:BT$36)+SUM(BV$20:BV$36)</f>
        <v>438.44855752141848</v>
      </c>
      <c r="M110" s="100">
        <f>SUM(BX$20:BX$36)+SUM(BZ$20:BZ$36)+SUM(CB$20:CB$36)+SUM(CD$20:CD$36)</f>
        <v>300.04074404345164</v>
      </c>
      <c r="N110" s="100">
        <f>SUM(CF$20:CF$36)+SUM(CH$20:CH$36)+SUM(CJ$20:CJ$36)+SUM(CL$20:CL$36)</f>
        <v>492.99937903184599</v>
      </c>
      <c r="O110" s="100">
        <f>SUM(CN$20:CN$36)+SUM(CP$20:CP$36)+SUM(CR$20:CR$36)+SUM(CT$20:CT$36)</f>
        <v>417.87953343177031</v>
      </c>
    </row>
    <row r="111" spans="2:99">
      <c r="C111" s="99" t="s">
        <v>128</v>
      </c>
      <c r="D111" s="100">
        <f>SUM(D$37:D$48)+SUM(F$37:F$48)+SUM(H$37:H$48)+SUM(J$37:J$48)</f>
        <v>408.4858517984967</v>
      </c>
      <c r="E111" s="100">
        <f>SUM(L$37:L$48)+SUM(N$37:N$48)+SUM(P$37:P$48)+SUM(R$37:R$48)</f>
        <v>627.45997987207056</v>
      </c>
      <c r="F111" s="100">
        <f>SUM(T$37:T$48)+SUM(V$37:V$48)+SUM(X$37:X$48)+SUM(Z$37:Z$48)</f>
        <v>531.84980317466818</v>
      </c>
      <c r="G111" s="100">
        <f>SUM(AB$37:AB$48)+SUM(AD$37:AD$48)+SUM(AF$37:AF$48)+SUM(AH$37:AH$48)</f>
        <v>572.96675604656741</v>
      </c>
      <c r="H111" s="100">
        <f>SUM(AJ$37:AJ$48)+SUM(AL$37:AL$48)+SUM(AN$37:AN$48)+SUM(AP$37:AP$48)</f>
        <v>623.18690528494312</v>
      </c>
      <c r="I111" s="100">
        <f>SUM(AR$37:AR$48)+SUM(AT$37:AT$48)+SUM(AV$37:AV$48)+SUM(AX$37:AX$48)</f>
        <v>624.8967120109063</v>
      </c>
      <c r="J111" s="100">
        <f>SUM(AZ$37:AZ$48)+SUM(BB$37:BB$48)+SUM(BD$37:BD$48)+SUM(BF$37:BF$48)</f>
        <v>533.89993429194419</v>
      </c>
      <c r="K111" s="100">
        <f>SUM(BH$37:BH$48)+SUM(BJ$37:BJ$48)+SUM(BL$37:BL$48)+SUM(BN$37:BN$48)</f>
        <v>726.72391963363475</v>
      </c>
      <c r="L111" s="100">
        <f>SUM(BP$37:BP$48)+SUM(BR$37:BR$48)+SUM(BT$37:BT$48)+SUM(BV$37:BV$48)</f>
        <v>533.88697061180073</v>
      </c>
      <c r="M111" s="100">
        <f>SUM(BX$37:BX$48)+SUM(BZ$37:BZ$48)+SUM(CB$37:CB$48)+SUM(CD$37:CD$48)</f>
        <v>577.30462397184101</v>
      </c>
      <c r="N111" s="100">
        <f>SUM(CF$37:CF$48)+SUM(CH$37:CH$48)+SUM(CJ$37:CJ$48)+SUM(CL$37:CL$48)</f>
        <v>649.64974389239865</v>
      </c>
      <c r="O111" s="100">
        <f>SUM(CN$37:CN$48)+SUM(CP$37:CP$48)+SUM(CR$37:CR$48)+SUM(CT$37:CT$48)</f>
        <v>557.80253701378604</v>
      </c>
    </row>
    <row r="112" spans="2:99">
      <c r="C112" s="99" t="s">
        <v>129</v>
      </c>
      <c r="D112" s="100">
        <f>SUM(D$49:D$70)+SUM(F$49:F$70)+SUM(H$49:H$70)+SUM(J$49:J$70)</f>
        <v>338.97393233085609</v>
      </c>
      <c r="E112" s="100">
        <f>SUM(L$49:L$70)+SUM(N$49:N$70)+SUM(P$49:P$70)+SUM(R$49:R$70)</f>
        <v>646.39701931205002</v>
      </c>
      <c r="F112" s="100">
        <f>SUM(T$49:T$70)+SUM(V$49:V$70)+SUM(X$49:X$70)+SUM(Z$49:Z$70)</f>
        <v>425.06002556217857</v>
      </c>
      <c r="G112" s="100">
        <f>SUM(AB$49:AB$70)+SUM(AD$49:AD$70)+SUM(AF$49:AF$70)+SUM(AH$49:AH$70)</f>
        <v>697.44407521576522</v>
      </c>
      <c r="H112" s="100">
        <f>SUM(AJ$49:AJ$70)+SUM(AL$49:AL$70)+SUM(AN$49:AN$70)+SUM(AP$49:AP$70)</f>
        <v>532.79424704101416</v>
      </c>
      <c r="I112" s="100">
        <f>SUM(AR$49:AR$70)+SUM(AT$49:AT$70)+SUM(AV$49:AV$70)+SUM(AX$49:AX$70)</f>
        <v>465.51752543006182</v>
      </c>
      <c r="J112" s="100">
        <f>SUM(AZ$49:AZ$70)+SUM(BB$49:BB$70)+SUM(BD$49:BD$70)+SUM(BF$49:BF$70)</f>
        <v>531.90128299054777</v>
      </c>
      <c r="K112" s="100">
        <f>SUM(BH$49:BH$70)+SUM(BJ$49:BJ$70)+SUM(BL$49:BL$70)+SUM(BN$49:BN$70)</f>
        <v>638.66337393336266</v>
      </c>
      <c r="L112" s="100">
        <f>SUM(BP$49:BP$70)+SUM(BR$49:BR$70)+SUM(BT$49:BT$70)+SUM(BV$49:BV$70)</f>
        <v>591.65455959215808</v>
      </c>
      <c r="M112" s="100">
        <f>SUM(BX$49:BX$70)+SUM(BZ$49:BZ$70)+SUM(CB$49:CB$70)+SUM(CD$49:CD$70)</f>
        <v>489.20478868524515</v>
      </c>
      <c r="N112" s="100">
        <f>SUM(CF$49:CF$70)+SUM(CH$49:CH$70)+SUM(CJ$49:CJ$70)+SUM(CL$49:CL$70)</f>
        <v>643.2170933559479</v>
      </c>
      <c r="O112" s="100">
        <f>SUM(CN$49:CN$70)+SUM(CP$49:CP$70)+SUM(CR$49:CR$70)+SUM(CT$49:CT$70)</f>
        <v>539.38478364185016</v>
      </c>
    </row>
    <row r="113" spans="2:15">
      <c r="C113" s="99" t="s">
        <v>130</v>
      </c>
      <c r="D113" s="100">
        <f>SUM(D$71:D$86)+SUM(F$71:F$86)+SUM(H$71:H$86)+SUM(J$71:J$86)</f>
        <v>323.52353137399547</v>
      </c>
      <c r="E113" s="100">
        <f>SUM(L$71:L$86)+SUM(N$71:N$86)+SUM(P$71:P$86)+SUM(R$71:R$86)</f>
        <v>384.19776326187468</v>
      </c>
      <c r="F113" s="100">
        <f>SUM(T$71:T$86)+SUM(V$71:V$86)+SUM(X$71:X$86)+SUM(Z$71:Z$86)</f>
        <v>265.05954298268239</v>
      </c>
      <c r="G113" s="100">
        <f>SUM(AB$71:AB$86)+SUM(AD$71:AD$86)+SUM(AF$71:AF$86)+SUM(AH$71:AH$86)</f>
        <v>310.55588449925767</v>
      </c>
      <c r="H113" s="100">
        <f>SUM(AJ$71:AJ$86)+SUM(AL$71:AL$86)+SUM(AN$71:AN$86)+SUM(AP$71:AP$86)</f>
        <v>333.41703172837219</v>
      </c>
      <c r="I113" s="100">
        <f>SUM(AR$71:AR$86)+SUM(AT$71:AT$86)+SUM(AV$71:AV$86)+SUM(AX$71:AX$86)</f>
        <v>376.21798956737905</v>
      </c>
      <c r="J113" s="100">
        <f>SUM(AZ$71:AZ$86)+SUM(BB$71:BB$86)+SUM(BD$71:BD$86)+SUM(BF$71:BF$86)</f>
        <v>361.08801937079272</v>
      </c>
      <c r="K113" s="100">
        <f>SUM(BH$71:BH$86)+SUM(BJ$71:BJ$86)+SUM(BL$71:BL$86)+SUM(BN$71:BN$86)</f>
        <v>392.07092421880429</v>
      </c>
      <c r="L113" s="100">
        <f>SUM(BP$71:BP$86)+SUM(BR$71:BR$86)+SUM(BT$71:BT$86)+SUM(BV$71:BV$86)</f>
        <v>393.32617546375741</v>
      </c>
      <c r="M113" s="100">
        <f>SUM(BX$71:BX$86)+SUM(BZ$71:BZ$86)+SUM(CB$71:CB$86)+SUM(CD$71:CD$86)</f>
        <v>264.10216249050404</v>
      </c>
      <c r="N113" s="100">
        <f>SUM(CF$71:CF$86)+SUM(CH$71:CH$86)+SUM(CJ$71:CJ$86)+SUM(CL$71:CL$86)</f>
        <v>420.30345256617846</v>
      </c>
      <c r="O113" s="100">
        <f>SUM(CN$71:CN$86)+SUM(CP$71:CP$86)+SUM(CR$71:CR$86)+SUM(CT$71:CT$86)</f>
        <v>380.13983719173814</v>
      </c>
    </row>
    <row r="114" spans="2:15">
      <c r="C114" s="99" t="s">
        <v>131</v>
      </c>
      <c r="D114" s="100">
        <f>SUM(D$87:D$94)+SUM(F$87:F$94)+SUM(H$87:H$94)+SUM(J$87:J$94)</f>
        <v>136.31056129964242</v>
      </c>
      <c r="E114" s="100">
        <f>SUM(L$87:L$94)+SUM(N$87:N$94)+SUM(P$87:P$94)+SUM(R$87:R$94)</f>
        <v>143.68897329193177</v>
      </c>
      <c r="F114" s="100">
        <f>SUM(T$87:T$94)+SUM(V$87:V$94)+SUM(X$87:X$94)+SUM(Z$87:Z$94)</f>
        <v>146.60550899494649</v>
      </c>
      <c r="G114" s="100">
        <f>SUM(AB$87:AB$94)+SUM(AD$87:AD$94)+SUM(AF$87:AF$94)+SUM(AH$87:AH$94)</f>
        <v>112.99074201940809</v>
      </c>
      <c r="H114" s="100">
        <f>SUM(AJ$87:AJ$94)+SUM(AL$87:AL$94)+SUM(AN$87:AN$94)+SUM(AP$87:AP$94)</f>
        <v>81.893881774753964</v>
      </c>
      <c r="I114" s="100">
        <f>SUM(AR$87:AR$94)+SUM(AT$87:AT$94)+SUM(AV$87:AV$94)+SUM(AX$87:AX$94)</f>
        <v>162.26385847985327</v>
      </c>
      <c r="J114" s="100">
        <f>SUM(AZ$87:AZ$94)+SUM(BB$87:BB$94)+SUM(BD$87:BD$94)+SUM(BF$87:BF$94)</f>
        <v>108.62823895714493</v>
      </c>
      <c r="K114" s="100">
        <f>SUM(BH$87:BH$94)+SUM(BJ$87:BJ$94)+SUM(BL$87:BL$94)+SUM(BN$87:BN$94)</f>
        <v>156.53823744931549</v>
      </c>
      <c r="L114" s="100">
        <f>SUM(BP$87:BP$94)+SUM(BR$87:BR$94)+SUM(BT$87:BT$94)+SUM(BV$87:BV$94)</f>
        <v>200.72642298363897</v>
      </c>
      <c r="M114" s="100">
        <f>SUM(BX$87:BX$94)+SUM(BZ$87:BZ$94)+SUM(CB$87:CB$94)+SUM(CD$87:CD$94)</f>
        <v>81.384010385050956</v>
      </c>
      <c r="N114" s="100">
        <f>SUM(CF$87:CF$94)+SUM(CH$87:CH$94)+SUM(CJ$87:CJ$94)+SUM(CL$87:CL$94)</f>
        <v>122.07009040348002</v>
      </c>
      <c r="O114" s="100">
        <f>SUM(CN$87:CN$94)+SUM(CP$87:CP$94)+SUM(CR$87:CR$94)+SUM(CT$87:CT$94)</f>
        <v>204.51197313660035</v>
      </c>
    </row>
    <row r="115" spans="2:15">
      <c r="C115" s="99" t="s">
        <v>132</v>
      </c>
      <c r="D115" s="100">
        <f>SUM(D$95:D$105)+SUM(F$95:F$105)+SUM(H$95:H$105)+SUM(J$95:J$105)</f>
        <v>308.21248696554977</v>
      </c>
      <c r="E115" s="100">
        <f>SUM(L$95:L$105)+SUM(N$95:N$105)+SUM(P$95:P$105)+SUM(R$95:R$105)</f>
        <v>286.03489239952614</v>
      </c>
      <c r="F115" s="100">
        <f>SUM(T$95:T$105)+SUM(V$95:V$105)+SUM(X$95:X$105)+SUM(Z$95:Z$105)</f>
        <v>302.36320694638874</v>
      </c>
      <c r="G115" s="100">
        <f>SUM(AB$95:AB$105)+SUM(AD$95:AD$105)+SUM(AF$95:AF$105)+SUM(AH$95:AH$105)</f>
        <v>248.88628514876825</v>
      </c>
      <c r="H115" s="100">
        <f>SUM(AJ$95:AJ$105)+SUM(AL$95:AL$105)+SUM(AN$95:AN$105)+SUM(AP$95:AP$105)</f>
        <v>151.08115768086788</v>
      </c>
      <c r="I115" s="100">
        <f>SUM(AR$95:AR$105)+SUM(AT$95:AT$105)+SUM(AV$95:AV$105)+SUM(AX$95:AX$105)</f>
        <v>396.98727571814089</v>
      </c>
      <c r="J115" s="100">
        <f>SUM(AZ$95:AZ$105)+SUM(BB$95:BB$105)+SUM(BD$95:BD$105)+SUM(BF$95:BF$105)</f>
        <v>250.95626318747733</v>
      </c>
      <c r="K115" s="100">
        <f>SUM(BH$95:BH$105)+SUM(BJ$95:BJ$105)+SUM(BL$95:BL$105)+SUM(BN$95:BN$105)</f>
        <v>282.24785269454605</v>
      </c>
      <c r="L115" s="100">
        <f>SUM(BP$95:BP$105)+SUM(BR$95:BR$105)+SUM(BT$95:BT$105)+SUM(BV$95:BV$105)</f>
        <v>330.13960077021528</v>
      </c>
      <c r="M115" s="100">
        <f>SUM(BX$95:BX$105)+SUM(BZ$95:BZ$105)+SUM(CB$95:CB$105)+SUM(CD$95:CD$105)</f>
        <v>161.12308990623595</v>
      </c>
      <c r="N115" s="100">
        <f>SUM(CF$95:CF$105)+SUM(CH$95:CH$105)+SUM(CJ$95:CJ$105)+SUM(CL$95:CL$105)</f>
        <v>307.94613385442847</v>
      </c>
      <c r="O115" s="100">
        <f>SUM(CN$95:CN$105)+SUM(CP$95:CP$105)+SUM(CR$95:CR$105)+SUM(CT$95:CT$105)</f>
        <v>357.78838907416991</v>
      </c>
    </row>
    <row r="116" spans="2:15">
      <c r="C116" s="99" t="s">
        <v>278</v>
      </c>
      <c r="D116" s="100">
        <f t="shared" ref="D116:O116" si="0">SUM(D$109:D$115)</f>
        <v>2063.9328243173654</v>
      </c>
      <c r="E116" s="100">
        <f t="shared" si="0"/>
        <v>2970.5619599910674</v>
      </c>
      <c r="F116" s="100">
        <f t="shared" si="0"/>
        <v>2329.3474370488602</v>
      </c>
      <c r="G116" s="100">
        <f t="shared" si="0"/>
        <v>2692.7722942984701</v>
      </c>
      <c r="H116" s="100">
        <f t="shared" si="0"/>
        <v>2572.4881219278673</v>
      </c>
      <c r="I116" s="100">
        <f t="shared" si="0"/>
        <v>2835.2564361795453</v>
      </c>
      <c r="J116" s="100">
        <f t="shared" si="0"/>
        <v>2684.648493146919</v>
      </c>
      <c r="K116" s="100">
        <f t="shared" si="0"/>
        <v>3077.0088515845728</v>
      </c>
      <c r="L116" s="100">
        <f t="shared" si="0"/>
        <v>2852.1237659872745</v>
      </c>
      <c r="M116" s="100">
        <f t="shared" si="0"/>
        <v>2216.5381456158916</v>
      </c>
      <c r="N116" s="100">
        <f t="shared" si="0"/>
        <v>3049.8258559130095</v>
      </c>
      <c r="O116" s="100">
        <f t="shared" si="0"/>
        <v>2803.5574863520701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1291095.0527360649</v>
      </c>
      <c r="E120" s="100">
        <f>E109*pricing!E33*2000</f>
        <v>1800624.5636650058</v>
      </c>
      <c r="F120" s="100">
        <f>F109*pricing!F33*2000</f>
        <v>1717747.6423667406</v>
      </c>
      <c r="G120" s="100">
        <f>G109*pricing!G33*2000</f>
        <v>1770775.3020115986</v>
      </c>
      <c r="H120" s="100">
        <f>H109*pricing!H33*2000</f>
        <v>1986733.1845532584</v>
      </c>
      <c r="I120" s="100">
        <f>I109*pricing!I33*2000</f>
        <v>1853552.7342746349</v>
      </c>
      <c r="J120" s="100">
        <f>J109*pricing!J33*2000</f>
        <v>1847402.5105184217</v>
      </c>
      <c r="K120" s="100">
        <f>K109*pricing!K33*2000</f>
        <v>1900162.9515733796</v>
      </c>
      <c r="L120" s="100">
        <f>L109*pricing!L33*2000</f>
        <v>1965283.9868391431</v>
      </c>
      <c r="M120" s="100">
        <f>M109*pricing!M33*2000</f>
        <v>1854245.1211212371</v>
      </c>
      <c r="N120" s="100">
        <f>N109*pricing!N33*2000</f>
        <v>2233655.7991671432</v>
      </c>
      <c r="O120" s="100">
        <f>O109*pricing!O33*2000</f>
        <v>1868672.3374556371</v>
      </c>
    </row>
    <row r="121" spans="2:15">
      <c r="C121" s="99" t="s">
        <v>127</v>
      </c>
      <c r="D121" s="100">
        <f>D110*pricing!D34*2000</f>
        <v>1484806.9637578588</v>
      </c>
      <c r="E121" s="100">
        <f>E110*pricing!E34*2000</f>
        <v>2636804.8251951225</v>
      </c>
      <c r="F121" s="100">
        <f>F110*pricing!F34*2000</f>
        <v>1633478.0838474995</v>
      </c>
      <c r="G121" s="100">
        <f>G110*pricing!G34*2000</f>
        <v>2025634.5558927995</v>
      </c>
      <c r="H121" s="100">
        <f>H110*pricing!H34*2000</f>
        <v>2314566.4594697659</v>
      </c>
      <c r="I121" s="100">
        <f>I110*pricing!I34*2000</f>
        <v>2237388.3294050363</v>
      </c>
      <c r="J121" s="100">
        <f>J110*pricing!J34*2000</f>
        <v>2669103.2559699947</v>
      </c>
      <c r="K121" s="100">
        <f>K110*pricing!K34*2000</f>
        <v>2538636.0748116747</v>
      </c>
      <c r="L121" s="100">
        <f>L110*pricing!L34*2000</f>
        <v>2104553.0761028086</v>
      </c>
      <c r="M121" s="100">
        <f>M110*pricing!M34*2000</f>
        <v>1440195.5714085677</v>
      </c>
      <c r="N121" s="100">
        <f>N110*pricing!N34*2000</f>
        <v>2366397.0193528607</v>
      </c>
      <c r="O121" s="100">
        <f>O110*pricing!O34*2000</f>
        <v>2005821.7604724972</v>
      </c>
    </row>
    <row r="122" spans="2:15">
      <c r="C122" s="99" t="s">
        <v>128</v>
      </c>
      <c r="D122" s="100">
        <f>D111*pricing!D35*2000</f>
        <v>1879034.9182730848</v>
      </c>
      <c r="E122" s="100">
        <f>E111*pricing!E35*2000</f>
        <v>2886315.9074115241</v>
      </c>
      <c r="F122" s="100">
        <f>F111*pricing!F35*2000</f>
        <v>2446509.0946034733</v>
      </c>
      <c r="G122" s="100">
        <f>G111*pricing!G35*2000</f>
        <v>2635647.0778142097</v>
      </c>
      <c r="H122" s="100">
        <f>H111*pricing!H35*2000</f>
        <v>2866659.7643107381</v>
      </c>
      <c r="I122" s="100">
        <f>I111*pricing!I35*2000</f>
        <v>2874524.8752501691</v>
      </c>
      <c r="J122" s="100">
        <f>J111*pricing!J35*2000</f>
        <v>2455939.6977429432</v>
      </c>
      <c r="K122" s="100">
        <f>K111*pricing!K35*2000</f>
        <v>3342930.0303147198</v>
      </c>
      <c r="L122" s="100">
        <f>L111*pricing!L35*2000</f>
        <v>2455880.0648142835</v>
      </c>
      <c r="M122" s="100">
        <f>M111*pricing!M35*2000</f>
        <v>2655601.2702704682</v>
      </c>
      <c r="N122" s="100">
        <f>N111*pricing!N35*2000</f>
        <v>2988388.8219050337</v>
      </c>
      <c r="O122" s="100">
        <f>O111*pricing!O35*2000</f>
        <v>2565891.6702634157</v>
      </c>
    </row>
    <row r="123" spans="2:15">
      <c r="C123" s="99" t="s">
        <v>129</v>
      </c>
      <c r="D123" s="100">
        <f>D112*pricing!D36*2000</f>
        <v>1694869.6616542805</v>
      </c>
      <c r="E123" s="100">
        <f>E112*pricing!E36*2000</f>
        <v>3231985.09656025</v>
      </c>
      <c r="F123" s="100">
        <f>F112*pricing!F36*2000</f>
        <v>2125300.1278108926</v>
      </c>
      <c r="G123" s="100">
        <f>G112*pricing!G36*2000</f>
        <v>3487220.3760788259</v>
      </c>
      <c r="H123" s="100">
        <f>H112*pricing!H36*2000</f>
        <v>2663971.235205071</v>
      </c>
      <c r="I123" s="100">
        <f>I112*pricing!I36*2000</f>
        <v>2327587.6271503093</v>
      </c>
      <c r="J123" s="100">
        <f>J112*pricing!J36*2000</f>
        <v>2659506.4149527387</v>
      </c>
      <c r="K123" s="100">
        <f>K112*pricing!K36*2000</f>
        <v>3193316.8696668134</v>
      </c>
      <c r="L123" s="100">
        <f>L112*pricing!L36*2000</f>
        <v>2958272.7979607903</v>
      </c>
      <c r="M123" s="100">
        <f>M112*pricing!M36*2000</f>
        <v>2446023.9434262258</v>
      </c>
      <c r="N123" s="100">
        <f>N112*pricing!N36*2000</f>
        <v>3216085.4667797396</v>
      </c>
      <c r="O123" s="100">
        <f>O112*pricing!O36*2000</f>
        <v>2696923.9182092506</v>
      </c>
    </row>
    <row r="124" spans="2:15">
      <c r="C124" s="99" t="s">
        <v>130</v>
      </c>
      <c r="D124" s="100">
        <f>D113*pricing!D37*2000</f>
        <v>1682322.3631447766</v>
      </c>
      <c r="E124" s="100">
        <f>E113*pricing!E37*2000</f>
        <v>1997828.3689617482</v>
      </c>
      <c r="F124" s="100">
        <f>F113*pricing!F37*2000</f>
        <v>1378309.6235099486</v>
      </c>
      <c r="G124" s="100">
        <f>G113*pricing!G37*2000</f>
        <v>1614890.5993961401</v>
      </c>
      <c r="H124" s="100">
        <f>H113*pricing!H37*2000</f>
        <v>1733768.5649875354</v>
      </c>
      <c r="I124" s="100">
        <f>I113*pricing!I37*2000</f>
        <v>1956333.5457503709</v>
      </c>
      <c r="J124" s="100">
        <f>J113*pricing!J37*2000</f>
        <v>1877657.7007281221</v>
      </c>
      <c r="K124" s="100">
        <f>K113*pricing!K37*2000</f>
        <v>2038768.8059377824</v>
      </c>
      <c r="L124" s="100">
        <f>L113*pricing!L37*2000</f>
        <v>2045296.1124115386</v>
      </c>
      <c r="M124" s="100">
        <f>M113*pricing!M37*2000</f>
        <v>1373331.2449506212</v>
      </c>
      <c r="N124" s="100">
        <f>N113*pricing!N37*2000</f>
        <v>2185577.9533441281</v>
      </c>
      <c r="O124" s="100">
        <f>O113*pricing!O37*2000</f>
        <v>1976727.1533970383</v>
      </c>
    </row>
    <row r="125" spans="2:15">
      <c r="C125" s="99" t="s">
        <v>131</v>
      </c>
      <c r="D125" s="100">
        <f>D114*pricing!D38*2000</f>
        <v>763339.14327799738</v>
      </c>
      <c r="E125" s="100">
        <f>E114*pricing!E38*2000</f>
        <v>804658.25043481786</v>
      </c>
      <c r="F125" s="100">
        <f>F114*pricing!F38*2000</f>
        <v>820990.85037170025</v>
      </c>
      <c r="G125" s="100">
        <f>G114*pricing!G38*2000</f>
        <v>632748.15530868527</v>
      </c>
      <c r="H125" s="100">
        <f>H114*pricing!H38*2000</f>
        <v>458605.73793862213</v>
      </c>
      <c r="I125" s="100">
        <f>I114*pricing!I38*2000</f>
        <v>908677.60748717817</v>
      </c>
      <c r="J125" s="100">
        <f>J114*pricing!J38*2000</f>
        <v>608318.13816001161</v>
      </c>
      <c r="K125" s="100">
        <f>K114*pricing!K38*2000</f>
        <v>876614.12971616664</v>
      </c>
      <c r="L125" s="100">
        <f>L114*pricing!L38*2000</f>
        <v>1124067.9687083783</v>
      </c>
      <c r="M125" s="100">
        <f>M114*pricing!M38*2000</f>
        <v>455750.45815628534</v>
      </c>
      <c r="N125" s="100">
        <f>N114*pricing!N38*2000</f>
        <v>683592.50625948817</v>
      </c>
      <c r="O125" s="100">
        <f>O114*pricing!O38*2000</f>
        <v>1145267.0495649618</v>
      </c>
    </row>
    <row r="126" spans="2:15">
      <c r="C126" s="99" t="s">
        <v>132</v>
      </c>
      <c r="D126" s="100">
        <f>D115*pricing!D39*2000</f>
        <v>1602704.9322208588</v>
      </c>
      <c r="E126" s="100">
        <f>E115*pricing!E39*2000</f>
        <v>1487381.4404775361</v>
      </c>
      <c r="F126" s="100">
        <f>F115*pricing!F39*2000</f>
        <v>1572288.6761212214</v>
      </c>
      <c r="G126" s="100">
        <f>G115*pricing!G39*2000</f>
        <v>1294208.682773595</v>
      </c>
      <c r="H126" s="100">
        <f>H115*pricing!H39*2000</f>
        <v>785622.01994051295</v>
      </c>
      <c r="I126" s="100">
        <f>I115*pricing!I39*2000</f>
        <v>2064333.8337343326</v>
      </c>
      <c r="J126" s="100">
        <f>J115*pricing!J39*2000</f>
        <v>1304972.5685748821</v>
      </c>
      <c r="K126" s="100">
        <f>K115*pricing!K39*2000</f>
        <v>1467688.8340116395</v>
      </c>
      <c r="L126" s="100">
        <f>L115*pricing!L39*2000</f>
        <v>1716725.9240051196</v>
      </c>
      <c r="M126" s="100">
        <f>M115*pricing!M39*2000</f>
        <v>837840.06751242687</v>
      </c>
      <c r="N126" s="100">
        <f>N115*pricing!N39*2000</f>
        <v>1601319.8960430282</v>
      </c>
      <c r="O126" s="100">
        <f>O115*pricing!O39*2000</f>
        <v>1860499.6231856835</v>
      </c>
    </row>
    <row r="127" spans="2:15">
      <c r="C127" s="99" t="s">
        <v>278</v>
      </c>
      <c r="D127" s="100">
        <f>SUM(D$120:D$126)</f>
        <v>10398173.035064923</v>
      </c>
      <c r="E127" s="100">
        <f t="shared" ref="E127:O127" si="1">SUM(E$120:E$126)</f>
        <v>14845598.452706005</v>
      </c>
      <c r="F127" s="100">
        <f t="shared" si="1"/>
        <v>11694624.098631477</v>
      </c>
      <c r="G127" s="100">
        <f t="shared" si="1"/>
        <v>13461124.749275854</v>
      </c>
      <c r="H127" s="100">
        <f t="shared" si="1"/>
        <v>12809926.966405502</v>
      </c>
      <c r="I127" s="100">
        <f t="shared" si="1"/>
        <v>14222398.553052031</v>
      </c>
      <c r="J127" s="100">
        <f t="shared" si="1"/>
        <v>13422900.286647111</v>
      </c>
      <c r="K127" s="100">
        <f t="shared" si="1"/>
        <v>15358117.696032174</v>
      </c>
      <c r="L127" s="100">
        <f t="shared" si="1"/>
        <v>14370079.930842062</v>
      </c>
      <c r="M127" s="100">
        <f t="shared" si="1"/>
        <v>11062987.676845832</v>
      </c>
      <c r="N127" s="100">
        <f t="shared" si="1"/>
        <v>15275017.462851422</v>
      </c>
      <c r="O127" s="100">
        <f t="shared" si="1"/>
        <v>14119803.512548484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120922.32951315382</v>
      </c>
      <c r="E131" s="106">
        <f>SUM(M$6:M$19)+SUM(O$6:O$19)+SUM(Q$6:Q$19)+SUM(S$6:S$19)</f>
        <v>167361.82620586688</v>
      </c>
      <c r="F131" s="106">
        <f>SUM(U$6:U$19)+SUM(W$6:W$19)+SUM(Y$6:Y$19)+SUM(AA$6:AA$19)</f>
        <v>161095.90594159113</v>
      </c>
      <c r="G131" s="106">
        <f>SUM(AC$6:AC$19)+SUM(AE$6:AE$19)+SUM(AG$6:AG$19)+SUM(AI$6:AI$19)</f>
        <v>165619.73071190043</v>
      </c>
      <c r="H131" s="106">
        <f>SUM(AK$6:AK$19)+SUM(AM$6:AM$19)+SUM(AO$6:AO$19)+SUM(AQ$6:AQ$19)</f>
        <v>185397.54697235939</v>
      </c>
      <c r="I131" s="106">
        <f>SUM(AS$6:AS$19)+SUM(AU$6:AU$19)+SUM(AW$6:AW$19)+SUM(AY$6:AY$19)</f>
        <v>172608.14938786483</v>
      </c>
      <c r="J131" s="106">
        <f>SUM(BA$6:BA$19)+SUM(BC$6:BC$19)+SUM(BE$6:BE$19)+SUM(BG$6:BG$19)</f>
        <v>172986.72226774288</v>
      </c>
      <c r="K131" s="106">
        <f>SUM(BI$6:BI$19)+SUM(BK$6:BK$19)+SUM(BM$6:BM$19)+SUM(BO$6:BO$19)</f>
        <v>177539.96827632136</v>
      </c>
      <c r="L131" s="106">
        <f>SUM(BQ$6:BQ$19)+SUM(BS$6:BS$19)+SUM(BU$6:BU$19)+SUM(BW$6:BW$19)</f>
        <v>184048.11988340365</v>
      </c>
      <c r="M131" s="106">
        <f>SUM(BY$6:BY$19)+SUM(CA$6:CA$19)+SUM(CC$6:CC$19)+SUM(CE$6:CE$19)</f>
        <v>172988.54065510721</v>
      </c>
      <c r="N131" s="106">
        <f>SUM(CG$6:CG$19)+SUM(CI$6:CI$19)+SUM(CK$6:CK$19)+SUM(CM$6:CM$19)</f>
        <v>207934.08797185501</v>
      </c>
      <c r="O131" s="106">
        <f>SUM(CO$6:CO$19)+SUM(CQ$6:CQ$19)+SUM(CS$6:CS$19)+SUM(CU$6:CU$19)</f>
        <v>173049.24810127605</v>
      </c>
    </row>
    <row r="132" spans="2:15">
      <c r="C132" s="105" t="s">
        <v>127</v>
      </c>
      <c r="D132" s="106">
        <f>SUM(E$20:E$36)+SUM(G$20:G$36)+SUM(I$20:I$36)+SUM(K$20:K$36)</f>
        <v>130446.38340690371</v>
      </c>
      <c r="E132" s="106">
        <f>SUM(M$20:M$36)+SUM(O$20:O$36)+SUM(Q$20:Q$36)+SUM(S$20:S$36)</f>
        <v>234159.66741290438</v>
      </c>
      <c r="F132" s="106">
        <f>SUM(U$20:U$36)+SUM(W$20:W$36)+SUM(Y$20:Y$36)+SUM(AA$20:AA$36)</f>
        <v>144961.47022061021</v>
      </c>
      <c r="G132" s="106">
        <f>SUM(AC$20:AC$36)+SUM(AE$20:AE$36)+SUM(AG$20:AG$36)+SUM(AI$20:AI$36)</f>
        <v>179402.66481742921</v>
      </c>
      <c r="H132" s="106">
        <f>SUM(AK$20:AK$36)+SUM(AM$20:AM$36)+SUM(AO$20:AO$36)+SUM(AQ$20:AQ$36)</f>
        <v>206159.91780573159</v>
      </c>
      <c r="I132" s="106">
        <f>SUM(AS$20:AS$36)+SUM(AU$20:AU$36)+SUM(AW$20:AW$36)+SUM(AY$20:AY$36)</f>
        <v>198941.30518131965</v>
      </c>
      <c r="J132" s="106">
        <f>SUM(BA$20:BA$36)+SUM(BC$20:BC$36)+SUM(BE$20:BE$36)+SUM(BG$20:BG$36)</f>
        <v>238249.52890506518</v>
      </c>
      <c r="K132" s="106">
        <f>SUM(BI$20:BI$36)+SUM(BK$20:BK$36)+SUM(BM$20:BM$36)+SUM(BO$20:BO$36)</f>
        <v>226376.72512146854</v>
      </c>
      <c r="L132" s="106">
        <f>SUM(BQ$20:BQ$36)+SUM(BS$20:BS$36)+SUM(BU$20:BU$36)+SUM(BW$20:BW$36)</f>
        <v>188392.79470198599</v>
      </c>
      <c r="M132" s="106">
        <f>SUM(BY$20:BY$36)+SUM(CA$20:CA$36)+SUM(CC$20:CC$36)+SUM(CE$20:CE$36)</f>
        <v>126904.96177738058</v>
      </c>
      <c r="N132" s="106">
        <f>SUM(CG$20:CG$36)+SUM(CI$20:CI$36)+SUM(CK$20:CK$36)+SUM(CM$20:CM$36)</f>
        <v>208358.41641761427</v>
      </c>
      <c r="O132" s="106">
        <f>SUM(CO$20:CO$36)+SUM(CQ$20:CQ$36)+SUM(CS$20:CS$36)+SUM(CU$20:CU$36)</f>
        <v>177814.03145638632</v>
      </c>
    </row>
    <row r="133" spans="2:15">
      <c r="C133" s="105" t="s">
        <v>128</v>
      </c>
      <c r="D133" s="106">
        <f>SUM(E$37:E$48)+SUM(G$37:G$48)+SUM(I$37:I$48)+SUM(K$37:K$48)</f>
        <v>427625.46449914662</v>
      </c>
      <c r="E133" s="106">
        <f>SUM(M$37:M$48)+SUM(O$37:O$48)+SUM(Q$37:Q$48)+SUM(S$37:S$48)</f>
        <v>657455.87014911324</v>
      </c>
      <c r="F133" s="106">
        <f>SUM(U$37:U$48)+SUM(W$37:W$48)+SUM(Y$37:Y$48)+SUM(AA$37:AA$48)</f>
        <v>555775.12536092836</v>
      </c>
      <c r="G133" s="106">
        <f>SUM(AC$37:AC$48)+SUM(AE$37:AE$48)+SUM(AG$37:AG$48)+SUM(AI$37:AI$48)</f>
        <v>599113.68600117404</v>
      </c>
      <c r="H133" s="106">
        <f>SUM(AK$37:AK$48)+SUM(AM$37:AM$48)+SUM(AO$37:AO$48)+SUM(AQ$37:AQ$48)</f>
        <v>653346.72161108453</v>
      </c>
      <c r="I133" s="106">
        <f>SUM(AS$37:AS$48)+SUM(AU$37:AU$48)+SUM(AW$37:AW$48)+SUM(AY$37:AY$48)</f>
        <v>652696.05270532658</v>
      </c>
      <c r="J133" s="106">
        <f>SUM(BA$37:BA$48)+SUM(BC$37:BC$48)+SUM(BE$37:BE$48)+SUM(BG$37:BG$48)</f>
        <v>560891.55546671257</v>
      </c>
      <c r="K133" s="106">
        <f>SUM(BI$37:BI$48)+SUM(BK$37:BK$48)+SUM(BM$37:BM$48)+SUM(BO$37:BO$48)</f>
        <v>762213.7691083583</v>
      </c>
      <c r="L133" s="106">
        <f>SUM(BQ$37:BQ$48)+SUM(BS$37:BS$48)+SUM(BU$37:BU$48)+SUM(BW$37:BW$48)</f>
        <v>559897.69488625473</v>
      </c>
      <c r="M133" s="106">
        <f>SUM(BY$37:BY$48)+SUM(CA$37:CA$48)+SUM(CC$37:CC$48)+SUM(CE$37:CE$48)</f>
        <v>605842.57660942327</v>
      </c>
      <c r="N133" s="106">
        <f>SUM(CG$37:CG$48)+SUM(CI$37:CI$48)+SUM(CK$37:CK$48)+SUM(CM$37:CM$48)</f>
        <v>680873.65987173235</v>
      </c>
      <c r="O133" s="106">
        <f>SUM(CO$37:CO$48)+SUM(CQ$37:CQ$48)+SUM(CS$37:CS$48)+SUM(CU$37:CU$48)</f>
        <v>585632.72306527139</v>
      </c>
    </row>
    <row r="134" spans="2:15">
      <c r="C134" s="105" t="s">
        <v>129</v>
      </c>
      <c r="D134" s="106">
        <f>SUM(E$49:E$70)+SUM(G$49:G$70)+SUM(I$49:I$70)+SUM(K$49:K$70)</f>
        <v>289293.1773749931</v>
      </c>
      <c r="E134" s="106">
        <f>SUM(M$49:M$70)+SUM(O$49:O$70)+SUM(Q$49:Q$70)+SUM(S$49:S$70)</f>
        <v>537279.47901329235</v>
      </c>
      <c r="F134" s="106">
        <f>SUM(U$49:U$70)+SUM(W$49:W$70)+SUM(Y$49:Y$70)+SUM(AA$49:AA$70)</f>
        <v>358044.98963455076</v>
      </c>
      <c r="G134" s="106">
        <f>SUM(AC$49:AC$70)+SUM(AE$49:AE$70)+SUM(AG$49:AG$70)+SUM(AI$49:AI$70)</f>
        <v>577326.82337608119</v>
      </c>
      <c r="H134" s="106">
        <f>SUM(AK$49:AK$70)+SUM(AM$49:AM$70)+SUM(AO$49:AO$70)+SUM(AQ$49:AQ$70)</f>
        <v>432816.9217701162</v>
      </c>
      <c r="I134" s="106">
        <f>SUM(AS$49:AS$70)+SUM(AU$49:AU$70)+SUM(AW$49:AW$70)+SUM(AY$49:AY$70)</f>
        <v>391479.5921518589</v>
      </c>
      <c r="J134" s="106">
        <f>SUM(BA$49:BA$70)+SUM(BC$49:BC$70)+SUM(BE$49:BE$70)+SUM(BG$49:BG$70)</f>
        <v>434436.86223514209</v>
      </c>
      <c r="K134" s="106">
        <f>SUM(BI$49:BI$70)+SUM(BK$49:BK$70)+SUM(BM$49:BM$70)+SUM(BO$49:BO$70)</f>
        <v>526708.98056009342</v>
      </c>
      <c r="L134" s="106">
        <f>SUM(BQ$49:BQ$70)+SUM(BS$49:BS$70)+SUM(BU$49:BU$70)+SUM(BW$49:BW$70)</f>
        <v>493539.96932180354</v>
      </c>
      <c r="M134" s="106">
        <f>SUM(BY$49:BY$70)+SUM(CA$49:CA$70)+SUM(CC$49:CC$70)+SUM(CE$49:CE$70)</f>
        <v>399484.34201505792</v>
      </c>
      <c r="N134" s="106">
        <f>SUM(CG$49:CG$70)+SUM(CI$49:CI$70)+SUM(CK$49:CK$70)+SUM(CM$49:CM$70)</f>
        <v>529595.50886309042</v>
      </c>
      <c r="O134" s="106">
        <f>SUM(CO$49:CO$70)+SUM(CQ$49:CQ$70)+SUM(CS$49:CS$70)+SUM(CU$49:CU$70)</f>
        <v>453753.29343596008</v>
      </c>
    </row>
    <row r="135" spans="2:15">
      <c r="C135" s="105" t="s">
        <v>130</v>
      </c>
      <c r="D135" s="106">
        <f>SUM(E$71:E$86)+SUM(G$71:G$86)+SUM(I$71:I$86)+SUM(K$71:K$86)</f>
        <v>181361.91166945038</v>
      </c>
      <c r="E135" s="106">
        <f>SUM(M$71:M$86)+SUM(O$71:O$86)+SUM(Q$71:Q$86)+SUM(S$71:S$86)</f>
        <v>214131.75180148627</v>
      </c>
      <c r="F135" s="106">
        <f>SUM(U$71:U$86)+SUM(W$71:W$86)+SUM(Y$71:Y$86)+SUM(AA$71:AA$86)</f>
        <v>148231.3636349499</v>
      </c>
      <c r="G135" s="106">
        <f>SUM(AC$71:AC$86)+SUM(AE$71:AE$86)+SUM(AG$71:AG$86)+SUM(AI$71:AI$86)</f>
        <v>173976.50141221209</v>
      </c>
      <c r="H135" s="106">
        <f>SUM(AK$71:AK$86)+SUM(AM$71:AM$86)+SUM(AO$71:AO$86)+SUM(AQ$71:AQ$86)</f>
        <v>186201.55833766505</v>
      </c>
      <c r="I135" s="106">
        <f>SUM(AS$71:AS$86)+SUM(AU$71:AU$86)+SUM(AW$71:AW$86)+SUM(AY$71:AY$86)</f>
        <v>208977.47480859491</v>
      </c>
      <c r="J135" s="106">
        <f>SUM(BA$71:BA$86)+SUM(BC$71:BC$86)+SUM(BE$71:BE$86)+SUM(BG$71:BG$86)</f>
        <v>200332.78174883095</v>
      </c>
      <c r="K135" s="106">
        <f>SUM(BI$71:BI$86)+SUM(BK$71:BK$86)+SUM(BM$71:BM$86)+SUM(BO$71:BO$86)</f>
        <v>218091.45192277874</v>
      </c>
      <c r="L135" s="106">
        <f>SUM(BQ$71:BQ$86)+SUM(BS$71:BS$86)+SUM(BU$71:BU$86)+SUM(BW$71:BW$86)</f>
        <v>220275.85060747946</v>
      </c>
      <c r="M135" s="106">
        <f>SUM(BY$71:BY$86)+SUM(CA$71:CA$86)+SUM(CC$71:CC$86)+SUM(CE$71:CE$86)</f>
        <v>147435.79798312127</v>
      </c>
      <c r="N135" s="106">
        <f>SUM(CG$71:CG$86)+SUM(CI$71:CI$86)+SUM(CK$71:CK$86)+SUM(CM$71:CM$86)</f>
        <v>234239.59270699369</v>
      </c>
      <c r="O135" s="106">
        <f>SUM(CO$71:CO$86)+SUM(CQ$71:CQ$86)+SUM(CS$71:CS$86)+SUM(CU$71:CU$86)</f>
        <v>211988.58313718249</v>
      </c>
    </row>
    <row r="136" spans="2:15">
      <c r="C136" s="105" t="s">
        <v>131</v>
      </c>
      <c r="D136" s="106">
        <f>SUM(E$87:E$94)+SUM(G$87:G$94)+SUM(I$87:I$94)+SUM(K$87:K$94)</f>
        <v>137192.36504366325</v>
      </c>
      <c r="E136" s="106">
        <f>SUM(M$87:M$94)+SUM(O$87:O$94)+SUM(Q$87:Q$94)+SUM(S$87:S$94)</f>
        <v>144177.61104354888</v>
      </c>
      <c r="F136" s="106">
        <f>SUM(U$87:U$94)+SUM(W$87:W$94)+SUM(Y$87:Y$94)+SUM(AA$87:AA$94)</f>
        <v>146993.80473659665</v>
      </c>
      <c r="G136" s="106">
        <f>SUM(AC$87:AC$94)+SUM(AE$87:AE$94)+SUM(AG$87:AG$94)+SUM(AI$87:AI$94)</f>
        <v>113346.15071641881</v>
      </c>
      <c r="H136" s="106">
        <f>SUM(AK$87:AK$94)+SUM(AM$87:AM$94)+SUM(AO$87:AO$94)+SUM(AQ$87:AQ$94)</f>
        <v>82017.767893312135</v>
      </c>
      <c r="I136" s="106">
        <f>SUM(AS$87:AS$94)+SUM(AU$87:AU$94)+SUM(AW$87:AW$94)+SUM(AY$87:AY$94)</f>
        <v>162849.090720612</v>
      </c>
      <c r="J136" s="106">
        <f>SUM(BA$87:BA$94)+SUM(BC$87:BC$94)+SUM(BE$87:BE$94)+SUM(BG$87:BG$94)</f>
        <v>109047.08464858441</v>
      </c>
      <c r="K136" s="106">
        <f>SUM(BI$87:BI$94)+SUM(BK$87:BK$94)+SUM(BM$87:BM$94)+SUM(BO$87:BO$94)</f>
        <v>157086.84215553175</v>
      </c>
      <c r="L136" s="106">
        <f>SUM(BQ$87:BQ$94)+SUM(BS$87:BS$94)+SUM(BU$87:BU$94)+SUM(BW$87:BW$94)</f>
        <v>201617.3780285737</v>
      </c>
      <c r="M136" s="106">
        <f>SUM(BY$87:BY$94)+SUM(CA$87:CA$94)+SUM(CC$87:CC$94)+SUM(CE$87:CE$94)</f>
        <v>81766.762881500195</v>
      </c>
      <c r="N136" s="106">
        <f>SUM(CG$87:CG$94)+SUM(CI$87:CI$94)+SUM(CK$87:CK$94)+SUM(CM$87:CM$94)</f>
        <v>122047.53415476823</v>
      </c>
      <c r="O136" s="106">
        <f>SUM(CO$87:CO$94)+SUM(CQ$87:CQ$94)+SUM(CS$87:CS$94)+SUM(CU$87:CU$94)</f>
        <v>204479.41109833657</v>
      </c>
    </row>
    <row r="137" spans="2:15">
      <c r="C137" s="105" t="s">
        <v>132</v>
      </c>
      <c r="D137" s="106">
        <f>SUM(E$95:E$105)+SUM(G$95:G$105)+SUM(I$95:I$105)+SUM(K$95:K$105)</f>
        <v>242720.84191412042</v>
      </c>
      <c r="E137" s="106">
        <f>SUM(M$95:M$105)+SUM(O$95:O$105)+SUM(Q$95:Q$105)+SUM(S$95:S$105)</f>
        <v>223188.65899216145</v>
      </c>
      <c r="F137" s="106">
        <f>SUM(U$95:U$105)+SUM(W$95:W$105)+SUM(Y$95:Y$105)+SUM(AA$95:AA$105)</f>
        <v>236932.73547002635</v>
      </c>
      <c r="G137" s="106">
        <f>SUM(AC$95:AC$105)+SUM(AE$95:AE$105)+SUM(AG$95:AG$105)+SUM(AI$95:AI$105)</f>
        <v>193582.67806681772</v>
      </c>
      <c r="H137" s="106">
        <f>SUM(AK$95:AK$105)+SUM(AM$95:AM$105)+SUM(AO$95:AO$105)+SUM(AQ$95:AQ$105)</f>
        <v>116821.10510681098</v>
      </c>
      <c r="I137" s="106">
        <f>SUM(AS$95:AS$105)+SUM(AU$95:AU$105)+SUM(AW$95:AW$105)+SUM(AY$95:AY$105)</f>
        <v>305345.23879165726</v>
      </c>
      <c r="J137" s="106">
        <f>SUM(BA$95:BA$105)+SUM(BC$95:BC$105)+SUM(BE$95:BE$105)+SUM(BG$95:BG$105)</f>
        <v>193321.931195371</v>
      </c>
      <c r="K137" s="106">
        <f>SUM(BI$95:BI$105)+SUM(BK$95:BK$105)+SUM(BM$95:BM$105)+SUM(BO$95:BO$105)</f>
        <v>216946.79545374776</v>
      </c>
      <c r="L137" s="106">
        <f>SUM(BQ$95:BQ$105)+SUM(BS$95:BS$105)+SUM(BU$95:BU$105)+SUM(BW$95:BW$105)</f>
        <v>250249.50015504623</v>
      </c>
      <c r="M137" s="106">
        <f>SUM(BY$95:BY$105)+SUM(CA$95:CA$105)+SUM(CC$95:CC$105)+SUM(CE$95:CE$105)</f>
        <v>123577.57069704079</v>
      </c>
      <c r="N137" s="106">
        <f>SUM(CG$95:CG$105)+SUM(CI$95:CI$105)+SUM(CK$95:CK$105)+SUM(CM$95:CM$105)</f>
        <v>237907.8969866001</v>
      </c>
      <c r="O137" s="106">
        <f>SUM(CO$95:CO$105)+SUM(CQ$95:CQ$105)+SUM(CS$95:CS$105)+SUM(CU$95:CU$105)</f>
        <v>275908.98828179407</v>
      </c>
    </row>
    <row r="138" spans="2:15">
      <c r="C138" s="105" t="s">
        <v>278</v>
      </c>
      <c r="D138" s="100">
        <f t="shared" ref="D138:O138" si="2">SUM(D$131:D$137)</f>
        <v>1529562.4734214311</v>
      </c>
      <c r="E138" s="100">
        <f t="shared" si="2"/>
        <v>2177754.8646183736</v>
      </c>
      <c r="F138" s="100">
        <f t="shared" si="2"/>
        <v>1752035.3949992531</v>
      </c>
      <c r="G138" s="100">
        <f t="shared" si="2"/>
        <v>2002368.2351020337</v>
      </c>
      <c r="H138" s="100">
        <f t="shared" si="2"/>
        <v>1862761.5394970798</v>
      </c>
      <c r="I138" s="100">
        <f t="shared" si="2"/>
        <v>2092896.903747234</v>
      </c>
      <c r="J138" s="100">
        <f t="shared" si="2"/>
        <v>1909266.4664674494</v>
      </c>
      <c r="K138" s="100">
        <f t="shared" si="2"/>
        <v>2284964.5325982999</v>
      </c>
      <c r="L138" s="100">
        <f t="shared" si="2"/>
        <v>2098021.3075845474</v>
      </c>
      <c r="M138" s="100">
        <f t="shared" si="2"/>
        <v>1658000.5526186314</v>
      </c>
      <c r="N138" s="100">
        <f t="shared" si="2"/>
        <v>2220956.6969726542</v>
      </c>
      <c r="O138" s="100">
        <f t="shared" si="2"/>
        <v>2082626.2785762071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2015-01-12T19:19:03Z</dcterms:modified>
</cp:coreProperties>
</file>