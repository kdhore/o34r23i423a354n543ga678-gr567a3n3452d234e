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21240" windowHeight="12240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S8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V259" i="14"/>
  <c r="AW14" i="14"/>
  <c r="AV181" i="14"/>
  <c r="AV179" i="14"/>
  <c r="AV177" i="14"/>
  <c r="AV175" i="14"/>
  <c r="AV14" i="14"/>
  <c r="AU259" i="14"/>
  <c r="AU181" i="14"/>
  <c r="AU260" i="14"/>
  <c r="AU179" i="14"/>
  <c r="AU177" i="14"/>
  <c r="AU175" i="14"/>
  <c r="AT259" i="14"/>
  <c r="AU14" i="14"/>
  <c r="AT181" i="14"/>
  <c r="AT179" i="14"/>
  <c r="AT260" i="14"/>
  <c r="AT177" i="14"/>
  <c r="AT175" i="14"/>
  <c r="AT14" i="14"/>
  <c r="AS259" i="14"/>
  <c r="AS181" i="14"/>
  <c r="AS179" i="14"/>
  <c r="AS177" i="14"/>
  <c r="AS175" i="14"/>
  <c r="AS260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260" i="14"/>
  <c r="AO175" i="14"/>
  <c r="AO14" i="14"/>
  <c r="AN259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260" i="14"/>
  <c r="AL175" i="14"/>
  <c r="AK259" i="14"/>
  <c r="AL14" i="14"/>
  <c r="AK181" i="14"/>
  <c r="AK179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260" i="14"/>
  <c r="AI179" i="14"/>
  <c r="AI177" i="14"/>
  <c r="AI175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F259" i="14"/>
  <c r="AG14" i="14"/>
  <c r="AF181" i="14"/>
  <c r="AF179" i="14"/>
  <c r="AF177" i="14"/>
  <c r="AF175" i="14"/>
  <c r="AE260" i="14"/>
  <c r="AF14" i="14"/>
  <c r="AE259" i="14"/>
  <c r="AE181" i="14"/>
  <c r="AE179" i="14"/>
  <c r="AE177" i="14"/>
  <c r="AE175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B259" i="14"/>
  <c r="AC14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260" i="14"/>
  <c r="W177" i="14"/>
  <c r="W175" i="14"/>
  <c r="V259" i="14"/>
  <c r="W14" i="14"/>
  <c r="V181" i="14"/>
  <c r="V179" i="14"/>
  <c r="V177" i="14"/>
  <c r="V260" i="14"/>
  <c r="V175" i="14"/>
  <c r="V14" i="14"/>
  <c r="U259" i="14"/>
  <c r="U181" i="14"/>
  <c r="U179" i="14"/>
  <c r="U177" i="14"/>
  <c r="U175" i="14"/>
  <c r="U260" i="14"/>
  <c r="T259" i="14"/>
  <c r="U14" i="14"/>
  <c r="T181" i="14"/>
  <c r="T179" i="14"/>
  <c r="T177" i="14"/>
  <c r="T175" i="14"/>
  <c r="T14" i="14"/>
  <c r="S259" i="14"/>
  <c r="S181" i="14"/>
  <c r="S179" i="14"/>
  <c r="S177" i="14"/>
  <c r="S175" i="14"/>
  <c r="R259" i="14"/>
  <c r="S14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O260" i="14"/>
  <c r="P14" i="14"/>
  <c r="O259" i="14"/>
  <c r="O181" i="14"/>
  <c r="O179" i="14"/>
  <c r="O177" i="14"/>
  <c r="O175" i="14"/>
  <c r="N259" i="14"/>
  <c r="O14" i="14"/>
  <c r="N181" i="14"/>
  <c r="N179" i="14"/>
  <c r="N177" i="14"/>
  <c r="N260" i="14"/>
  <c r="N175" i="14"/>
  <c r="N14" i="14"/>
  <c r="M259" i="14"/>
  <c r="M181" i="14"/>
  <c r="M179" i="14"/>
  <c r="M177" i="14"/>
  <c r="M175" i="14"/>
  <c r="M260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G260" i="14"/>
  <c r="H14" i="14"/>
  <c r="G259" i="14"/>
  <c r="G181" i="14"/>
  <c r="G179" i="14"/>
  <c r="G177" i="14"/>
  <c r="G175" i="14"/>
  <c r="F259" i="14"/>
  <c r="G14" i="14"/>
  <c r="F181" i="14"/>
  <c r="F179" i="14"/>
  <c r="F177" i="14"/>
  <c r="F260" i="14"/>
  <c r="F175" i="14"/>
  <c r="E259" i="14"/>
  <c r="F14" i="14"/>
  <c r="E181" i="14"/>
  <c r="E179" i="14"/>
  <c r="E177" i="14"/>
  <c r="E175" i="14"/>
  <c r="D259" i="14"/>
  <c r="E14" i="14"/>
  <c r="D181" i="14"/>
  <c r="D179" i="14"/>
  <c r="D177" i="14"/>
  <c r="D175" i="14"/>
  <c r="AY260" i="15"/>
  <c r="AZ14" i="15"/>
  <c r="AY259" i="15"/>
  <c r="AY181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V259" i="15"/>
  <c r="AW14" i="15"/>
  <c r="AV181" i="15"/>
  <c r="AV179" i="15"/>
  <c r="AV177" i="15"/>
  <c r="AV175" i="15"/>
  <c r="AU260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T14" i="15"/>
  <c r="AS259" i="15"/>
  <c r="AS181" i="15"/>
  <c r="AS179" i="15"/>
  <c r="AS177" i="15"/>
  <c r="AS175" i="15"/>
  <c r="AS260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Q260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L259" i="15"/>
  <c r="AM14" i="15"/>
  <c r="AL181" i="15"/>
  <c r="AL179" i="15"/>
  <c r="AL260" i="15"/>
  <c r="AL177" i="15"/>
  <c r="AL175" i="15"/>
  <c r="AL14" i="15"/>
  <c r="AK259" i="15"/>
  <c r="AK181" i="15"/>
  <c r="AK179" i="15"/>
  <c r="AK177" i="15"/>
  <c r="AK175" i="15"/>
  <c r="AK260" i="15"/>
  <c r="AJ259" i="15"/>
  <c r="AK14" i="15"/>
  <c r="AJ181" i="15"/>
  <c r="AJ179" i="15"/>
  <c r="AJ177" i="15"/>
  <c r="AJ175" i="15"/>
  <c r="AJ14" i="15"/>
  <c r="AI259" i="15"/>
  <c r="AI181" i="15"/>
  <c r="AI179" i="15"/>
  <c r="AI177" i="15"/>
  <c r="AI175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177" i="15"/>
  <c r="AG260" i="15"/>
  <c r="AG175" i="15"/>
  <c r="AG14" i="15"/>
  <c r="AF259" i="15"/>
  <c r="AF181" i="15"/>
  <c r="AF179" i="15"/>
  <c r="AF177" i="15"/>
  <c r="AF175" i="15"/>
  <c r="AE260" i="15"/>
  <c r="AF14" i="15"/>
  <c r="AE259" i="15"/>
  <c r="AE181" i="15"/>
  <c r="AE179" i="15"/>
  <c r="AE177" i="15"/>
  <c r="AE175" i="15"/>
  <c r="AD259" i="15"/>
  <c r="AE14" i="15"/>
  <c r="AD181" i="15"/>
  <c r="AD179" i="15"/>
  <c r="AD177" i="15"/>
  <c r="AD260" i="15"/>
  <c r="AD175" i="15"/>
  <c r="AD14" i="15"/>
  <c r="AC259" i="15"/>
  <c r="AC181" i="15"/>
  <c r="AC179" i="15"/>
  <c r="AC177" i="15"/>
  <c r="AC175" i="15"/>
  <c r="AC260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Y259" i="15"/>
  <c r="Z14" i="15"/>
  <c r="Y181" i="15"/>
  <c r="Y179" i="15"/>
  <c r="Y260" i="15"/>
  <c r="Y177" i="15"/>
  <c r="Y175" i="15"/>
  <c r="Y14" i="15"/>
  <c r="X259" i="15"/>
  <c r="X181" i="15"/>
  <c r="X179" i="15"/>
  <c r="X177" i="15"/>
  <c r="X175" i="15"/>
  <c r="W260" i="15"/>
  <c r="X14" i="15"/>
  <c r="W259" i="15"/>
  <c r="W181" i="15"/>
  <c r="W179" i="15"/>
  <c r="W177" i="15"/>
  <c r="W175" i="15"/>
  <c r="V259" i="15"/>
  <c r="W14" i="15"/>
  <c r="V181" i="15"/>
  <c r="V179" i="15"/>
  <c r="V177" i="15"/>
  <c r="V260" i="15"/>
  <c r="V175" i="15"/>
  <c r="U259" i="15"/>
  <c r="V14" i="15"/>
  <c r="U181" i="15"/>
  <c r="U179" i="15"/>
  <c r="U177" i="15"/>
  <c r="U175" i="15"/>
  <c r="T259" i="15"/>
  <c r="U14" i="15"/>
  <c r="T181" i="15"/>
  <c r="T179" i="15"/>
  <c r="T177" i="15"/>
  <c r="T175" i="15"/>
  <c r="S260" i="15"/>
  <c r="T14" i="15"/>
  <c r="S259" i="15"/>
  <c r="S181" i="15"/>
  <c r="S179" i="15"/>
  <c r="S177" i="15"/>
  <c r="S175" i="15"/>
  <c r="R259" i="15"/>
  <c r="S14" i="15"/>
  <c r="R181" i="15"/>
  <c r="R179" i="15"/>
  <c r="R260" i="15"/>
  <c r="R177" i="15"/>
  <c r="R175" i="15"/>
  <c r="Q259" i="15"/>
  <c r="R14" i="15"/>
  <c r="Q181" i="15"/>
  <c r="Q179" i="15"/>
  <c r="Q177" i="15"/>
  <c r="Q260" i="15"/>
  <c r="Q175" i="15"/>
  <c r="P259" i="15"/>
  <c r="Q14" i="15"/>
  <c r="P181" i="15"/>
  <c r="P179" i="15"/>
  <c r="P177" i="15"/>
  <c r="P175" i="15"/>
  <c r="P14" i="15"/>
  <c r="O259" i="15"/>
  <c r="O181" i="15"/>
  <c r="O260" i="15"/>
  <c r="O179" i="15"/>
  <c r="O177" i="15"/>
  <c r="O175" i="15"/>
  <c r="N259" i="15"/>
  <c r="O14" i="15"/>
  <c r="N181" i="15"/>
  <c r="N179" i="15"/>
  <c r="N260" i="15"/>
  <c r="N177" i="15"/>
  <c r="N175" i="15"/>
  <c r="N14" i="15"/>
  <c r="M259" i="15"/>
  <c r="M181" i="15"/>
  <c r="M179" i="15"/>
  <c r="M177" i="15"/>
  <c r="M175" i="15"/>
  <c r="M260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K260" i="15"/>
  <c r="J259" i="15"/>
  <c r="K14" i="15"/>
  <c r="J181" i="15"/>
  <c r="J179" i="15"/>
  <c r="J260" i="15"/>
  <c r="J177" i="15"/>
  <c r="J175" i="15"/>
  <c r="I259" i="15"/>
  <c r="J14" i="15"/>
  <c r="I181" i="15"/>
  <c r="I179" i="15"/>
  <c r="I260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F14" i="15"/>
  <c r="E259" i="15"/>
  <c r="E181" i="15"/>
  <c r="E179" i="15"/>
  <c r="E177" i="15"/>
  <c r="E175" i="15"/>
  <c r="E260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260" i="16"/>
  <c r="AU177" i="16"/>
  <c r="AU175" i="16"/>
  <c r="AT259" i="16"/>
  <c r="AU14" i="16"/>
  <c r="AT181" i="16"/>
  <c r="AT179" i="16"/>
  <c r="AT177" i="16"/>
  <c r="AT260" i="16"/>
  <c r="AT175" i="16"/>
  <c r="AT14" i="16"/>
  <c r="AS259" i="16"/>
  <c r="AS181" i="16"/>
  <c r="AS179" i="16"/>
  <c r="AS177" i="16"/>
  <c r="AS175" i="16"/>
  <c r="AS260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260" i="16"/>
  <c r="AM177" i="16"/>
  <c r="AM175" i="16"/>
  <c r="AL259" i="16"/>
  <c r="AM14" i="16"/>
  <c r="AL181" i="16"/>
  <c r="AL179" i="16"/>
  <c r="AL177" i="16"/>
  <c r="AL260" i="16"/>
  <c r="AL175" i="16"/>
  <c r="AK259" i="16"/>
  <c r="AL14" i="16"/>
  <c r="AK181" i="16"/>
  <c r="AK179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260" i="16"/>
  <c r="AI179" i="16"/>
  <c r="AI177" i="16"/>
  <c r="AI175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177" i="16"/>
  <c r="AG260" i="16"/>
  <c r="AG175" i="16"/>
  <c r="AF259" i="16"/>
  <c r="AG14" i="16"/>
  <c r="AF181" i="16"/>
  <c r="AF179" i="16"/>
  <c r="AF177" i="16"/>
  <c r="AF175" i="16"/>
  <c r="AF14" i="16"/>
  <c r="AE259" i="16"/>
  <c r="AE181" i="16"/>
  <c r="AE260" i="16"/>
  <c r="AE179" i="16"/>
  <c r="AE177" i="16"/>
  <c r="AE175" i="16"/>
  <c r="AD259" i="16"/>
  <c r="AE14" i="16"/>
  <c r="AD181" i="16"/>
  <c r="AD179" i="16"/>
  <c r="AD260" i="16"/>
  <c r="AD177" i="16"/>
  <c r="AD175" i="16"/>
  <c r="AD14" i="16"/>
  <c r="AC259" i="16"/>
  <c r="AC181" i="16"/>
  <c r="AC179" i="16"/>
  <c r="AC177" i="16"/>
  <c r="AC175" i="16"/>
  <c r="AC260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Z259" i="16"/>
  <c r="AA14" i="16"/>
  <c r="Z181" i="16"/>
  <c r="Z179" i="16"/>
  <c r="Z260" i="16"/>
  <c r="Z177" i="16"/>
  <c r="Z175" i="16"/>
  <c r="Y259" i="16"/>
  <c r="Z14" i="16"/>
  <c r="Y181" i="16"/>
  <c r="Y179" i="16"/>
  <c r="Y260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260" i="16"/>
  <c r="W177" i="16"/>
  <c r="W175" i="16"/>
  <c r="V259" i="16"/>
  <c r="W14" i="16"/>
  <c r="V181" i="16"/>
  <c r="V179" i="16"/>
  <c r="V177" i="16"/>
  <c r="V260" i="16"/>
  <c r="V175" i="16"/>
  <c r="U259" i="16"/>
  <c r="V14" i="16"/>
  <c r="U181" i="16"/>
  <c r="U179" i="16"/>
  <c r="U177" i="16"/>
  <c r="U175" i="16"/>
  <c r="T259" i="16"/>
  <c r="U14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260" i="16"/>
  <c r="R177" i="16"/>
  <c r="R175" i="16"/>
  <c r="Q259" i="16"/>
  <c r="R14" i="16"/>
  <c r="Q181" i="16"/>
  <c r="Q179" i="16"/>
  <c r="Q177" i="16"/>
  <c r="Q260" i="16"/>
  <c r="Q175" i="16"/>
  <c r="P259" i="16"/>
  <c r="Q14" i="16"/>
  <c r="P181" i="16"/>
  <c r="P179" i="16"/>
  <c r="P177" i="16"/>
  <c r="P175" i="16"/>
  <c r="P14" i="16"/>
  <c r="O259" i="16"/>
  <c r="O181" i="16"/>
  <c r="O260" i="16"/>
  <c r="O179" i="16"/>
  <c r="O177" i="16"/>
  <c r="O175" i="16"/>
  <c r="N259" i="16"/>
  <c r="O14" i="16"/>
  <c r="N181" i="16"/>
  <c r="N179" i="16"/>
  <c r="N260" i="16"/>
  <c r="N177" i="16"/>
  <c r="N175" i="16"/>
  <c r="N14" i="16"/>
  <c r="M259" i="16"/>
  <c r="M181" i="16"/>
  <c r="M179" i="16"/>
  <c r="M177" i="16"/>
  <c r="M175" i="16"/>
  <c r="M260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260" i="16"/>
  <c r="I175" i="16"/>
  <c r="I14" i="16"/>
  <c r="H259" i="16"/>
  <c r="H181" i="16"/>
  <c r="H179" i="16"/>
  <c r="H177" i="16"/>
  <c r="H175" i="16"/>
  <c r="G260" i="16"/>
  <c r="H14" i="16"/>
  <c r="G259" i="16"/>
  <c r="G181" i="16"/>
  <c r="G179" i="16"/>
  <c r="G177" i="16"/>
  <c r="G175" i="16"/>
  <c r="F259" i="16"/>
  <c r="G14" i="16"/>
  <c r="F181" i="16"/>
  <c r="F179" i="16"/>
  <c r="F177" i="16"/>
  <c r="F260" i="16"/>
  <c r="F175" i="16"/>
  <c r="E259" i="16"/>
  <c r="F14" i="16"/>
  <c r="E181" i="16"/>
  <c r="E179" i="16"/>
  <c r="E177" i="16"/>
  <c r="E175" i="16"/>
  <c r="D259" i="16"/>
  <c r="E14" i="16"/>
  <c r="D181" i="16"/>
  <c r="D179" i="16"/>
  <c r="D177" i="16"/>
  <c r="D175" i="16"/>
  <c r="AY14" i="17"/>
  <c r="AY15" i="17"/>
  <c r="AY16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0" i="17"/>
  <c r="AT13" i="17"/>
  <c r="AT17" i="17"/>
  <c r="AT29" i="17"/>
  <c r="AS14" i="17"/>
  <c r="AS10" i="17"/>
  <c r="AS13" i="17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0" i="17"/>
  <c r="AP13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0" i="17"/>
  <c r="AL13" i="17"/>
  <c r="AL15" i="17"/>
  <c r="AL16" i="17"/>
  <c r="AL17" i="17"/>
  <c r="AL29" i="17"/>
  <c r="AK14" i="17"/>
  <c r="AK10" i="17"/>
  <c r="AK13" i="17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6" i="17"/>
  <c r="AD10" i="17"/>
  <c r="AD13" i="17"/>
  <c r="AD17" i="17"/>
  <c r="AD29" i="17"/>
  <c r="AC14" i="17"/>
  <c r="AC10" i="17"/>
  <c r="AC13" i="17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Z15" i="17"/>
  <c r="Z16" i="17"/>
  <c r="Z17" i="17"/>
  <c r="Z29" i="17"/>
  <c r="Y14" i="17"/>
  <c r="Y10" i="17"/>
  <c r="Y13" i="17"/>
  <c r="Y15" i="17"/>
  <c r="Y16" i="17"/>
  <c r="Y17" i="17"/>
  <c r="Y29" i="17"/>
  <c r="X14" i="17"/>
  <c r="X15" i="17"/>
  <c r="X16" i="17"/>
  <c r="X17" i="17"/>
  <c r="X29" i="17"/>
  <c r="W14" i="17"/>
  <c r="W10" i="17"/>
  <c r="W13" i="17"/>
  <c r="W15" i="17"/>
  <c r="W16" i="17"/>
  <c r="W17" i="17"/>
  <c r="W29" i="17"/>
  <c r="V14" i="17"/>
  <c r="V15" i="17"/>
  <c r="V16" i="17"/>
  <c r="V17" i="17"/>
  <c r="V29" i="17"/>
  <c r="U14" i="17"/>
  <c r="U10" i="17"/>
  <c r="U13" i="17"/>
  <c r="U15" i="17"/>
  <c r="U16" i="17"/>
  <c r="U17" i="17"/>
  <c r="U29" i="17"/>
  <c r="T15" i="17"/>
  <c r="T10" i="17"/>
  <c r="T13" i="17"/>
  <c r="T17" i="17"/>
  <c r="T21" i="17"/>
  <c r="T22" i="17"/>
  <c r="T23" i="17"/>
  <c r="T29" i="17"/>
  <c r="T33" i="17"/>
  <c r="T39" i="17"/>
  <c r="T44" i="17"/>
  <c r="T50" i="17"/>
  <c r="T55" i="17"/>
  <c r="T61" i="17"/>
  <c r="S14" i="17"/>
  <c r="S15" i="17"/>
  <c r="T16" i="17"/>
  <c r="S16" i="17"/>
  <c r="S10" i="17"/>
  <c r="S13" i="17"/>
  <c r="T14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/>
  <c r="K17" i="17"/>
  <c r="K29" i="17"/>
  <c r="J14" i="17"/>
  <c r="J10" i="17"/>
  <c r="J13" i="17"/>
  <c r="J15" i="17"/>
  <c r="J16" i="17"/>
  <c r="J17" i="17"/>
  <c r="J29" i="17"/>
  <c r="I17" i="17"/>
  <c r="I21" i="17"/>
  <c r="I22" i="17"/>
  <c r="I23" i="17"/>
  <c r="I29" i="17"/>
  <c r="I33" i="17"/>
  <c r="I44" i="17"/>
  <c r="I50" i="17"/>
  <c r="I55" i="17"/>
  <c r="H14" i="17"/>
  <c r="I15" i="17"/>
  <c r="H15" i="17"/>
  <c r="I16" i="17"/>
  <c r="H16" i="17"/>
  <c r="H17" i="17"/>
  <c r="H29" i="17"/>
  <c r="G14" i="17"/>
  <c r="G15" i="17"/>
  <c r="G16" i="17"/>
  <c r="G17" i="17"/>
  <c r="G29" i="17"/>
  <c r="F14" i="17"/>
  <c r="F10" i="17"/>
  <c r="F13" i="17"/>
  <c r="F15" i="17"/>
  <c r="F16" i="17"/>
  <c r="F17" i="17"/>
  <c r="F29" i="17"/>
  <c r="E14" i="17"/>
  <c r="E15" i="17"/>
  <c r="E16" i="17"/>
  <c r="E17" i="17"/>
  <c r="E29" i="17"/>
  <c r="D14" i="17"/>
  <c r="D10" i="17"/>
  <c r="D15" i="17"/>
  <c r="D16" i="17"/>
  <c r="D17" i="17"/>
  <c r="D27" i="17"/>
  <c r="D29" i="17"/>
  <c r="D30" i="17"/>
  <c r="AY14" i="18"/>
  <c r="AY10" i="18"/>
  <c r="AY13" i="18"/>
  <c r="AY15" i="18"/>
  <c r="AY16" i="18"/>
  <c r="AY17" i="18"/>
  <c r="AY29" i="18"/>
  <c r="AX14" i="18"/>
  <c r="AX15" i="18"/>
  <c r="AX16" i="18"/>
  <c r="AX10" i="18"/>
  <c r="AX13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7" i="18"/>
  <c r="AS21" i="18"/>
  <c r="AS22" i="18"/>
  <c r="AS34" i="18"/>
  <c r="AS23" i="18"/>
  <c r="AS24" i="18"/>
  <c r="AS29" i="18"/>
  <c r="AS33" i="18"/>
  <c r="AS35" i="18"/>
  <c r="AS39" i="18"/>
  <c r="AS40" i="18"/>
  <c r="AS44" i="18"/>
  <c r="AS45" i="18"/>
  <c r="AS51" i="18"/>
  <c r="AS46" i="18"/>
  <c r="AS50" i="18"/>
  <c r="AS55" i="18"/>
  <c r="AS61" i="18"/>
  <c r="AS56" i="18"/>
  <c r="AS62" i="18"/>
  <c r="AS57" i="18"/>
  <c r="AR14" i="18"/>
  <c r="AR10" i="18"/>
  <c r="AR13" i="18"/>
  <c r="AS14" i="18"/>
  <c r="AR15" i="18"/>
  <c r="AS16" i="18"/>
  <c r="AR16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0" i="18"/>
  <c r="AK13" i="18"/>
  <c r="AK15" i="18"/>
  <c r="AK16" i="18"/>
  <c r="AK17" i="18"/>
  <c r="AK29" i="18"/>
  <c r="AJ14" i="18"/>
  <c r="AJ15" i="18"/>
  <c r="AJ16" i="18"/>
  <c r="AJ10" i="18"/>
  <c r="AJ13" i="18"/>
  <c r="AJ17" i="18"/>
  <c r="AJ29" i="18"/>
  <c r="AI14" i="18"/>
  <c r="AI10" i="18"/>
  <c r="AI13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0" i="18"/>
  <c r="AE13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0" i="18"/>
  <c r="AB13" i="18"/>
  <c r="AB17" i="18"/>
  <c r="AB29" i="18"/>
  <c r="AA14" i="18"/>
  <c r="AA10" i="18"/>
  <c r="AA13" i="18"/>
  <c r="AA15" i="18"/>
  <c r="AA16" i="18"/>
  <c r="AA17" i="18"/>
  <c r="AA29" i="18"/>
  <c r="Z14" i="18"/>
  <c r="Z15" i="18"/>
  <c r="Z16" i="18"/>
  <c r="Z10" i="18"/>
  <c r="Z13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0" i="18"/>
  <c r="W13" i="18"/>
  <c r="W15" i="18"/>
  <c r="W16" i="18"/>
  <c r="W17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0" i="18"/>
  <c r="T13" i="18"/>
  <c r="T17" i="18"/>
  <c r="T29" i="18"/>
  <c r="S14" i="18"/>
  <c r="S10" i="18"/>
  <c r="S13" i="18"/>
  <c r="S15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5" i="18"/>
  <c r="P16" i="18"/>
  <c r="P10" i="18"/>
  <c r="P13" i="18"/>
  <c r="P17" i="18"/>
  <c r="P29" i="18"/>
  <c r="O14" i="18"/>
  <c r="O10" i="18"/>
  <c r="O13" i="18"/>
  <c r="O15" i="18"/>
  <c r="O16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5" i="18"/>
  <c r="L16" i="18"/>
  <c r="L10" i="18"/>
  <c r="L13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0" i="18"/>
  <c r="H13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0" i="18"/>
  <c r="F13" i="18"/>
  <c r="F17" i="18"/>
  <c r="F29" i="18"/>
  <c r="E14" i="18"/>
  <c r="E10" i="18"/>
  <c r="E13" i="18"/>
  <c r="E15" i="18"/>
  <c r="E16" i="18"/>
  <c r="E17" i="18"/>
  <c r="E29" i="18"/>
  <c r="D14" i="18"/>
  <c r="D15" i="18"/>
  <c r="D16" i="18"/>
  <c r="D10" i="18"/>
  <c r="D17" i="18"/>
  <c r="D23" i="18"/>
  <c r="D27" i="18"/>
  <c r="D29" i="18"/>
  <c r="D30" i="18"/>
  <c r="D55" i="18"/>
  <c r="D61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I21" i="18"/>
  <c r="I22" i="18"/>
  <c r="J21" i="18"/>
  <c r="J22" i="18"/>
  <c r="Q21" i="18"/>
  <c r="Q22" i="18"/>
  <c r="R21" i="18"/>
  <c r="R22" i="18"/>
  <c r="Y21" i="18"/>
  <c r="Y22" i="18"/>
  <c r="Z21" i="18"/>
  <c r="Z22" i="18"/>
  <c r="AG21" i="18"/>
  <c r="AG22" i="18"/>
  <c r="AH21" i="18"/>
  <c r="AH22" i="18"/>
  <c r="AO21" i="18"/>
  <c r="AO22" i="18"/>
  <c r="AP21" i="18"/>
  <c r="AP22" i="18"/>
  <c r="AX21" i="18"/>
  <c r="AX22" i="18"/>
  <c r="G21" i="17"/>
  <c r="G22" i="17"/>
  <c r="K21" i="17"/>
  <c r="K22" i="17"/>
  <c r="S21" i="17"/>
  <c r="S22" i="17"/>
  <c r="AD21" i="17"/>
  <c r="AD22" i="17"/>
  <c r="AG21" i="17"/>
  <c r="AG22" i="17"/>
  <c r="AM21" i="17"/>
  <c r="AM22" i="17"/>
  <c r="AU21" i="17"/>
  <c r="AU22" i="17"/>
  <c r="G21" i="18"/>
  <c r="H21" i="18"/>
  <c r="H22" i="18"/>
  <c r="O21" i="18"/>
  <c r="P21" i="18"/>
  <c r="P22" i="18"/>
  <c r="W21" i="18"/>
  <c r="X21" i="18"/>
  <c r="X22" i="18"/>
  <c r="AE21" i="18"/>
  <c r="AF21" i="18"/>
  <c r="AF22" i="18"/>
  <c r="AM21" i="18"/>
  <c r="AN21" i="18"/>
  <c r="AN22" i="18"/>
  <c r="AR21" i="18"/>
  <c r="AS10" i="18"/>
  <c r="AS13" i="18"/>
  <c r="X21" i="17"/>
  <c r="X22" i="17"/>
  <c r="AT21" i="17"/>
  <c r="AT22" i="17"/>
  <c r="AW21" i="17"/>
  <c r="AW22" i="17"/>
  <c r="F21" i="18"/>
  <c r="F22" i="18"/>
  <c r="M21" i="18"/>
  <c r="M22" i="18"/>
  <c r="N21" i="18"/>
  <c r="N22" i="18"/>
  <c r="U21" i="18"/>
  <c r="U22" i="18"/>
  <c r="V21" i="18"/>
  <c r="V22" i="18"/>
  <c r="AC21" i="18"/>
  <c r="AC22" i="18"/>
  <c r="AD21" i="18"/>
  <c r="AD22" i="18"/>
  <c r="AK21" i="18"/>
  <c r="AK22" i="18"/>
  <c r="AL21" i="18"/>
  <c r="AL22" i="18"/>
  <c r="AU21" i="18"/>
  <c r="AU22" i="18"/>
  <c r="AV21" i="18"/>
  <c r="AV22" i="18"/>
  <c r="D13" i="17"/>
  <c r="AO21" i="17"/>
  <c r="AO22" i="17"/>
  <c r="K21" i="18"/>
  <c r="K22" i="18"/>
  <c r="L21" i="18"/>
  <c r="L22" i="18"/>
  <c r="S21" i="18"/>
  <c r="S22" i="18"/>
  <c r="T21" i="18"/>
  <c r="T22" i="18"/>
  <c r="AA21" i="18"/>
  <c r="AA22" i="18"/>
  <c r="AB21" i="18"/>
  <c r="AB22" i="18"/>
  <c r="AI21" i="18"/>
  <c r="AI22" i="18"/>
  <c r="AJ21" i="18"/>
  <c r="AJ22" i="18"/>
  <c r="AQ21" i="18"/>
  <c r="AQ22" i="18"/>
  <c r="V21" i="17"/>
  <c r="V22" i="17"/>
  <c r="Z22" i="17"/>
  <c r="Z21" i="17"/>
  <c r="AE21" i="17"/>
  <c r="AE22" i="17"/>
  <c r="AL21" i="17"/>
  <c r="AL22" i="17"/>
  <c r="B22" i="17"/>
  <c r="D22" i="17"/>
  <c r="D21" i="17"/>
  <c r="AY21" i="18"/>
  <c r="AY22" i="18"/>
  <c r="R21" i="17"/>
  <c r="R22" i="17"/>
  <c r="AA21" i="17"/>
  <c r="AA22" i="17"/>
  <c r="AB22" i="17"/>
  <c r="AH22" i="17"/>
  <c r="AP21" i="17"/>
  <c r="AQ21" i="17"/>
  <c r="AQ22" i="17"/>
  <c r="AR22" i="17"/>
  <c r="AX22" i="17"/>
  <c r="AW21" i="18"/>
  <c r="AW22" i="18"/>
  <c r="P21" i="17"/>
  <c r="P22" i="17"/>
  <c r="P10" i="17"/>
  <c r="P13" i="17"/>
  <c r="X10" i="17"/>
  <c r="X13" i="17"/>
  <c r="AF22" i="17"/>
  <c r="AF21" i="17"/>
  <c r="AJ21" i="17"/>
  <c r="AV22" i="17"/>
  <c r="AV21" i="17"/>
  <c r="X260" i="15"/>
  <c r="S260" i="14"/>
  <c r="E27" i="18"/>
  <c r="AZ17" i="18"/>
  <c r="E10" i="17"/>
  <c r="E13" i="17"/>
  <c r="G10" i="17"/>
  <c r="G13" i="17"/>
  <c r="H10" i="17"/>
  <c r="H13" i="17"/>
  <c r="I14" i="17"/>
  <c r="I10" i="17"/>
  <c r="I13" i="17"/>
  <c r="N21" i="17"/>
  <c r="N22" i="17"/>
  <c r="N10" i="17"/>
  <c r="N13" i="17"/>
  <c r="U21" i="17"/>
  <c r="U22" i="17"/>
  <c r="V10" i="17"/>
  <c r="V13" i="17"/>
  <c r="AH21" i="17"/>
  <c r="AH10" i="17"/>
  <c r="AH13" i="17"/>
  <c r="AJ22" i="17"/>
  <c r="AP22" i="17"/>
  <c r="AX21" i="17"/>
  <c r="AX10" i="17"/>
  <c r="AX13" i="17"/>
  <c r="AI260" i="15"/>
  <c r="S31" i="20"/>
  <c r="T32" i="20"/>
  <c r="S7" i="20"/>
  <c r="H7" i="20"/>
  <c r="S9" i="20"/>
  <c r="H9" i="20"/>
  <c r="BA14" i="15"/>
  <c r="D44" i="18"/>
  <c r="D33" i="18"/>
  <c r="D13" i="18"/>
  <c r="AS15" i="18"/>
  <c r="I61" i="17"/>
  <c r="I57" i="17"/>
  <c r="I39" i="17"/>
  <c r="I34" i="17"/>
  <c r="I40" i="17"/>
  <c r="I24" i="17"/>
  <c r="I45" i="17"/>
  <c r="I56" i="17"/>
  <c r="I62" i="17"/>
  <c r="L21" i="17"/>
  <c r="L22" i="17"/>
  <c r="L10" i="17"/>
  <c r="L13" i="17"/>
  <c r="T34" i="17"/>
  <c r="T24" i="17"/>
  <c r="T45" i="17"/>
  <c r="T56" i="17"/>
  <c r="AB21" i="17"/>
  <c r="AN22" i="17"/>
  <c r="AN21" i="17"/>
  <c r="AR21" i="17"/>
  <c r="AZ259" i="16"/>
  <c r="AV260" i="16"/>
  <c r="Z260" i="15"/>
  <c r="AF260" i="15"/>
  <c r="AM260" i="15"/>
  <c r="K260" i="14"/>
  <c r="T43" i="20"/>
  <c r="AB10" i="17"/>
  <c r="AB13" i="17"/>
  <c r="AJ10" i="17"/>
  <c r="AJ13" i="17"/>
  <c r="AR10" i="17"/>
  <c r="AR13" i="17"/>
  <c r="AY10" i="17"/>
  <c r="AY13" i="17"/>
  <c r="K260" i="16"/>
  <c r="BA14" i="14"/>
  <c r="H260" i="14"/>
  <c r="P260" i="14"/>
  <c r="AQ260" i="14"/>
  <c r="E27" i="17"/>
  <c r="AZ17" i="17"/>
  <c r="BA14" i="16"/>
  <c r="H260" i="16"/>
  <c r="P260" i="16"/>
  <c r="U260" i="16"/>
  <c r="AQ260" i="16"/>
  <c r="AZ259" i="15"/>
  <c r="G260" i="15"/>
  <c r="AN260" i="15"/>
  <c r="AZ259" i="14"/>
  <c r="Z260" i="14"/>
  <c r="AC260" i="14"/>
  <c r="AN260" i="14"/>
  <c r="AV260" i="14"/>
  <c r="S10" i="20"/>
  <c r="H10" i="20"/>
  <c r="E260" i="16"/>
  <c r="AF260" i="16"/>
  <c r="AK260" i="16"/>
  <c r="P260" i="15"/>
  <c r="U260" i="15"/>
  <c r="AV260" i="15"/>
  <c r="E260" i="14"/>
  <c r="AF260" i="14"/>
  <c r="AK260" i="14"/>
  <c r="D260" i="16"/>
  <c r="AZ260" i="16"/>
  <c r="L260" i="16"/>
  <c r="T260" i="16"/>
  <c r="AB260" i="16"/>
  <c r="AJ260" i="16"/>
  <c r="AR260" i="16"/>
  <c r="D260" i="15"/>
  <c r="L260" i="15"/>
  <c r="T260" i="15"/>
  <c r="AB260" i="15"/>
  <c r="AJ260" i="15"/>
  <c r="AR260" i="15"/>
  <c r="D260" i="14"/>
  <c r="AZ260" i="14"/>
  <c r="L260" i="14"/>
  <c r="T260" i="14"/>
  <c r="AB260" i="14"/>
  <c r="AJ260" i="14"/>
  <c r="AR260" i="14"/>
  <c r="B22" i="18"/>
  <c r="D22" i="18"/>
  <c r="T51" i="17"/>
  <c r="T46" i="17"/>
  <c r="D39" i="18"/>
  <c r="W21" i="17"/>
  <c r="W22" i="17"/>
  <c r="Y21" i="17"/>
  <c r="Y22" i="17"/>
  <c r="AB24" i="17"/>
  <c r="AB56" i="17"/>
  <c r="AB62" i="17"/>
  <c r="AB45" i="17"/>
  <c r="AB51" i="17"/>
  <c r="AB34" i="17"/>
  <c r="AB40" i="17"/>
  <c r="AL33" i="17"/>
  <c r="AL44" i="17"/>
  <c r="AL23" i="17"/>
  <c r="AL55" i="17"/>
  <c r="K44" i="18"/>
  <c r="K55" i="18"/>
  <c r="K23" i="18"/>
  <c r="K33" i="18"/>
  <c r="Q44" i="18"/>
  <c r="Q55" i="18"/>
  <c r="Q23" i="18"/>
  <c r="Q33" i="18"/>
  <c r="L44" i="17"/>
  <c r="L55" i="17"/>
  <c r="L23" i="17"/>
  <c r="L33" i="17"/>
  <c r="R34" i="18"/>
  <c r="R40" i="18"/>
  <c r="R24" i="18"/>
  <c r="R45" i="18"/>
  <c r="R51" i="18"/>
  <c r="R56" i="18"/>
  <c r="R62" i="18"/>
  <c r="D34" i="18"/>
  <c r="D40" i="18"/>
  <c r="D24" i="18"/>
  <c r="D45" i="18"/>
  <c r="D51" i="18"/>
  <c r="D56" i="18"/>
  <c r="AZ260" i="15"/>
  <c r="F27" i="17"/>
  <c r="E30" i="17"/>
  <c r="AK21" i="17"/>
  <c r="AK22" i="17"/>
  <c r="AB33" i="17"/>
  <c r="AB44" i="17"/>
  <c r="AB55" i="17"/>
  <c r="AB23" i="17"/>
  <c r="T35" i="17"/>
  <c r="T40" i="17"/>
  <c r="D46" i="18"/>
  <c r="D50" i="18"/>
  <c r="AY22" i="17"/>
  <c r="AY21" i="17"/>
  <c r="AI21" i="17"/>
  <c r="AI22" i="17"/>
  <c r="U44" i="17"/>
  <c r="U55" i="17"/>
  <c r="U33" i="17"/>
  <c r="U23" i="17"/>
  <c r="J21" i="17"/>
  <c r="J22" i="17"/>
  <c r="AF33" i="17"/>
  <c r="AF44" i="17"/>
  <c r="AF55" i="17"/>
  <c r="AF23" i="17"/>
  <c r="P34" i="17"/>
  <c r="P40" i="17"/>
  <c r="P45" i="17"/>
  <c r="P51" i="17"/>
  <c r="P56" i="17"/>
  <c r="P62" i="17"/>
  <c r="P24" i="17"/>
  <c r="AX24" i="17"/>
  <c r="AX34" i="17"/>
  <c r="AX40" i="17"/>
  <c r="AX45" i="17"/>
  <c r="AX51" i="17"/>
  <c r="AX56" i="17"/>
  <c r="AX62" i="17"/>
  <c r="AP33" i="17"/>
  <c r="AP23" i="17"/>
  <c r="AP55" i="17"/>
  <c r="AP44" i="17"/>
  <c r="AA33" i="17"/>
  <c r="AA23" i="17"/>
  <c r="AA44" i="17"/>
  <c r="AA55" i="17"/>
  <c r="AY44" i="18"/>
  <c r="AY55" i="18"/>
  <c r="AY23" i="18"/>
  <c r="AY33" i="18"/>
  <c r="D34" i="17"/>
  <c r="D40" i="17"/>
  <c r="D56" i="17"/>
  <c r="D62" i="17"/>
  <c r="D45" i="17"/>
  <c r="D51" i="17"/>
  <c r="D24" i="17"/>
  <c r="AE33" i="17"/>
  <c r="AE23" i="17"/>
  <c r="AE55" i="17"/>
  <c r="AE44" i="17"/>
  <c r="V44" i="17"/>
  <c r="V23" i="17"/>
  <c r="V33" i="17"/>
  <c r="V55" i="17"/>
  <c r="AJ44" i="18"/>
  <c r="AJ55" i="18"/>
  <c r="AJ23" i="18"/>
  <c r="AJ33" i="18"/>
  <c r="AB44" i="18"/>
  <c r="AB55" i="18"/>
  <c r="AB23" i="18"/>
  <c r="AB33" i="18"/>
  <c r="T44" i="18"/>
  <c r="T55" i="18"/>
  <c r="T23" i="18"/>
  <c r="T33" i="18"/>
  <c r="L44" i="18"/>
  <c r="L55" i="18"/>
  <c r="L23" i="18"/>
  <c r="L33" i="18"/>
  <c r="AO33" i="17"/>
  <c r="AO55" i="17"/>
  <c r="AO44" i="17"/>
  <c r="AO23" i="17"/>
  <c r="AV44" i="18"/>
  <c r="AV33" i="18"/>
  <c r="AV23" i="18"/>
  <c r="AV55" i="18"/>
  <c r="AL44" i="18"/>
  <c r="AL55" i="18"/>
  <c r="AL23" i="18"/>
  <c r="AL33" i="18"/>
  <c r="AD44" i="18"/>
  <c r="AD55" i="18"/>
  <c r="AD23" i="18"/>
  <c r="AD33" i="18"/>
  <c r="V44" i="18"/>
  <c r="V55" i="18"/>
  <c r="V23" i="18"/>
  <c r="V33" i="18"/>
  <c r="N44" i="18"/>
  <c r="N55" i="18"/>
  <c r="N23" i="18"/>
  <c r="N33" i="18"/>
  <c r="F44" i="18"/>
  <c r="F55" i="18"/>
  <c r="F23" i="18"/>
  <c r="F33" i="18"/>
  <c r="AT33" i="17"/>
  <c r="AT44" i="17"/>
  <c r="AT55" i="17"/>
  <c r="AT23" i="17"/>
  <c r="AR22" i="18"/>
  <c r="AM22" i="18"/>
  <c r="AE22" i="18"/>
  <c r="W22" i="18"/>
  <c r="O22" i="18"/>
  <c r="G22" i="18"/>
  <c r="AU33" i="17"/>
  <c r="AU23" i="17"/>
  <c r="AU55" i="17"/>
  <c r="AU44" i="17"/>
  <c r="AG33" i="17"/>
  <c r="AG55" i="17"/>
  <c r="AG44" i="17"/>
  <c r="AG23" i="17"/>
  <c r="S44" i="17"/>
  <c r="S55" i="17"/>
  <c r="S33" i="17"/>
  <c r="S23" i="17"/>
  <c r="G44" i="17"/>
  <c r="G23" i="17"/>
  <c r="G33" i="17"/>
  <c r="G55" i="17"/>
  <c r="AP44" i="18"/>
  <c r="AP55" i="18"/>
  <c r="AP23" i="18"/>
  <c r="AP33" i="18"/>
  <c r="AH44" i="18"/>
  <c r="AH55" i="18"/>
  <c r="AH23" i="18"/>
  <c r="AH33" i="18"/>
  <c r="Z44" i="18"/>
  <c r="Z55" i="18"/>
  <c r="Z23" i="18"/>
  <c r="Z33" i="18"/>
  <c r="R44" i="18"/>
  <c r="R55" i="18"/>
  <c r="R23" i="18"/>
  <c r="R33" i="18"/>
  <c r="J44" i="18"/>
  <c r="J55" i="18"/>
  <c r="J23" i="18"/>
  <c r="J33" i="18"/>
  <c r="AN33" i="17"/>
  <c r="AN44" i="17"/>
  <c r="AN55" i="17"/>
  <c r="AN23" i="17"/>
  <c r="L34" i="17"/>
  <c r="L40" i="17"/>
  <c r="L45" i="17"/>
  <c r="L51" i="17"/>
  <c r="L56" i="17"/>
  <c r="L62" i="17"/>
  <c r="L24" i="17"/>
  <c r="AP24" i="17"/>
  <c r="AP34" i="17"/>
  <c r="AP40" i="17"/>
  <c r="AP56" i="17"/>
  <c r="AP62" i="17"/>
  <c r="AP45" i="17"/>
  <c r="AP51" i="17"/>
  <c r="N34" i="17"/>
  <c r="N40" i="17"/>
  <c r="N45" i="17"/>
  <c r="N51" i="17"/>
  <c r="N56" i="17"/>
  <c r="N62" i="17"/>
  <c r="N24" i="17"/>
  <c r="F21" i="17"/>
  <c r="F22" i="17"/>
  <c r="AV24" i="17"/>
  <c r="AV34" i="17"/>
  <c r="AV40" i="17"/>
  <c r="AV45" i="17"/>
  <c r="AV51" i="17"/>
  <c r="AV56" i="17"/>
  <c r="AV62" i="17"/>
  <c r="AW34" i="18"/>
  <c r="AW40" i="18"/>
  <c r="AW24" i="18"/>
  <c r="AW56" i="18"/>
  <c r="AW62" i="18"/>
  <c r="AW45" i="18"/>
  <c r="AW51" i="18"/>
  <c r="AQ24" i="17"/>
  <c r="AQ34" i="17"/>
  <c r="AQ40" i="17"/>
  <c r="AQ45" i="17"/>
  <c r="AQ51" i="17"/>
  <c r="AQ56" i="17"/>
  <c r="AQ62" i="17"/>
  <c r="R44" i="17"/>
  <c r="R55" i="17"/>
  <c r="R23" i="17"/>
  <c r="R33" i="17"/>
  <c r="Z24" i="17"/>
  <c r="Z34" i="17"/>
  <c r="Z40" i="17"/>
  <c r="Z45" i="17"/>
  <c r="Z51" i="17"/>
  <c r="Z56" i="17"/>
  <c r="Z62" i="17"/>
  <c r="AQ44" i="18"/>
  <c r="AQ55" i="18"/>
  <c r="AQ23" i="18"/>
  <c r="AQ33" i="18"/>
  <c r="AI44" i="18"/>
  <c r="AI55" i="18"/>
  <c r="AI23" i="18"/>
  <c r="AI33" i="18"/>
  <c r="AA44" i="18"/>
  <c r="AA55" i="18"/>
  <c r="AA23" i="18"/>
  <c r="AA33" i="18"/>
  <c r="S44" i="18"/>
  <c r="S55" i="18"/>
  <c r="S23" i="18"/>
  <c r="S33" i="18"/>
  <c r="AZ10" i="17"/>
  <c r="AU44" i="18"/>
  <c r="AU55" i="18"/>
  <c r="AU33" i="18"/>
  <c r="AU23" i="18"/>
  <c r="AK44" i="18"/>
  <c r="AK55" i="18"/>
  <c r="AK23" i="18"/>
  <c r="AK33" i="18"/>
  <c r="AC44" i="18"/>
  <c r="AC55" i="18"/>
  <c r="AC23" i="18"/>
  <c r="AC33" i="18"/>
  <c r="U44" i="18"/>
  <c r="U55" i="18"/>
  <c r="U23" i="18"/>
  <c r="U33" i="18"/>
  <c r="M44" i="18"/>
  <c r="M55" i="18"/>
  <c r="M23" i="18"/>
  <c r="M33" i="18"/>
  <c r="AW33" i="17"/>
  <c r="AW55" i="17"/>
  <c r="AW44" i="17"/>
  <c r="AW23" i="17"/>
  <c r="X44" i="17"/>
  <c r="X23" i="17"/>
  <c r="X33" i="17"/>
  <c r="X55" i="17"/>
  <c r="AN34" i="18"/>
  <c r="AN40" i="18"/>
  <c r="AN24" i="18"/>
  <c r="AN45" i="18"/>
  <c r="AN51" i="18"/>
  <c r="AN56" i="18"/>
  <c r="AN62" i="18"/>
  <c r="AF34" i="18"/>
  <c r="AF40" i="18"/>
  <c r="AF24" i="18"/>
  <c r="AF45" i="18"/>
  <c r="AF51" i="18"/>
  <c r="AF56" i="18"/>
  <c r="AF62" i="18"/>
  <c r="X34" i="18"/>
  <c r="X40" i="18"/>
  <c r="X24" i="18"/>
  <c r="X45" i="18"/>
  <c r="X51" i="18"/>
  <c r="X56" i="18"/>
  <c r="X62" i="18"/>
  <c r="P34" i="18"/>
  <c r="P40" i="18"/>
  <c r="P24" i="18"/>
  <c r="P45" i="18"/>
  <c r="P51" i="18"/>
  <c r="P56" i="18"/>
  <c r="P62" i="18"/>
  <c r="H34" i="18"/>
  <c r="H40" i="18"/>
  <c r="H24" i="18"/>
  <c r="H45" i="18"/>
  <c r="H51" i="18"/>
  <c r="H56" i="18"/>
  <c r="H62" i="18"/>
  <c r="AM33" i="17"/>
  <c r="AM23" i="17"/>
  <c r="AM55" i="17"/>
  <c r="AM44" i="17"/>
  <c r="AD33" i="17"/>
  <c r="AD44" i="17"/>
  <c r="AD55" i="17"/>
  <c r="AD23" i="17"/>
  <c r="K44" i="17"/>
  <c r="K55" i="17"/>
  <c r="K33" i="17"/>
  <c r="K23" i="17"/>
  <c r="AX44" i="18"/>
  <c r="AX33" i="18"/>
  <c r="AX23" i="18"/>
  <c r="AX55" i="18"/>
  <c r="AO44" i="18"/>
  <c r="AO55" i="18"/>
  <c r="AO23" i="18"/>
  <c r="AO33" i="18"/>
  <c r="AG44" i="18"/>
  <c r="AG55" i="18"/>
  <c r="AG23" i="18"/>
  <c r="AG33" i="18"/>
  <c r="Y44" i="18"/>
  <c r="Y55" i="18"/>
  <c r="Y23" i="18"/>
  <c r="Y33" i="18"/>
  <c r="I44" i="18"/>
  <c r="I55" i="18"/>
  <c r="I23" i="18"/>
  <c r="I33" i="18"/>
  <c r="AS21" i="17"/>
  <c r="AS22" i="17"/>
  <c r="AN24" i="17"/>
  <c r="AN34" i="17"/>
  <c r="AN40" i="17"/>
  <c r="AN56" i="17"/>
  <c r="AN62" i="17"/>
  <c r="AN45" i="17"/>
  <c r="AN51" i="17"/>
  <c r="AJ24" i="17"/>
  <c r="AJ56" i="17"/>
  <c r="AJ62" i="17"/>
  <c r="AJ45" i="17"/>
  <c r="AJ51" i="17"/>
  <c r="AJ34" i="17"/>
  <c r="AJ40" i="17"/>
  <c r="U34" i="17"/>
  <c r="U40" i="17"/>
  <c r="U24" i="17"/>
  <c r="U45" i="17"/>
  <c r="U51" i="17"/>
  <c r="U56" i="17"/>
  <c r="U62" i="17"/>
  <c r="N44" i="17"/>
  <c r="N55" i="17"/>
  <c r="N23" i="17"/>
  <c r="N33" i="17"/>
  <c r="AJ33" i="17"/>
  <c r="AJ44" i="17"/>
  <c r="AJ55" i="17"/>
  <c r="AJ23" i="17"/>
  <c r="Q21" i="17"/>
  <c r="Q22" i="17"/>
  <c r="AW44" i="18"/>
  <c r="AW55" i="18"/>
  <c r="AW33" i="18"/>
  <c r="AW23" i="18"/>
  <c r="AQ33" i="17"/>
  <c r="AQ23" i="17"/>
  <c r="AQ44" i="17"/>
  <c r="AQ55" i="17"/>
  <c r="AA24" i="17"/>
  <c r="AA34" i="17"/>
  <c r="AA40" i="17"/>
  <c r="AA45" i="17"/>
  <c r="AA51" i="17"/>
  <c r="AA56" i="17"/>
  <c r="AA62" i="17"/>
  <c r="AY34" i="18"/>
  <c r="AY40" i="18"/>
  <c r="AY24" i="18"/>
  <c r="AY56" i="18"/>
  <c r="AY62" i="18"/>
  <c r="AY45" i="18"/>
  <c r="AY51" i="18"/>
  <c r="D44" i="17"/>
  <c r="D23" i="17"/>
  <c r="D33" i="17"/>
  <c r="D55" i="17"/>
  <c r="AE24" i="17"/>
  <c r="AE34" i="17"/>
  <c r="AE40" i="17"/>
  <c r="AE45" i="17"/>
  <c r="AE51" i="17"/>
  <c r="AE56" i="17"/>
  <c r="AE62" i="17"/>
  <c r="V34" i="17"/>
  <c r="V40" i="17"/>
  <c r="V45" i="17"/>
  <c r="V51" i="17"/>
  <c r="V56" i="17"/>
  <c r="V62" i="17"/>
  <c r="V24" i="17"/>
  <c r="AJ34" i="18"/>
  <c r="AJ40" i="18"/>
  <c r="AJ24" i="18"/>
  <c r="AJ45" i="18"/>
  <c r="AJ51" i="18"/>
  <c r="AJ56" i="18"/>
  <c r="AJ62" i="18"/>
  <c r="AB34" i="18"/>
  <c r="AB40" i="18"/>
  <c r="AB24" i="18"/>
  <c r="AB45" i="18"/>
  <c r="AB51" i="18"/>
  <c r="AB56" i="18"/>
  <c r="AB62" i="18"/>
  <c r="T34" i="18"/>
  <c r="T40" i="18"/>
  <c r="T24" i="18"/>
  <c r="T45" i="18"/>
  <c r="T51" i="18"/>
  <c r="T56" i="18"/>
  <c r="T62" i="18"/>
  <c r="L34" i="18"/>
  <c r="L40" i="18"/>
  <c r="L24" i="18"/>
  <c r="L45" i="18"/>
  <c r="L51" i="18"/>
  <c r="L56" i="18"/>
  <c r="L62" i="18"/>
  <c r="AO24" i="17"/>
  <c r="AO56" i="17"/>
  <c r="AO62" i="17"/>
  <c r="AO45" i="17"/>
  <c r="AO51" i="17"/>
  <c r="AO34" i="17"/>
  <c r="AO40" i="17"/>
  <c r="AV34" i="18"/>
  <c r="AV40" i="18"/>
  <c r="AV24" i="18"/>
  <c r="AV56" i="18"/>
  <c r="AV62" i="18"/>
  <c r="AV45" i="18"/>
  <c r="AV51" i="18"/>
  <c r="AL34" i="18"/>
  <c r="AL40" i="18"/>
  <c r="AL24" i="18"/>
  <c r="AL45" i="18"/>
  <c r="AL51" i="18"/>
  <c r="AL56" i="18"/>
  <c r="AL62" i="18"/>
  <c r="AD34" i="18"/>
  <c r="AD40" i="18"/>
  <c r="AD24" i="18"/>
  <c r="AD45" i="18"/>
  <c r="AD51" i="18"/>
  <c r="AD56" i="18"/>
  <c r="AD62" i="18"/>
  <c r="V34" i="18"/>
  <c r="V40" i="18"/>
  <c r="V24" i="18"/>
  <c r="V45" i="18"/>
  <c r="V51" i="18"/>
  <c r="V56" i="18"/>
  <c r="V62" i="18"/>
  <c r="N34" i="18"/>
  <c r="N40" i="18"/>
  <c r="N24" i="18"/>
  <c r="N45" i="18"/>
  <c r="N51" i="18"/>
  <c r="N56" i="18"/>
  <c r="N62" i="18"/>
  <c r="F34" i="18"/>
  <c r="F40" i="18"/>
  <c r="F24" i="18"/>
  <c r="F45" i="18"/>
  <c r="F51" i="18"/>
  <c r="F56" i="18"/>
  <c r="F62" i="18"/>
  <c r="AT24" i="17"/>
  <c r="AT56" i="17"/>
  <c r="AT62" i="17"/>
  <c r="AT45" i="17"/>
  <c r="AT51" i="17"/>
  <c r="AT34" i="17"/>
  <c r="AT40" i="17"/>
  <c r="AT21" i="18"/>
  <c r="AT22" i="18"/>
  <c r="AN44" i="18"/>
  <c r="AN55" i="18"/>
  <c r="AN23" i="18"/>
  <c r="AN33" i="18"/>
  <c r="AF44" i="18"/>
  <c r="AF55" i="18"/>
  <c r="AF23" i="18"/>
  <c r="AF33" i="18"/>
  <c r="X44" i="18"/>
  <c r="X55" i="18"/>
  <c r="X23" i="18"/>
  <c r="X33" i="18"/>
  <c r="P44" i="18"/>
  <c r="P55" i="18"/>
  <c r="P23" i="18"/>
  <c r="P33" i="18"/>
  <c r="H44" i="18"/>
  <c r="H55" i="18"/>
  <c r="H23" i="18"/>
  <c r="H33" i="18"/>
  <c r="AU24" i="17"/>
  <c r="AU34" i="17"/>
  <c r="AU40" i="17"/>
  <c r="AU45" i="17"/>
  <c r="AU51" i="17"/>
  <c r="AU56" i="17"/>
  <c r="AU62" i="17"/>
  <c r="AG24" i="17"/>
  <c r="AG56" i="17"/>
  <c r="AG62" i="17"/>
  <c r="AG34" i="17"/>
  <c r="AG40" i="17"/>
  <c r="AG45" i="17"/>
  <c r="AG51" i="17"/>
  <c r="S34" i="17"/>
  <c r="S40" i="17"/>
  <c r="S24" i="17"/>
  <c r="S45" i="17"/>
  <c r="S51" i="17"/>
  <c r="S56" i="17"/>
  <c r="S62" i="17"/>
  <c r="G34" i="17"/>
  <c r="G40" i="17"/>
  <c r="G45" i="17"/>
  <c r="G51" i="17"/>
  <c r="G56" i="17"/>
  <c r="G62" i="17"/>
  <c r="G24" i="17"/>
  <c r="AP34" i="18"/>
  <c r="AP40" i="18"/>
  <c r="AP24" i="18"/>
  <c r="AP45" i="18"/>
  <c r="AP51" i="18"/>
  <c r="AP56" i="18"/>
  <c r="AP62" i="18"/>
  <c r="AH34" i="18"/>
  <c r="AH40" i="18"/>
  <c r="AH24" i="18"/>
  <c r="AH45" i="18"/>
  <c r="AH51" i="18"/>
  <c r="AH56" i="18"/>
  <c r="AH62" i="18"/>
  <c r="Z34" i="18"/>
  <c r="Z40" i="18"/>
  <c r="Z24" i="18"/>
  <c r="Z45" i="18"/>
  <c r="Z51" i="18"/>
  <c r="Z56" i="18"/>
  <c r="Z62" i="18"/>
  <c r="J34" i="18"/>
  <c r="J40" i="18"/>
  <c r="J24" i="18"/>
  <c r="J45" i="18"/>
  <c r="J51" i="18"/>
  <c r="J56" i="18"/>
  <c r="J62" i="18"/>
  <c r="AC21" i="17"/>
  <c r="AC22" i="17"/>
  <c r="AR33" i="17"/>
  <c r="AR44" i="17"/>
  <c r="AR55" i="17"/>
  <c r="AR23" i="17"/>
  <c r="T62" i="17"/>
  <c r="T57" i="17"/>
  <c r="M21" i="17"/>
  <c r="M22" i="17"/>
  <c r="I51" i="17"/>
  <c r="I46" i="17"/>
  <c r="I35" i="17"/>
  <c r="E21" i="18"/>
  <c r="E22" i="18"/>
  <c r="T11" i="20"/>
  <c r="T45" i="20"/>
  <c r="AX33" i="17"/>
  <c r="AX23" i="17"/>
  <c r="AX55" i="17"/>
  <c r="AX44" i="17"/>
  <c r="AH33" i="17"/>
  <c r="AH23" i="17"/>
  <c r="AH55" i="17"/>
  <c r="AH44" i="17"/>
  <c r="O21" i="17"/>
  <c r="O22" i="17"/>
  <c r="H21" i="17"/>
  <c r="H22" i="17"/>
  <c r="F27" i="18"/>
  <c r="E30" i="18"/>
  <c r="AV33" i="17"/>
  <c r="AV44" i="17"/>
  <c r="AV55" i="17"/>
  <c r="AV23" i="17"/>
  <c r="AF24" i="17"/>
  <c r="AF34" i="17"/>
  <c r="AF40" i="17"/>
  <c r="AF45" i="17"/>
  <c r="AF51" i="17"/>
  <c r="AF56" i="17"/>
  <c r="AF62" i="17"/>
  <c r="P44" i="17"/>
  <c r="P55" i="17"/>
  <c r="P23" i="17"/>
  <c r="P33" i="17"/>
  <c r="AR24" i="17"/>
  <c r="AR56" i="17"/>
  <c r="AR62" i="17"/>
  <c r="AR45" i="17"/>
  <c r="AR51" i="17"/>
  <c r="AR34" i="17"/>
  <c r="AR40" i="17"/>
  <c r="AH24" i="17"/>
  <c r="AH34" i="17"/>
  <c r="AH40" i="17"/>
  <c r="AH45" i="17"/>
  <c r="AH51" i="17"/>
  <c r="AH56" i="17"/>
  <c r="AH62" i="17"/>
  <c r="R34" i="17"/>
  <c r="R40" i="17"/>
  <c r="R45" i="17"/>
  <c r="R51" i="17"/>
  <c r="R56" i="17"/>
  <c r="R62" i="17"/>
  <c r="R24" i="17"/>
  <c r="AZ10" i="18"/>
  <c r="AL24" i="17"/>
  <c r="AL56" i="17"/>
  <c r="AL62" i="17"/>
  <c r="AL45" i="17"/>
  <c r="AL51" i="17"/>
  <c r="AL34" i="17"/>
  <c r="AL40" i="17"/>
  <c r="Z44" i="17"/>
  <c r="Z33" i="17"/>
  <c r="Z23" i="17"/>
  <c r="Z55" i="17"/>
  <c r="AQ34" i="18"/>
  <c r="AQ40" i="18"/>
  <c r="AQ24" i="18"/>
  <c r="AQ56" i="18"/>
  <c r="AQ62" i="18"/>
  <c r="AQ45" i="18"/>
  <c r="AQ51" i="18"/>
  <c r="AI34" i="18"/>
  <c r="AI40" i="18"/>
  <c r="AI45" i="18"/>
  <c r="AI51" i="18"/>
  <c r="AI56" i="18"/>
  <c r="AI62" i="18"/>
  <c r="AI24" i="18"/>
  <c r="AA34" i="18"/>
  <c r="AA40" i="18"/>
  <c r="AA45" i="18"/>
  <c r="AA51" i="18"/>
  <c r="AA56" i="18"/>
  <c r="AA62" i="18"/>
  <c r="AA24" i="18"/>
  <c r="S34" i="18"/>
  <c r="S40" i="18"/>
  <c r="S45" i="18"/>
  <c r="S51" i="18"/>
  <c r="S56" i="18"/>
  <c r="S62" i="18"/>
  <c r="S24" i="18"/>
  <c r="K34" i="18"/>
  <c r="K40" i="18"/>
  <c r="K45" i="18"/>
  <c r="K51" i="18"/>
  <c r="K56" i="18"/>
  <c r="K62" i="18"/>
  <c r="K24" i="18"/>
  <c r="E21" i="17"/>
  <c r="AZ21" i="17"/>
  <c r="E22" i="17"/>
  <c r="AU34" i="18"/>
  <c r="AU40" i="18"/>
  <c r="AU45" i="18"/>
  <c r="AU51" i="18"/>
  <c r="AU24" i="18"/>
  <c r="AU56" i="18"/>
  <c r="AU62" i="18"/>
  <c r="AK34" i="18"/>
  <c r="AK40" i="18"/>
  <c r="AK45" i="18"/>
  <c r="AK51" i="18"/>
  <c r="AK56" i="18"/>
  <c r="AK62" i="18"/>
  <c r="AK24" i="18"/>
  <c r="AC34" i="18"/>
  <c r="AC40" i="18"/>
  <c r="AC45" i="18"/>
  <c r="AC51" i="18"/>
  <c r="AC56" i="18"/>
  <c r="AC62" i="18"/>
  <c r="AC24" i="18"/>
  <c r="U34" i="18"/>
  <c r="U40" i="18"/>
  <c r="U45" i="18"/>
  <c r="U51" i="18"/>
  <c r="U56" i="18"/>
  <c r="U62" i="18"/>
  <c r="U24" i="18"/>
  <c r="M34" i="18"/>
  <c r="M40" i="18"/>
  <c r="M45" i="18"/>
  <c r="M51" i="18"/>
  <c r="M56" i="18"/>
  <c r="M62" i="18"/>
  <c r="M24" i="18"/>
  <c r="AW24" i="17"/>
  <c r="AW56" i="17"/>
  <c r="AW62" i="17"/>
  <c r="AW34" i="17"/>
  <c r="AW40" i="17"/>
  <c r="AW45" i="17"/>
  <c r="AW51" i="17"/>
  <c r="X34" i="17"/>
  <c r="X40" i="17"/>
  <c r="X45" i="17"/>
  <c r="X51" i="17"/>
  <c r="X56" i="17"/>
  <c r="X62" i="17"/>
  <c r="X24" i="17"/>
  <c r="AR44" i="18"/>
  <c r="AR23" i="18"/>
  <c r="AR33" i="18"/>
  <c r="AR55" i="18"/>
  <c r="AM44" i="18"/>
  <c r="AM55" i="18"/>
  <c r="AM23" i="18"/>
  <c r="AM33" i="18"/>
  <c r="AE44" i="18"/>
  <c r="AE55" i="18"/>
  <c r="AE23" i="18"/>
  <c r="AE33" i="18"/>
  <c r="W44" i="18"/>
  <c r="W55" i="18"/>
  <c r="W23" i="18"/>
  <c r="W33" i="18"/>
  <c r="O44" i="18"/>
  <c r="O55" i="18"/>
  <c r="O23" i="18"/>
  <c r="O33" i="18"/>
  <c r="G44" i="18"/>
  <c r="G55" i="18"/>
  <c r="G23" i="18"/>
  <c r="G33" i="18"/>
  <c r="AM24" i="17"/>
  <c r="AM34" i="17"/>
  <c r="AM40" i="17"/>
  <c r="AM45" i="17"/>
  <c r="AM51" i="17"/>
  <c r="AM56" i="17"/>
  <c r="AM62" i="17"/>
  <c r="AD24" i="17"/>
  <c r="AD56" i="17"/>
  <c r="AD62" i="17"/>
  <c r="AD45" i="17"/>
  <c r="AD51" i="17"/>
  <c r="AD34" i="17"/>
  <c r="AD40" i="17"/>
  <c r="K34" i="17"/>
  <c r="K40" i="17"/>
  <c r="K24" i="17"/>
  <c r="K45" i="17"/>
  <c r="K51" i="17"/>
  <c r="K56" i="17"/>
  <c r="K62" i="17"/>
  <c r="AX34" i="18"/>
  <c r="AX40" i="18"/>
  <c r="AX24" i="18"/>
  <c r="AX45" i="18"/>
  <c r="AX51" i="18"/>
  <c r="AX56" i="18"/>
  <c r="AX62" i="18"/>
  <c r="AO34" i="18"/>
  <c r="AO40" i="18"/>
  <c r="AO45" i="18"/>
  <c r="AO51" i="18"/>
  <c r="AO56" i="18"/>
  <c r="AO62" i="18"/>
  <c r="AO24" i="18"/>
  <c r="AG34" i="18"/>
  <c r="AG40" i="18"/>
  <c r="AG45" i="18"/>
  <c r="AG51" i="18"/>
  <c r="AG56" i="18"/>
  <c r="AG62" i="18"/>
  <c r="AG24" i="18"/>
  <c r="Y34" i="18"/>
  <c r="Y40" i="18"/>
  <c r="Y45" i="18"/>
  <c r="Y51" i="18"/>
  <c r="Y56" i="18"/>
  <c r="Y62" i="18"/>
  <c r="Y24" i="18"/>
  <c r="Q34" i="18"/>
  <c r="Q40" i="18"/>
  <c r="Q45" i="18"/>
  <c r="Q51" i="18"/>
  <c r="Q56" i="18"/>
  <c r="Q62" i="18"/>
  <c r="Q24" i="18"/>
  <c r="I34" i="18"/>
  <c r="I40" i="18"/>
  <c r="I45" i="18"/>
  <c r="I51" i="18"/>
  <c r="I56" i="18"/>
  <c r="I62" i="18"/>
  <c r="I24" i="18"/>
  <c r="AR39" i="18"/>
  <c r="AR50" i="17"/>
  <c r="AR46" i="17"/>
  <c r="AF35" i="18"/>
  <c r="AF39" i="18"/>
  <c r="AW39" i="18"/>
  <c r="AW35" i="18"/>
  <c r="N46" i="17"/>
  <c r="N50" i="17"/>
  <c r="K35" i="17"/>
  <c r="K39" i="17"/>
  <c r="X35" i="17"/>
  <c r="X39" i="17"/>
  <c r="S35" i="18"/>
  <c r="S39" i="18"/>
  <c r="AQ39" i="18"/>
  <c r="AQ35" i="18"/>
  <c r="R35" i="17"/>
  <c r="R39" i="17"/>
  <c r="J61" i="18"/>
  <c r="J57" i="18"/>
  <c r="AH61" i="18"/>
  <c r="AH57" i="18"/>
  <c r="V35" i="18"/>
  <c r="V39" i="18"/>
  <c r="AV61" i="18"/>
  <c r="AV57" i="18"/>
  <c r="T35" i="18"/>
  <c r="T39" i="18"/>
  <c r="V61" i="17"/>
  <c r="V57" i="17"/>
  <c r="AA35" i="17"/>
  <c r="AA39" i="17"/>
  <c r="U39" i="17"/>
  <c r="U35" i="17"/>
  <c r="AK33" i="17"/>
  <c r="AK23" i="17"/>
  <c r="AK55" i="17"/>
  <c r="AK44" i="17"/>
  <c r="W44" i="17"/>
  <c r="W55" i="17"/>
  <c r="W23" i="17"/>
  <c r="W33" i="17"/>
  <c r="O61" i="18"/>
  <c r="AV35" i="17"/>
  <c r="AV39" i="17"/>
  <c r="E34" i="18"/>
  <c r="E40" i="18"/>
  <c r="E45" i="18"/>
  <c r="E51" i="18"/>
  <c r="E56" i="18"/>
  <c r="E62" i="18"/>
  <c r="E24" i="18"/>
  <c r="AZ24" i="18"/>
  <c r="AS24" i="17"/>
  <c r="AS45" i="17"/>
  <c r="AS51" i="17"/>
  <c r="AS34" i="17"/>
  <c r="AS40" i="17"/>
  <c r="AS56" i="17"/>
  <c r="AS62" i="17"/>
  <c r="AG61" i="18"/>
  <c r="AG57" i="18"/>
  <c r="AX35" i="18"/>
  <c r="AX39" i="18"/>
  <c r="AW57" i="17"/>
  <c r="AW61" i="17"/>
  <c r="U61" i="18"/>
  <c r="U57" i="18"/>
  <c r="AU61" i="18"/>
  <c r="AU57" i="18"/>
  <c r="AH46" i="18"/>
  <c r="AH50" i="18"/>
  <c r="Y34" i="17"/>
  <c r="Y40" i="17"/>
  <c r="Y56" i="17"/>
  <c r="Y62" i="17"/>
  <c r="Y24" i="17"/>
  <c r="Y45" i="17"/>
  <c r="Y51" i="17"/>
  <c r="W50" i="18"/>
  <c r="P35" i="17"/>
  <c r="P39" i="17"/>
  <c r="O34" i="17"/>
  <c r="O40" i="17"/>
  <c r="O24" i="17"/>
  <c r="O56" i="17"/>
  <c r="O62" i="17"/>
  <c r="O45" i="17"/>
  <c r="O51" i="17"/>
  <c r="E44" i="18"/>
  <c r="E55" i="18"/>
  <c r="E23" i="18"/>
  <c r="AZ23" i="18"/>
  <c r="E33" i="18"/>
  <c r="AZ21" i="18"/>
  <c r="M34" i="17"/>
  <c r="M40" i="17"/>
  <c r="M24" i="17"/>
  <c r="M45" i="17"/>
  <c r="M51" i="17"/>
  <c r="M56" i="17"/>
  <c r="M62" i="17"/>
  <c r="AC24" i="17"/>
  <c r="AC45" i="17"/>
  <c r="AC51" i="17"/>
  <c r="AC34" i="17"/>
  <c r="AC40" i="17"/>
  <c r="AC56" i="17"/>
  <c r="AC62" i="17"/>
  <c r="H61" i="18"/>
  <c r="H57" i="18"/>
  <c r="P61" i="18"/>
  <c r="P57" i="18"/>
  <c r="X61" i="18"/>
  <c r="X57" i="18"/>
  <c r="AF61" i="18"/>
  <c r="AF57" i="18"/>
  <c r="AN61" i="18"/>
  <c r="AN57" i="18"/>
  <c r="D61" i="17"/>
  <c r="D57" i="17"/>
  <c r="AQ35" i="17"/>
  <c r="AQ39" i="17"/>
  <c r="AW46" i="18"/>
  <c r="AW50" i="18"/>
  <c r="AJ57" i="17"/>
  <c r="AJ61" i="17"/>
  <c r="AS33" i="17"/>
  <c r="AS23" i="17"/>
  <c r="AS44" i="17"/>
  <c r="AS55" i="17"/>
  <c r="I46" i="18"/>
  <c r="I50" i="18"/>
  <c r="Y46" i="18"/>
  <c r="Y50" i="18"/>
  <c r="AG46" i="18"/>
  <c r="AG50" i="18"/>
  <c r="AO46" i="18"/>
  <c r="AO50" i="18"/>
  <c r="AX46" i="18"/>
  <c r="AX50" i="18"/>
  <c r="K46" i="17"/>
  <c r="K50" i="17"/>
  <c r="AD35" i="17"/>
  <c r="AD39" i="17"/>
  <c r="AM39" i="17"/>
  <c r="AM35" i="17"/>
  <c r="X46" i="17"/>
  <c r="X50" i="17"/>
  <c r="AW39" i="17"/>
  <c r="AW35" i="17"/>
  <c r="M46" i="18"/>
  <c r="M50" i="18"/>
  <c r="U46" i="18"/>
  <c r="U50" i="18"/>
  <c r="AC46" i="18"/>
  <c r="AC50" i="18"/>
  <c r="AK46" i="18"/>
  <c r="AK50" i="18"/>
  <c r="AU46" i="18"/>
  <c r="AU50" i="18"/>
  <c r="S61" i="18"/>
  <c r="S57" i="18"/>
  <c r="AA61" i="18"/>
  <c r="AA57" i="18"/>
  <c r="AI61" i="18"/>
  <c r="AI57" i="18"/>
  <c r="AQ61" i="18"/>
  <c r="AQ57" i="18"/>
  <c r="R61" i="17"/>
  <c r="R57" i="17"/>
  <c r="J35" i="18"/>
  <c r="J39" i="18"/>
  <c r="R35" i="18"/>
  <c r="R39" i="18"/>
  <c r="Z35" i="18"/>
  <c r="Z39" i="18"/>
  <c r="AH35" i="18"/>
  <c r="AH39" i="18"/>
  <c r="AP35" i="18"/>
  <c r="AP39" i="18"/>
  <c r="G61" i="17"/>
  <c r="G57" i="17"/>
  <c r="AU50" i="17"/>
  <c r="AU46" i="17"/>
  <c r="G34" i="18"/>
  <c r="G40" i="18"/>
  <c r="G45" i="18"/>
  <c r="G51" i="18"/>
  <c r="G56" i="18"/>
  <c r="G62" i="18"/>
  <c r="G24" i="18"/>
  <c r="AM34" i="18"/>
  <c r="AM40" i="18"/>
  <c r="AM45" i="18"/>
  <c r="AM51" i="18"/>
  <c r="AM56" i="18"/>
  <c r="AM62" i="18"/>
  <c r="AM24" i="18"/>
  <c r="AT50" i="17"/>
  <c r="AT46" i="17"/>
  <c r="F61" i="18"/>
  <c r="F57" i="18"/>
  <c r="N61" i="18"/>
  <c r="N57" i="18"/>
  <c r="V61" i="18"/>
  <c r="V57" i="18"/>
  <c r="AD61" i="18"/>
  <c r="AD57" i="18"/>
  <c r="AL61" i="18"/>
  <c r="AL57" i="18"/>
  <c r="AV35" i="18"/>
  <c r="AV39" i="18"/>
  <c r="AO57" i="17"/>
  <c r="AO61" i="17"/>
  <c r="L61" i="18"/>
  <c r="L57" i="18"/>
  <c r="T61" i="18"/>
  <c r="T57" i="18"/>
  <c r="AB61" i="18"/>
  <c r="AB57" i="18"/>
  <c r="AJ61" i="18"/>
  <c r="AJ57" i="18"/>
  <c r="AA50" i="17"/>
  <c r="AA46" i="17"/>
  <c r="AP57" i="17"/>
  <c r="AP61" i="17"/>
  <c r="AF57" i="17"/>
  <c r="AF61" i="17"/>
  <c r="J44" i="17"/>
  <c r="J55" i="17"/>
  <c r="J23" i="17"/>
  <c r="J33" i="17"/>
  <c r="U50" i="17"/>
  <c r="U46" i="17"/>
  <c r="AY24" i="17"/>
  <c r="AY34" i="17"/>
  <c r="AY40" i="17"/>
  <c r="AY45" i="17"/>
  <c r="AY51" i="17"/>
  <c r="AY56" i="17"/>
  <c r="AY62" i="17"/>
  <c r="AB39" i="17"/>
  <c r="AB35" i="17"/>
  <c r="G27" i="17"/>
  <c r="F30" i="17"/>
  <c r="Y44" i="17"/>
  <c r="Y55" i="17"/>
  <c r="Y33" i="17"/>
  <c r="Y23" i="17"/>
  <c r="D35" i="18"/>
  <c r="E44" i="17"/>
  <c r="E23" i="17"/>
  <c r="E33" i="17"/>
  <c r="E55" i="17"/>
  <c r="Z46" i="17"/>
  <c r="Z50" i="17"/>
  <c r="P61" i="17"/>
  <c r="P57" i="17"/>
  <c r="AV50" i="17"/>
  <c r="AV46" i="17"/>
  <c r="H34" i="17"/>
  <c r="H40" i="17"/>
  <c r="H24" i="17"/>
  <c r="H45" i="17"/>
  <c r="H51" i="17"/>
  <c r="H56" i="17"/>
  <c r="H62" i="17"/>
  <c r="AH50" i="17"/>
  <c r="AH46" i="17"/>
  <c r="AX50" i="17"/>
  <c r="AX46" i="17"/>
  <c r="H35" i="18"/>
  <c r="H39" i="18"/>
  <c r="P35" i="18"/>
  <c r="P39" i="18"/>
  <c r="X35" i="18"/>
  <c r="X39" i="18"/>
  <c r="AN35" i="18"/>
  <c r="AN39" i="18"/>
  <c r="AT34" i="18"/>
  <c r="AT40" i="18"/>
  <c r="AT24" i="18"/>
  <c r="AT56" i="18"/>
  <c r="AT62" i="18"/>
  <c r="AT45" i="18"/>
  <c r="AT51" i="18"/>
  <c r="AQ50" i="17"/>
  <c r="AQ46" i="17"/>
  <c r="Q44" i="17"/>
  <c r="Q55" i="17"/>
  <c r="Q33" i="17"/>
  <c r="Q23" i="17"/>
  <c r="AJ39" i="17"/>
  <c r="AJ35" i="17"/>
  <c r="AD57" i="17"/>
  <c r="AD61" i="17"/>
  <c r="AM57" i="17"/>
  <c r="AM61" i="17"/>
  <c r="AW50" i="17"/>
  <c r="AW46" i="17"/>
  <c r="AU35" i="18"/>
  <c r="AU39" i="18"/>
  <c r="AA35" i="18"/>
  <c r="AA39" i="18"/>
  <c r="AI35" i="18"/>
  <c r="AI39" i="18"/>
  <c r="F34" i="17"/>
  <c r="F40" i="17"/>
  <c r="F45" i="17"/>
  <c r="F51" i="17"/>
  <c r="F24" i="17"/>
  <c r="F56" i="17"/>
  <c r="F62" i="17"/>
  <c r="AN50" i="17"/>
  <c r="AN46" i="17"/>
  <c r="R61" i="18"/>
  <c r="R57" i="18"/>
  <c r="Z61" i="18"/>
  <c r="Z57" i="18"/>
  <c r="AP61" i="18"/>
  <c r="AP57" i="18"/>
  <c r="S61" i="17"/>
  <c r="S57" i="17"/>
  <c r="AG57" i="17"/>
  <c r="AG61" i="17"/>
  <c r="W34" i="18"/>
  <c r="W40" i="18"/>
  <c r="W45" i="18"/>
  <c r="W51" i="18"/>
  <c r="W56" i="18"/>
  <c r="W62" i="18"/>
  <c r="W24" i="18"/>
  <c r="F35" i="18"/>
  <c r="F39" i="18"/>
  <c r="N35" i="18"/>
  <c r="N39" i="18"/>
  <c r="AD35" i="18"/>
  <c r="AD39" i="18"/>
  <c r="AL35" i="18"/>
  <c r="AL39" i="18"/>
  <c r="L35" i="18"/>
  <c r="L39" i="18"/>
  <c r="AB35" i="18"/>
  <c r="AB39" i="18"/>
  <c r="AJ35" i="18"/>
  <c r="AJ39" i="18"/>
  <c r="AE50" i="17"/>
  <c r="AE46" i="17"/>
  <c r="AY50" i="18"/>
  <c r="AY46" i="18"/>
  <c r="AP35" i="17"/>
  <c r="AP39" i="17"/>
  <c r="AF35" i="17"/>
  <c r="AF39" i="17"/>
  <c r="AI33" i="17"/>
  <c r="AI23" i="17"/>
  <c r="AI44" i="17"/>
  <c r="AI55" i="17"/>
  <c r="AB57" i="17"/>
  <c r="AB61" i="17"/>
  <c r="D62" i="18"/>
  <c r="D57" i="18"/>
  <c r="AZ22" i="18"/>
  <c r="L46" i="17"/>
  <c r="L50" i="17"/>
  <c r="Q46" i="18"/>
  <c r="Q50" i="18"/>
  <c r="K46" i="18"/>
  <c r="K50" i="18"/>
  <c r="AL35" i="17"/>
  <c r="AL39" i="17"/>
  <c r="G61" i="18"/>
  <c r="G57" i="18"/>
  <c r="W61" i="18"/>
  <c r="W57" i="18"/>
  <c r="AE61" i="18"/>
  <c r="AM61" i="18"/>
  <c r="AM57" i="18"/>
  <c r="Z61" i="17"/>
  <c r="Z57" i="17"/>
  <c r="P50" i="17"/>
  <c r="P46" i="17"/>
  <c r="H44" i="17"/>
  <c r="H55" i="17"/>
  <c r="H23" i="17"/>
  <c r="H33" i="17"/>
  <c r="AH57" i="17"/>
  <c r="AH61" i="17"/>
  <c r="AX57" i="17"/>
  <c r="AX61" i="17"/>
  <c r="AR39" i="17"/>
  <c r="AR35" i="17"/>
  <c r="AT44" i="18"/>
  <c r="AT23" i="18"/>
  <c r="AT55" i="18"/>
  <c r="AT33" i="18"/>
  <c r="D46" i="17"/>
  <c r="D50" i="17"/>
  <c r="AW61" i="18"/>
  <c r="AW57" i="18"/>
  <c r="N35" i="17"/>
  <c r="N39" i="17"/>
  <c r="I61" i="18"/>
  <c r="I57" i="18"/>
  <c r="Y61" i="18"/>
  <c r="Y57" i="18"/>
  <c r="AO61" i="18"/>
  <c r="AO57" i="18"/>
  <c r="K61" i="17"/>
  <c r="K57" i="17"/>
  <c r="AD50" i="17"/>
  <c r="AD46" i="17"/>
  <c r="M61" i="18"/>
  <c r="M57" i="18"/>
  <c r="AC61" i="18"/>
  <c r="AC57" i="18"/>
  <c r="AK61" i="18"/>
  <c r="AK57" i="18"/>
  <c r="F44" i="17"/>
  <c r="F23" i="17"/>
  <c r="F33" i="17"/>
  <c r="F55" i="17"/>
  <c r="AN35" i="17"/>
  <c r="AN39" i="17"/>
  <c r="J46" i="18"/>
  <c r="J50" i="18"/>
  <c r="R46" i="18"/>
  <c r="R50" i="18"/>
  <c r="Z46" i="18"/>
  <c r="Z50" i="18"/>
  <c r="AP46" i="18"/>
  <c r="AP50" i="18"/>
  <c r="G46" i="17"/>
  <c r="G50" i="17"/>
  <c r="S46" i="17"/>
  <c r="S50" i="17"/>
  <c r="AG39" i="17"/>
  <c r="AG35" i="17"/>
  <c r="AU39" i="17"/>
  <c r="AU35" i="17"/>
  <c r="AE34" i="18"/>
  <c r="AE40" i="18"/>
  <c r="AE45" i="18"/>
  <c r="AE51" i="18"/>
  <c r="AE56" i="18"/>
  <c r="AE62" i="18"/>
  <c r="AE24" i="18"/>
  <c r="AT57" i="17"/>
  <c r="AT61" i="17"/>
  <c r="AO50" i="17"/>
  <c r="AO46" i="17"/>
  <c r="V35" i="17"/>
  <c r="V39" i="17"/>
  <c r="AE57" i="17"/>
  <c r="AE61" i="17"/>
  <c r="AY35" i="18"/>
  <c r="AY39" i="18"/>
  <c r="AA57" i="17"/>
  <c r="AA61" i="17"/>
  <c r="AP50" i="17"/>
  <c r="AP46" i="17"/>
  <c r="J34" i="17"/>
  <c r="J40" i="17"/>
  <c r="J45" i="17"/>
  <c r="J51" i="17"/>
  <c r="J56" i="17"/>
  <c r="J62" i="17"/>
  <c r="J24" i="17"/>
  <c r="U61" i="17"/>
  <c r="U57" i="17"/>
  <c r="AY33" i="17"/>
  <c r="AY23" i="17"/>
  <c r="AY44" i="17"/>
  <c r="AY55" i="17"/>
  <c r="AB50" i="17"/>
  <c r="AB46" i="17"/>
  <c r="L39" i="17"/>
  <c r="L35" i="17"/>
  <c r="Q35" i="18"/>
  <c r="Q39" i="18"/>
  <c r="K35" i="18"/>
  <c r="K39" i="18"/>
  <c r="AL57" i="17"/>
  <c r="AL61" i="17"/>
  <c r="G50" i="18"/>
  <c r="O50" i="18"/>
  <c r="AE50" i="18"/>
  <c r="AM50" i="18"/>
  <c r="AR50" i="18"/>
  <c r="G35" i="18"/>
  <c r="G39" i="18"/>
  <c r="O39" i="18"/>
  <c r="W39" i="18"/>
  <c r="AE35" i="18"/>
  <c r="AE39" i="18"/>
  <c r="AM35" i="18"/>
  <c r="AM39" i="18"/>
  <c r="AR61" i="18"/>
  <c r="E34" i="17"/>
  <c r="E40" i="17"/>
  <c r="E45" i="17"/>
  <c r="E51" i="17"/>
  <c r="E56" i="17"/>
  <c r="E62" i="17"/>
  <c r="E24" i="17"/>
  <c r="Z35" i="17"/>
  <c r="Z39" i="17"/>
  <c r="AV57" i="17"/>
  <c r="AV61" i="17"/>
  <c r="G27" i="18"/>
  <c r="F30" i="18"/>
  <c r="O44" i="17"/>
  <c r="O33" i="17"/>
  <c r="O23" i="17"/>
  <c r="AZ23" i="17"/>
  <c r="O55" i="17"/>
  <c r="AH35" i="17"/>
  <c r="AH39" i="17"/>
  <c r="AX35" i="17"/>
  <c r="AX39" i="17"/>
  <c r="M44" i="17"/>
  <c r="M23" i="17"/>
  <c r="M55" i="17"/>
  <c r="M33" i="17"/>
  <c r="AR57" i="17"/>
  <c r="AR61" i="17"/>
  <c r="AC33" i="17"/>
  <c r="AC23" i="17"/>
  <c r="AC44" i="17"/>
  <c r="AC55" i="17"/>
  <c r="H46" i="18"/>
  <c r="H50" i="18"/>
  <c r="P46" i="18"/>
  <c r="P50" i="18"/>
  <c r="X46" i="18"/>
  <c r="X50" i="18"/>
  <c r="AF46" i="18"/>
  <c r="AF50" i="18"/>
  <c r="AN46" i="18"/>
  <c r="AN50" i="18"/>
  <c r="D35" i="17"/>
  <c r="D39" i="17"/>
  <c r="AQ57" i="17"/>
  <c r="AQ61" i="17"/>
  <c r="Q34" i="17"/>
  <c r="Q40" i="17"/>
  <c r="Q24" i="17"/>
  <c r="Q56" i="17"/>
  <c r="Q62" i="17"/>
  <c r="Q45" i="17"/>
  <c r="Q51" i="17"/>
  <c r="AJ50" i="17"/>
  <c r="AJ46" i="17"/>
  <c r="N61" i="17"/>
  <c r="N57" i="17"/>
  <c r="I35" i="18"/>
  <c r="I39" i="18"/>
  <c r="Y35" i="18"/>
  <c r="Y39" i="18"/>
  <c r="AG35" i="18"/>
  <c r="AG39" i="18"/>
  <c r="AO35" i="18"/>
  <c r="AO39" i="18"/>
  <c r="AX61" i="18"/>
  <c r="AX57" i="18"/>
  <c r="AM50" i="17"/>
  <c r="AM46" i="17"/>
  <c r="X61" i="17"/>
  <c r="X57" i="17"/>
  <c r="M35" i="18"/>
  <c r="M39" i="18"/>
  <c r="U35" i="18"/>
  <c r="U39" i="18"/>
  <c r="AC35" i="18"/>
  <c r="AC39" i="18"/>
  <c r="AK35" i="18"/>
  <c r="AK39" i="18"/>
  <c r="S46" i="18"/>
  <c r="S50" i="18"/>
  <c r="AA46" i="18"/>
  <c r="AA50" i="18"/>
  <c r="AI46" i="18"/>
  <c r="AI50" i="18"/>
  <c r="AQ50" i="18"/>
  <c r="AQ46" i="18"/>
  <c r="R46" i="17"/>
  <c r="R50" i="17"/>
  <c r="AN57" i="17"/>
  <c r="AN61" i="17"/>
  <c r="G35" i="17"/>
  <c r="G39" i="17"/>
  <c r="S35" i="17"/>
  <c r="S39" i="17"/>
  <c r="AG50" i="17"/>
  <c r="AG46" i="17"/>
  <c r="AU57" i="17"/>
  <c r="AU61" i="17"/>
  <c r="O34" i="18"/>
  <c r="O40" i="18"/>
  <c r="O45" i="18"/>
  <c r="O51" i="18"/>
  <c r="O56" i="18"/>
  <c r="O62" i="18"/>
  <c r="O24" i="18"/>
  <c r="AR34" i="18"/>
  <c r="AR40" i="18"/>
  <c r="AR45" i="18"/>
  <c r="AR51" i="18"/>
  <c r="AR56" i="18"/>
  <c r="AR62" i="18"/>
  <c r="AR24" i="18"/>
  <c r="AT35" i="17"/>
  <c r="AT39" i="17"/>
  <c r="F46" i="18"/>
  <c r="F50" i="18"/>
  <c r="N46" i="18"/>
  <c r="N50" i="18"/>
  <c r="V46" i="18"/>
  <c r="V50" i="18"/>
  <c r="AD46" i="18"/>
  <c r="AD50" i="18"/>
  <c r="AL46" i="18"/>
  <c r="AL50" i="18"/>
  <c r="AV46" i="18"/>
  <c r="AV50" i="18"/>
  <c r="AO39" i="17"/>
  <c r="AO35" i="17"/>
  <c r="L46" i="18"/>
  <c r="L50" i="18"/>
  <c r="T46" i="18"/>
  <c r="T50" i="18"/>
  <c r="AB46" i="18"/>
  <c r="AB50" i="18"/>
  <c r="AJ46" i="18"/>
  <c r="AJ50" i="18"/>
  <c r="V46" i="17"/>
  <c r="V50" i="17"/>
  <c r="AE39" i="17"/>
  <c r="AE35" i="17"/>
  <c r="AZ22" i="17"/>
  <c r="AY61" i="18"/>
  <c r="AY57" i="18"/>
  <c r="AF50" i="17"/>
  <c r="AF46" i="17"/>
  <c r="AI24" i="17"/>
  <c r="AZ24" i="17"/>
  <c r="AI34" i="17"/>
  <c r="AI40" i="17"/>
  <c r="AI45" i="17"/>
  <c r="AI51" i="17"/>
  <c r="AI56" i="17"/>
  <c r="AI62" i="17"/>
  <c r="AK24" i="17"/>
  <c r="AK45" i="17"/>
  <c r="AK51" i="17"/>
  <c r="AK34" i="17"/>
  <c r="AK40" i="17"/>
  <c r="AK56" i="17"/>
  <c r="AK62" i="17"/>
  <c r="L61" i="17"/>
  <c r="L57" i="17"/>
  <c r="Q61" i="18"/>
  <c r="Q57" i="18"/>
  <c r="K61" i="18"/>
  <c r="K57" i="18"/>
  <c r="AL50" i="17"/>
  <c r="AL46" i="17"/>
  <c r="W34" i="17"/>
  <c r="W40" i="17"/>
  <c r="W24" i="17"/>
  <c r="W45" i="17"/>
  <c r="W51" i="17"/>
  <c r="W56" i="17"/>
  <c r="W62" i="17"/>
  <c r="M35" i="17"/>
  <c r="M39" i="17"/>
  <c r="O61" i="17"/>
  <c r="O57" i="17"/>
  <c r="AY50" i="17"/>
  <c r="AY46" i="17"/>
  <c r="F50" i="17"/>
  <c r="F46" i="17"/>
  <c r="AT61" i="18"/>
  <c r="AT57" i="18"/>
  <c r="E61" i="17"/>
  <c r="E57" i="17"/>
  <c r="Y50" i="17"/>
  <c r="Y46" i="17"/>
  <c r="J35" i="17"/>
  <c r="J39" i="17"/>
  <c r="M61" i="17"/>
  <c r="M57" i="17"/>
  <c r="H27" i="18"/>
  <c r="G30" i="18"/>
  <c r="O46" i="18"/>
  <c r="AI35" i="17"/>
  <c r="AI39" i="17"/>
  <c r="Q61" i="17"/>
  <c r="Q57" i="17"/>
  <c r="E35" i="17"/>
  <c r="E39" i="17"/>
  <c r="AS50" i="17"/>
  <c r="AS46" i="17"/>
  <c r="AC57" i="17"/>
  <c r="AC61" i="17"/>
  <c r="O35" i="17"/>
  <c r="O39" i="17"/>
  <c r="AR57" i="18"/>
  <c r="AR46" i="18"/>
  <c r="AY35" i="17"/>
  <c r="AY39" i="17"/>
  <c r="F39" i="17"/>
  <c r="F35" i="17"/>
  <c r="AT46" i="18"/>
  <c r="AT50" i="18"/>
  <c r="AI57" i="17"/>
  <c r="AI61" i="17"/>
  <c r="Q46" i="17"/>
  <c r="Q50" i="17"/>
  <c r="Y39" i="17"/>
  <c r="Y35" i="17"/>
  <c r="J61" i="17"/>
  <c r="J57" i="17"/>
  <c r="E46" i="18"/>
  <c r="E50" i="18"/>
  <c r="O57" i="18"/>
  <c r="W61" i="17"/>
  <c r="W57" i="17"/>
  <c r="H50" i="17"/>
  <c r="H46" i="17"/>
  <c r="Q35" i="17"/>
  <c r="Q39" i="17"/>
  <c r="AS57" i="17"/>
  <c r="AS61" i="17"/>
  <c r="W39" i="17"/>
  <c r="W35" i="17"/>
  <c r="AK50" i="17"/>
  <c r="AK46" i="17"/>
  <c r="AC39" i="17"/>
  <c r="AC35" i="17"/>
  <c r="W35" i="18"/>
  <c r="AM46" i="18"/>
  <c r="F61" i="17"/>
  <c r="F57" i="17"/>
  <c r="H39" i="17"/>
  <c r="H35" i="17"/>
  <c r="E61" i="18"/>
  <c r="E57" i="18"/>
  <c r="AK57" i="17"/>
  <c r="AK61" i="17"/>
  <c r="AC50" i="17"/>
  <c r="AC46" i="17"/>
  <c r="M46" i="17"/>
  <c r="M50" i="17"/>
  <c r="O46" i="17"/>
  <c r="O50" i="17"/>
  <c r="O35" i="18"/>
  <c r="AE46" i="18"/>
  <c r="G46" i="18"/>
  <c r="AY57" i="17"/>
  <c r="AY61" i="17"/>
  <c r="AT35" i="18"/>
  <c r="AT39" i="18"/>
  <c r="H61" i="17"/>
  <c r="H57" i="17"/>
  <c r="AE57" i="18"/>
  <c r="AI50" i="17"/>
  <c r="AI46" i="17"/>
  <c r="E46" i="17"/>
  <c r="E50" i="17"/>
  <c r="Y61" i="17"/>
  <c r="Y57" i="17"/>
  <c r="H27" i="17"/>
  <c r="G30" i="17"/>
  <c r="J46" i="17"/>
  <c r="J50" i="17"/>
  <c r="AS39" i="17"/>
  <c r="AS35" i="17"/>
  <c r="E35" i="18"/>
  <c r="E39" i="18"/>
  <c r="W46" i="18"/>
  <c r="W50" i="17"/>
  <c r="W46" i="17"/>
  <c r="AK39" i="17"/>
  <c r="AK35" i="17"/>
  <c r="AR35" i="18"/>
  <c r="I27" i="17"/>
  <c r="H30" i="17"/>
  <c r="I27" i="18"/>
  <c r="H30" i="18"/>
  <c r="J27" i="18"/>
  <c r="I30" i="18"/>
  <c r="J27" i="17"/>
  <c r="I30" i="17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8"/>
  <c r="M30" i="18"/>
  <c r="N27" i="17"/>
  <c r="M30" i="17"/>
  <c r="O27" i="17"/>
  <c r="N30" i="17"/>
  <c r="O27" i="18"/>
  <c r="N30" i="18"/>
  <c r="P27" i="18"/>
  <c r="O30" i="18"/>
  <c r="P27" i="17"/>
  <c r="O30" i="17"/>
  <c r="Q27" i="17"/>
  <c r="P30" i="17"/>
  <c r="Q27" i="18"/>
  <c r="P30" i="18"/>
  <c r="R27" i="18"/>
  <c r="Q30" i="18"/>
  <c r="R27" i="17"/>
  <c r="Q30" i="17"/>
  <c r="S27" i="17"/>
  <c r="R30" i="17"/>
  <c r="S27" i="18"/>
  <c r="R30" i="18"/>
  <c r="T27" i="18"/>
  <c r="S30" i="18"/>
  <c r="T27" i="17"/>
  <c r="S30" i="17"/>
  <c r="U27" i="17"/>
  <c r="T30" i="17"/>
  <c r="U27" i="18"/>
  <c r="T30" i="18"/>
  <c r="V27" i="18"/>
  <c r="U30" i="18"/>
  <c r="V27" i="17"/>
  <c r="U30" i="17"/>
  <c r="W27" i="17"/>
  <c r="V30" i="17"/>
  <c r="W27" i="18"/>
  <c r="V30" i="18"/>
  <c r="X27" i="18"/>
  <c r="W30" i="18"/>
  <c r="X27" i="17"/>
  <c r="W30" i="17"/>
  <c r="Y27" i="17"/>
  <c r="X30" i="17"/>
  <c r="Y27" i="18"/>
  <c r="X30" i="18"/>
  <c r="Z27" i="18"/>
  <c r="Y30" i="18"/>
  <c r="Z27" i="17"/>
  <c r="Y30" i="17"/>
  <c r="AA27" i="17"/>
  <c r="Z30" i="17"/>
  <c r="AA27" i="18"/>
  <c r="Z30" i="18"/>
  <c r="AB27" i="18"/>
  <c r="AA30" i="18"/>
  <c r="AB27" i="17"/>
  <c r="AA30" i="17"/>
  <c r="AB30" i="17"/>
  <c r="AC27" i="17"/>
  <c r="AC27" i="18"/>
  <c r="AB30" i="18"/>
  <c r="AD27" i="17"/>
  <c r="AC30" i="17"/>
  <c r="AD27" i="18"/>
  <c r="AC30" i="18"/>
  <c r="AE27" i="18"/>
  <c r="AD30" i="18"/>
  <c r="AE27" i="17"/>
  <c r="AD30" i="17"/>
  <c r="AF27" i="17"/>
  <c r="AE30" i="17"/>
  <c r="AF27" i="18"/>
  <c r="AE30" i="18"/>
  <c r="AG27" i="18"/>
  <c r="AF30" i="18"/>
  <c r="AF30" i="17"/>
  <c r="AG27" i="17"/>
  <c r="AH27" i="17"/>
  <c r="AG30" i="17"/>
  <c r="AH27" i="18"/>
  <c r="AG30" i="18"/>
  <c r="AI27" i="18"/>
  <c r="AH30" i="18"/>
  <c r="AI27" i="17"/>
  <c r="AH30" i="17"/>
  <c r="AJ27" i="17"/>
  <c r="AI30" i="17"/>
  <c r="AJ27" i="18"/>
  <c r="AI30" i="18"/>
  <c r="AK27" i="18"/>
  <c r="AJ30" i="18"/>
  <c r="AJ30" i="17"/>
  <c r="AK27" i="17"/>
  <c r="AL27" i="17"/>
  <c r="AK30" i="17"/>
  <c r="AL27" i="18"/>
  <c r="AK30" i="18"/>
  <c r="AM27" i="18"/>
  <c r="AL30" i="18"/>
  <c r="AM27" i="17"/>
  <c r="AL30" i="17"/>
  <c r="AN27" i="17"/>
  <c r="AM30" i="17"/>
  <c r="AN27" i="18"/>
  <c r="AM30" i="18"/>
  <c r="AO27" i="18"/>
  <c r="AN30" i="18"/>
  <c r="AN30" i="17"/>
  <c r="AO27" i="17"/>
  <c r="AP27" i="17"/>
  <c r="AO30" i="17"/>
  <c r="AP27" i="18"/>
  <c r="AO30" i="18"/>
  <c r="AQ27" i="18"/>
  <c r="AP30" i="18"/>
  <c r="AQ27" i="17"/>
  <c r="AP30" i="17"/>
  <c r="AR27" i="17"/>
  <c r="AQ30" i="17"/>
  <c r="AR27" i="18"/>
  <c r="AQ30" i="18"/>
  <c r="AS27" i="18"/>
  <c r="AR30" i="18"/>
  <c r="AR30" i="17"/>
  <c r="AS27" i="17"/>
  <c r="AT27" i="17"/>
  <c r="AS30" i="17"/>
  <c r="AT27" i="18"/>
  <c r="AS30" i="18"/>
  <c r="AU27" i="18"/>
  <c r="AT30" i="18"/>
  <c r="AU27" i="17"/>
  <c r="AT30" i="17"/>
  <c r="AV27" i="17"/>
  <c r="AU30" i="17"/>
  <c r="AV27" i="18"/>
  <c r="AU30" i="18"/>
  <c r="AW27" i="18"/>
  <c r="AV30" i="18"/>
  <c r="AV30" i="17"/>
  <c r="AW27" i="17"/>
  <c r="AX27" i="17"/>
  <c r="AW30" i="17"/>
  <c r="AX27" i="18"/>
  <c r="AW30" i="18"/>
  <c r="AY27" i="18"/>
  <c r="AY30" i="18"/>
  <c r="AZ30" i="18"/>
  <c r="AX30" i="18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107" i="5"/>
  <c r="G37" i="5"/>
  <c r="H37" i="5"/>
  <c r="G38" i="5"/>
  <c r="H38" i="5"/>
  <c r="G39" i="5"/>
  <c r="G40" i="5"/>
  <c r="H40" i="5"/>
  <c r="G41" i="5"/>
  <c r="H41" i="5"/>
  <c r="G42" i="5"/>
  <c r="H42" i="5"/>
  <c r="G43" i="5"/>
  <c r="G44" i="5"/>
  <c r="H44" i="5"/>
  <c r="G45" i="5"/>
  <c r="H45" i="5"/>
  <c r="G46" i="5"/>
  <c r="H46" i="5"/>
  <c r="G47" i="5"/>
  <c r="G48" i="5"/>
  <c r="H48" i="5"/>
  <c r="G49" i="5"/>
  <c r="H49" i="5"/>
  <c r="G50" i="5"/>
  <c r="H50" i="5"/>
  <c r="G51" i="5"/>
  <c r="G52" i="5"/>
  <c r="H52" i="5"/>
  <c r="G53" i="5"/>
  <c r="H53" i="5"/>
  <c r="G54" i="5"/>
  <c r="H54" i="5"/>
  <c r="G55" i="5"/>
  <c r="G56" i="5"/>
  <c r="H56" i="5"/>
  <c r="G57" i="5"/>
  <c r="H57" i="5"/>
  <c r="G58" i="5"/>
  <c r="H58" i="5"/>
  <c r="G59" i="5"/>
  <c r="G60" i="5"/>
  <c r="H60" i="5"/>
  <c r="G61" i="5"/>
  <c r="H61" i="5"/>
  <c r="G62" i="5"/>
  <c r="H62" i="5"/>
  <c r="G63" i="5"/>
  <c r="G64" i="5"/>
  <c r="H64" i="5"/>
  <c r="G65" i="5"/>
  <c r="H65" i="5"/>
  <c r="G66" i="5"/>
  <c r="H66" i="5"/>
  <c r="G67" i="5"/>
  <c r="G68" i="5"/>
  <c r="H68" i="5"/>
  <c r="G69" i="5"/>
  <c r="H69" i="5"/>
  <c r="G70" i="5"/>
  <c r="H70" i="5"/>
  <c r="G71" i="5"/>
  <c r="G72" i="5"/>
  <c r="H72" i="5"/>
  <c r="G73" i="5"/>
  <c r="H73" i="5"/>
  <c r="G74" i="5"/>
  <c r="H74" i="5"/>
  <c r="G75" i="5"/>
  <c r="G76" i="5"/>
  <c r="H76" i="5"/>
  <c r="G77" i="5"/>
  <c r="H77" i="5"/>
  <c r="G78" i="5"/>
  <c r="H78" i="5"/>
  <c r="G79" i="5"/>
  <c r="G80" i="5"/>
  <c r="H80" i="5"/>
  <c r="G81" i="5"/>
  <c r="H81" i="5"/>
  <c r="G82" i="5"/>
  <c r="H82" i="5"/>
  <c r="G83" i="5"/>
  <c r="G84" i="5"/>
  <c r="H84" i="5"/>
  <c r="G85" i="5"/>
  <c r="H85" i="5"/>
  <c r="G86" i="5"/>
  <c r="H86" i="5"/>
  <c r="G87" i="5"/>
  <c r="G88" i="5"/>
  <c r="H88" i="5"/>
  <c r="G89" i="5"/>
  <c r="H89" i="5"/>
  <c r="G90" i="5"/>
  <c r="H90" i="5"/>
  <c r="G91" i="5"/>
  <c r="G92" i="5"/>
  <c r="H92" i="5"/>
  <c r="G93" i="5"/>
  <c r="H93" i="5"/>
  <c r="G94" i="5"/>
  <c r="H94" i="5"/>
  <c r="G95" i="5"/>
  <c r="G96" i="5"/>
  <c r="H96" i="5"/>
  <c r="G97" i="5"/>
  <c r="H97" i="5"/>
  <c r="G98" i="5"/>
  <c r="H98" i="5"/>
  <c r="G99" i="5"/>
  <c r="G100" i="5"/>
  <c r="H100" i="5"/>
  <c r="G101" i="5"/>
  <c r="H101" i="5"/>
  <c r="G102" i="5"/>
  <c r="H102" i="5"/>
  <c r="G103" i="5"/>
  <c r="G104" i="5"/>
  <c r="H104" i="5"/>
  <c r="G105" i="5"/>
  <c r="H105" i="5"/>
  <c r="G106" i="5"/>
  <c r="H106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<sst xmlns="http://schemas.openxmlformats.org/spreadsheetml/2006/main" count="2630" uniqueCount="415">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</sst>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5" fillId="0" borderId="0" xfId="0" applyFont="1"/>
    <xf numFmtId="164" fontId="0" fillId="0" borderId="27" xfId="0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6" t="s">
        <v>165</v>
      </c>
      <c r="E4" s="197"/>
      <c r="F4" s="198"/>
    </row>
    <row r="5" spans="2:6">
      <c r="B5" s="6"/>
      <c r="C5" s="7" t="s">
        <v>111</v>
      </c>
      <c r="D5" s="199">
        <v>2018</v>
      </c>
      <c r="E5" s="200"/>
      <c r="F5" s="201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338</v>
      </c>
      <c r="D8">
        <v>3</v>
      </c>
      <c r="E8" t="s">
        <v>339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>
      <selection activeCell="C76" sqref="C76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-500</v>
      </c>
      <c r="D39" s="14">
        <v>4000</v>
      </c>
      <c r="E39" s="15" t="s">
        <v>167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-1750</v>
      </c>
      <c r="D63" s="15">
        <v>4000</v>
      </c>
      <c r="E63" s="15" t="s">
        <v>167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8000</v>
      </c>
      <c r="E76" s="15" t="s">
        <v>167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O15" sqref="O15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2264.2256576095024</v>
      </c>
      <c r="D6" s="87">
        <v>2264.2256576095024</v>
      </c>
      <c r="E6" s="87">
        <v>2264.2256576095024</v>
      </c>
      <c r="F6" s="87">
        <v>2264.2256576095024</v>
      </c>
      <c r="G6" s="87">
        <v>2264.2256576095024</v>
      </c>
      <c r="H6" s="87">
        <v>2264.2256576095024</v>
      </c>
      <c r="I6" s="87">
        <v>2264.2256576095024</v>
      </c>
      <c r="J6" s="87">
        <v>2264.2256576095024</v>
      </c>
      <c r="K6" s="87">
        <v>2264.2256576095024</v>
      </c>
      <c r="L6" s="87">
        <v>2264.2256576095024</v>
      </c>
      <c r="M6" s="87">
        <v>2264.2256576095024</v>
      </c>
      <c r="N6" s="87">
        <v>2264.2256576095024</v>
      </c>
    </row>
    <row r="7" spans="2:14">
      <c r="B7" s="36" t="s">
        <v>105</v>
      </c>
      <c r="C7" s="88">
        <v>600.00000000000045</v>
      </c>
      <c r="D7" s="89">
        <v>600.00000000000045</v>
      </c>
      <c r="E7" s="89">
        <v>600.00000000000045</v>
      </c>
      <c r="F7" s="89">
        <v>600.00000000000045</v>
      </c>
      <c r="G7" s="89">
        <v>600.00000000000045</v>
      </c>
      <c r="H7" s="89">
        <v>600.00000000000045</v>
      </c>
      <c r="I7" s="89">
        <v>600.00000000000045</v>
      </c>
      <c r="J7" s="89">
        <v>600.00000000000045</v>
      </c>
      <c r="K7" s="89">
        <v>600.00000000000045</v>
      </c>
      <c r="L7" s="89">
        <v>600.00000000000045</v>
      </c>
      <c r="M7" s="89">
        <v>600.00000000000045</v>
      </c>
      <c r="N7" s="89">
        <v>600.00000000000045</v>
      </c>
    </row>
    <row r="8" spans="2:14">
      <c r="B8" s="36" t="s">
        <v>106</v>
      </c>
      <c r="C8" s="88">
        <v>30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214.08858367520591</v>
      </c>
      <c r="D9" s="89">
        <v>214.08858367520591</v>
      </c>
      <c r="E9" s="89">
        <v>214.08858367520591</v>
      </c>
      <c r="F9" s="89">
        <v>214.08858367520591</v>
      </c>
      <c r="G9" s="89">
        <v>214.08858367520591</v>
      </c>
      <c r="H9" s="89">
        <v>214.08858367520591</v>
      </c>
      <c r="I9" s="89">
        <v>214.08858367520591</v>
      </c>
      <c r="J9" s="89">
        <v>214.08858367520591</v>
      </c>
      <c r="K9" s="89">
        <v>214.08858367520591</v>
      </c>
      <c r="L9" s="89">
        <v>214.08858367520591</v>
      </c>
      <c r="M9" s="89">
        <v>214.08858367520591</v>
      </c>
      <c r="N9" s="89">
        <v>214.08858367520591</v>
      </c>
    </row>
    <row r="10" spans="2:14">
      <c r="B10" s="36" t="s">
        <v>108</v>
      </c>
      <c r="C10" s="88">
        <v>4.8216148030580734E-20</v>
      </c>
      <c r="D10" s="89">
        <v>4.8216148030580734E-20</v>
      </c>
      <c r="E10" s="89">
        <v>4.8216148030580734E-20</v>
      </c>
      <c r="F10" s="89">
        <v>4.8216148030580734E-20</v>
      </c>
      <c r="G10" s="89">
        <v>4.8216148030580734E-20</v>
      </c>
      <c r="H10" s="89">
        <v>4.8216148030580734E-20</v>
      </c>
      <c r="I10" s="89">
        <v>4.8216148030580734E-20</v>
      </c>
      <c r="J10" s="89">
        <v>4.8216148030580734E-20</v>
      </c>
      <c r="K10" s="89">
        <v>4.8216148030580734E-20</v>
      </c>
      <c r="L10" s="89">
        <v>4.8216148030580734E-20</v>
      </c>
      <c r="M10" s="89">
        <v>4.8216148030580734E-20</v>
      </c>
      <c r="N10" s="89">
        <v>4.8216148030580734E-20</v>
      </c>
    </row>
    <row r="11" spans="2:14">
      <c r="B11" s="37" t="s">
        <v>109</v>
      </c>
      <c r="C11" s="88">
        <v>9.5617489996985466E-20</v>
      </c>
      <c r="D11" s="89">
        <v>9.5617489996985466E-20</v>
      </c>
      <c r="E11" s="89">
        <v>9.5617489996985466E-20</v>
      </c>
      <c r="F11" s="89">
        <v>9.5617489996985466E-20</v>
      </c>
      <c r="G11" s="89">
        <v>9.5617489996985466E-20</v>
      </c>
      <c r="H11" s="89">
        <v>9.5617489996985466E-20</v>
      </c>
      <c r="I11" s="89">
        <v>9.5617489996985466E-20</v>
      </c>
      <c r="J11" s="89">
        <v>9.5617489996985466E-20</v>
      </c>
      <c r="K11" s="89">
        <v>9.5617489996985466E-20</v>
      </c>
      <c r="L11" s="89">
        <v>9.5617489996985466E-20</v>
      </c>
      <c r="M11" s="89">
        <v>9.5617489996985466E-20</v>
      </c>
      <c r="N11" s="89">
        <v>9.5617489996985466E-20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0.55926584586003703</v>
      </c>
      <c r="E17" s="90">
        <v>1</v>
      </c>
      <c r="F17" s="90">
        <v>0.78583864510856838</v>
      </c>
      <c r="G17" s="90">
        <v>0.8</v>
      </c>
      <c r="H17" s="90">
        <v>1.0124114443571</v>
      </c>
      <c r="I17" s="29" t="s">
        <v>110</v>
      </c>
    </row>
    <row r="18" spans="2:33">
      <c r="B18" s="36" t="s">
        <v>105</v>
      </c>
      <c r="C18" s="91">
        <v>1.2</v>
      </c>
      <c r="D18" s="91">
        <v>0.64013987757278168</v>
      </c>
      <c r="E18" s="91">
        <v>1</v>
      </c>
      <c r="F18" s="91">
        <v>0.76225965104807469</v>
      </c>
      <c r="G18" s="91">
        <v>0.8</v>
      </c>
      <c r="H18" s="91">
        <v>0.8843794245233676</v>
      </c>
      <c r="I18" s="29" t="s">
        <v>110</v>
      </c>
    </row>
    <row r="19" spans="2:33">
      <c r="B19" s="36" t="s">
        <v>106</v>
      </c>
      <c r="C19" s="91">
        <v>1.2</v>
      </c>
      <c r="D19" s="91">
        <v>0.6821939761673379</v>
      </c>
      <c r="E19" s="91">
        <v>1</v>
      </c>
      <c r="F19" s="91">
        <v>0.83653549540445349</v>
      </c>
      <c r="G19" s="91">
        <v>0.8</v>
      </c>
      <c r="H19" s="91">
        <v>0.99087701464156897</v>
      </c>
      <c r="I19" s="29" t="s">
        <v>110</v>
      </c>
    </row>
    <row r="20" spans="2:33">
      <c r="B20" s="36" t="s">
        <v>107</v>
      </c>
      <c r="C20" s="91">
        <v>1.2</v>
      </c>
      <c r="D20" s="91">
        <v>0.64715856423810436</v>
      </c>
      <c r="E20" s="91">
        <v>1</v>
      </c>
      <c r="F20" s="91">
        <v>0.81648040335892125</v>
      </c>
      <c r="G20" s="91">
        <v>0.8</v>
      </c>
      <c r="H20" s="91">
        <v>0.98580224247973813</v>
      </c>
    </row>
    <row r="21" spans="2:33">
      <c r="B21" s="36" t="s">
        <v>108</v>
      </c>
      <c r="C21" s="91">
        <v>1.2</v>
      </c>
      <c r="D21" s="91">
        <v>0.72098162804998611</v>
      </c>
      <c r="E21" s="91">
        <v>1</v>
      </c>
      <c r="F21" s="91">
        <v>0.75028723197486258</v>
      </c>
      <c r="G21" s="91">
        <v>0.8</v>
      </c>
      <c r="H21" s="91">
        <v>0.77959283589973916</v>
      </c>
    </row>
    <row r="22" spans="2:33">
      <c r="B22" s="37" t="s">
        <v>109</v>
      </c>
      <c r="C22" s="91">
        <v>1.2</v>
      </c>
      <c r="D22" s="91">
        <v>0.69388517956514806</v>
      </c>
      <c r="E22" s="91">
        <v>1</v>
      </c>
      <c r="F22" s="91">
        <v>0.75852973579841076</v>
      </c>
      <c r="G22" s="91">
        <v>0.8</v>
      </c>
      <c r="H22" s="91">
        <v>0.82317429203167358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>
        <v>0.85067072108996544</v>
      </c>
      <c r="P31" s="63">
        <f>O31+M31+K31+I31+G31</f>
        <v>9061.9196707210904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>
        <v>0.79998380292338289</v>
      </c>
      <c r="P32" s="63">
        <f>O32+M32+K32+I32</f>
        <v>2207.1689838029233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>
        <v>0.81109959679484855</v>
      </c>
      <c r="P33" s="63">
        <f>O33+M33+K33</f>
        <v>3061.8800995967949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>
        <v>0.74817568762620479</v>
      </c>
      <c r="P34" s="63">
        <f>O34+M34</f>
        <v>1061.8171756876261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>
        <v>0.76104814894497397</v>
      </c>
      <c r="P35" s="65">
        <f>O35</f>
        <v>0.76104814894497397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>
        <v>1.0686812583458234</v>
      </c>
      <c r="P37" s="63">
        <f>O37+M37+K37+I37+G37</f>
        <v>12001.068681258346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>
        <v>1.0255380813967128</v>
      </c>
      <c r="P38" s="63">
        <f>O38+M38+K38+I38</f>
        <v>15299.297538081397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>
        <v>0.98917274591614612</v>
      </c>
      <c r="P39" s="63">
        <f>O39+M39+K39</f>
        <v>36263.193738610615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>
        <v>0.95076571483281835</v>
      </c>
      <c r="P40" s="63">
        <f>O40+M40</f>
        <v>16263.155331579534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>
        <v>0.92028542885184295</v>
      </c>
      <c r="P41" s="64">
        <f>O41</f>
        <v>0.92028542885184295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6.5825495709214627E-22</v>
      </c>
      <c r="D6" s="93">
        <v>57.347747335517454</v>
      </c>
      <c r="E6" s="93">
        <v>1.6816296891738821E-22</v>
      </c>
      <c r="F6" s="93">
        <v>2.6158685005908967E-22</v>
      </c>
      <c r="G6" s="93">
        <v>42.652252664482546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100</v>
      </c>
      <c r="D7" s="93">
        <v>8.7266650009098154E-22</v>
      </c>
      <c r="E7" s="93">
        <v>7.6389487526221734E-23</v>
      </c>
      <c r="F7" s="93">
        <v>2.291685298947958E-22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2.5374971955396355E-20</v>
      </c>
      <c r="D8" s="93">
        <v>3.2821546159512013E-20</v>
      </c>
      <c r="E8" s="93">
        <v>100</v>
      </c>
      <c r="F8" s="93">
        <v>1.6147710611619723E-21</v>
      </c>
      <c r="G8" s="93">
        <v>5.4786870975541585E-21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3.3176867719848261E-20</v>
      </c>
      <c r="D9" s="93">
        <v>6.8508037876961457E-21</v>
      </c>
      <c r="E9" s="93">
        <v>-3.51404251273671E-37</v>
      </c>
      <c r="F9" s="93">
        <v>100</v>
      </c>
      <c r="G9" s="93">
        <v>8.0282851452508701E-22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32.508222469346677</v>
      </c>
      <c r="D10" s="93">
        <v>59.887070127715766</v>
      </c>
      <c r="E10" s="93">
        <v>4.7529421495176187</v>
      </c>
      <c r="F10" s="93">
        <v>2.8517652534199285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49.793925939814876</v>
      </c>
      <c r="D11" s="94">
        <v>43.734924191155265</v>
      </c>
      <c r="E11" s="94">
        <v>3.3554112450745581</v>
      </c>
      <c r="F11" s="94">
        <v>1.4380330966149013</v>
      </c>
      <c r="G11" s="94">
        <v>1.6777055273404022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47.663827622302179</v>
      </c>
      <c r="D19" s="44">
        <f>100-$C$19</f>
        <v>52.336172377697821</v>
      </c>
      <c r="E19" s="94">
        <v>46.817699197802973</v>
      </c>
      <c r="F19" s="33">
        <f>100-$E$19</f>
        <v>53.182300802197027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14.856107561908868</v>
      </c>
      <c r="D27" s="93">
        <v>45.415589705477295</v>
      </c>
      <c r="E27" s="93">
        <v>39.508990289906052</v>
      </c>
      <c r="F27" s="93">
        <v>6.0097834456147856</v>
      </c>
      <c r="G27" s="95">
        <v>4.5084928238378792</v>
      </c>
      <c r="N27" s="50"/>
      <c r="O27" s="50"/>
      <c r="P27" s="50"/>
    </row>
    <row r="28" spans="2:16">
      <c r="B28" s="45" t="s">
        <v>46</v>
      </c>
      <c r="C28" s="93">
        <v>17.883679059241526</v>
      </c>
      <c r="D28" s="93">
        <v>54.584410294522705</v>
      </c>
      <c r="E28" s="93">
        <v>60.491009710093948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67.260213378849599</v>
      </c>
      <c r="D29" s="93">
        <v>0</v>
      </c>
      <c r="E29" s="93">
        <v>0</v>
      </c>
      <c r="F29" s="93">
        <v>93.990216554385213</v>
      </c>
      <c r="G29" s="95">
        <v>95.491507176162116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38.559968689710843</v>
      </c>
      <c r="D37" s="93">
        <v>38.559968689710843</v>
      </c>
      <c r="E37" s="93">
        <v>38.559968689710843</v>
      </c>
      <c r="F37" s="93">
        <v>38.559968689710843</v>
      </c>
      <c r="G37" s="93">
        <v>38.559968689710843</v>
      </c>
      <c r="H37" s="93">
        <v>38.559968689710843</v>
      </c>
      <c r="I37" s="93">
        <v>38.559968689710843</v>
      </c>
      <c r="J37" s="93">
        <v>38.559968689710843</v>
      </c>
      <c r="K37" s="93">
        <v>38.559968689710843</v>
      </c>
      <c r="L37" s="93">
        <v>38.559968689710843</v>
      </c>
      <c r="M37" s="93">
        <v>38.559968689710843</v>
      </c>
      <c r="N37" s="95">
        <v>38.559968689710843</v>
      </c>
    </row>
    <row r="38" spans="2:14">
      <c r="B38" s="45" t="s">
        <v>46</v>
      </c>
      <c r="C38" s="93">
        <v>40.675210128439865</v>
      </c>
      <c r="D38" s="93">
        <v>40.675210128439865</v>
      </c>
      <c r="E38" s="93">
        <v>40.675210128439865</v>
      </c>
      <c r="F38" s="93">
        <v>40.675210128439865</v>
      </c>
      <c r="G38" s="93">
        <v>40.675210128439865</v>
      </c>
      <c r="H38" s="93">
        <v>40.675210128439865</v>
      </c>
      <c r="I38" s="93">
        <v>40.675210128439865</v>
      </c>
      <c r="J38" s="93">
        <v>40.675210128439865</v>
      </c>
      <c r="K38" s="93">
        <v>40.675210128439865</v>
      </c>
      <c r="L38" s="93">
        <v>40.675210128439865</v>
      </c>
      <c r="M38" s="93">
        <v>40.675210128439865</v>
      </c>
      <c r="N38" s="95">
        <v>40.675210128439865</v>
      </c>
    </row>
    <row r="39" spans="2:14">
      <c r="B39" s="45" t="s">
        <v>59</v>
      </c>
      <c r="C39" s="94">
        <v>42.920457056623931</v>
      </c>
      <c r="D39" s="94">
        <v>42.920457056623931</v>
      </c>
      <c r="E39" s="94">
        <v>42.920457056623931</v>
      </c>
      <c r="F39" s="94">
        <v>42.920457056623931</v>
      </c>
      <c r="G39" s="94">
        <v>42.920457056623931</v>
      </c>
      <c r="H39" s="94">
        <v>42.920457056623931</v>
      </c>
      <c r="I39" s="94">
        <v>42.920457056623931</v>
      </c>
      <c r="J39" s="94">
        <v>42.920457056623931</v>
      </c>
      <c r="K39" s="94">
        <v>42.920457056623931</v>
      </c>
      <c r="L39" s="94">
        <v>42.920457056623931</v>
      </c>
      <c r="M39" s="94">
        <v>42.920457056623931</v>
      </c>
      <c r="N39" s="89">
        <v>42.920457056623931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5" workbookViewId="0">
      <selection activeCell="G27" sqref="G27"/>
    </sheetView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  <col min="7" max="7" width="2.6640625" customWidth="1"/>
    <col min="8" max="8" width="11.1640625" customWidth="1"/>
    <col min="11" max="12" width="4.6640625" customWidth="1"/>
    <col min="18" max="18" width="2.6640625" customWidth="1"/>
    <col min="19" max="19" width="14.6640625" customWidth="1"/>
    <col min="20" max="20" width="16.6640625" customWidth="1"/>
    <col min="21" max="21" width="4.6640625" customWidth="1"/>
  </cols>
  <sheetData>
    <row r="1" spans="1:20">
      <c r="A1" s="174"/>
    </row>
    <row r="2" spans="1:20" ht="15">
      <c r="C2" s="202" t="s">
        <v>165</v>
      </c>
      <c r="D2" s="202"/>
      <c r="E2" s="202"/>
      <c r="F2" s="202"/>
      <c r="G2" s="202"/>
      <c r="H2" s="202"/>
    </row>
    <row r="3" spans="1:20" ht="15">
      <c r="C3" s="175" t="s">
        <v>414</v>
      </c>
      <c r="D3" s="175"/>
      <c r="E3" s="175"/>
      <c r="F3" s="175"/>
      <c r="G3" s="175"/>
    </row>
    <row r="5" spans="1:20" ht="15">
      <c r="A5" s="176" t="s">
        <v>353</v>
      </c>
      <c r="B5" s="177"/>
      <c r="G5" s="178"/>
      <c r="L5" s="176" t="s">
        <v>354</v>
      </c>
      <c r="M5" s="177"/>
      <c r="R5" s="178"/>
    </row>
    <row r="6" spans="1:20">
      <c r="A6" s="179" t="s">
        <v>355</v>
      </c>
      <c r="B6" s="177"/>
      <c r="G6" s="180"/>
      <c r="H6" s="108"/>
      <c r="L6" s="179" t="s">
        <v>356</v>
      </c>
      <c r="M6" s="177"/>
      <c r="S6" s="122"/>
    </row>
    <row r="7" spans="1:20">
      <c r="A7" s="177"/>
      <c r="B7" s="177" t="s">
        <v>357</v>
      </c>
      <c r="G7" s="180"/>
      <c r="H7" s="181">
        <f>SUM(ORA!$D$116:$O$116)</f>
        <v>67384.264663626382</v>
      </c>
      <c r="L7" s="177"/>
      <c r="M7" s="177" t="s">
        <v>357</v>
      </c>
      <c r="S7" s="182">
        <f>SUM(ORA!$D$127:$O$127)</f>
        <v>287797292.3935883</v>
      </c>
    </row>
    <row r="8" spans="1:20">
      <c r="A8" s="177"/>
      <c r="B8" s="177" t="s">
        <v>358</v>
      </c>
      <c r="G8" s="180"/>
      <c r="H8" s="183">
        <f>SUM(POJ!$D$116:$O$116)</f>
        <v>43994.581043878992</v>
      </c>
      <c r="L8" s="177"/>
      <c r="M8" s="177" t="s">
        <v>358</v>
      </c>
      <c r="S8" s="184">
        <f>SUM(POJ!$D$127:$O$127)</f>
        <v>307962067.30715293</v>
      </c>
    </row>
    <row r="9" spans="1:20">
      <c r="A9" s="177"/>
      <c r="B9" s="177" t="s">
        <v>359</v>
      </c>
      <c r="G9" s="180"/>
      <c r="H9" s="183">
        <f>SUM(ROJ!$D$116:$O$116)</f>
        <v>27795.50975628187</v>
      </c>
      <c r="L9" s="177"/>
      <c r="M9" s="177" t="s">
        <v>359</v>
      </c>
      <c r="S9" s="184">
        <f>SUM(ROJ!$D$127:$O$127)</f>
        <v>211245874.14774221</v>
      </c>
    </row>
    <row r="10" spans="1:20">
      <c r="A10" s="177"/>
      <c r="B10" s="177" t="s">
        <v>360</v>
      </c>
      <c r="G10" s="180"/>
      <c r="H10" s="185">
        <f>SUM(FCOJ!$D$116:$O$116)</f>
        <v>33072.667424637868</v>
      </c>
      <c r="L10" s="177"/>
      <c r="M10" s="177" t="s">
        <v>360</v>
      </c>
      <c r="S10" s="186">
        <f>SUM(FCOJ!$D$127:$O$127)</f>
        <v>165818143.63879311</v>
      </c>
    </row>
    <row r="11" spans="1:20">
      <c r="A11" s="177"/>
      <c r="B11" s="177"/>
      <c r="G11" s="180"/>
      <c r="M11" s="177" t="s">
        <v>361</v>
      </c>
      <c r="T11" s="187">
        <f>SUM($S$7:$S$10)</f>
        <v>972823377.48727667</v>
      </c>
    </row>
    <row r="12" spans="1:20">
      <c r="A12" s="179" t="s">
        <v>362</v>
      </c>
      <c r="B12" s="177"/>
      <c r="G12" s="180"/>
    </row>
    <row r="13" spans="1:20">
      <c r="A13" s="177"/>
      <c r="B13" s="177" t="s">
        <v>363</v>
      </c>
      <c r="G13" s="180"/>
      <c r="H13" s="188">
        <f>SUM(grove!$C$48:$AX$53)</f>
        <v>153827.9223738735</v>
      </c>
      <c r="L13" s="179" t="s">
        <v>364</v>
      </c>
      <c r="M13" s="177"/>
    </row>
    <row r="14" spans="1:20">
      <c r="A14" s="177"/>
      <c r="B14" s="177" t="s">
        <v>365</v>
      </c>
      <c r="G14" s="180"/>
      <c r="H14" s="181">
        <f>raw_materials!$P$30</f>
        <v>9061.0689999999995</v>
      </c>
      <c r="L14" s="177"/>
      <c r="M14" s="177" t="s">
        <v>366</v>
      </c>
      <c r="S14" s="182">
        <f>SUM(grove!$C$58:$AX$63)</f>
        <v>205825973.22629294</v>
      </c>
    </row>
    <row r="15" spans="1:20">
      <c r="A15" s="177"/>
      <c r="B15" s="177" t="s">
        <v>367</v>
      </c>
      <c r="G15" s="180"/>
      <c r="H15" s="185">
        <f>raw_materials!$P$36</f>
        <v>11500</v>
      </c>
      <c r="L15" s="177"/>
      <c r="M15" s="177" t="s">
        <v>368</v>
      </c>
      <c r="S15" s="184">
        <f>(raw_materials!D30*raw_materials!E30+raw_materials!F30*raw_materials!G30+raw_materials!H30*raw_materials!I30+raw_materials!J30*raw_materials!K30+raw_materials!L30*raw_materials!M30)*2000</f>
        <v>13217026.549361002</v>
      </c>
    </row>
    <row r="16" spans="1:20">
      <c r="A16" s="177"/>
      <c r="B16" s="177" t="s">
        <v>369</v>
      </c>
      <c r="G16" s="180"/>
      <c r="H16" s="189">
        <v>44172.422390888802</v>
      </c>
      <c r="L16" s="177"/>
      <c r="M16" s="177" t="s">
        <v>370</v>
      </c>
      <c r="S16" s="184">
        <f>(raw_materials!D36*raw_materials!E36+raw_materials!F36*raw_materials!G36+raw_materials!H36*raw_materials!I36+raw_materials!J36*raw_materials!K36+raw_materials!L36*raw_materials!M36)*2000</f>
        <v>20442442.193068478</v>
      </c>
    </row>
    <row r="17" spans="1:21">
      <c r="A17" s="177"/>
      <c r="B17" s="177" t="s">
        <v>371</v>
      </c>
      <c r="G17" s="180"/>
      <c r="H17" s="190">
        <v>49723.51659029533</v>
      </c>
      <c r="L17" s="177"/>
      <c r="M17" s="177" t="s">
        <v>372</v>
      </c>
      <c r="S17" s="184">
        <v>32576663.946322322</v>
      </c>
    </row>
    <row r="18" spans="1:21">
      <c r="A18" s="177"/>
      <c r="B18" s="177" t="s">
        <v>373</v>
      </c>
      <c r="G18" s="180"/>
      <c r="H18" s="191">
        <v>28031.777217043771</v>
      </c>
      <c r="L18" s="177"/>
      <c r="M18" s="177" t="s">
        <v>374</v>
      </c>
      <c r="S18" s="186">
        <v>3669478.05607699</v>
      </c>
    </row>
    <row r="19" spans="1:21">
      <c r="A19" s="177"/>
      <c r="B19" s="177" t="s">
        <v>375</v>
      </c>
      <c r="G19" s="180"/>
      <c r="H19" s="190">
        <v>1560.0000000000191</v>
      </c>
      <c r="L19" s="177"/>
      <c r="M19" s="177" t="s">
        <v>376</v>
      </c>
      <c r="S19" s="192" t="s">
        <v>377</v>
      </c>
      <c r="T19" s="193">
        <f>SUM($S$14:$S$18)</f>
        <v>275731583.97112173</v>
      </c>
      <c r="U19" t="s">
        <v>378</v>
      </c>
    </row>
    <row r="20" spans="1:21">
      <c r="A20" s="177"/>
      <c r="B20" s="177" t="s">
        <v>379</v>
      </c>
      <c r="G20" s="180"/>
      <c r="H20" s="185">
        <v>731.87605601898611</v>
      </c>
      <c r="L20" s="177"/>
      <c r="M20" s="177"/>
    </row>
    <row r="21" spans="1:21">
      <c r="A21" s="177"/>
      <c r="B21" s="177"/>
      <c r="G21" s="180"/>
      <c r="L21" s="179" t="s">
        <v>380</v>
      </c>
      <c r="M21" s="177"/>
      <c r="S21" s="122"/>
    </row>
    <row r="22" spans="1:21">
      <c r="A22" s="179" t="s">
        <v>381</v>
      </c>
      <c r="B22" s="177"/>
      <c r="G22" s="180"/>
      <c r="L22" s="177"/>
      <c r="M22" s="177" t="s">
        <v>382</v>
      </c>
      <c r="S22" s="184">
        <v>88344844.781777561</v>
      </c>
    </row>
    <row r="23" spans="1:21">
      <c r="A23" s="177"/>
      <c r="B23" s="177" t="s">
        <v>383</v>
      </c>
      <c r="G23" s="180"/>
      <c r="H23" s="181">
        <f>SUM(raw_materials!$O$31:$O$35)</f>
        <v>3.9709779573793753</v>
      </c>
      <c r="L23" s="177"/>
      <c r="M23" s="177" t="s">
        <v>384</v>
      </c>
      <c r="S23" s="184">
        <v>49723516.590295307</v>
      </c>
    </row>
    <row r="24" spans="1:21">
      <c r="A24" s="177"/>
      <c r="B24" s="177" t="s">
        <v>385</v>
      </c>
      <c r="G24" s="180"/>
      <c r="H24" s="185">
        <f>SUM(raw_materials!$O$37:$O$41)</f>
        <v>4.9544432293433438</v>
      </c>
      <c r="L24" s="177"/>
      <c r="M24" s="177" t="s">
        <v>386</v>
      </c>
      <c r="S24" s="186">
        <v>18220655.191078454</v>
      </c>
    </row>
    <row r="25" spans="1:21">
      <c r="A25" s="177"/>
      <c r="B25" s="177"/>
      <c r="G25" s="180"/>
      <c r="L25" s="177"/>
      <c r="M25" s="177" t="s">
        <v>387</v>
      </c>
      <c r="S25" s="192" t="s">
        <v>377</v>
      </c>
      <c r="T25" s="193">
        <f>SUM($S$22:$S$24)</f>
        <v>156289016.56315133</v>
      </c>
      <c r="U25" t="s">
        <v>378</v>
      </c>
    </row>
    <row r="26" spans="1:21">
      <c r="A26" s="179" t="s">
        <v>388</v>
      </c>
      <c r="B26" s="177"/>
      <c r="G26" s="180"/>
      <c r="L26" s="177"/>
      <c r="M26" s="177"/>
    </row>
    <row r="27" spans="1:21">
      <c r="A27" s="177"/>
      <c r="B27" s="177" t="s">
        <v>389</v>
      </c>
      <c r="G27" s="180"/>
      <c r="H27" s="181">
        <f>SUMIF(facilities!$C$6:$C$15,"&gt;0",facilities!$C$6:$C$15)</f>
        <v>0</v>
      </c>
      <c r="L27" s="179" t="s">
        <v>390</v>
      </c>
      <c r="M27" s="177"/>
    </row>
    <row r="28" spans="1:21">
      <c r="A28" s="177"/>
      <c r="B28" s="177" t="s">
        <v>391</v>
      </c>
      <c r="G28" s="180"/>
      <c r="H28" s="183">
        <f>SUMIF(facilities!$C$36:$C$106,"&gt;0",facilities!$C$36:$C$106)</f>
        <v>0</v>
      </c>
      <c r="L28" s="177"/>
      <c r="M28" s="177" t="s">
        <v>392</v>
      </c>
      <c r="S28" s="182">
        <v>15182100</v>
      </c>
    </row>
    <row r="29" spans="1:21">
      <c r="A29" s="177"/>
      <c r="B29" s="177" t="s">
        <v>393</v>
      </c>
      <c r="G29" s="180"/>
      <c r="H29" s="183">
        <f>SUMIF(facilities!$C$6:$C$15,"&lt;0",facilities!$C$6:$C$15)</f>
        <v>0</v>
      </c>
      <c r="L29" s="177"/>
      <c r="M29" s="177" t="s">
        <v>394</v>
      </c>
      <c r="S29" s="184">
        <v>25120849.121228758</v>
      </c>
    </row>
    <row r="30" spans="1:21">
      <c r="A30" s="177"/>
      <c r="B30" s="177" t="s">
        <v>395</v>
      </c>
      <c r="G30" s="180"/>
      <c r="H30" s="185">
        <f>SUMIF(facilities!$C$36:$C$106,"&lt;0",facilities!$C$36:$C$106)</f>
        <v>-4250</v>
      </c>
      <c r="L30" s="177"/>
      <c r="M30" s="177" t="s">
        <v>396</v>
      </c>
      <c r="S30" s="184">
        <v>5864692.8804913312</v>
      </c>
    </row>
    <row r="31" spans="1:21">
      <c r="L31" s="177"/>
      <c r="M31" s="177" t="s">
        <v>397</v>
      </c>
      <c r="S31" s="186">
        <f>SUM(ORA!D138:O138)+SUM(POJ!D138:O138)+SUM(ROJ!D138:O138)+SUM(FCOJ!D138:O138)</f>
        <v>116972213.40236962</v>
      </c>
    </row>
    <row r="32" spans="1:21">
      <c r="A32" s="179" t="s">
        <v>398</v>
      </c>
      <c r="B32" s="177"/>
      <c r="G32" s="180"/>
      <c r="L32" s="177"/>
      <c r="M32" s="177" t="s">
        <v>399</v>
      </c>
      <c r="S32" s="110" t="s">
        <v>377</v>
      </c>
      <c r="T32" s="193">
        <f>SUM($S$28:$S$31)</f>
        <v>163139855.40408969</v>
      </c>
      <c r="U32" t="s">
        <v>378</v>
      </c>
    </row>
    <row r="33" spans="1:21">
      <c r="A33" s="177"/>
      <c r="B33" s="177" t="s">
        <v>400</v>
      </c>
      <c r="G33" s="180"/>
      <c r="H33" s="181">
        <f>COUNTIF(facilities!$H$6:$H$15,"=new")</f>
        <v>0</v>
      </c>
      <c r="M33" s="177"/>
    </row>
    <row r="34" spans="1:21">
      <c r="A34" s="177"/>
      <c r="B34" s="177" t="s">
        <v>401</v>
      </c>
      <c r="G34" s="180"/>
      <c r="H34" s="183">
        <f>COUNTIF(facilities!$H$36:$H$106,"=new")</f>
        <v>0</v>
      </c>
      <c r="L34" s="179" t="s">
        <v>402</v>
      </c>
      <c r="M34" s="177"/>
    </row>
    <row r="35" spans="1:21">
      <c r="B35" s="177" t="s">
        <v>18</v>
      </c>
      <c r="H35" s="185">
        <f>SUMIF(facilities!$C$21:$C$30,"&gt;0",facilities!$C$21:$C$30)</f>
        <v>0</v>
      </c>
      <c r="L35" s="177"/>
      <c r="M35" s="177" t="s">
        <v>403</v>
      </c>
      <c r="S35" s="182">
        <v>26472500</v>
      </c>
    </row>
    <row r="36" spans="1:21">
      <c r="L36" s="177"/>
      <c r="M36" s="177" t="s">
        <v>404</v>
      </c>
      <c r="S36" s="184">
        <f>H33*12000000-H38*70/100*12000000</f>
        <v>0</v>
      </c>
    </row>
    <row r="37" spans="1:21">
      <c r="A37" s="179" t="s">
        <v>405</v>
      </c>
      <c r="L37" s="177"/>
      <c r="M37" s="177" t="s">
        <v>406</v>
      </c>
      <c r="S37" s="184">
        <f>H27*8000+H29*70/100*8000</f>
        <v>0</v>
      </c>
    </row>
    <row r="38" spans="1:21">
      <c r="B38" s="177" t="s">
        <v>400</v>
      </c>
      <c r="H38" s="181">
        <f>COUNTIF(facilities!$H$6:$H$15,"=sold")</f>
        <v>0</v>
      </c>
      <c r="L38" s="177"/>
      <c r="M38" s="177" t="s">
        <v>407</v>
      </c>
      <c r="S38" s="184">
        <v>32900000</v>
      </c>
    </row>
    <row r="39" spans="1:21">
      <c r="B39" s="177" t="s">
        <v>401</v>
      </c>
      <c r="H39" s="183">
        <f>COUNTIF(facilities!$H$36:$H$106,"=sold")</f>
        <v>0</v>
      </c>
      <c r="L39" s="177"/>
      <c r="M39" s="177" t="s">
        <v>408</v>
      </c>
      <c r="S39" s="184">
        <f>H34*9000000-H39*80/100*9000000</f>
        <v>0</v>
      </c>
    </row>
    <row r="40" spans="1:21">
      <c r="B40" s="177" t="s">
        <v>18</v>
      </c>
      <c r="H40" s="185">
        <f>-SUMIF(facilities!$C$21:$C$30,"&lt;0",facilities!$C$21:$C$30)</f>
        <v>0</v>
      </c>
      <c r="L40" s="177"/>
      <c r="M40" s="177" t="s">
        <v>409</v>
      </c>
      <c r="S40" s="184">
        <f>H28*6000+H30*80/100*6000</f>
        <v>-20400000</v>
      </c>
    </row>
    <row r="41" spans="1:21">
      <c r="L41" s="177"/>
      <c r="M41" s="177" t="s">
        <v>410</v>
      </c>
      <c r="S41" s="184">
        <v>9400</v>
      </c>
    </row>
    <row r="42" spans="1:21">
      <c r="L42" s="177"/>
      <c r="M42" s="177" t="s">
        <v>411</v>
      </c>
      <c r="S42" s="186">
        <f>H35*100000-H40*60/100*100000</f>
        <v>0</v>
      </c>
    </row>
    <row r="43" spans="1:21">
      <c r="L43" s="177"/>
      <c r="M43" s="177" t="s">
        <v>412</v>
      </c>
      <c r="S43" s="172" t="s">
        <v>377</v>
      </c>
      <c r="T43" s="193">
        <f>SUM($S$35:$S$42)</f>
        <v>38981900</v>
      </c>
      <c r="U43" t="s">
        <v>378</v>
      </c>
    </row>
    <row r="44" spans="1:21">
      <c r="L44" s="177"/>
      <c r="S44" s="108"/>
    </row>
    <row r="45" spans="1:21" ht="13" thickBot="1">
      <c r="L45" s="194" t="s">
        <v>413</v>
      </c>
      <c r="M45" s="177"/>
      <c r="T45" s="195">
        <f>$T$11-$T$19-$T$25-$T$32-$T$43</f>
        <v>338681021.54891396</v>
      </c>
    </row>
    <row r="46" spans="1:21" ht="13" thickTop="1">
      <c r="M46" s="177"/>
    </row>
    <row r="316" spans="1:1">
      <c r="A316" s="174"/>
    </row>
    <row r="317" spans="1:1">
      <c r="A317" s="174"/>
    </row>
    <row r="318" spans="1:1">
      <c r="A318" s="174"/>
    </row>
    <row r="319" spans="1:1">
      <c r="A319" s="174"/>
    </row>
    <row r="320" spans="1:1">
      <c r="A320" s="174"/>
    </row>
    <row r="321" spans="1:1">
      <c r="A321" s="174"/>
    </row>
    <row r="322" spans="1:1">
      <c r="A322" s="174"/>
    </row>
    <row r="323" spans="1:1">
      <c r="A323" s="174"/>
    </row>
    <row r="325" spans="1:1">
      <c r="A325" s="174"/>
    </row>
    <row r="326" spans="1:1">
      <c r="A326" s="174"/>
    </row>
    <row r="327" spans="1:1">
      <c r="A327" s="174"/>
    </row>
    <row r="328" spans="1:1">
      <c r="A328" s="174"/>
    </row>
    <row r="329" spans="1:1">
      <c r="A329" s="174"/>
    </row>
    <row r="330" spans="1:1">
      <c r="A330" s="174"/>
    </row>
    <row r="331" spans="1:1">
      <c r="A331" s="174"/>
    </row>
    <row r="332" spans="1:1">
      <c r="A332" s="174"/>
    </row>
    <row r="334" spans="1:1">
      <c r="A334" s="174"/>
    </row>
    <row r="335" spans="1:1">
      <c r="A335" s="174"/>
    </row>
    <row r="336" spans="1:1">
      <c r="A336" s="174"/>
    </row>
    <row r="337" spans="1:1">
      <c r="A337" s="174"/>
    </row>
    <row r="338" spans="1:1">
      <c r="A338" s="174"/>
    </row>
    <row r="339" spans="1:1">
      <c r="A339" s="174"/>
    </row>
    <row r="340" spans="1:1">
      <c r="A340" s="174"/>
    </row>
    <row r="341" spans="1:1">
      <c r="A341" s="174"/>
    </row>
    <row r="343" spans="1:1">
      <c r="A343" s="174"/>
    </row>
    <row r="344" spans="1:1">
      <c r="A344" s="174"/>
    </row>
    <row r="345" spans="1:1">
      <c r="A345" s="174"/>
    </row>
    <row r="346" spans="1:1">
      <c r="A346" s="174"/>
    </row>
    <row r="347" spans="1:1">
      <c r="A347" s="174"/>
    </row>
    <row r="348" spans="1:1">
      <c r="A348" s="174"/>
    </row>
    <row r="349" spans="1:1">
      <c r="A349" s="174"/>
    </row>
    <row r="350" spans="1:1">
      <c r="A350" s="174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customWidth="1"/>
    <col min="2" max="2" width="15.6640625" customWidth="1"/>
  </cols>
  <sheetData>
    <row r="2" spans="2:14">
      <c r="B2" s="1" t="s">
        <v>314</v>
      </c>
    </row>
    <row r="3" spans="2:14">
      <c r="B3" s="101" t="s">
        <v>315</v>
      </c>
    </row>
    <row r="4" spans="2:14">
      <c r="B4" s="167" t="s">
        <v>91</v>
      </c>
      <c r="C4" s="167" t="s">
        <v>92</v>
      </c>
      <c r="D4" s="167" t="s">
        <v>93</v>
      </c>
      <c r="E4" s="167" t="s">
        <v>94</v>
      </c>
      <c r="F4" s="167" t="s">
        <v>95</v>
      </c>
      <c r="G4" s="167" t="s">
        <v>96</v>
      </c>
      <c r="H4" s="167" t="s">
        <v>97</v>
      </c>
      <c r="I4" s="167" t="s">
        <v>98</v>
      </c>
      <c r="J4" s="167" t="s">
        <v>99</v>
      </c>
      <c r="K4" s="167" t="s">
        <v>100</v>
      </c>
      <c r="L4" s="167" t="s">
        <v>101</v>
      </c>
      <c r="M4" s="167" t="s">
        <v>102</v>
      </c>
      <c r="N4" s="167" t="s">
        <v>103</v>
      </c>
    </row>
    <row r="5" spans="2:14">
      <c r="B5" s="168" t="s">
        <v>104</v>
      </c>
      <c r="C5">
        <v>0.60112150779587747</v>
      </c>
      <c r="D5">
        <v>0.75459119763472748</v>
      </c>
      <c r="E5">
        <v>0.63145480478238902</v>
      </c>
      <c r="F5">
        <v>0.70570207919228556</v>
      </c>
      <c r="G5">
        <v>0.53768390744943462</v>
      </c>
      <c r="H5">
        <v>0.72294742859494121</v>
      </c>
      <c r="I5">
        <v>0.61998571505626876</v>
      </c>
      <c r="J5">
        <v>0.71798376321456403</v>
      </c>
      <c r="K5">
        <v>0.65545559812043097</v>
      </c>
      <c r="L5">
        <v>0.59870803889356472</v>
      </c>
      <c r="M5">
        <v>0.68920237983911448</v>
      </c>
      <c r="N5">
        <v>0.66293072907269224</v>
      </c>
    </row>
    <row r="6" spans="2:14">
      <c r="B6" s="168" t="s">
        <v>105</v>
      </c>
      <c r="C6">
        <v>0.66695175335075307</v>
      </c>
      <c r="D6">
        <v>0.95615297278962363</v>
      </c>
      <c r="E6">
        <v>0.63635931806096835</v>
      </c>
      <c r="F6">
        <v>0.70542213420992161</v>
      </c>
      <c r="G6">
        <v>0.62862768069203889</v>
      </c>
      <c r="H6">
        <v>0.6680234341862612</v>
      </c>
      <c r="I6">
        <v>0.6491059501645341</v>
      </c>
      <c r="J6">
        <v>0.84917867162047789</v>
      </c>
      <c r="K6">
        <v>0.66622524975355146</v>
      </c>
      <c r="L6">
        <v>0.75062581810703111</v>
      </c>
      <c r="M6">
        <v>0.64994532142910821</v>
      </c>
      <c r="N6">
        <v>0.69440221885730657</v>
      </c>
    </row>
    <row r="7" spans="2:14">
      <c r="B7" s="168" t="s">
        <v>106</v>
      </c>
      <c r="C7">
        <v>0.73644004568992461</v>
      </c>
      <c r="D7">
        <v>0.79204851090418915</v>
      </c>
      <c r="E7">
        <v>0.74123797526826218</v>
      </c>
      <c r="F7">
        <v>0.99648124298611773</v>
      </c>
      <c r="G7">
        <v>0.88074769548202558</v>
      </c>
      <c r="H7">
        <v>0.72863000502411157</v>
      </c>
      <c r="I7">
        <v>0.69949031751811985</v>
      </c>
      <c r="J7">
        <v>0.77686089961907545</v>
      </c>
      <c r="K7">
        <v>0.8261894811550996</v>
      </c>
      <c r="L7">
        <v>0.70228745382661784</v>
      </c>
      <c r="M7">
        <v>0.6730929817687783</v>
      </c>
      <c r="N7">
        <v>0.70583581505655968</v>
      </c>
    </row>
    <row r="8" spans="2:14">
      <c r="B8" s="168" t="s">
        <v>107</v>
      </c>
      <c r="C8">
        <v>0.6897874917889002</v>
      </c>
      <c r="D8">
        <v>0.68006870613980452</v>
      </c>
      <c r="E8">
        <v>0.73138294259780945</v>
      </c>
      <c r="F8">
        <v>0.69350105949655494</v>
      </c>
      <c r="G8">
        <v>0.92682324268082372</v>
      </c>
      <c r="H8">
        <v>0.65518641124794652</v>
      </c>
      <c r="I8">
        <v>0.77539039856285263</v>
      </c>
      <c r="J8">
        <v>0.96179204271257379</v>
      </c>
      <c r="K8">
        <v>0.67372286516856328</v>
      </c>
      <c r="L8">
        <v>0.65567189288733052</v>
      </c>
      <c r="M8">
        <v>0.65561423904033811</v>
      </c>
      <c r="N8">
        <v>0.65820537951860691</v>
      </c>
    </row>
    <row r="9" spans="2:14">
      <c r="B9" s="168" t="s">
        <v>108</v>
      </c>
      <c r="C9">
        <v>2.0812966024875643</v>
      </c>
      <c r="D9">
        <v>2.0213585472106934</v>
      </c>
      <c r="E9">
        <v>2.1006783282756807</v>
      </c>
      <c r="F9">
        <v>2.0579521393775941</v>
      </c>
      <c r="G9">
        <v>2.0191812431812286</v>
      </c>
      <c r="H9">
        <v>2.0800923204421999</v>
      </c>
      <c r="I9">
        <v>2.0323139226436617</v>
      </c>
      <c r="J9">
        <v>2.0645346140861514</v>
      </c>
      <c r="K9">
        <v>2.0199660456180575</v>
      </c>
      <c r="L9">
        <v>2.0411412334442138</v>
      </c>
      <c r="M9">
        <v>2.0839572227001191</v>
      </c>
      <c r="N9">
        <v>2.0302345967292785</v>
      </c>
    </row>
    <row r="10" spans="2:14">
      <c r="B10" s="168" t="s">
        <v>109</v>
      </c>
      <c r="C10">
        <v>0.67597644925117495</v>
      </c>
      <c r="D10">
        <v>0.66877896785736091</v>
      </c>
      <c r="E10">
        <v>0.6790371835231781</v>
      </c>
      <c r="F10">
        <v>0.67601522207260134</v>
      </c>
      <c r="G10">
        <v>0.62057304978370664</v>
      </c>
      <c r="H10">
        <v>0.6241737365722656</v>
      </c>
      <c r="I10">
        <v>0.67029916644096377</v>
      </c>
      <c r="J10">
        <v>0.65489040613174443</v>
      </c>
      <c r="K10">
        <v>0.65096409916877751</v>
      </c>
      <c r="L10">
        <v>0.65695078372955329</v>
      </c>
      <c r="M10">
        <v>0.625117439031601</v>
      </c>
      <c r="N10">
        <v>0.65598734617233279</v>
      </c>
    </row>
    <row r="11" spans="2:14">
      <c r="B11" s="169"/>
      <c r="C11" s="100"/>
      <c r="D11" s="100"/>
      <c r="E11" s="100"/>
      <c r="F11" s="100"/>
      <c r="G11" s="100"/>
    </row>
    <row r="12" spans="2:14">
      <c r="B12" s="102" t="s">
        <v>316</v>
      </c>
      <c r="C12" s="100"/>
      <c r="D12" s="100"/>
      <c r="E12" s="100"/>
      <c r="F12" s="100"/>
      <c r="G12" s="100"/>
    </row>
    <row r="13" spans="2:14">
      <c r="B13" s="168" t="s">
        <v>317</v>
      </c>
      <c r="C13" s="168" t="s">
        <v>92</v>
      </c>
      <c r="D13" s="168" t="s">
        <v>93</v>
      </c>
      <c r="E13" s="167" t="s">
        <v>94</v>
      </c>
      <c r="F13" s="167" t="s">
        <v>95</v>
      </c>
      <c r="G13" s="167" t="s">
        <v>96</v>
      </c>
      <c r="H13" s="167" t="s">
        <v>97</v>
      </c>
      <c r="I13" s="167" t="s">
        <v>98</v>
      </c>
      <c r="J13" s="167" t="s">
        <v>99</v>
      </c>
      <c r="K13" s="167" t="s">
        <v>100</v>
      </c>
      <c r="L13" s="167" t="s">
        <v>101</v>
      </c>
      <c r="M13" s="167" t="s">
        <v>102</v>
      </c>
      <c r="N13" s="167" t="s">
        <v>103</v>
      </c>
    </row>
    <row r="14" spans="2:14">
      <c r="B14" s="167" t="s">
        <v>318</v>
      </c>
      <c r="C14" s="100">
        <v>0.31771439095431936</v>
      </c>
      <c r="D14" s="100">
        <v>0.31889370661536615</v>
      </c>
      <c r="E14" s="100">
        <v>0.32006970389762912</v>
      </c>
      <c r="F14" s="100">
        <v>0.32123907375963617</v>
      </c>
      <c r="G14" s="100">
        <v>0.3223985258082645</v>
      </c>
      <c r="H14">
        <v>0.32354479755730625</v>
      </c>
      <c r="I14">
        <v>0.32467466360750824</v>
      </c>
      <c r="J14">
        <v>0.325784944722256</v>
      </c>
      <c r="K14">
        <v>0.32687251677336499</v>
      </c>
      <c r="L14">
        <v>0.32793431953180618</v>
      </c>
      <c r="M14">
        <v>0.32896736527863163</v>
      </c>
      <c r="N14">
        <v>0.32996874721186953</v>
      </c>
    </row>
    <row r="15" spans="2:14">
      <c r="B15" s="167" t="s">
        <v>319</v>
      </c>
      <c r="C15">
        <v>1.1743297908781802</v>
      </c>
      <c r="D15">
        <v>1.1774433364152281</v>
      </c>
      <c r="E15">
        <v>1.1805481210040469</v>
      </c>
      <c r="F15">
        <v>1.1836354083481142</v>
      </c>
      <c r="G15">
        <v>1.1866965113849581</v>
      </c>
      <c r="H15">
        <v>1.1897228167299625</v>
      </c>
      <c r="I15">
        <v>1.1927058089128579</v>
      </c>
      <c r="J15">
        <v>1.195637094338698</v>
      </c>
      <c r="K15">
        <v>1.1985084249059039</v>
      </c>
      <c r="L15">
        <v>1.201311721214914</v>
      </c>
      <c r="M15">
        <v>1.2040390953021365</v>
      </c>
      <c r="N15">
        <v>1.2066828728352406</v>
      </c>
    </row>
    <row r="16" spans="2:14">
      <c r="B16" s="100"/>
    </row>
    <row r="17" spans="2:14">
      <c r="B17" s="101" t="s">
        <v>320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0" t="s">
        <v>104</v>
      </c>
      <c r="C19">
        <f>C5</f>
        <v>0.60112150779587747</v>
      </c>
      <c r="D19">
        <f t="shared" ref="D19:N20" si="0">D5</f>
        <v>0.75459119763472748</v>
      </c>
      <c r="E19">
        <f t="shared" si="0"/>
        <v>0.63145480478238902</v>
      </c>
      <c r="F19">
        <f t="shared" si="0"/>
        <v>0.70570207919228556</v>
      </c>
      <c r="G19">
        <f t="shared" si="0"/>
        <v>0.53768390744943462</v>
      </c>
      <c r="H19">
        <f t="shared" si="0"/>
        <v>0.72294742859494121</v>
      </c>
      <c r="I19">
        <f t="shared" si="0"/>
        <v>0.61998571505626876</v>
      </c>
      <c r="J19">
        <f t="shared" si="0"/>
        <v>0.71798376321456403</v>
      </c>
      <c r="K19">
        <f t="shared" si="0"/>
        <v>0.65545559812043097</v>
      </c>
      <c r="L19">
        <f t="shared" si="0"/>
        <v>0.59870803889356472</v>
      </c>
      <c r="M19">
        <f t="shared" si="0"/>
        <v>0.68920237983911448</v>
      </c>
      <c r="N19">
        <f t="shared" si="0"/>
        <v>0.66293072907269224</v>
      </c>
    </row>
    <row r="20" spans="2:14">
      <c r="B20" s="170" t="s">
        <v>105</v>
      </c>
      <c r="C20">
        <f>C6</f>
        <v>0.66695175335075307</v>
      </c>
      <c r="D20">
        <f t="shared" si="0"/>
        <v>0.95615297278962363</v>
      </c>
      <c r="E20">
        <f t="shared" si="0"/>
        <v>0.63635931806096835</v>
      </c>
      <c r="F20">
        <f t="shared" si="0"/>
        <v>0.70542213420992161</v>
      </c>
      <c r="G20">
        <f t="shared" si="0"/>
        <v>0.62862768069203889</v>
      </c>
      <c r="H20">
        <f t="shared" si="0"/>
        <v>0.6680234341862612</v>
      </c>
      <c r="I20">
        <f t="shared" si="0"/>
        <v>0.6491059501645341</v>
      </c>
      <c r="J20">
        <f t="shared" si="0"/>
        <v>0.84917867162047789</v>
      </c>
      <c r="K20">
        <f t="shared" si="0"/>
        <v>0.66622524975355146</v>
      </c>
      <c r="L20">
        <f t="shared" si="0"/>
        <v>0.75062581810703111</v>
      </c>
      <c r="M20">
        <f t="shared" si="0"/>
        <v>0.64994532142910821</v>
      </c>
      <c r="N20">
        <f t="shared" si="0"/>
        <v>0.69440221885730657</v>
      </c>
    </row>
    <row r="21" spans="2:14">
      <c r="B21" s="170" t="s">
        <v>106</v>
      </c>
      <c r="C21">
        <f t="shared" ref="C21:N22" si="1">C7</f>
        <v>0.73644004568992461</v>
      </c>
      <c r="D21">
        <f t="shared" si="1"/>
        <v>0.79204851090418915</v>
      </c>
      <c r="E21">
        <f t="shared" si="1"/>
        <v>0.74123797526826218</v>
      </c>
      <c r="F21">
        <f t="shared" si="1"/>
        <v>0.99648124298611773</v>
      </c>
      <c r="G21">
        <f t="shared" si="1"/>
        <v>0.88074769548202558</v>
      </c>
      <c r="H21">
        <f t="shared" si="1"/>
        <v>0.72863000502411157</v>
      </c>
      <c r="I21">
        <f t="shared" si="1"/>
        <v>0.69949031751811985</v>
      </c>
      <c r="J21">
        <f t="shared" si="1"/>
        <v>0.77686089961907545</v>
      </c>
      <c r="K21">
        <f t="shared" si="1"/>
        <v>0.8261894811550996</v>
      </c>
      <c r="L21">
        <f t="shared" si="1"/>
        <v>0.70228745382661784</v>
      </c>
      <c r="M21">
        <f t="shared" si="1"/>
        <v>0.6730929817687783</v>
      </c>
      <c r="N21">
        <f t="shared" si="1"/>
        <v>0.70583581505655968</v>
      </c>
    </row>
    <row r="22" spans="2:14">
      <c r="B22" s="170" t="s">
        <v>107</v>
      </c>
      <c r="C22">
        <f t="shared" si="1"/>
        <v>0.6897874917889002</v>
      </c>
      <c r="D22">
        <f t="shared" si="1"/>
        <v>0.68006870613980452</v>
      </c>
      <c r="E22">
        <f t="shared" si="1"/>
        <v>0.73138294259780945</v>
      </c>
      <c r="F22">
        <f t="shared" si="1"/>
        <v>0.69350105949655494</v>
      </c>
      <c r="G22">
        <f t="shared" si="1"/>
        <v>0.92682324268082372</v>
      </c>
      <c r="H22">
        <f t="shared" si="1"/>
        <v>0.65518641124794652</v>
      </c>
      <c r="I22">
        <f t="shared" si="1"/>
        <v>0.77539039856285263</v>
      </c>
      <c r="J22">
        <f t="shared" si="1"/>
        <v>0.96179204271257379</v>
      </c>
      <c r="K22">
        <f t="shared" si="1"/>
        <v>0.67372286516856328</v>
      </c>
      <c r="L22">
        <f t="shared" si="1"/>
        <v>0.65567189288733052</v>
      </c>
      <c r="M22">
        <f t="shared" si="1"/>
        <v>0.65561423904033811</v>
      </c>
      <c r="N22">
        <f t="shared" si="1"/>
        <v>0.65820537951860691</v>
      </c>
    </row>
    <row r="23" spans="2:14">
      <c r="B23" s="170" t="s">
        <v>108</v>
      </c>
      <c r="C23">
        <f>C9*C14</f>
        <v>0.66125788245463057</v>
      </c>
      <c r="D23">
        <f t="shared" ref="D23:N24" si="2">D9*D14</f>
        <v>0.64459851951866964</v>
      </c>
      <c r="E23">
        <f t="shared" si="2"/>
        <v>0.6723634905153637</v>
      </c>
      <c r="F23">
        <f t="shared" si="2"/>
        <v>0.66109463909532007</v>
      </c>
      <c r="G23">
        <f t="shared" si="2"/>
        <v>0.65098105614132695</v>
      </c>
      <c r="H23">
        <f t="shared" si="2"/>
        <v>0.673003048717979</v>
      </c>
      <c r="I23">
        <f t="shared" si="2"/>
        <v>0.65984083917918634</v>
      </c>
      <c r="J23">
        <f t="shared" si="2"/>
        <v>0.67259429512724089</v>
      </c>
      <c r="K23">
        <f t="shared" si="2"/>
        <v>0.66027138512791628</v>
      </c>
      <c r="L23">
        <f t="shared" si="2"/>
        <v>0.66936026145783978</v>
      </c>
      <c r="M23">
        <f t="shared" si="2"/>
        <v>0.68555391690503276</v>
      </c>
      <c r="N23">
        <f t="shared" si="2"/>
        <v>0.66991396642895518</v>
      </c>
    </row>
    <row r="24" spans="2:14">
      <c r="B24" s="170" t="s">
        <v>109</v>
      </c>
      <c r="C24">
        <f>C10*C15</f>
        <v>0.79381928228770704</v>
      </c>
      <c r="D24">
        <f t="shared" si="2"/>
        <v>0.78744933923830362</v>
      </c>
      <c r="E24">
        <f t="shared" si="2"/>
        <v>0.8016360711001681</v>
      </c>
      <c r="F24">
        <f t="shared" si="2"/>
        <v>0.8001555534274446</v>
      </c>
      <c r="G24">
        <f t="shared" si="2"/>
        <v>0.73643187323784864</v>
      </c>
      <c r="H24">
        <f t="shared" si="2"/>
        <v>0.74259373600362144</v>
      </c>
      <c r="I24">
        <f t="shared" si="2"/>
        <v>0.79946970952358409</v>
      </c>
      <c r="J24">
        <f t="shared" si="2"/>
        <v>0.78301126229764872</v>
      </c>
      <c r="K24">
        <f t="shared" si="2"/>
        <v>0.78018595716506223</v>
      </c>
      <c r="L24">
        <f t="shared" si="2"/>
        <v>0.78920267675563638</v>
      </c>
      <c r="M24">
        <f t="shared" si="2"/>
        <v>0.75266583574919732</v>
      </c>
      <c r="N24">
        <f t="shared" si="2"/>
        <v>0.79156869542279595</v>
      </c>
    </row>
    <row r="25" spans="2:14">
      <c r="B25" s="169"/>
    </row>
    <row r="26" spans="2:14">
      <c r="B26" s="102" t="s">
        <v>321</v>
      </c>
    </row>
    <row r="27" spans="2:14">
      <c r="B27" s="99" t="s">
        <v>322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1.2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0</v>
      </c>
      <c r="E29">
        <f>IF(E20&lt;=raw_materials!$D18,raw_materials!$C18,IF(E20&lt;=raw_materials!$F18,raw_materials!$E18,IF(E20&lt;=raw_materials!$H18,raw_materials!$G18,0)))</f>
        <v>1.2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1.2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0.8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0</v>
      </c>
      <c r="G30">
        <f>IF(G21&lt;=raw_materials!$D19,raw_materials!$C19,IF(G21&lt;=raw_materials!$F19,raw_materials!$E19,IF(G21&lt;=raw_materials!$H19,raw_materials!$G19,0)))</f>
        <v>0.8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1.2</v>
      </c>
      <c r="N3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0.8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0.8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>
        <f>IF(C23&lt;=raw_materials!$D21,raw_materials!$C21,IF(C23&lt;=raw_materials!$F21,raw_materials!$E21,IF(C23&lt;=raw_materials!$H21,raw_materials!$G21,0)))</f>
        <v>1.2</v>
      </c>
      <c r="D32">
        <f>IF(D23&lt;=raw_materials!$D21,raw_materials!$C21,IF(D23&lt;=raw_materials!$F21,raw_materials!$E21,IF(D23&lt;=raw_materials!$H21,raw_materials!$G21,0)))</f>
        <v>1.2</v>
      </c>
      <c r="E32">
        <f>IF(E23&lt;=raw_materials!$D21,raw_materials!$C21,IF(E23&lt;=raw_materials!$F21,raw_materials!$E21,IF(E23&lt;=raw_materials!$H21,raw_materials!$G21,0)))</f>
        <v>1.2</v>
      </c>
      <c r="F32">
        <f>IF(F23&lt;=raw_materials!$D21,raw_materials!$C21,IF(F23&lt;=raw_materials!$F21,raw_materials!$E21,IF(F23&lt;=raw_materials!$H21,raw_materials!$G21,0)))</f>
        <v>1.2</v>
      </c>
      <c r="G32">
        <f>IF(G23&lt;=raw_materials!$D21,raw_materials!$C21,IF(G23&lt;=raw_materials!$F21,raw_materials!$E21,IF(G23&lt;=raw_materials!$H21,raw_materials!$G21,0)))</f>
        <v>1.2</v>
      </c>
      <c r="H32">
        <f>IF(H23&lt;=raw_materials!$D21,raw_materials!$C21,IF(H23&lt;=raw_materials!$F21,raw_materials!$E21,IF(H23&lt;=raw_materials!$H21,raw_materials!$G21,0)))</f>
        <v>1.2</v>
      </c>
      <c r="I32">
        <f>IF(I23&lt;=raw_materials!$D21,raw_materials!$C21,IF(I23&lt;=raw_materials!$F21,raw_materials!$E21,IF(I23&lt;=raw_materials!$H21,raw_materials!$G21,0)))</f>
        <v>1.2</v>
      </c>
      <c r="J32">
        <f>IF(J23&lt;=raw_materials!$D21,raw_materials!$C21,IF(J23&lt;=raw_materials!$F21,raw_materials!$E21,IF(J23&lt;=raw_materials!$H21,raw_materials!$G21,0)))</f>
        <v>1.2</v>
      </c>
      <c r="K32">
        <f>IF(K23&lt;=raw_materials!$D21,raw_materials!$C21,IF(K23&lt;=raw_materials!$F21,raw_materials!$E21,IF(K23&lt;=raw_materials!$H21,raw_materials!$G21,0)))</f>
        <v>1.2</v>
      </c>
      <c r="L32">
        <f>IF(L23&lt;=raw_materials!$D21,raw_materials!$C21,IF(L23&lt;=raw_materials!$F21,raw_materials!$E21,IF(L23&lt;=raw_materials!$H21,raw_materials!$G21,0)))</f>
        <v>1.2</v>
      </c>
      <c r="M32">
        <f>IF(M23&lt;=raw_materials!$D21,raw_materials!$C21,IF(M23&lt;=raw_materials!$F21,raw_materials!$E21,IF(M23&lt;=raw_materials!$H21,raw_materials!$G21,0)))</f>
        <v>1.2</v>
      </c>
      <c r="N32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>
        <f>IF(C24&lt;=raw_materials!$D22,raw_materials!$C22,IF(C24&lt;=raw_materials!$F22,raw_materials!$E22,IF(C24&lt;=raw_materials!$H22,raw_materials!$G22,0)))</f>
        <v>0.8</v>
      </c>
      <c r="D33">
        <f>IF(D24&lt;=raw_materials!$D22,raw_materials!$C22,IF(D24&lt;=raw_materials!$F22,raw_materials!$E22,IF(D24&lt;=raw_materials!$H22,raw_materials!$G22,0)))</f>
        <v>0.8</v>
      </c>
      <c r="E33">
        <f>IF(E24&lt;=raw_materials!$D22,raw_materials!$C22,IF(E24&lt;=raw_materials!$F22,raw_materials!$E22,IF(E24&lt;=raw_materials!$H22,raw_materials!$G22,0)))</f>
        <v>0.8</v>
      </c>
      <c r="F33">
        <f>IF(F24&lt;=raw_materials!$D22,raw_materials!$C22,IF(F24&lt;=raw_materials!$F22,raw_materials!$E22,IF(F24&lt;=raw_materials!$H22,raw_materials!$G22,0)))</f>
        <v>0.8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0.8</v>
      </c>
      <c r="J33">
        <f>IF(J24&lt;=raw_materials!$D22,raw_materials!$C22,IF(J24&lt;=raw_materials!$F22,raw_materials!$E22,IF(J24&lt;=raw_materials!$H22,raw_materials!$G22,0)))</f>
        <v>0.8</v>
      </c>
      <c r="K33">
        <f>IF(K24&lt;=raw_materials!$D22,raw_materials!$C22,IF(K24&lt;=raw_materials!$F22,raw_materials!$E22,IF(K24&lt;=raw_materials!$H22,raw_materials!$G22,0)))</f>
        <v>0.8</v>
      </c>
      <c r="L33">
        <f>IF(L24&lt;=raw_materials!$D22,raw_materials!$C22,IF(L24&lt;=raw_materials!$F22,raw_materials!$E22,IF(L24&lt;=raw_materials!$H22,raw_materials!$G22,0)))</f>
        <v>0.8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0.8</v>
      </c>
    </row>
    <row r="35" spans="2:50">
      <c r="B35" s="101" t="s">
        <v>323</v>
      </c>
    </row>
    <row r="36" spans="2:50">
      <c r="B36" s="167" t="s">
        <v>275</v>
      </c>
      <c r="C36" s="167" t="s">
        <v>92</v>
      </c>
      <c r="D36" s="100"/>
      <c r="E36" s="100"/>
      <c r="F36" s="100"/>
      <c r="G36" s="167" t="s">
        <v>93</v>
      </c>
      <c r="H36" s="100"/>
      <c r="I36" s="100"/>
      <c r="J36" s="100"/>
      <c r="K36" s="167" t="s">
        <v>94</v>
      </c>
      <c r="L36" s="100"/>
      <c r="M36" s="100"/>
      <c r="N36" s="100"/>
      <c r="O36" s="167" t="s">
        <v>95</v>
      </c>
      <c r="P36" s="100"/>
      <c r="Q36" s="100"/>
      <c r="R36" s="100"/>
      <c r="S36" s="167" t="s">
        <v>96</v>
      </c>
      <c r="T36" s="100"/>
      <c r="U36" s="100"/>
      <c r="V36" s="100"/>
      <c r="W36" s="167" t="s">
        <v>97</v>
      </c>
      <c r="X36" s="100"/>
      <c r="Y36" s="100"/>
      <c r="Z36" s="100"/>
      <c r="AA36" s="167" t="s">
        <v>98</v>
      </c>
      <c r="AB36" s="100"/>
      <c r="AC36" s="100"/>
      <c r="AD36" s="100"/>
      <c r="AE36" s="167" t="s">
        <v>99</v>
      </c>
      <c r="AF36" s="100"/>
      <c r="AG36" s="100"/>
      <c r="AH36" s="100"/>
      <c r="AI36" s="167" t="s">
        <v>100</v>
      </c>
      <c r="AJ36" s="100"/>
      <c r="AK36" s="100"/>
      <c r="AL36" s="100"/>
      <c r="AM36" s="167" t="s">
        <v>101</v>
      </c>
      <c r="AN36" s="100"/>
      <c r="AO36" s="100"/>
      <c r="AP36" s="100"/>
      <c r="AQ36" s="167" t="s">
        <v>102</v>
      </c>
      <c r="AR36" s="100"/>
      <c r="AS36" s="100"/>
      <c r="AT36" s="100"/>
      <c r="AU36" s="167" t="s">
        <v>103</v>
      </c>
      <c r="AV36" s="100"/>
      <c r="AW36" s="100"/>
      <c r="AX36" s="100"/>
    </row>
    <row r="37" spans="2:50">
      <c r="B37" s="167" t="s">
        <v>324</v>
      </c>
      <c r="C37" s="167">
        <v>1</v>
      </c>
      <c r="D37" s="167">
        <v>2</v>
      </c>
      <c r="E37" s="167">
        <v>3</v>
      </c>
      <c r="F37" s="167">
        <v>4</v>
      </c>
      <c r="G37" s="167">
        <v>1</v>
      </c>
      <c r="H37" s="167">
        <v>2</v>
      </c>
      <c r="I37" s="167">
        <v>3</v>
      </c>
      <c r="J37" s="167">
        <v>4</v>
      </c>
      <c r="K37" s="167">
        <v>1</v>
      </c>
      <c r="L37" s="167">
        <v>2</v>
      </c>
      <c r="M37" s="167">
        <v>3</v>
      </c>
      <c r="N37" s="167">
        <v>4</v>
      </c>
      <c r="O37" s="167">
        <v>1</v>
      </c>
      <c r="P37" s="167">
        <v>2</v>
      </c>
      <c r="Q37" s="167">
        <v>3</v>
      </c>
      <c r="R37" s="167">
        <v>4</v>
      </c>
      <c r="S37" s="167">
        <v>1</v>
      </c>
      <c r="T37" s="167">
        <v>2</v>
      </c>
      <c r="U37" s="167">
        <v>3</v>
      </c>
      <c r="V37" s="167">
        <v>4</v>
      </c>
      <c r="W37" s="167">
        <v>1</v>
      </c>
      <c r="X37" s="167">
        <v>2</v>
      </c>
      <c r="Y37" s="167">
        <v>3</v>
      </c>
      <c r="Z37" s="167">
        <v>4</v>
      </c>
      <c r="AA37" s="167">
        <v>1</v>
      </c>
      <c r="AB37" s="167">
        <v>2</v>
      </c>
      <c r="AC37" s="167">
        <v>3</v>
      </c>
      <c r="AD37" s="167">
        <v>4</v>
      </c>
      <c r="AE37" s="167">
        <v>1</v>
      </c>
      <c r="AF37" s="167">
        <v>2</v>
      </c>
      <c r="AG37" s="167">
        <v>3</v>
      </c>
      <c r="AH37" s="167">
        <v>4</v>
      </c>
      <c r="AI37" s="167">
        <v>1</v>
      </c>
      <c r="AJ37" s="167">
        <v>2</v>
      </c>
      <c r="AK37" s="167">
        <v>3</v>
      </c>
      <c r="AL37" s="167">
        <v>4</v>
      </c>
      <c r="AM37" s="167">
        <v>1</v>
      </c>
      <c r="AN37" s="167">
        <v>2</v>
      </c>
      <c r="AO37" s="167">
        <v>3</v>
      </c>
      <c r="AP37" s="167">
        <v>4</v>
      </c>
      <c r="AQ37" s="167">
        <v>1</v>
      </c>
      <c r="AR37" s="167">
        <v>2</v>
      </c>
      <c r="AS37" s="167">
        <v>3</v>
      </c>
      <c r="AT37" s="167">
        <v>4</v>
      </c>
      <c r="AU37" s="167">
        <v>1</v>
      </c>
      <c r="AV37" s="167">
        <v>2</v>
      </c>
      <c r="AW37" s="167">
        <v>3</v>
      </c>
      <c r="AX37" s="167">
        <v>4</v>
      </c>
    </row>
    <row r="38" spans="2:50">
      <c r="B38" s="167" t="s">
        <v>104</v>
      </c>
      <c r="C38">
        <v>25054.902514011505</v>
      </c>
      <c r="D38">
        <v>25109.81675262624</v>
      </c>
      <c r="E38">
        <v>25164.733912812586</v>
      </c>
      <c r="F38">
        <v>17653.751630931863</v>
      </c>
      <c r="G38">
        <v>10109.816705940251</v>
      </c>
      <c r="H38">
        <v>17730.590384044619</v>
      </c>
      <c r="I38">
        <v>17768.978908664292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26921.341209603564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10886.30086381207</v>
      </c>
      <c r="AS38">
        <v>27263.688694937566</v>
      </c>
      <c r="AT38">
        <v>27311.281008823513</v>
      </c>
      <c r="AU38">
        <v>27358.521424379818</v>
      </c>
      <c r="AV38">
        <v>19183.781626262014</v>
      </c>
      <c r="AW38">
        <v>27451.916146805794</v>
      </c>
      <c r="AX38">
        <v>27498.055397691911</v>
      </c>
    </row>
    <row r="39" spans="2:50">
      <c r="B39" s="167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1516.4725058910378</v>
      </c>
      <c r="H39">
        <v>1519.7648900609677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6400.315565503166</v>
      </c>
      <c r="AH39">
        <v>1603.1509507137089</v>
      </c>
      <c r="AI39">
        <v>16062.076308089485</v>
      </c>
      <c r="AJ39">
        <v>16092.48438062642</v>
      </c>
      <c r="AK39">
        <v>16122.728814436536</v>
      </c>
      <c r="AL39">
        <v>11306.963308033497</v>
      </c>
      <c r="AM39">
        <v>16182.707258271368</v>
      </c>
      <c r="AN39">
        <v>16212.431583925947</v>
      </c>
      <c r="AO39">
        <v>16241.972903844453</v>
      </c>
      <c r="AP39">
        <v>1627.1326449160888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>
      <c r="B40" s="167" t="s">
        <v>106</v>
      </c>
      <c r="C40">
        <v>5010.9805028023011</v>
      </c>
      <c r="D40">
        <v>5021.9633505252477</v>
      </c>
      <c r="E40">
        <v>5032.946782562517</v>
      </c>
      <c r="F40">
        <v>2017.5716149636419</v>
      </c>
      <c r="G40">
        <v>3538.4358470790876</v>
      </c>
      <c r="H40">
        <v>2026.3531867479567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3599.6979634626705</v>
      </c>
      <c r="P40">
        <v>3607.3094999232972</v>
      </c>
      <c r="Q40">
        <v>2065.6609538035959</v>
      </c>
      <c r="R40">
        <v>2069.9932842564181</v>
      </c>
      <c r="S40">
        <v>2074.316007584644</v>
      </c>
      <c r="T40">
        <v>519.6571067861654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3726.3145473720992</v>
      </c>
      <c r="AG40">
        <v>3733.5174132101797</v>
      </c>
      <c r="AH40">
        <v>3740.6855516653204</v>
      </c>
      <c r="AI40">
        <v>3747.8178052208796</v>
      </c>
      <c r="AJ40">
        <v>3754.9130221461646</v>
      </c>
      <c r="AK40">
        <v>3761.9700567018581</v>
      </c>
      <c r="AL40">
        <v>3768.9877693444987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5499.611079538382</v>
      </c>
    </row>
    <row r="41" spans="2:50">
      <c r="B41" s="167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1228.9497234312578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311.79426407169927</v>
      </c>
      <c r="U41">
        <v>312.43947716820901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2218.3074908715021</v>
      </c>
      <c r="AC41">
        <v>1270.1174548034551</v>
      </c>
      <c r="AD41">
        <v>3181.5508211181759</v>
      </c>
      <c r="AE41">
        <v>3187.7812433548561</v>
      </c>
      <c r="AF41">
        <v>1277.5935590990057</v>
      </c>
      <c r="AG41">
        <v>1280.0631131006332</v>
      </c>
      <c r="AH41">
        <v>1282.5207605709672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3288.648278787774</v>
      </c>
      <c r="AW41">
        <v>3294.2299376166952</v>
      </c>
      <c r="AX41">
        <v>3299.7666477230291</v>
      </c>
    </row>
    <row r="42" spans="2:50">
      <c r="B42" s="16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>
      <c r="B43" s="16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>
      <c r="B45" s="101" t="s">
        <v>325</v>
      </c>
    </row>
    <row r="46" spans="2:50">
      <c r="B46" s="99" t="s">
        <v>275</v>
      </c>
      <c r="C46" s="99" t="s">
        <v>92</v>
      </c>
      <c r="D46" s="100"/>
      <c r="E46" s="100"/>
      <c r="F46" s="100"/>
      <c r="G46" s="99" t="s">
        <v>93</v>
      </c>
      <c r="H46" s="100"/>
      <c r="I46" s="100"/>
      <c r="J46" s="100"/>
      <c r="K46" s="99" t="s">
        <v>94</v>
      </c>
      <c r="L46" s="100"/>
      <c r="M46" s="100"/>
      <c r="N46" s="100"/>
      <c r="O46" s="99" t="s">
        <v>95</v>
      </c>
      <c r="P46" s="100"/>
      <c r="Q46" s="100"/>
      <c r="R46" s="100"/>
      <c r="S46" s="99" t="s">
        <v>96</v>
      </c>
      <c r="T46" s="100"/>
      <c r="U46" s="100"/>
      <c r="V46" s="100"/>
      <c r="W46" s="99" t="s">
        <v>97</v>
      </c>
      <c r="X46" s="100"/>
      <c r="Y46" s="100"/>
      <c r="Z46" s="100"/>
      <c r="AA46" s="99" t="s">
        <v>98</v>
      </c>
      <c r="AB46" s="100"/>
      <c r="AC46" s="100"/>
      <c r="AD46" s="100"/>
      <c r="AE46" s="99" t="s">
        <v>99</v>
      </c>
      <c r="AF46" s="100"/>
      <c r="AG46" s="100"/>
      <c r="AH46" s="100"/>
      <c r="AI46" s="99" t="s">
        <v>100</v>
      </c>
      <c r="AJ46" s="100"/>
      <c r="AK46" s="100"/>
      <c r="AL46" s="100"/>
      <c r="AM46" s="99" t="s">
        <v>101</v>
      </c>
      <c r="AN46" s="100"/>
      <c r="AO46" s="100"/>
      <c r="AP46" s="100"/>
      <c r="AQ46" s="99" t="s">
        <v>102</v>
      </c>
      <c r="AR46" s="100"/>
      <c r="AS46" s="100"/>
      <c r="AT46" s="100"/>
      <c r="AU46" s="99" t="s">
        <v>103</v>
      </c>
      <c r="AV46" s="100"/>
      <c r="AW46" s="100"/>
    </row>
    <row r="47" spans="2:50">
      <c r="B47" s="99" t="s">
        <v>326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>
        <v>2264.2256576095024</v>
      </c>
      <c r="D48">
        <v>2264.2256576095024</v>
      </c>
      <c r="E48">
        <v>2264.2256576095024</v>
      </c>
      <c r="F48">
        <v>2264.2256576095024</v>
      </c>
      <c r="G48">
        <v>2264.2256576095024</v>
      </c>
      <c r="H48">
        <v>2264.2256576095024</v>
      </c>
      <c r="I48">
        <v>2264.2256576095024</v>
      </c>
      <c r="J48">
        <v>2264.2256576095024</v>
      </c>
      <c r="K48">
        <v>2264.2256576095024</v>
      </c>
      <c r="L48">
        <v>2264.2256576095024</v>
      </c>
      <c r="M48">
        <v>2264.2256576095024</v>
      </c>
      <c r="N48">
        <v>2264.2256576095024</v>
      </c>
      <c r="O48">
        <v>2264.2256576095024</v>
      </c>
      <c r="P48">
        <v>2264.2256576095024</v>
      </c>
      <c r="Q48">
        <v>2264.2256576095024</v>
      </c>
      <c r="R48">
        <v>2264.2256576095024</v>
      </c>
      <c r="S48">
        <v>2717.0707891314028</v>
      </c>
      <c r="T48">
        <v>2717.0707891314028</v>
      </c>
      <c r="U48">
        <v>2717.0707891314028</v>
      </c>
      <c r="V48">
        <v>2717.0707891314028</v>
      </c>
      <c r="W48">
        <v>2264.2256576095024</v>
      </c>
      <c r="X48">
        <v>2264.2256576095024</v>
      </c>
      <c r="Y48">
        <v>2264.2256576095024</v>
      </c>
      <c r="Z48">
        <v>2264.2256576095024</v>
      </c>
      <c r="AA48">
        <v>2264.2256576095024</v>
      </c>
      <c r="AB48">
        <v>2264.2256576095024</v>
      </c>
      <c r="AC48">
        <v>2264.2256576095024</v>
      </c>
      <c r="AD48">
        <v>2264.2256576095024</v>
      </c>
      <c r="AE48">
        <v>2264.2256576095024</v>
      </c>
      <c r="AF48">
        <v>2264.2256576095024</v>
      </c>
      <c r="AG48">
        <v>2264.2256576095024</v>
      </c>
      <c r="AH48">
        <v>2264.2256576095024</v>
      </c>
      <c r="AI48">
        <v>2264.2256576095024</v>
      </c>
      <c r="AJ48">
        <v>2264.2256576095024</v>
      </c>
      <c r="AK48">
        <v>2264.2256576095024</v>
      </c>
      <c r="AL48">
        <v>2264.2256576095024</v>
      </c>
      <c r="AM48">
        <v>2264.2256576095024</v>
      </c>
      <c r="AN48">
        <v>2264.2256576095024</v>
      </c>
      <c r="AO48">
        <v>2264.2256576095024</v>
      </c>
      <c r="AP48">
        <v>2264.2256576095024</v>
      </c>
      <c r="AQ48">
        <v>2264.2256576095024</v>
      </c>
      <c r="AR48">
        <v>2264.2256576095024</v>
      </c>
      <c r="AS48">
        <v>2264.2256576095024</v>
      </c>
      <c r="AT48">
        <v>2264.2256576095024</v>
      </c>
      <c r="AU48">
        <v>2264.2256576095024</v>
      </c>
      <c r="AV48">
        <v>2264.2256576095024</v>
      </c>
      <c r="AW48">
        <v>2264.2256576095024</v>
      </c>
      <c r="AX48">
        <v>2264.2256576095024</v>
      </c>
    </row>
    <row r="49" spans="2:51">
      <c r="B49" s="99" t="s">
        <v>105</v>
      </c>
      <c r="C49">
        <v>600.00000000000045</v>
      </c>
      <c r="D49">
        <v>600.00000000000045</v>
      </c>
      <c r="E49">
        <v>600.00000000000045</v>
      </c>
      <c r="F49">
        <v>600.00000000000045</v>
      </c>
      <c r="G49">
        <v>0</v>
      </c>
      <c r="H49">
        <v>0</v>
      </c>
      <c r="I49">
        <v>0</v>
      </c>
      <c r="J49">
        <v>0</v>
      </c>
      <c r="K49">
        <v>720.00000000000057</v>
      </c>
      <c r="L49">
        <v>720.00000000000057</v>
      </c>
      <c r="M49">
        <v>720.00000000000057</v>
      </c>
      <c r="N49">
        <v>720.00000000000057</v>
      </c>
      <c r="O49">
        <v>600.00000000000045</v>
      </c>
      <c r="P49">
        <v>600.00000000000045</v>
      </c>
      <c r="Q49">
        <v>600.00000000000045</v>
      </c>
      <c r="R49">
        <v>600.00000000000045</v>
      </c>
      <c r="S49">
        <v>720.00000000000057</v>
      </c>
      <c r="T49">
        <v>720.00000000000057</v>
      </c>
      <c r="U49">
        <v>720.00000000000057</v>
      </c>
      <c r="V49">
        <v>720.00000000000057</v>
      </c>
      <c r="W49">
        <v>600.00000000000045</v>
      </c>
      <c r="X49">
        <v>600.00000000000045</v>
      </c>
      <c r="Y49">
        <v>600.00000000000045</v>
      </c>
      <c r="Z49">
        <v>600.00000000000045</v>
      </c>
      <c r="AA49">
        <v>600.00000000000045</v>
      </c>
      <c r="AB49">
        <v>600.00000000000045</v>
      </c>
      <c r="AC49">
        <v>600.00000000000045</v>
      </c>
      <c r="AD49">
        <v>600.00000000000045</v>
      </c>
      <c r="AE49">
        <v>480.0000000000004</v>
      </c>
      <c r="AF49">
        <v>480.0000000000004</v>
      </c>
      <c r="AG49">
        <v>480.0000000000004</v>
      </c>
      <c r="AH49">
        <v>480.0000000000004</v>
      </c>
      <c r="AI49">
        <v>600.00000000000045</v>
      </c>
      <c r="AJ49">
        <v>600.00000000000045</v>
      </c>
      <c r="AK49">
        <v>600.00000000000045</v>
      </c>
      <c r="AL49">
        <v>600.00000000000045</v>
      </c>
      <c r="AM49">
        <v>600.00000000000045</v>
      </c>
      <c r="AN49">
        <v>600.00000000000045</v>
      </c>
      <c r="AO49">
        <v>600.00000000000045</v>
      </c>
      <c r="AP49">
        <v>600.00000000000045</v>
      </c>
      <c r="AQ49">
        <v>600.00000000000045</v>
      </c>
      <c r="AR49">
        <v>600.00000000000045</v>
      </c>
      <c r="AS49">
        <v>600.00000000000045</v>
      </c>
      <c r="AT49">
        <v>600.00000000000045</v>
      </c>
      <c r="AU49">
        <v>600.00000000000045</v>
      </c>
      <c r="AV49">
        <v>600.00000000000045</v>
      </c>
      <c r="AW49">
        <v>600.00000000000045</v>
      </c>
      <c r="AX49">
        <v>600.00000000000045</v>
      </c>
    </row>
    <row r="50" spans="2:51">
      <c r="B50" s="99" t="s">
        <v>106</v>
      </c>
      <c r="C50">
        <v>30</v>
      </c>
      <c r="D50">
        <v>30</v>
      </c>
      <c r="E50">
        <v>30</v>
      </c>
      <c r="F50">
        <v>30</v>
      </c>
      <c r="G50">
        <v>160</v>
      </c>
      <c r="H50">
        <v>160</v>
      </c>
      <c r="I50">
        <v>160</v>
      </c>
      <c r="J50">
        <v>160</v>
      </c>
      <c r="K50">
        <v>160</v>
      </c>
      <c r="L50">
        <v>160</v>
      </c>
      <c r="M50">
        <v>160</v>
      </c>
      <c r="N50">
        <v>160</v>
      </c>
      <c r="O50">
        <v>0</v>
      </c>
      <c r="P50">
        <v>0</v>
      </c>
      <c r="Q50">
        <v>0</v>
      </c>
      <c r="R50">
        <v>0</v>
      </c>
      <c r="S50">
        <v>128</v>
      </c>
      <c r="T50">
        <v>128</v>
      </c>
      <c r="U50">
        <v>128</v>
      </c>
      <c r="V50">
        <v>128</v>
      </c>
      <c r="W50">
        <v>160</v>
      </c>
      <c r="X50">
        <v>160</v>
      </c>
      <c r="Y50">
        <v>160</v>
      </c>
      <c r="Z50">
        <v>160</v>
      </c>
      <c r="AA50">
        <v>160</v>
      </c>
      <c r="AB50">
        <v>160</v>
      </c>
      <c r="AC50">
        <v>160</v>
      </c>
      <c r="AD50">
        <v>160</v>
      </c>
      <c r="AE50">
        <v>160</v>
      </c>
      <c r="AF50">
        <v>160</v>
      </c>
      <c r="AG50">
        <v>160</v>
      </c>
      <c r="AH50">
        <v>160</v>
      </c>
      <c r="AI50">
        <v>160</v>
      </c>
      <c r="AJ50">
        <v>160</v>
      </c>
      <c r="AK50">
        <v>160</v>
      </c>
      <c r="AL50">
        <v>160</v>
      </c>
      <c r="AM50">
        <v>160</v>
      </c>
      <c r="AN50">
        <v>160</v>
      </c>
      <c r="AO50">
        <v>160</v>
      </c>
      <c r="AP50">
        <v>160</v>
      </c>
      <c r="AQ50">
        <v>192</v>
      </c>
      <c r="AR50">
        <v>192</v>
      </c>
      <c r="AS50">
        <v>192</v>
      </c>
      <c r="AT50">
        <v>192</v>
      </c>
      <c r="AU50">
        <v>160</v>
      </c>
      <c r="AV50">
        <v>160</v>
      </c>
      <c r="AW50">
        <v>160</v>
      </c>
      <c r="AX50">
        <v>160</v>
      </c>
      <c r="AY50" s="109"/>
    </row>
    <row r="51" spans="2:51">
      <c r="B51" s="99" t="s">
        <v>107</v>
      </c>
      <c r="C51">
        <v>214.08858367520591</v>
      </c>
      <c r="D51">
        <v>214.08858367520591</v>
      </c>
      <c r="E51">
        <v>214.08858367520591</v>
      </c>
      <c r="F51">
        <v>214.08858367520591</v>
      </c>
      <c r="G51">
        <v>214.08858367520591</v>
      </c>
      <c r="H51">
        <v>214.08858367520591</v>
      </c>
      <c r="I51">
        <v>214.08858367520591</v>
      </c>
      <c r="J51">
        <v>214.08858367520591</v>
      </c>
      <c r="K51">
        <v>214.08858367520591</v>
      </c>
      <c r="L51">
        <v>214.08858367520591</v>
      </c>
      <c r="M51">
        <v>214.08858367520591</v>
      </c>
      <c r="N51">
        <v>214.08858367520591</v>
      </c>
      <c r="O51">
        <v>214.08858367520591</v>
      </c>
      <c r="P51">
        <v>214.08858367520591</v>
      </c>
      <c r="Q51">
        <v>214.08858367520591</v>
      </c>
      <c r="R51">
        <v>214.08858367520591</v>
      </c>
      <c r="S51">
        <v>171.27086694016475</v>
      </c>
      <c r="T51">
        <v>171.27086694016475</v>
      </c>
      <c r="U51">
        <v>171.27086694016475</v>
      </c>
      <c r="V51">
        <v>171.27086694016475</v>
      </c>
      <c r="W51">
        <v>214.08858367520591</v>
      </c>
      <c r="X51">
        <v>214.08858367520591</v>
      </c>
      <c r="Y51">
        <v>214.08858367520591</v>
      </c>
      <c r="Z51">
        <v>214.08858367520591</v>
      </c>
      <c r="AA51">
        <v>214.08858367520591</v>
      </c>
      <c r="AB51">
        <v>214.08858367520591</v>
      </c>
      <c r="AC51">
        <v>214.08858367520591</v>
      </c>
      <c r="AD51">
        <v>214.08858367520591</v>
      </c>
      <c r="AE51">
        <v>171.27086694016475</v>
      </c>
      <c r="AF51">
        <v>171.27086694016475</v>
      </c>
      <c r="AG51">
        <v>171.27086694016475</v>
      </c>
      <c r="AH51">
        <v>171.27086694016475</v>
      </c>
      <c r="AI51">
        <v>214.08858367520591</v>
      </c>
      <c r="AJ51">
        <v>214.08858367520591</v>
      </c>
      <c r="AK51">
        <v>214.08858367520591</v>
      </c>
      <c r="AL51">
        <v>214.08858367520591</v>
      </c>
      <c r="AM51">
        <v>214.08858367520591</v>
      </c>
      <c r="AN51">
        <v>214.08858367520591</v>
      </c>
      <c r="AO51">
        <v>214.08858367520591</v>
      </c>
      <c r="AP51">
        <v>214.08858367520591</v>
      </c>
      <c r="AQ51">
        <v>214.08858367520591</v>
      </c>
      <c r="AR51">
        <v>214.08858367520591</v>
      </c>
      <c r="AS51">
        <v>214.08858367520591</v>
      </c>
      <c r="AT51">
        <v>214.08858367520591</v>
      </c>
      <c r="AU51">
        <v>214.08858367520591</v>
      </c>
      <c r="AV51">
        <v>214.08858367520591</v>
      </c>
      <c r="AW51">
        <v>214.08858367520591</v>
      </c>
      <c r="AX51">
        <v>214.08858367520591</v>
      </c>
      <c r="AY51" s="9"/>
    </row>
    <row r="52" spans="2:51">
      <c r="B52" s="99" t="s">
        <v>108</v>
      </c>
      <c r="C52">
        <v>5.7859377636696874E-20</v>
      </c>
      <c r="D52">
        <v>5.7859377636696874E-20</v>
      </c>
      <c r="E52">
        <v>5.7859377636696874E-20</v>
      </c>
      <c r="F52">
        <v>5.7859377636696874E-20</v>
      </c>
      <c r="G52">
        <v>5.7859377636696874E-20</v>
      </c>
      <c r="H52">
        <v>5.7859377636696874E-20</v>
      </c>
      <c r="I52">
        <v>5.7859377636696874E-20</v>
      </c>
      <c r="J52">
        <v>5.7859377636696874E-20</v>
      </c>
      <c r="K52">
        <v>5.7859377636696874E-20</v>
      </c>
      <c r="L52">
        <v>5.7859377636696874E-20</v>
      </c>
      <c r="M52">
        <v>5.7859377636696874E-20</v>
      </c>
      <c r="N52">
        <v>5.7859377636696874E-20</v>
      </c>
      <c r="O52">
        <v>5.7859377636696874E-20</v>
      </c>
      <c r="P52">
        <v>5.7859377636696874E-20</v>
      </c>
      <c r="Q52">
        <v>5.7859377636696874E-20</v>
      </c>
      <c r="R52">
        <v>5.7859377636696874E-20</v>
      </c>
      <c r="S52">
        <v>5.7859377636696874E-20</v>
      </c>
      <c r="T52">
        <v>5.7859377636696874E-20</v>
      </c>
      <c r="U52">
        <v>5.7859377636696874E-20</v>
      </c>
      <c r="V52">
        <v>5.7859377636696874E-20</v>
      </c>
      <c r="W52">
        <v>5.7859377636696874E-20</v>
      </c>
      <c r="X52">
        <v>5.7859377636696874E-20</v>
      </c>
      <c r="Y52">
        <v>5.7859377636696874E-20</v>
      </c>
      <c r="Z52">
        <v>5.7859377636696874E-20</v>
      </c>
      <c r="AA52">
        <v>5.7859377636696874E-20</v>
      </c>
      <c r="AB52">
        <v>5.7859377636696874E-20</v>
      </c>
      <c r="AC52">
        <v>5.7859377636696874E-20</v>
      </c>
      <c r="AD52">
        <v>5.7859377636696874E-20</v>
      </c>
      <c r="AE52">
        <v>5.7859377636696874E-20</v>
      </c>
      <c r="AF52">
        <v>5.7859377636696874E-20</v>
      </c>
      <c r="AG52">
        <v>5.7859377636696874E-20</v>
      </c>
      <c r="AH52">
        <v>5.7859377636696874E-20</v>
      </c>
      <c r="AI52">
        <v>5.7859377636696874E-20</v>
      </c>
      <c r="AJ52">
        <v>5.7859377636696874E-20</v>
      </c>
      <c r="AK52">
        <v>5.7859377636696874E-20</v>
      </c>
      <c r="AL52">
        <v>5.7859377636696874E-20</v>
      </c>
      <c r="AM52">
        <v>5.7859377636696874E-20</v>
      </c>
      <c r="AN52">
        <v>5.7859377636696874E-20</v>
      </c>
      <c r="AO52">
        <v>5.7859377636696874E-20</v>
      </c>
      <c r="AP52">
        <v>5.7859377636696874E-20</v>
      </c>
      <c r="AQ52">
        <v>5.7859377636696874E-20</v>
      </c>
      <c r="AR52">
        <v>5.7859377636696874E-20</v>
      </c>
      <c r="AS52">
        <v>5.7859377636696874E-20</v>
      </c>
      <c r="AT52">
        <v>5.7859377636696874E-20</v>
      </c>
      <c r="AU52">
        <v>5.7859377636696874E-20</v>
      </c>
      <c r="AV52">
        <v>5.7859377636696874E-20</v>
      </c>
      <c r="AW52">
        <v>5.7859377636696874E-20</v>
      </c>
      <c r="AX52">
        <v>5.7859377636696874E-20</v>
      </c>
    </row>
    <row r="53" spans="2:51">
      <c r="B53" s="99" t="s">
        <v>109</v>
      </c>
      <c r="C53">
        <v>7.6493991997588377E-20</v>
      </c>
      <c r="D53">
        <v>7.6493991997588377E-20</v>
      </c>
      <c r="E53">
        <v>7.6493991997588377E-20</v>
      </c>
      <c r="F53">
        <v>7.6493991997588377E-20</v>
      </c>
      <c r="G53">
        <v>7.6493991997588377E-20</v>
      </c>
      <c r="H53">
        <v>7.6493991997588377E-20</v>
      </c>
      <c r="I53">
        <v>7.6493991997588377E-20</v>
      </c>
      <c r="J53">
        <v>7.6493991997588377E-20</v>
      </c>
      <c r="K53">
        <v>7.6493991997588377E-20</v>
      </c>
      <c r="L53">
        <v>7.6493991997588377E-20</v>
      </c>
      <c r="M53">
        <v>7.6493991997588377E-20</v>
      </c>
      <c r="N53">
        <v>7.6493991997588377E-20</v>
      </c>
      <c r="O53">
        <v>7.6493991997588377E-20</v>
      </c>
      <c r="P53">
        <v>7.6493991997588377E-20</v>
      </c>
      <c r="Q53">
        <v>7.6493991997588377E-20</v>
      </c>
      <c r="R53">
        <v>7.6493991997588377E-20</v>
      </c>
      <c r="S53">
        <v>9.5617489996985466E-20</v>
      </c>
      <c r="T53">
        <v>9.5617489996985466E-20</v>
      </c>
      <c r="U53">
        <v>9.5617489996985466E-20</v>
      </c>
      <c r="V53">
        <v>9.5617489996985466E-20</v>
      </c>
      <c r="W53">
        <v>9.5617489996985466E-20</v>
      </c>
      <c r="X53">
        <v>9.5617489996985466E-20</v>
      </c>
      <c r="Y53">
        <v>9.5617489996985466E-20</v>
      </c>
      <c r="Z53">
        <v>9.5617489996985466E-20</v>
      </c>
      <c r="AA53">
        <v>7.6493991997588377E-20</v>
      </c>
      <c r="AB53">
        <v>7.6493991997588377E-20</v>
      </c>
      <c r="AC53">
        <v>7.6493991997588377E-20</v>
      </c>
      <c r="AD53">
        <v>7.6493991997588377E-20</v>
      </c>
      <c r="AE53">
        <v>7.6493991997588377E-20</v>
      </c>
      <c r="AF53">
        <v>7.6493991997588377E-20</v>
      </c>
      <c r="AG53">
        <v>7.6493991997588377E-20</v>
      </c>
      <c r="AH53">
        <v>7.6493991997588377E-20</v>
      </c>
      <c r="AI53">
        <v>7.6493991997588377E-20</v>
      </c>
      <c r="AJ53">
        <v>7.6493991997588377E-20</v>
      </c>
      <c r="AK53">
        <v>7.6493991997588377E-20</v>
      </c>
      <c r="AL53">
        <v>7.6493991997588377E-20</v>
      </c>
      <c r="AM53">
        <v>7.6493991997588377E-20</v>
      </c>
      <c r="AN53">
        <v>7.6493991997588377E-20</v>
      </c>
      <c r="AO53">
        <v>7.6493991997588377E-20</v>
      </c>
      <c r="AP53">
        <v>7.6493991997588377E-20</v>
      </c>
      <c r="AQ53">
        <v>9.5617489996985466E-20</v>
      </c>
      <c r="AR53">
        <v>9.5617489996985466E-20</v>
      </c>
      <c r="AS53">
        <v>9.5617489996985466E-20</v>
      </c>
      <c r="AT53">
        <v>9.5617489996985466E-20</v>
      </c>
      <c r="AU53">
        <v>7.6493991997588377E-20</v>
      </c>
      <c r="AV53">
        <v>7.6493991997588377E-20</v>
      </c>
      <c r="AW53">
        <v>7.6493991997588377E-20</v>
      </c>
      <c r="AX53">
        <v>7.6493991997588377E-20</v>
      </c>
    </row>
    <row r="55" spans="2:51">
      <c r="B55" s="53" t="s">
        <v>327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>
      <c r="B56" s="103" t="s">
        <v>275</v>
      </c>
      <c r="C56" s="103" t="s">
        <v>92</v>
      </c>
      <c r="D56" s="100"/>
      <c r="E56" s="100"/>
      <c r="F56" s="100"/>
      <c r="G56" s="103" t="s">
        <v>93</v>
      </c>
      <c r="H56" s="100"/>
      <c r="I56" s="100"/>
      <c r="J56" s="100"/>
      <c r="K56" s="103" t="s">
        <v>94</v>
      </c>
      <c r="L56" s="100"/>
      <c r="M56" s="100"/>
      <c r="N56" s="100"/>
      <c r="O56" s="103" t="s">
        <v>95</v>
      </c>
      <c r="P56" s="100"/>
      <c r="Q56" s="100"/>
      <c r="R56" s="100"/>
      <c r="S56" s="103" t="s">
        <v>96</v>
      </c>
      <c r="T56" s="100"/>
      <c r="U56" s="100"/>
      <c r="V56" s="100"/>
      <c r="W56" s="103" t="s">
        <v>97</v>
      </c>
      <c r="X56" s="100"/>
      <c r="Y56" s="100"/>
      <c r="Z56" s="100"/>
      <c r="AA56" s="103" t="s">
        <v>98</v>
      </c>
      <c r="AB56" s="100"/>
      <c r="AC56" s="100"/>
      <c r="AD56" s="100"/>
      <c r="AE56" s="103" t="s">
        <v>99</v>
      </c>
      <c r="AF56" s="100"/>
      <c r="AG56" s="100"/>
      <c r="AH56" s="100"/>
      <c r="AI56" s="103" t="s">
        <v>100</v>
      </c>
      <c r="AJ56" s="100"/>
      <c r="AK56" s="100"/>
      <c r="AL56" s="100"/>
      <c r="AM56" s="103" t="s">
        <v>101</v>
      </c>
      <c r="AN56" s="100"/>
      <c r="AO56" s="100"/>
      <c r="AP56" s="100"/>
      <c r="AQ56" s="103" t="s">
        <v>102</v>
      </c>
      <c r="AR56" s="100"/>
      <c r="AS56" s="100"/>
      <c r="AT56" s="100"/>
      <c r="AU56" s="103" t="s">
        <v>103</v>
      </c>
      <c r="AV56" s="100"/>
      <c r="AW56" s="100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>
        <v>2722149.4825846725</v>
      </c>
      <c r="D58">
        <v>2722149.4825846725</v>
      </c>
      <c r="E58">
        <v>2722149.4825846725</v>
      </c>
      <c r="F58">
        <v>2722149.4825846725</v>
      </c>
      <c r="G58">
        <v>3417129.5013816659</v>
      </c>
      <c r="H58">
        <v>3417129.5013816659</v>
      </c>
      <c r="I58">
        <v>3417129.5013816659</v>
      </c>
      <c r="J58">
        <v>3417129.5013816659</v>
      </c>
      <c r="K58">
        <v>2859512.3412181693</v>
      </c>
      <c r="L58">
        <v>2859512.3412181693</v>
      </c>
      <c r="M58">
        <v>2859512.3412181693</v>
      </c>
      <c r="N58">
        <v>2859512.3412181693</v>
      </c>
      <c r="O58">
        <v>3195737.5086710919</v>
      </c>
      <c r="P58">
        <v>3195737.5086710919</v>
      </c>
      <c r="Q58">
        <v>3195737.5086710919</v>
      </c>
      <c r="R58">
        <v>3195737.5086710919</v>
      </c>
      <c r="S58">
        <v>2921850.477433783</v>
      </c>
      <c r="T58">
        <v>2921850.477433783</v>
      </c>
      <c r="U58">
        <v>2921850.477433783</v>
      </c>
      <c r="V58">
        <v>2921850.477433783</v>
      </c>
      <c r="W58">
        <v>3273832.2338549593</v>
      </c>
      <c r="X58">
        <v>3273832.2338549593</v>
      </c>
      <c r="Y58">
        <v>3273832.2338549593</v>
      </c>
      <c r="Z58">
        <v>3273832.2338549593</v>
      </c>
      <c r="AA58">
        <v>2807575.1267635557</v>
      </c>
      <c r="AB58">
        <v>2807575.1267635557</v>
      </c>
      <c r="AC58">
        <v>2807575.1267635557</v>
      </c>
      <c r="AD58">
        <v>2807575.1267635557</v>
      </c>
      <c r="AE58">
        <v>3251354.516834883</v>
      </c>
      <c r="AF58">
        <v>3251354.516834883</v>
      </c>
      <c r="AG58">
        <v>3251354.516834883</v>
      </c>
      <c r="AH58">
        <v>3251354.516834883</v>
      </c>
      <c r="AI58">
        <v>2968198.7653761255</v>
      </c>
      <c r="AJ58">
        <v>2968198.7653761255</v>
      </c>
      <c r="AK58">
        <v>2968198.7653761255</v>
      </c>
      <c r="AL58">
        <v>2968198.7653761255</v>
      </c>
      <c r="AM58">
        <v>2711220.2061597542</v>
      </c>
      <c r="AN58">
        <v>2711220.2061597542</v>
      </c>
      <c r="AO58">
        <v>2711220.2061597542</v>
      </c>
      <c r="AP58">
        <v>2711220.2061597542</v>
      </c>
      <c r="AQ58">
        <v>3121019.4234345057</v>
      </c>
      <c r="AR58">
        <v>3121019.4234345057</v>
      </c>
      <c r="AS58">
        <v>3121019.4234345057</v>
      </c>
      <c r="AT58">
        <v>3121019.4234345057</v>
      </c>
      <c r="AU58">
        <v>3002049.5319683268</v>
      </c>
      <c r="AV58">
        <v>3002049.5319683268</v>
      </c>
      <c r="AW58">
        <v>3002049.5319683268</v>
      </c>
      <c r="AX58">
        <v>3002049.5319683268</v>
      </c>
    </row>
    <row r="59" spans="2:51">
      <c r="B59" s="103" t="s">
        <v>105</v>
      </c>
      <c r="C59">
        <v>800342.1040209044</v>
      </c>
      <c r="D59">
        <v>800342.1040209044</v>
      </c>
      <c r="E59">
        <v>800342.1040209044</v>
      </c>
      <c r="F59">
        <v>800342.1040209044</v>
      </c>
      <c r="G59">
        <v>0</v>
      </c>
      <c r="H59">
        <v>0</v>
      </c>
      <c r="I59">
        <v>0</v>
      </c>
      <c r="J59">
        <v>0</v>
      </c>
      <c r="K59">
        <v>916357.41800779512</v>
      </c>
      <c r="L59">
        <v>916357.41800779512</v>
      </c>
      <c r="M59">
        <v>916357.41800779512</v>
      </c>
      <c r="N59">
        <v>916357.41800779512</v>
      </c>
      <c r="O59">
        <v>846506.56105190655</v>
      </c>
      <c r="P59">
        <v>846506.56105190655</v>
      </c>
      <c r="Q59">
        <v>846506.56105190655</v>
      </c>
      <c r="R59">
        <v>846506.56105190655</v>
      </c>
      <c r="S59">
        <v>905223.86019653676</v>
      </c>
      <c r="T59">
        <v>905223.86019653676</v>
      </c>
      <c r="U59">
        <v>905223.86019653676</v>
      </c>
      <c r="V59">
        <v>905223.86019653676</v>
      </c>
      <c r="W59">
        <v>801628.12102351408</v>
      </c>
      <c r="X59">
        <v>801628.12102351408</v>
      </c>
      <c r="Y59">
        <v>801628.12102351408</v>
      </c>
      <c r="Z59">
        <v>801628.12102351408</v>
      </c>
      <c r="AA59">
        <v>778927.14019744156</v>
      </c>
      <c r="AB59">
        <v>778927.14019744156</v>
      </c>
      <c r="AC59">
        <v>778927.14019744156</v>
      </c>
      <c r="AD59">
        <v>778927.14019744156</v>
      </c>
      <c r="AE59">
        <v>815211.5247556594</v>
      </c>
      <c r="AF59">
        <v>815211.5247556594</v>
      </c>
      <c r="AG59">
        <v>815211.5247556594</v>
      </c>
      <c r="AH59">
        <v>815211.5247556594</v>
      </c>
      <c r="AI59">
        <v>799470.2997042624</v>
      </c>
      <c r="AJ59">
        <v>799470.2997042624</v>
      </c>
      <c r="AK59">
        <v>799470.2997042624</v>
      </c>
      <c r="AL59">
        <v>799470.2997042624</v>
      </c>
      <c r="AM59">
        <v>900750.98172843794</v>
      </c>
      <c r="AN59">
        <v>900750.98172843794</v>
      </c>
      <c r="AO59">
        <v>900750.98172843794</v>
      </c>
      <c r="AP59">
        <v>900750.98172843794</v>
      </c>
      <c r="AQ59">
        <v>779934.38571493048</v>
      </c>
      <c r="AR59">
        <v>779934.38571493048</v>
      </c>
      <c r="AS59">
        <v>779934.38571493048</v>
      </c>
      <c r="AT59">
        <v>779934.38571493048</v>
      </c>
      <c r="AU59">
        <v>833282.66262876859</v>
      </c>
      <c r="AV59">
        <v>833282.66262876859</v>
      </c>
      <c r="AW59">
        <v>833282.66262876859</v>
      </c>
      <c r="AX59">
        <v>833282.66262876859</v>
      </c>
    </row>
    <row r="60" spans="2:51">
      <c r="B60" s="103" t="s">
        <v>106</v>
      </c>
      <c r="C60">
        <v>44186.402741395475</v>
      </c>
      <c r="D60">
        <v>44186.402741395475</v>
      </c>
      <c r="E60">
        <v>44186.402741395475</v>
      </c>
      <c r="F60">
        <v>44186.402741395475</v>
      </c>
      <c r="G60">
        <v>253455.52348934053</v>
      </c>
      <c r="H60">
        <v>253455.52348934053</v>
      </c>
      <c r="I60">
        <v>253455.52348934053</v>
      </c>
      <c r="J60">
        <v>253455.52348934053</v>
      </c>
      <c r="K60">
        <v>237196.1520858439</v>
      </c>
      <c r="L60">
        <v>237196.1520858439</v>
      </c>
      <c r="M60">
        <v>237196.1520858439</v>
      </c>
      <c r="N60">
        <v>237196.1520858439</v>
      </c>
      <c r="O60">
        <v>0</v>
      </c>
      <c r="P60">
        <v>0</v>
      </c>
      <c r="Q60">
        <v>0</v>
      </c>
      <c r="R60">
        <v>0</v>
      </c>
      <c r="S60">
        <v>225471.41004339856</v>
      </c>
      <c r="T60">
        <v>225471.41004339856</v>
      </c>
      <c r="U60">
        <v>225471.41004339856</v>
      </c>
      <c r="V60">
        <v>225471.41004339856</v>
      </c>
      <c r="W60">
        <v>233161.60160771571</v>
      </c>
      <c r="X60">
        <v>233161.60160771571</v>
      </c>
      <c r="Y60">
        <v>233161.60160771571</v>
      </c>
      <c r="Z60">
        <v>233161.60160771571</v>
      </c>
      <c r="AA60">
        <v>223836.90160579834</v>
      </c>
      <c r="AB60">
        <v>223836.90160579834</v>
      </c>
      <c r="AC60">
        <v>223836.90160579834</v>
      </c>
      <c r="AD60">
        <v>223836.90160579834</v>
      </c>
      <c r="AE60">
        <v>248595.48787810415</v>
      </c>
      <c r="AF60">
        <v>248595.48787810415</v>
      </c>
      <c r="AG60">
        <v>248595.48787810415</v>
      </c>
      <c r="AH60">
        <v>248595.48787810415</v>
      </c>
      <c r="AI60">
        <v>264380.63396963186</v>
      </c>
      <c r="AJ60">
        <v>264380.63396963186</v>
      </c>
      <c r="AK60">
        <v>264380.63396963186</v>
      </c>
      <c r="AL60">
        <v>264380.63396963186</v>
      </c>
      <c r="AM60">
        <v>224731.9852245177</v>
      </c>
      <c r="AN60">
        <v>224731.9852245177</v>
      </c>
      <c r="AO60">
        <v>224731.9852245177</v>
      </c>
      <c r="AP60">
        <v>224731.9852245177</v>
      </c>
      <c r="AQ60">
        <v>258467.70499921087</v>
      </c>
      <c r="AR60">
        <v>258467.70499921087</v>
      </c>
      <c r="AS60">
        <v>258467.70499921087</v>
      </c>
      <c r="AT60">
        <v>258467.70499921087</v>
      </c>
      <c r="AU60">
        <v>225867.46081809909</v>
      </c>
      <c r="AV60">
        <v>225867.46081809909</v>
      </c>
      <c r="AW60">
        <v>225867.46081809909</v>
      </c>
      <c r="AX60">
        <v>225867.46081809909</v>
      </c>
    </row>
    <row r="61" spans="2:51">
      <c r="B61" s="103" t="s">
        <v>107</v>
      </c>
      <c r="C61">
        <v>295351.25430791674</v>
      </c>
      <c r="D61">
        <v>295351.25430791674</v>
      </c>
      <c r="E61">
        <v>295351.25430791674</v>
      </c>
      <c r="F61">
        <v>295351.25430791674</v>
      </c>
      <c r="G61">
        <v>291189.8921986011</v>
      </c>
      <c r="H61">
        <v>291189.8921986011</v>
      </c>
      <c r="I61">
        <v>291189.8921986011</v>
      </c>
      <c r="J61">
        <v>291189.8921986011</v>
      </c>
      <c r="K61">
        <v>313161.47660993889</v>
      </c>
      <c r="L61">
        <v>313161.47660993889</v>
      </c>
      <c r="M61">
        <v>313161.47660993889</v>
      </c>
      <c r="N61">
        <v>313161.47660993889</v>
      </c>
      <c r="O61">
        <v>296941.31920974434</v>
      </c>
      <c r="P61">
        <v>296941.31920974434</v>
      </c>
      <c r="Q61">
        <v>296941.31920974434</v>
      </c>
      <c r="R61">
        <v>296941.31920974434</v>
      </c>
      <c r="S61">
        <v>317475.64054847881</v>
      </c>
      <c r="T61">
        <v>317475.64054847881</v>
      </c>
      <c r="U61">
        <v>317475.64054847881</v>
      </c>
      <c r="V61">
        <v>317475.64054847881</v>
      </c>
      <c r="W61">
        <v>280535.86165462778</v>
      </c>
      <c r="X61">
        <v>280535.86165462778</v>
      </c>
      <c r="Y61">
        <v>280535.86165462778</v>
      </c>
      <c r="Z61">
        <v>280535.86165462778</v>
      </c>
      <c r="AA61">
        <v>332004.46444734908</v>
      </c>
      <c r="AB61">
        <v>332004.46444734908</v>
      </c>
      <c r="AC61">
        <v>332004.46444734908</v>
      </c>
      <c r="AD61">
        <v>332004.46444734908</v>
      </c>
      <c r="AE61">
        <v>329453.913943069</v>
      </c>
      <c r="AF61">
        <v>329453.913943069</v>
      </c>
      <c r="AG61">
        <v>329453.913943069</v>
      </c>
      <c r="AH61">
        <v>329453.913943069</v>
      </c>
      <c r="AI61">
        <v>288472.74798707885</v>
      </c>
      <c r="AJ61">
        <v>288472.74798707885</v>
      </c>
      <c r="AK61">
        <v>288472.74798707885</v>
      </c>
      <c r="AL61">
        <v>288472.74798707885</v>
      </c>
      <c r="AM61">
        <v>280743.73380777979</v>
      </c>
      <c r="AN61">
        <v>280743.73380777979</v>
      </c>
      <c r="AO61">
        <v>280743.73380777979</v>
      </c>
      <c r="AP61">
        <v>280743.73380777979</v>
      </c>
      <c r="AQ61">
        <v>280719.04774688772</v>
      </c>
      <c r="AR61">
        <v>280719.04774688772</v>
      </c>
      <c r="AS61">
        <v>280719.04774688772</v>
      </c>
      <c r="AT61">
        <v>280719.04774688772</v>
      </c>
      <c r="AU61">
        <v>281828.51493707986</v>
      </c>
      <c r="AV61">
        <v>281828.51493707986</v>
      </c>
      <c r="AW61">
        <v>281828.51493707986</v>
      </c>
      <c r="AX61">
        <v>281828.51493707986</v>
      </c>
    </row>
    <row r="62" spans="2:51">
      <c r="B62" s="103" t="s">
        <v>108</v>
      </c>
      <c r="C62">
        <v>7.6519939072369964E-17</v>
      </c>
      <c r="D62">
        <v>7.6519939072369964E-17</v>
      </c>
      <c r="E62">
        <v>7.6519939072369964E-17</v>
      </c>
      <c r="F62">
        <v>7.6519939072369964E-17</v>
      </c>
      <c r="G62">
        <v>7.4592138329772851E-17</v>
      </c>
      <c r="H62">
        <v>7.4592138329772851E-17</v>
      </c>
      <c r="I62">
        <v>7.4592138329772851E-17</v>
      </c>
      <c r="J62">
        <v>7.4592138329772851E-17</v>
      </c>
      <c r="K62">
        <v>7.7805066213712166E-17</v>
      </c>
      <c r="L62">
        <v>7.7805066213712166E-17</v>
      </c>
      <c r="M62">
        <v>7.7805066213712166E-17</v>
      </c>
      <c r="N62">
        <v>7.7805066213712166E-17</v>
      </c>
      <c r="O62">
        <v>7.65010487540239E-17</v>
      </c>
      <c r="P62">
        <v>7.65010487540239E-17</v>
      </c>
      <c r="Q62">
        <v>7.65010487540239E-17</v>
      </c>
      <c r="R62">
        <v>7.65010487540239E-17</v>
      </c>
      <c r="S62">
        <v>7.5330717523233608E-17</v>
      </c>
      <c r="T62">
        <v>7.5330717523233608E-17</v>
      </c>
      <c r="U62">
        <v>7.5330717523233608E-17</v>
      </c>
      <c r="V62">
        <v>7.5330717523233608E-17</v>
      </c>
      <c r="W62">
        <v>7.7879075092843704E-17</v>
      </c>
      <c r="X62">
        <v>7.7879075092843704E-17</v>
      </c>
      <c r="Y62">
        <v>7.7879075092843704E-17</v>
      </c>
      <c r="Z62">
        <v>7.7879075092843704E-17</v>
      </c>
      <c r="AA62">
        <v>7.6355960588367023E-17</v>
      </c>
      <c r="AB62">
        <v>7.6355960588367023E-17</v>
      </c>
      <c r="AC62">
        <v>7.6355960588367023E-17</v>
      </c>
      <c r="AD62">
        <v>7.6355960588367023E-17</v>
      </c>
      <c r="AE62">
        <v>7.7831774636109965E-17</v>
      </c>
      <c r="AF62">
        <v>7.7831774636109965E-17</v>
      </c>
      <c r="AG62">
        <v>7.7831774636109965E-17</v>
      </c>
      <c r="AH62">
        <v>7.7831774636109965E-17</v>
      </c>
      <c r="AI62">
        <v>7.6405782829642059E-17</v>
      </c>
      <c r="AJ62">
        <v>7.6405782829642059E-17</v>
      </c>
      <c r="AK62">
        <v>7.6405782829642059E-17</v>
      </c>
      <c r="AL62">
        <v>7.6405782829642059E-17</v>
      </c>
      <c r="AM62">
        <v>7.7457536285374624E-17</v>
      </c>
      <c r="AN62">
        <v>7.7457536285374624E-17</v>
      </c>
      <c r="AO62">
        <v>7.7457536285374624E-17</v>
      </c>
      <c r="AP62">
        <v>7.7457536285374624E-17</v>
      </c>
      <c r="AQ62">
        <v>7.9331445937050002E-17</v>
      </c>
      <c r="AR62">
        <v>7.9331445937050002E-17</v>
      </c>
      <c r="AS62">
        <v>7.9331445937050002E-17</v>
      </c>
      <c r="AT62">
        <v>7.9331445937050002E-17</v>
      </c>
      <c r="AU62">
        <v>7.7521610335420779E-17</v>
      </c>
      <c r="AV62">
        <v>7.7521610335420779E-17</v>
      </c>
      <c r="AW62">
        <v>7.7521610335420779E-17</v>
      </c>
      <c r="AX62">
        <v>7.7521610335420779E-17</v>
      </c>
    </row>
    <row r="63" spans="2:51">
      <c r="B63" s="103" t="s">
        <v>109</v>
      </c>
      <c r="C63">
        <v>1.2144481165369442E-16</v>
      </c>
      <c r="D63">
        <v>1.2144481165369442E-16</v>
      </c>
      <c r="E63">
        <v>1.2144481165369442E-16</v>
      </c>
      <c r="F63">
        <v>1.2144481165369442E-16</v>
      </c>
      <c r="G63">
        <v>1.2047028690840211E-16</v>
      </c>
      <c r="H63">
        <v>1.2047028690840211E-16</v>
      </c>
      <c r="I63">
        <v>1.2047028690840211E-16</v>
      </c>
      <c r="J63">
        <v>1.2047028690840211E-16</v>
      </c>
      <c r="K63">
        <v>1.226406864154289E-16</v>
      </c>
      <c r="L63">
        <v>1.226406864154289E-16</v>
      </c>
      <c r="M63">
        <v>1.226406864154289E-16</v>
      </c>
      <c r="N63">
        <v>1.226406864154289E-16</v>
      </c>
      <c r="O63">
        <v>1.2241418500140968E-16</v>
      </c>
      <c r="P63">
        <v>1.2241418500140968E-16</v>
      </c>
      <c r="Q63">
        <v>1.2241418500140968E-16</v>
      </c>
      <c r="R63">
        <v>1.2241418500140968E-16</v>
      </c>
      <c r="S63">
        <v>1.4083153454556253E-16</v>
      </c>
      <c r="T63">
        <v>1.4083153454556253E-16</v>
      </c>
      <c r="U63">
        <v>1.4083153454556253E-16</v>
      </c>
      <c r="V63">
        <v>1.4083153454556253E-16</v>
      </c>
      <c r="W63">
        <v>1.4200989824830067E-16</v>
      </c>
      <c r="X63">
        <v>1.4200989824830067E-16</v>
      </c>
      <c r="Y63">
        <v>1.4200989824830067E-16</v>
      </c>
      <c r="Z63">
        <v>1.4200989824830067E-16</v>
      </c>
      <c r="AA63">
        <v>1.223092591252227E-16</v>
      </c>
      <c r="AB63">
        <v>1.223092591252227E-16</v>
      </c>
      <c r="AC63">
        <v>1.223092591252227E-16</v>
      </c>
      <c r="AD63">
        <v>1.223092591252227E-16</v>
      </c>
      <c r="AE63">
        <v>1.1979131446443585E-16</v>
      </c>
      <c r="AF63">
        <v>1.1979131446443585E-16</v>
      </c>
      <c r="AG63">
        <v>1.1979131446443585E-16</v>
      </c>
      <c r="AH63">
        <v>1.1979131446443585E-16</v>
      </c>
      <c r="AI63">
        <v>1.1935907672803018E-16</v>
      </c>
      <c r="AJ63">
        <v>1.1935907672803018E-16</v>
      </c>
      <c r="AK63">
        <v>1.1935907672803018E-16</v>
      </c>
      <c r="AL63">
        <v>1.1935907672803018E-16</v>
      </c>
      <c r="AM63">
        <v>1.2073852648044196E-16</v>
      </c>
      <c r="AN63">
        <v>1.2073852648044196E-16</v>
      </c>
      <c r="AO63">
        <v>1.2073852648044196E-16</v>
      </c>
      <c r="AP63">
        <v>1.2073852648044196E-16</v>
      </c>
      <c r="AQ63">
        <v>1.4393603604164315E-16</v>
      </c>
      <c r="AR63">
        <v>1.4393603604164315E-16</v>
      </c>
      <c r="AS63">
        <v>1.4393603604164315E-16</v>
      </c>
      <c r="AT63">
        <v>1.4393603604164315E-16</v>
      </c>
      <c r="AU63">
        <v>1.2110049890642566E-16</v>
      </c>
      <c r="AV63">
        <v>1.2110049890642566E-16</v>
      </c>
      <c r="AW63">
        <v>1.2110049890642566E-16</v>
      </c>
      <c r="AX63">
        <v>1.2110049890642566E-16</v>
      </c>
    </row>
    <row r="64" spans="2:51">
      <c r="B64" s="100"/>
    </row>
    <row r="65" spans="1:14">
      <c r="B65" s="102" t="s">
        <v>328</v>
      </c>
    </row>
    <row r="66" spans="1:14">
      <c r="B66" s="99" t="s">
        <v>329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330</v>
      </c>
      <c r="C67">
        <v>755.08908333333341</v>
      </c>
      <c r="D67">
        <v>755.08908333333341</v>
      </c>
      <c r="E67">
        <v>755.08908333333341</v>
      </c>
      <c r="F67">
        <v>755.08908333333341</v>
      </c>
      <c r="G67">
        <v>755.08908333333341</v>
      </c>
      <c r="H67">
        <v>755.08908333333341</v>
      </c>
      <c r="I67">
        <v>755.08908333333341</v>
      </c>
      <c r="J67">
        <v>755.08908333333341</v>
      </c>
      <c r="K67">
        <v>755.08908333333341</v>
      </c>
      <c r="L67">
        <v>755.08908333333341</v>
      </c>
      <c r="M67">
        <v>755.08908333333341</v>
      </c>
      <c r="N67">
        <v>755.08908333333341</v>
      </c>
    </row>
    <row r="68" spans="1:14">
      <c r="B68" s="99" t="s">
        <v>331</v>
      </c>
      <c r="C68">
        <v>958.33333333333314</v>
      </c>
      <c r="D68">
        <v>958.33333333333314</v>
      </c>
      <c r="E68">
        <v>958.33333333333314</v>
      </c>
      <c r="F68">
        <v>958.33333333333314</v>
      </c>
      <c r="G68">
        <v>958.33333333333314</v>
      </c>
      <c r="H68">
        <v>958.33333333333314</v>
      </c>
      <c r="I68">
        <v>958.33333333333314</v>
      </c>
      <c r="J68">
        <v>958.33333333333314</v>
      </c>
      <c r="K68">
        <v>958.33333333333314</v>
      </c>
      <c r="L68">
        <v>958.33333333333314</v>
      </c>
      <c r="M68">
        <v>958.33333333333314</v>
      </c>
      <c r="N68">
        <v>958.33333333333314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>
        <v>46011.469734469691</v>
      </c>
      <c r="D72">
        <v>97693.024566259846</v>
      </c>
      <c r="E72">
        <v>162085.34370568622</v>
      </c>
    </row>
    <row r="73" spans="1:14">
      <c r="B73" s="103" t="s">
        <v>93</v>
      </c>
      <c r="C73">
        <v>46011.469734469691</v>
      </c>
      <c r="D73">
        <v>97693.024566259846</v>
      </c>
      <c r="E73">
        <v>162085.34370568622</v>
      </c>
    </row>
    <row r="74" spans="1:14">
      <c r="B74" s="103" t="s">
        <v>94</v>
      </c>
      <c r="C74">
        <v>46011.469734469691</v>
      </c>
      <c r="D74">
        <v>97693.024566259846</v>
      </c>
      <c r="E74">
        <v>162085.34370568622</v>
      </c>
    </row>
    <row r="75" spans="1:14">
      <c r="B75" s="103" t="s">
        <v>95</v>
      </c>
      <c r="C75">
        <v>46011.469734469691</v>
      </c>
      <c r="D75">
        <v>97693.024566259846</v>
      </c>
      <c r="E75">
        <v>162085.34370568622</v>
      </c>
    </row>
    <row r="76" spans="1:14">
      <c r="B76" s="103" t="s">
        <v>96</v>
      </c>
      <c r="C76">
        <v>46011.469734469691</v>
      </c>
      <c r="D76">
        <v>97693.024566259846</v>
      </c>
      <c r="E76">
        <v>162085.34370568622</v>
      </c>
    </row>
    <row r="77" spans="1:14">
      <c r="B77" s="103" t="s">
        <v>97</v>
      </c>
      <c r="C77">
        <v>46011.469734469691</v>
      </c>
      <c r="D77">
        <v>97693.024566259846</v>
      </c>
      <c r="E77">
        <v>162085.34370568622</v>
      </c>
    </row>
    <row r="78" spans="1:14">
      <c r="B78" s="103" t="s">
        <v>98</v>
      </c>
      <c r="C78">
        <v>46011.469734469691</v>
      </c>
      <c r="D78">
        <v>97693.024566259846</v>
      </c>
      <c r="E78">
        <v>162085.34370568622</v>
      </c>
    </row>
    <row r="79" spans="1:14">
      <c r="B79" s="103" t="s">
        <v>99</v>
      </c>
      <c r="C79">
        <v>46011.469734469691</v>
      </c>
      <c r="D79">
        <v>97693.024566259846</v>
      </c>
      <c r="E79">
        <v>162085.34370568622</v>
      </c>
    </row>
    <row r="80" spans="1:14">
      <c r="B80" s="103" t="s">
        <v>100</v>
      </c>
      <c r="C80">
        <v>46011.469734469691</v>
      </c>
      <c r="D80">
        <v>97693.024566259846</v>
      </c>
      <c r="E80">
        <v>162085.34370568622</v>
      </c>
    </row>
    <row r="81" spans="2:50">
      <c r="B81" s="103" t="s">
        <v>101</v>
      </c>
      <c r="C81">
        <v>46011.469734469691</v>
      </c>
      <c r="D81">
        <v>97693.024566259846</v>
      </c>
      <c r="E81">
        <v>162085.34370568622</v>
      </c>
    </row>
    <row r="82" spans="2:50">
      <c r="B82" s="103" t="s">
        <v>102</v>
      </c>
      <c r="C82">
        <v>46011.469734469691</v>
      </c>
      <c r="D82">
        <v>97693.024566259846</v>
      </c>
      <c r="E82">
        <v>162085.34370568622</v>
      </c>
    </row>
    <row r="83" spans="2:50">
      <c r="B83" s="103" t="s">
        <v>103</v>
      </c>
      <c r="C83">
        <v>46011.469734469691</v>
      </c>
      <c r="D83">
        <v>97693.024566259846</v>
      </c>
      <c r="E83">
        <v>162085.34370568622</v>
      </c>
    </row>
    <row r="85" spans="2:50">
      <c r="B85" s="101" t="s">
        <v>334</v>
      </c>
    </row>
    <row r="86" spans="2:50">
      <c r="B86" s="99" t="s">
        <v>275</v>
      </c>
      <c r="C86" s="99" t="s">
        <v>92</v>
      </c>
      <c r="D86" s="100"/>
      <c r="E86" s="100"/>
      <c r="F86" s="100"/>
      <c r="G86" s="99" t="s">
        <v>93</v>
      </c>
      <c r="H86" s="100"/>
      <c r="I86" s="100"/>
      <c r="J86" s="100"/>
      <c r="K86" s="99" t="s">
        <v>94</v>
      </c>
      <c r="L86" s="100"/>
      <c r="M86" s="100"/>
      <c r="N86" s="100"/>
      <c r="O86" s="99" t="s">
        <v>95</v>
      </c>
      <c r="P86" s="100"/>
      <c r="Q86" s="100"/>
      <c r="R86" s="100"/>
      <c r="S86" s="99" t="s">
        <v>96</v>
      </c>
      <c r="T86" s="100"/>
      <c r="U86" s="100"/>
      <c r="V86" s="100"/>
      <c r="W86" s="99" t="s">
        <v>97</v>
      </c>
      <c r="X86" s="100"/>
      <c r="Y86" s="100"/>
      <c r="Z86" s="100"/>
      <c r="AA86" s="99" t="s">
        <v>98</v>
      </c>
      <c r="AB86" s="100"/>
      <c r="AC86" s="100"/>
      <c r="AD86" s="100"/>
      <c r="AE86" s="99" t="s">
        <v>99</v>
      </c>
      <c r="AF86" s="100"/>
      <c r="AG86" s="100"/>
      <c r="AH86" s="100"/>
      <c r="AI86" s="99" t="s">
        <v>100</v>
      </c>
      <c r="AJ86" s="100"/>
      <c r="AK86" s="100"/>
      <c r="AL86" s="100"/>
      <c r="AM86" s="99" t="s">
        <v>101</v>
      </c>
      <c r="AN86" s="100"/>
      <c r="AO86" s="100"/>
      <c r="AP86" s="100"/>
      <c r="AQ86" s="99" t="s">
        <v>102</v>
      </c>
      <c r="AR86" s="100"/>
      <c r="AS86" s="100"/>
      <c r="AT86" s="100"/>
      <c r="AU86" s="99" t="s">
        <v>103</v>
      </c>
      <c r="AV86" s="100"/>
      <c r="AW86" s="100"/>
    </row>
    <row r="87" spans="2:50">
      <c r="B87" s="99" t="s">
        <v>335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>
        <f>C48+$C$67/4</f>
        <v>2452.9979284428359</v>
      </c>
      <c r="D88">
        <f>D48+$C$67/4</f>
        <v>2452.9979284428359</v>
      </c>
      <c r="E88">
        <f>E48+$C$67/4</f>
        <v>2452.9979284428359</v>
      </c>
      <c r="F88">
        <f>F48+$C$67/4</f>
        <v>2452.9979284428359</v>
      </c>
      <c r="G88">
        <f>G48+$D$67/4</f>
        <v>2452.9979284428359</v>
      </c>
      <c r="H88">
        <f>H48+$D$67/4</f>
        <v>2452.9979284428359</v>
      </c>
      <c r="I88">
        <f>I48+$D$67/4</f>
        <v>2452.9979284428359</v>
      </c>
      <c r="J88">
        <f>J48+$D$67/4</f>
        <v>2452.9979284428359</v>
      </c>
      <c r="K88">
        <f>K48+$E$67/4</f>
        <v>2452.9979284428359</v>
      </c>
      <c r="L88">
        <f>L48+$E$67/4</f>
        <v>2452.9979284428359</v>
      </c>
      <c r="M88">
        <f>M48+$E$67/4</f>
        <v>2452.9979284428359</v>
      </c>
      <c r="N88">
        <f>N48+$E$67/4</f>
        <v>2452.9979284428359</v>
      </c>
      <c r="O88">
        <f>O48+$F$67/4</f>
        <v>2452.9979284428359</v>
      </c>
      <c r="P88">
        <f>P48+$F$67/4</f>
        <v>2452.9979284428359</v>
      </c>
      <c r="Q88">
        <f>Q48+$F$67/4</f>
        <v>2452.9979284428359</v>
      </c>
      <c r="R88">
        <f>R48+$F$67/4</f>
        <v>2452.9979284428359</v>
      </c>
      <c r="S88">
        <f>S48+$G$67/4</f>
        <v>2905.8430599647363</v>
      </c>
      <c r="T88">
        <f>T48+$G$67/4</f>
        <v>2905.8430599647363</v>
      </c>
      <c r="U88">
        <f>U48+$G$67/4</f>
        <v>2905.8430599647363</v>
      </c>
      <c r="V88">
        <f>V48+$G$67/4</f>
        <v>2905.8430599647363</v>
      </c>
      <c r="W88">
        <f>W48+$H$67/4</f>
        <v>2452.9979284428359</v>
      </c>
      <c r="X88">
        <f>X48+$H$67/4</f>
        <v>2452.9979284428359</v>
      </c>
      <c r="Y88">
        <f>Y48+$H$67/4</f>
        <v>2452.9979284428359</v>
      </c>
      <c r="Z88">
        <f>Z48+$H$67/4</f>
        <v>2452.9979284428359</v>
      </c>
      <c r="AA88">
        <f>AA48+$I$67/4</f>
        <v>2452.9979284428359</v>
      </c>
      <c r="AB88">
        <f>AB48+$I$67/4</f>
        <v>2452.9979284428359</v>
      </c>
      <c r="AC88">
        <f>AC48+$I$67/4</f>
        <v>2452.9979284428359</v>
      </c>
      <c r="AD88">
        <f>AD48+$I$67/4</f>
        <v>2452.9979284428359</v>
      </c>
      <c r="AE88">
        <f>AE48+$J$67/4</f>
        <v>2452.9979284428359</v>
      </c>
      <c r="AF88">
        <f>AF48+$J$67/4</f>
        <v>2452.9979284428359</v>
      </c>
      <c r="AG88">
        <f>AG48+$J$67/4</f>
        <v>2452.9979284428359</v>
      </c>
      <c r="AH88">
        <f>AH48+$J$67/4</f>
        <v>2452.9979284428359</v>
      </c>
      <c r="AI88">
        <f>AI48+$K$67/4</f>
        <v>2452.9979284428359</v>
      </c>
      <c r="AJ88">
        <f>AJ48+$K$67/4</f>
        <v>2452.9979284428359</v>
      </c>
      <c r="AK88">
        <f>AK48+$K$67/4</f>
        <v>2452.9979284428359</v>
      </c>
      <c r="AL88">
        <f>AL48+$K$67/4</f>
        <v>2452.9979284428359</v>
      </c>
      <c r="AM88">
        <f>AM48+$L$67/4</f>
        <v>2452.9979284428359</v>
      </c>
      <c r="AN88">
        <f>AN48+$L$67/4</f>
        <v>2452.9979284428359</v>
      </c>
      <c r="AO88">
        <f>AO48+$L$67/4</f>
        <v>2452.9979284428359</v>
      </c>
      <c r="AP88">
        <f>AP48+$L$67/4</f>
        <v>2452.9979284428359</v>
      </c>
      <c r="AQ88">
        <f>AQ48+$M$67/4</f>
        <v>2452.9979284428359</v>
      </c>
      <c r="AR88">
        <f>AR48+$M$67/4</f>
        <v>2452.9979284428359</v>
      </c>
      <c r="AS88">
        <f>AS48+$M$67/4</f>
        <v>2452.9979284428359</v>
      </c>
      <c r="AT88">
        <f>AT48+$M$67/4</f>
        <v>2452.9979284428359</v>
      </c>
      <c r="AU88">
        <f>AU48+$N$67/4</f>
        <v>2452.9979284428359</v>
      </c>
      <c r="AV88">
        <f>AV48+$N$67/4</f>
        <v>2452.9979284428359</v>
      </c>
      <c r="AW88">
        <f>AW48+$N$67/4</f>
        <v>2452.9979284428359</v>
      </c>
      <c r="AX88">
        <f>AX48+$N$67/4</f>
        <v>2452.9979284428359</v>
      </c>
    </row>
    <row r="89" spans="2:50">
      <c r="B89" s="99" t="s">
        <v>105</v>
      </c>
      <c r="C89">
        <f>C49</f>
        <v>600.00000000000045</v>
      </c>
      <c r="D89">
        <f t="shared" ref="D89:AX93" si="3">D49</f>
        <v>600.00000000000045</v>
      </c>
      <c r="E89">
        <f t="shared" si="3"/>
        <v>600.00000000000045</v>
      </c>
      <c r="F89">
        <f t="shared" si="3"/>
        <v>600.00000000000045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720.00000000000057</v>
      </c>
      <c r="L89">
        <f t="shared" si="3"/>
        <v>720.00000000000057</v>
      </c>
      <c r="M89">
        <f t="shared" si="3"/>
        <v>720.00000000000057</v>
      </c>
      <c r="N89">
        <f t="shared" si="3"/>
        <v>720.00000000000057</v>
      </c>
      <c r="O89">
        <f t="shared" si="3"/>
        <v>600.00000000000045</v>
      </c>
      <c r="P89">
        <f t="shared" si="3"/>
        <v>600.00000000000045</v>
      </c>
      <c r="Q89">
        <f t="shared" si="3"/>
        <v>600.00000000000045</v>
      </c>
      <c r="R89">
        <f t="shared" si="3"/>
        <v>600.00000000000045</v>
      </c>
      <c r="S89">
        <f t="shared" si="3"/>
        <v>720.00000000000057</v>
      </c>
      <c r="T89">
        <f t="shared" si="3"/>
        <v>720.00000000000057</v>
      </c>
      <c r="U89">
        <f t="shared" si="3"/>
        <v>720.00000000000057</v>
      </c>
      <c r="V89">
        <f t="shared" si="3"/>
        <v>720.00000000000057</v>
      </c>
      <c r="W89">
        <f t="shared" si="3"/>
        <v>600.00000000000045</v>
      </c>
      <c r="X89">
        <f t="shared" si="3"/>
        <v>600.00000000000045</v>
      </c>
      <c r="Y89">
        <f t="shared" si="3"/>
        <v>600.00000000000045</v>
      </c>
      <c r="Z89">
        <f t="shared" si="3"/>
        <v>600.00000000000045</v>
      </c>
      <c r="AA89">
        <f t="shared" si="3"/>
        <v>600.00000000000045</v>
      </c>
      <c r="AB89">
        <f t="shared" si="3"/>
        <v>600.00000000000045</v>
      </c>
      <c r="AC89">
        <f t="shared" si="3"/>
        <v>600.00000000000045</v>
      </c>
      <c r="AD89">
        <f t="shared" si="3"/>
        <v>600.00000000000045</v>
      </c>
      <c r="AE89">
        <f t="shared" si="3"/>
        <v>480.0000000000004</v>
      </c>
      <c r="AF89">
        <f t="shared" si="3"/>
        <v>480.0000000000004</v>
      </c>
      <c r="AG89">
        <f t="shared" si="3"/>
        <v>480.0000000000004</v>
      </c>
      <c r="AH89">
        <f t="shared" si="3"/>
        <v>480.0000000000004</v>
      </c>
      <c r="AI89">
        <f t="shared" si="3"/>
        <v>600.00000000000045</v>
      </c>
      <c r="AJ89">
        <f t="shared" si="3"/>
        <v>600.00000000000045</v>
      </c>
      <c r="AK89">
        <f t="shared" si="3"/>
        <v>600.00000000000045</v>
      </c>
      <c r="AL89">
        <f t="shared" si="3"/>
        <v>600.00000000000045</v>
      </c>
      <c r="AM89">
        <f t="shared" si="3"/>
        <v>600.00000000000045</v>
      </c>
      <c r="AN89">
        <f t="shared" si="3"/>
        <v>600.00000000000045</v>
      </c>
      <c r="AO89">
        <f t="shared" si="3"/>
        <v>600.00000000000045</v>
      </c>
      <c r="AP89">
        <f t="shared" si="3"/>
        <v>600.00000000000045</v>
      </c>
      <c r="AQ89">
        <f t="shared" si="3"/>
        <v>600.00000000000045</v>
      </c>
      <c r="AR89">
        <f t="shared" si="3"/>
        <v>600.00000000000045</v>
      </c>
      <c r="AS89">
        <f t="shared" si="3"/>
        <v>600.00000000000045</v>
      </c>
      <c r="AT89">
        <f t="shared" si="3"/>
        <v>600.00000000000045</v>
      </c>
      <c r="AU89">
        <f t="shared" si="3"/>
        <v>600.00000000000045</v>
      </c>
      <c r="AV89">
        <f t="shared" si="3"/>
        <v>600.00000000000045</v>
      </c>
      <c r="AW89">
        <f t="shared" si="3"/>
        <v>600.00000000000045</v>
      </c>
      <c r="AX89">
        <f t="shared" si="3"/>
        <v>600.00000000000045</v>
      </c>
    </row>
    <row r="90" spans="2:50">
      <c r="B90" s="99" t="s">
        <v>106</v>
      </c>
      <c r="C90">
        <f t="shared" ref="C90:R93" si="4">C50</f>
        <v>30</v>
      </c>
      <c r="D90">
        <f t="shared" si="4"/>
        <v>30</v>
      </c>
      <c r="E90">
        <f t="shared" si="4"/>
        <v>30</v>
      </c>
      <c r="F90">
        <f t="shared" si="4"/>
        <v>30</v>
      </c>
      <c r="G90">
        <f t="shared" si="4"/>
        <v>160</v>
      </c>
      <c r="H90">
        <f t="shared" si="4"/>
        <v>160</v>
      </c>
      <c r="I90">
        <f t="shared" si="4"/>
        <v>160</v>
      </c>
      <c r="J90">
        <f t="shared" si="4"/>
        <v>160</v>
      </c>
      <c r="K90">
        <f t="shared" si="4"/>
        <v>160</v>
      </c>
      <c r="L90">
        <f t="shared" si="4"/>
        <v>160</v>
      </c>
      <c r="M90">
        <f t="shared" si="4"/>
        <v>160</v>
      </c>
      <c r="N90">
        <f t="shared" si="4"/>
        <v>160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3"/>
        <v>128</v>
      </c>
      <c r="T90">
        <f t="shared" si="3"/>
        <v>128</v>
      </c>
      <c r="U90">
        <f t="shared" si="3"/>
        <v>128</v>
      </c>
      <c r="V90">
        <f t="shared" si="3"/>
        <v>128</v>
      </c>
      <c r="W90">
        <f t="shared" si="3"/>
        <v>160</v>
      </c>
      <c r="X90">
        <f t="shared" si="3"/>
        <v>160</v>
      </c>
      <c r="Y90">
        <f t="shared" si="3"/>
        <v>160</v>
      </c>
      <c r="Z90">
        <f t="shared" si="3"/>
        <v>160</v>
      </c>
      <c r="AA90">
        <f t="shared" si="3"/>
        <v>160</v>
      </c>
      <c r="AB90">
        <f t="shared" si="3"/>
        <v>160</v>
      </c>
      <c r="AC90">
        <f t="shared" si="3"/>
        <v>160</v>
      </c>
      <c r="AD90">
        <f t="shared" si="3"/>
        <v>160</v>
      </c>
      <c r="AE90">
        <f t="shared" si="3"/>
        <v>160</v>
      </c>
      <c r="AF90">
        <f t="shared" si="3"/>
        <v>160</v>
      </c>
      <c r="AG90">
        <f t="shared" si="3"/>
        <v>160</v>
      </c>
      <c r="AH90">
        <f t="shared" si="3"/>
        <v>160</v>
      </c>
      <c r="AI90">
        <f t="shared" si="3"/>
        <v>160</v>
      </c>
      <c r="AJ90">
        <f t="shared" si="3"/>
        <v>160</v>
      </c>
      <c r="AK90">
        <f t="shared" si="3"/>
        <v>160</v>
      </c>
      <c r="AL90">
        <f t="shared" si="3"/>
        <v>160</v>
      </c>
      <c r="AM90">
        <f t="shared" si="3"/>
        <v>160</v>
      </c>
      <c r="AN90">
        <f t="shared" si="3"/>
        <v>160</v>
      </c>
      <c r="AO90">
        <f t="shared" si="3"/>
        <v>160</v>
      </c>
      <c r="AP90">
        <f t="shared" si="3"/>
        <v>160</v>
      </c>
      <c r="AQ90">
        <f t="shared" si="3"/>
        <v>192</v>
      </c>
      <c r="AR90">
        <f t="shared" si="3"/>
        <v>192</v>
      </c>
      <c r="AS90">
        <f t="shared" si="3"/>
        <v>192</v>
      </c>
      <c r="AT90">
        <f t="shared" si="3"/>
        <v>192</v>
      </c>
      <c r="AU90">
        <f t="shared" si="3"/>
        <v>160</v>
      </c>
      <c r="AV90">
        <f t="shared" si="3"/>
        <v>160</v>
      </c>
      <c r="AW90">
        <f t="shared" si="3"/>
        <v>160</v>
      </c>
      <c r="AX90">
        <f t="shared" si="3"/>
        <v>160</v>
      </c>
    </row>
    <row r="91" spans="2:50">
      <c r="B91" s="99" t="s">
        <v>107</v>
      </c>
      <c r="C91">
        <f t="shared" si="4"/>
        <v>214.08858367520591</v>
      </c>
      <c r="D91">
        <f t="shared" si="3"/>
        <v>214.08858367520591</v>
      </c>
      <c r="E91">
        <f t="shared" si="3"/>
        <v>214.08858367520591</v>
      </c>
      <c r="F91">
        <f t="shared" si="3"/>
        <v>214.08858367520591</v>
      </c>
      <c r="G91">
        <f t="shared" si="3"/>
        <v>214.08858367520591</v>
      </c>
      <c r="H91">
        <f t="shared" si="3"/>
        <v>214.08858367520591</v>
      </c>
      <c r="I91">
        <f t="shared" si="3"/>
        <v>214.08858367520591</v>
      </c>
      <c r="J91">
        <f t="shared" si="3"/>
        <v>214.08858367520591</v>
      </c>
      <c r="K91">
        <f t="shared" si="3"/>
        <v>214.08858367520591</v>
      </c>
      <c r="L91">
        <f t="shared" si="3"/>
        <v>214.08858367520591</v>
      </c>
      <c r="M91">
        <f t="shared" si="3"/>
        <v>214.08858367520591</v>
      </c>
      <c r="N91">
        <f t="shared" si="3"/>
        <v>214.08858367520591</v>
      </c>
      <c r="O91">
        <f t="shared" si="3"/>
        <v>214.08858367520591</v>
      </c>
      <c r="P91">
        <f t="shared" si="3"/>
        <v>214.08858367520591</v>
      </c>
      <c r="Q91">
        <f t="shared" si="3"/>
        <v>214.08858367520591</v>
      </c>
      <c r="R91">
        <f t="shared" si="3"/>
        <v>214.08858367520591</v>
      </c>
      <c r="S91">
        <f t="shared" si="3"/>
        <v>171.27086694016475</v>
      </c>
      <c r="T91">
        <f t="shared" si="3"/>
        <v>171.27086694016475</v>
      </c>
      <c r="U91">
        <f t="shared" si="3"/>
        <v>171.27086694016475</v>
      </c>
      <c r="V91">
        <f t="shared" si="3"/>
        <v>171.27086694016475</v>
      </c>
      <c r="W91">
        <f t="shared" si="3"/>
        <v>214.08858367520591</v>
      </c>
      <c r="X91">
        <f t="shared" si="3"/>
        <v>214.08858367520591</v>
      </c>
      <c r="Y91">
        <f t="shared" si="3"/>
        <v>214.08858367520591</v>
      </c>
      <c r="Z91">
        <f t="shared" si="3"/>
        <v>214.08858367520591</v>
      </c>
      <c r="AA91">
        <f t="shared" si="3"/>
        <v>214.08858367520591</v>
      </c>
      <c r="AB91">
        <f t="shared" si="3"/>
        <v>214.08858367520591</v>
      </c>
      <c r="AC91">
        <f t="shared" si="3"/>
        <v>214.08858367520591</v>
      </c>
      <c r="AD91">
        <f t="shared" si="3"/>
        <v>214.08858367520591</v>
      </c>
      <c r="AE91">
        <f t="shared" si="3"/>
        <v>171.27086694016475</v>
      </c>
      <c r="AF91">
        <f t="shared" si="3"/>
        <v>171.27086694016475</v>
      </c>
      <c r="AG91">
        <f t="shared" si="3"/>
        <v>171.27086694016475</v>
      </c>
      <c r="AH91">
        <f t="shared" si="3"/>
        <v>171.27086694016475</v>
      </c>
      <c r="AI91">
        <f t="shared" si="3"/>
        <v>214.08858367520591</v>
      </c>
      <c r="AJ91">
        <f t="shared" si="3"/>
        <v>214.08858367520591</v>
      </c>
      <c r="AK91">
        <f t="shared" si="3"/>
        <v>214.08858367520591</v>
      </c>
      <c r="AL91">
        <f t="shared" si="3"/>
        <v>214.08858367520591</v>
      </c>
      <c r="AM91">
        <f t="shared" si="3"/>
        <v>214.08858367520591</v>
      </c>
      <c r="AN91">
        <f t="shared" si="3"/>
        <v>214.08858367520591</v>
      </c>
      <c r="AO91">
        <f t="shared" si="3"/>
        <v>214.08858367520591</v>
      </c>
      <c r="AP91">
        <f t="shared" si="3"/>
        <v>214.08858367520591</v>
      </c>
      <c r="AQ91">
        <f t="shared" si="3"/>
        <v>214.08858367520591</v>
      </c>
      <c r="AR91">
        <f t="shared" si="3"/>
        <v>214.08858367520591</v>
      </c>
      <c r="AS91">
        <f t="shared" si="3"/>
        <v>214.08858367520591</v>
      </c>
      <c r="AT91">
        <f t="shared" si="3"/>
        <v>214.08858367520591</v>
      </c>
      <c r="AU91">
        <f t="shared" si="3"/>
        <v>214.08858367520591</v>
      </c>
      <c r="AV91">
        <f t="shared" si="3"/>
        <v>214.08858367520591</v>
      </c>
      <c r="AW91">
        <f t="shared" si="3"/>
        <v>214.08858367520591</v>
      </c>
      <c r="AX91">
        <f t="shared" si="3"/>
        <v>214.08858367520591</v>
      </c>
    </row>
    <row r="92" spans="2:50">
      <c r="B92" s="99" t="s">
        <v>108</v>
      </c>
      <c r="C92">
        <f t="shared" si="4"/>
        <v>5.7859377636696874E-20</v>
      </c>
      <c r="D92">
        <f t="shared" si="4"/>
        <v>5.7859377636696874E-20</v>
      </c>
      <c r="E92">
        <f t="shared" si="4"/>
        <v>5.7859377636696874E-20</v>
      </c>
      <c r="F92">
        <f t="shared" si="4"/>
        <v>5.7859377636696874E-20</v>
      </c>
      <c r="G92">
        <f t="shared" si="4"/>
        <v>5.7859377636696874E-20</v>
      </c>
      <c r="H92">
        <f t="shared" si="4"/>
        <v>5.7859377636696874E-20</v>
      </c>
      <c r="I92">
        <f t="shared" si="4"/>
        <v>5.7859377636696874E-20</v>
      </c>
      <c r="J92">
        <f t="shared" si="4"/>
        <v>5.7859377636696874E-20</v>
      </c>
      <c r="K92">
        <f t="shared" si="4"/>
        <v>5.7859377636696874E-20</v>
      </c>
      <c r="L92">
        <f t="shared" si="4"/>
        <v>5.7859377636696874E-20</v>
      </c>
      <c r="M92">
        <f t="shared" si="4"/>
        <v>5.7859377636696874E-20</v>
      </c>
      <c r="N92">
        <f t="shared" si="4"/>
        <v>5.7859377636696874E-20</v>
      </c>
      <c r="O92">
        <f t="shared" si="4"/>
        <v>5.7859377636696874E-20</v>
      </c>
      <c r="P92">
        <f t="shared" si="4"/>
        <v>5.7859377636696874E-20</v>
      </c>
      <c r="Q92">
        <f t="shared" si="4"/>
        <v>5.7859377636696874E-20</v>
      </c>
      <c r="R92">
        <f t="shared" si="4"/>
        <v>5.7859377636696874E-20</v>
      </c>
      <c r="S92">
        <f t="shared" si="3"/>
        <v>5.7859377636696874E-20</v>
      </c>
      <c r="T92">
        <f t="shared" si="3"/>
        <v>5.7859377636696874E-20</v>
      </c>
      <c r="U92">
        <f t="shared" si="3"/>
        <v>5.7859377636696874E-20</v>
      </c>
      <c r="V92">
        <f t="shared" si="3"/>
        <v>5.7859377636696874E-20</v>
      </c>
      <c r="W92">
        <f t="shared" si="3"/>
        <v>5.7859377636696874E-20</v>
      </c>
      <c r="X92">
        <f t="shared" si="3"/>
        <v>5.7859377636696874E-20</v>
      </c>
      <c r="Y92">
        <f t="shared" si="3"/>
        <v>5.7859377636696874E-20</v>
      </c>
      <c r="Z92">
        <f t="shared" si="3"/>
        <v>5.7859377636696874E-20</v>
      </c>
      <c r="AA92">
        <f t="shared" si="3"/>
        <v>5.7859377636696874E-20</v>
      </c>
      <c r="AB92">
        <f t="shared" si="3"/>
        <v>5.7859377636696874E-20</v>
      </c>
      <c r="AC92">
        <f t="shared" si="3"/>
        <v>5.7859377636696874E-20</v>
      </c>
      <c r="AD92">
        <f t="shared" si="3"/>
        <v>5.7859377636696874E-20</v>
      </c>
      <c r="AE92">
        <f t="shared" si="3"/>
        <v>5.7859377636696874E-20</v>
      </c>
      <c r="AF92">
        <f t="shared" si="3"/>
        <v>5.7859377636696874E-20</v>
      </c>
      <c r="AG92">
        <f t="shared" si="3"/>
        <v>5.7859377636696874E-20</v>
      </c>
      <c r="AH92">
        <f t="shared" si="3"/>
        <v>5.7859377636696874E-20</v>
      </c>
      <c r="AI92">
        <f t="shared" si="3"/>
        <v>5.7859377636696874E-20</v>
      </c>
      <c r="AJ92">
        <f t="shared" si="3"/>
        <v>5.7859377636696874E-20</v>
      </c>
      <c r="AK92">
        <f t="shared" si="3"/>
        <v>5.7859377636696874E-20</v>
      </c>
      <c r="AL92">
        <f t="shared" si="3"/>
        <v>5.7859377636696874E-20</v>
      </c>
      <c r="AM92">
        <f t="shared" si="3"/>
        <v>5.7859377636696874E-20</v>
      </c>
      <c r="AN92">
        <f t="shared" si="3"/>
        <v>5.7859377636696874E-20</v>
      </c>
      <c r="AO92">
        <f t="shared" si="3"/>
        <v>5.7859377636696874E-20</v>
      </c>
      <c r="AP92">
        <f t="shared" si="3"/>
        <v>5.7859377636696874E-20</v>
      </c>
      <c r="AQ92">
        <f t="shared" si="3"/>
        <v>5.7859377636696874E-20</v>
      </c>
      <c r="AR92">
        <f t="shared" si="3"/>
        <v>5.7859377636696874E-20</v>
      </c>
      <c r="AS92">
        <f t="shared" si="3"/>
        <v>5.7859377636696874E-20</v>
      </c>
      <c r="AT92">
        <f t="shared" si="3"/>
        <v>5.7859377636696874E-20</v>
      </c>
      <c r="AU92">
        <f t="shared" si="3"/>
        <v>5.7859377636696874E-20</v>
      </c>
      <c r="AV92">
        <f t="shared" si="3"/>
        <v>5.7859377636696874E-20</v>
      </c>
      <c r="AW92">
        <f t="shared" si="3"/>
        <v>5.7859377636696874E-20</v>
      </c>
      <c r="AX92">
        <f t="shared" si="3"/>
        <v>5.7859377636696874E-20</v>
      </c>
    </row>
    <row r="93" spans="2:50">
      <c r="B93" s="99" t="s">
        <v>109</v>
      </c>
      <c r="C93">
        <f t="shared" si="4"/>
        <v>7.6493991997588377E-20</v>
      </c>
      <c r="D93">
        <f t="shared" si="4"/>
        <v>7.6493991997588377E-20</v>
      </c>
      <c r="E93">
        <f t="shared" si="4"/>
        <v>7.6493991997588377E-20</v>
      </c>
      <c r="F93">
        <f t="shared" si="4"/>
        <v>7.6493991997588377E-20</v>
      </c>
      <c r="G93">
        <f t="shared" si="4"/>
        <v>7.6493991997588377E-20</v>
      </c>
      <c r="H93">
        <f t="shared" si="4"/>
        <v>7.6493991997588377E-20</v>
      </c>
      <c r="I93">
        <f t="shared" si="4"/>
        <v>7.6493991997588377E-20</v>
      </c>
      <c r="J93">
        <f t="shared" si="4"/>
        <v>7.6493991997588377E-20</v>
      </c>
      <c r="K93">
        <f t="shared" si="4"/>
        <v>7.6493991997588377E-20</v>
      </c>
      <c r="L93">
        <f t="shared" si="4"/>
        <v>7.6493991997588377E-20</v>
      </c>
      <c r="M93">
        <f t="shared" si="4"/>
        <v>7.6493991997588377E-20</v>
      </c>
      <c r="N93">
        <f t="shared" si="4"/>
        <v>7.6493991997588377E-20</v>
      </c>
      <c r="O93">
        <f t="shared" si="4"/>
        <v>7.6493991997588377E-20</v>
      </c>
      <c r="P93">
        <f t="shared" si="4"/>
        <v>7.6493991997588377E-20</v>
      </c>
      <c r="Q93">
        <f t="shared" si="4"/>
        <v>7.6493991997588377E-20</v>
      </c>
      <c r="R93">
        <f t="shared" si="4"/>
        <v>7.6493991997588377E-20</v>
      </c>
      <c r="S93">
        <f t="shared" si="3"/>
        <v>9.5617489996985466E-20</v>
      </c>
      <c r="T93">
        <f t="shared" si="3"/>
        <v>9.5617489996985466E-20</v>
      </c>
      <c r="U93">
        <f t="shared" si="3"/>
        <v>9.5617489996985466E-20</v>
      </c>
      <c r="V93">
        <f t="shared" si="3"/>
        <v>9.5617489996985466E-20</v>
      </c>
      <c r="W93">
        <f t="shared" si="3"/>
        <v>9.5617489996985466E-20</v>
      </c>
      <c r="X93">
        <f t="shared" si="3"/>
        <v>9.5617489996985466E-20</v>
      </c>
      <c r="Y93">
        <f t="shared" si="3"/>
        <v>9.5617489996985466E-20</v>
      </c>
      <c r="Z93">
        <f t="shared" si="3"/>
        <v>9.5617489996985466E-20</v>
      </c>
      <c r="AA93">
        <f t="shared" si="3"/>
        <v>7.6493991997588377E-20</v>
      </c>
      <c r="AB93">
        <f t="shared" si="3"/>
        <v>7.6493991997588377E-20</v>
      </c>
      <c r="AC93">
        <f t="shared" si="3"/>
        <v>7.6493991997588377E-20</v>
      </c>
      <c r="AD93">
        <f t="shared" si="3"/>
        <v>7.6493991997588377E-20</v>
      </c>
      <c r="AE93">
        <f t="shared" si="3"/>
        <v>7.6493991997588377E-20</v>
      </c>
      <c r="AF93">
        <f t="shared" si="3"/>
        <v>7.6493991997588377E-20</v>
      </c>
      <c r="AG93">
        <f t="shared" si="3"/>
        <v>7.6493991997588377E-20</v>
      </c>
      <c r="AH93">
        <f t="shared" si="3"/>
        <v>7.6493991997588377E-20</v>
      </c>
      <c r="AI93">
        <f t="shared" si="3"/>
        <v>7.6493991997588377E-20</v>
      </c>
      <c r="AJ93">
        <f t="shared" si="3"/>
        <v>7.6493991997588377E-20</v>
      </c>
      <c r="AK93">
        <f t="shared" si="3"/>
        <v>7.6493991997588377E-20</v>
      </c>
      <c r="AL93">
        <f t="shared" si="3"/>
        <v>7.6493991997588377E-20</v>
      </c>
      <c r="AM93">
        <f t="shared" si="3"/>
        <v>7.6493991997588377E-20</v>
      </c>
      <c r="AN93">
        <f t="shared" si="3"/>
        <v>7.6493991997588377E-20</v>
      </c>
      <c r="AO93">
        <f t="shared" si="3"/>
        <v>7.6493991997588377E-20</v>
      </c>
      <c r="AP93">
        <f t="shared" si="3"/>
        <v>7.6493991997588377E-20</v>
      </c>
      <c r="AQ93">
        <f t="shared" si="3"/>
        <v>9.5617489996985466E-20</v>
      </c>
      <c r="AR93">
        <f t="shared" si="3"/>
        <v>9.5617489996985466E-20</v>
      </c>
      <c r="AS93">
        <f t="shared" si="3"/>
        <v>9.5617489996985466E-20</v>
      </c>
      <c r="AT93">
        <f t="shared" si="3"/>
        <v>9.5617489996985466E-20</v>
      </c>
      <c r="AU93">
        <f t="shared" si="3"/>
        <v>7.6493991997588377E-20</v>
      </c>
      <c r="AV93">
        <f t="shared" si="3"/>
        <v>7.6493991997588377E-20</v>
      </c>
      <c r="AW93">
        <f t="shared" si="3"/>
        <v>7.6493991997588377E-20</v>
      </c>
      <c r="AX93">
        <f t="shared" si="3"/>
        <v>7.6493991997588377E-20</v>
      </c>
    </row>
    <row r="94" spans="2:50">
      <c r="B94" s="100"/>
    </row>
    <row r="95" spans="2:50">
      <c r="B95" s="53" t="s">
        <v>336</v>
      </c>
    </row>
    <row r="96" spans="2:50">
      <c r="B96" s="29"/>
      <c r="C96" s="103" t="s">
        <v>92</v>
      </c>
      <c r="D96" s="100"/>
      <c r="E96" s="100"/>
      <c r="F96" s="100"/>
      <c r="G96" s="103" t="s">
        <v>93</v>
      </c>
      <c r="H96" s="100"/>
      <c r="I96" s="100"/>
      <c r="J96" s="100"/>
      <c r="K96" s="103" t="s">
        <v>94</v>
      </c>
      <c r="L96" s="100"/>
      <c r="M96" s="100"/>
      <c r="N96" s="100"/>
      <c r="O96" s="103" t="s">
        <v>95</v>
      </c>
      <c r="P96" s="100"/>
      <c r="Q96" s="100"/>
      <c r="R96" s="100"/>
      <c r="S96" s="103" t="s">
        <v>96</v>
      </c>
      <c r="T96" s="100"/>
      <c r="U96" s="100"/>
      <c r="V96" s="100"/>
      <c r="W96" s="103" t="s">
        <v>97</v>
      </c>
      <c r="X96" s="100"/>
      <c r="Y96" s="100"/>
      <c r="Z96" s="100"/>
      <c r="AA96" s="103" t="s">
        <v>98</v>
      </c>
      <c r="AB96" s="100"/>
      <c r="AC96" s="100"/>
      <c r="AD96" s="100"/>
      <c r="AE96" s="103" t="s">
        <v>99</v>
      </c>
      <c r="AF96" s="100"/>
      <c r="AG96" s="100"/>
      <c r="AH96" s="100"/>
      <c r="AI96" s="103" t="s">
        <v>100</v>
      </c>
      <c r="AJ96" s="100"/>
      <c r="AK96" s="100"/>
      <c r="AL96" s="100"/>
      <c r="AM96" s="103" t="s">
        <v>101</v>
      </c>
      <c r="AN96" s="100"/>
      <c r="AO96" s="100"/>
      <c r="AP96" s="100"/>
      <c r="AQ96" s="103" t="s">
        <v>102</v>
      </c>
      <c r="AR96" s="100"/>
      <c r="AS96" s="100"/>
      <c r="AT96" s="100"/>
      <c r="AU96" s="103" t="s">
        <v>103</v>
      </c>
      <c r="AV96" s="100"/>
      <c r="AW96" s="100"/>
    </row>
    <row r="97" spans="1:50">
      <c r="A97" s="171" t="s">
        <v>121</v>
      </c>
      <c r="B97" s="171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10</v>
      </c>
      <c r="C98">
        <v>9.1969971311715336E-18</v>
      </c>
      <c r="D98">
        <v>9.1969971311715336E-18</v>
      </c>
      <c r="E98">
        <v>9.1969971311715336E-18</v>
      </c>
      <c r="F98">
        <v>9.1969971311715336E-18</v>
      </c>
      <c r="G98">
        <v>9.1969971311715336E-18</v>
      </c>
      <c r="H98">
        <v>9.1969971311715336E-18</v>
      </c>
      <c r="I98">
        <v>9.1969971311715336E-18</v>
      </c>
      <c r="J98">
        <v>9.1969971311715336E-18</v>
      </c>
      <c r="K98">
        <v>9.1969971311715336E-18</v>
      </c>
      <c r="L98">
        <v>9.1969971311715336E-18</v>
      </c>
      <c r="M98">
        <v>9.1969971311715336E-18</v>
      </c>
      <c r="N98">
        <v>9.1969971311715336E-18</v>
      </c>
      <c r="O98">
        <v>9.1969971311715336E-18</v>
      </c>
      <c r="P98">
        <v>9.1969971311715336E-18</v>
      </c>
      <c r="Q98">
        <v>9.1969971311715336E-18</v>
      </c>
      <c r="R98">
        <v>9.1969971311715336E-18</v>
      </c>
      <c r="S98">
        <v>1.0894844213380746E-17</v>
      </c>
      <c r="T98">
        <v>1.0894844213380746E-17</v>
      </c>
      <c r="U98">
        <v>1.0894844213380746E-17</v>
      </c>
      <c r="V98">
        <v>1.0894844213380746E-17</v>
      </c>
      <c r="W98">
        <v>9.1969971311715336E-18</v>
      </c>
      <c r="X98">
        <v>9.1969971311715336E-18</v>
      </c>
      <c r="Y98">
        <v>9.1969971311715336E-18</v>
      </c>
      <c r="Z98">
        <v>9.1969971311715336E-18</v>
      </c>
      <c r="AA98">
        <v>9.1969971311715336E-18</v>
      </c>
      <c r="AB98">
        <v>9.1969971311715336E-18</v>
      </c>
      <c r="AC98">
        <v>9.1969971311715336E-18</v>
      </c>
      <c r="AD98">
        <v>9.1969971311715336E-18</v>
      </c>
      <c r="AE98">
        <v>9.1969971311715336E-18</v>
      </c>
      <c r="AF98">
        <v>9.1969971311715336E-18</v>
      </c>
      <c r="AG98">
        <v>9.1969971311715336E-18</v>
      </c>
      <c r="AH98">
        <v>9.1969971311715336E-18</v>
      </c>
      <c r="AI98">
        <v>9.1969971311715336E-18</v>
      </c>
      <c r="AJ98">
        <v>9.1969971311715336E-18</v>
      </c>
      <c r="AK98">
        <v>9.1969971311715336E-18</v>
      </c>
      <c r="AL98">
        <v>9.1969971311715336E-18</v>
      </c>
      <c r="AM98">
        <v>9.1969971311715336E-18</v>
      </c>
      <c r="AN98">
        <v>9.1969971311715336E-18</v>
      </c>
      <c r="AO98">
        <v>9.1969971311715336E-18</v>
      </c>
      <c r="AP98">
        <v>9.1969971311715336E-18</v>
      </c>
      <c r="AQ98">
        <v>9.1969971311715336E-18</v>
      </c>
      <c r="AR98">
        <v>9.1969971311715336E-18</v>
      </c>
      <c r="AS98">
        <v>9.1969971311715336E-18</v>
      </c>
      <c r="AT98">
        <v>9.1969971311715336E-18</v>
      </c>
      <c r="AU98">
        <v>9.1969971311715336E-18</v>
      </c>
      <c r="AV98">
        <v>9.1969971311715336E-18</v>
      </c>
      <c r="AW98">
        <v>9.1969971311715336E-18</v>
      </c>
      <c r="AX98">
        <v>9.1969971311715336E-18</v>
      </c>
    </row>
    <row r="99" spans="1:50">
      <c r="B99" s="103" t="s">
        <v>12</v>
      </c>
      <c r="C99">
        <v>359309.28921070555</v>
      </c>
      <c r="D99">
        <v>359309.28921070555</v>
      </c>
      <c r="E99">
        <v>359309.28921070555</v>
      </c>
      <c r="F99">
        <v>359309.28921070555</v>
      </c>
      <c r="G99">
        <v>359309.28921070555</v>
      </c>
      <c r="H99">
        <v>359309.28921070555</v>
      </c>
      <c r="I99">
        <v>359309.28921070555</v>
      </c>
      <c r="J99">
        <v>359309.28921070555</v>
      </c>
      <c r="K99">
        <v>359309.28921070555</v>
      </c>
      <c r="L99">
        <v>359309.28921070555</v>
      </c>
      <c r="M99">
        <v>359309.28921070555</v>
      </c>
      <c r="N99">
        <v>359309.28921070555</v>
      </c>
      <c r="O99">
        <v>359309.28921070555</v>
      </c>
      <c r="P99">
        <v>359309.28921070555</v>
      </c>
      <c r="Q99">
        <v>359309.28921070555</v>
      </c>
      <c r="R99">
        <v>359309.28921070555</v>
      </c>
      <c r="S99">
        <v>425640.96460390568</v>
      </c>
      <c r="T99">
        <v>425640.96460390568</v>
      </c>
      <c r="U99">
        <v>425640.96460390568</v>
      </c>
      <c r="V99">
        <v>425640.96460390568</v>
      </c>
      <c r="W99">
        <v>359309.28921070555</v>
      </c>
      <c r="X99">
        <v>359309.28921070555</v>
      </c>
      <c r="Y99">
        <v>359309.28921070555</v>
      </c>
      <c r="Z99">
        <v>359309.28921070555</v>
      </c>
      <c r="AA99">
        <v>359309.28921070555</v>
      </c>
      <c r="AB99">
        <v>359309.28921070555</v>
      </c>
      <c r="AC99">
        <v>359309.28921070555</v>
      </c>
      <c r="AD99">
        <v>359309.28921070555</v>
      </c>
      <c r="AE99">
        <v>359309.28921070555</v>
      </c>
      <c r="AF99">
        <v>359309.28921070555</v>
      </c>
      <c r="AG99">
        <v>359309.28921070555</v>
      </c>
      <c r="AH99">
        <v>359309.28921070555</v>
      </c>
      <c r="AI99">
        <v>359309.28921070555</v>
      </c>
      <c r="AJ99">
        <v>359309.28921070555</v>
      </c>
      <c r="AK99">
        <v>359309.28921070555</v>
      </c>
      <c r="AL99">
        <v>359309.28921070555</v>
      </c>
      <c r="AM99">
        <v>359309.28921070555</v>
      </c>
      <c r="AN99">
        <v>359309.28921070555</v>
      </c>
      <c r="AO99">
        <v>359309.28921070555</v>
      </c>
      <c r="AP99">
        <v>359309.28921070555</v>
      </c>
      <c r="AQ99">
        <v>359309.28921070555</v>
      </c>
      <c r="AR99">
        <v>359309.28921070555</v>
      </c>
      <c r="AS99">
        <v>359309.28921070555</v>
      </c>
      <c r="AT99">
        <v>359309.28921070555</v>
      </c>
      <c r="AU99">
        <v>359309.28921070555</v>
      </c>
      <c r="AV99">
        <v>359309.28921070555</v>
      </c>
      <c r="AW99">
        <v>359309.28921070555</v>
      </c>
      <c r="AX99">
        <v>359309.28921070555</v>
      </c>
    </row>
    <row r="100" spans="1:50">
      <c r="B100" s="103" t="s">
        <v>22</v>
      </c>
      <c r="C100">
        <v>1.3331285346422466E-18</v>
      </c>
      <c r="D100">
        <v>1.3331285346422466E-18</v>
      </c>
      <c r="E100">
        <v>1.3331285346422466E-18</v>
      </c>
      <c r="F100">
        <v>1.3331285346422466E-18</v>
      </c>
      <c r="G100">
        <v>1.3331285346422466E-18</v>
      </c>
      <c r="H100">
        <v>1.3331285346422466E-18</v>
      </c>
      <c r="I100">
        <v>1.3331285346422466E-18</v>
      </c>
      <c r="J100">
        <v>1.3331285346422466E-18</v>
      </c>
      <c r="K100">
        <v>1.3331285346422466E-18</v>
      </c>
      <c r="L100">
        <v>1.3331285346422466E-18</v>
      </c>
      <c r="M100">
        <v>1.3331285346422466E-18</v>
      </c>
      <c r="N100">
        <v>1.3331285346422466E-18</v>
      </c>
      <c r="O100">
        <v>1.3331285346422466E-18</v>
      </c>
      <c r="P100">
        <v>1.3331285346422466E-18</v>
      </c>
      <c r="Q100">
        <v>1.3331285346422466E-18</v>
      </c>
      <c r="R100">
        <v>1.3331285346422466E-18</v>
      </c>
      <c r="S100">
        <v>1.579235862987565E-18</v>
      </c>
      <c r="T100">
        <v>1.579235862987565E-18</v>
      </c>
      <c r="U100">
        <v>1.579235862987565E-18</v>
      </c>
      <c r="V100">
        <v>1.579235862987565E-18</v>
      </c>
      <c r="W100">
        <v>1.3331285346422466E-18</v>
      </c>
      <c r="X100">
        <v>1.3331285346422466E-18</v>
      </c>
      <c r="Y100">
        <v>1.3331285346422466E-18</v>
      </c>
      <c r="Z100">
        <v>1.3331285346422466E-18</v>
      </c>
      <c r="AA100">
        <v>1.3331285346422466E-18</v>
      </c>
      <c r="AB100">
        <v>1.3331285346422466E-18</v>
      </c>
      <c r="AC100">
        <v>1.3331285346422466E-18</v>
      </c>
      <c r="AD100">
        <v>1.3331285346422466E-18</v>
      </c>
      <c r="AE100">
        <v>1.3331285346422466E-18</v>
      </c>
      <c r="AF100">
        <v>1.3331285346422466E-18</v>
      </c>
      <c r="AG100">
        <v>1.3331285346422466E-18</v>
      </c>
      <c r="AH100">
        <v>1.3331285346422466E-18</v>
      </c>
      <c r="AI100">
        <v>1.3331285346422466E-18</v>
      </c>
      <c r="AJ100">
        <v>1.3331285346422466E-18</v>
      </c>
      <c r="AK100">
        <v>1.3331285346422466E-18</v>
      </c>
      <c r="AL100">
        <v>1.3331285346422466E-18</v>
      </c>
      <c r="AM100">
        <v>1.3331285346422466E-18</v>
      </c>
      <c r="AN100">
        <v>1.3331285346422466E-18</v>
      </c>
      <c r="AO100">
        <v>1.3331285346422466E-18</v>
      </c>
      <c r="AP100">
        <v>1.3331285346422466E-18</v>
      </c>
      <c r="AQ100">
        <v>1.3331285346422466E-18</v>
      </c>
      <c r="AR100">
        <v>1.3331285346422466E-18</v>
      </c>
      <c r="AS100">
        <v>1.3331285346422466E-18</v>
      </c>
      <c r="AT100">
        <v>1.3331285346422466E-18</v>
      </c>
      <c r="AU100">
        <v>1.3331285346422466E-18</v>
      </c>
      <c r="AV100">
        <v>1.3331285346422466E-18</v>
      </c>
      <c r="AW100">
        <v>1.3331285346422466E-18</v>
      </c>
      <c r="AX100">
        <v>1.3331285346422466E-18</v>
      </c>
    </row>
    <row r="101" spans="1:50">
      <c r="B101" s="103" t="s">
        <v>46</v>
      </c>
      <c r="C101">
        <v>3.6576587418264125E-18</v>
      </c>
      <c r="D101">
        <v>3.6576587418264125E-18</v>
      </c>
      <c r="E101">
        <v>3.6576587418264125E-18</v>
      </c>
      <c r="F101">
        <v>3.6576587418264125E-18</v>
      </c>
      <c r="G101">
        <v>3.6576587418264125E-18</v>
      </c>
      <c r="H101">
        <v>3.6576587418264125E-18</v>
      </c>
      <c r="I101">
        <v>3.6576587418264125E-18</v>
      </c>
      <c r="J101">
        <v>3.6576587418264125E-18</v>
      </c>
      <c r="K101">
        <v>3.6576587418264125E-18</v>
      </c>
      <c r="L101">
        <v>3.6576587418264125E-18</v>
      </c>
      <c r="M101">
        <v>3.6576587418264125E-18</v>
      </c>
      <c r="N101">
        <v>3.6576587418264125E-18</v>
      </c>
      <c r="O101">
        <v>3.6576587418264125E-18</v>
      </c>
      <c r="P101">
        <v>3.6576587418264125E-18</v>
      </c>
      <c r="Q101">
        <v>3.6576587418264125E-18</v>
      </c>
      <c r="R101">
        <v>3.6576587418264125E-18</v>
      </c>
      <c r="S101">
        <v>4.3328949231533418E-18</v>
      </c>
      <c r="T101">
        <v>4.3328949231533418E-18</v>
      </c>
      <c r="U101">
        <v>4.3328949231533418E-18</v>
      </c>
      <c r="V101">
        <v>4.3328949231533418E-18</v>
      </c>
      <c r="W101">
        <v>3.6576587418264125E-18</v>
      </c>
      <c r="X101">
        <v>3.6576587418264125E-18</v>
      </c>
      <c r="Y101">
        <v>3.6576587418264125E-18</v>
      </c>
      <c r="Z101">
        <v>3.6576587418264125E-18</v>
      </c>
      <c r="AA101">
        <v>3.6576587418264125E-18</v>
      </c>
      <c r="AB101">
        <v>3.6576587418264125E-18</v>
      </c>
      <c r="AC101">
        <v>3.6576587418264125E-18</v>
      </c>
      <c r="AD101">
        <v>3.6576587418264125E-18</v>
      </c>
      <c r="AE101">
        <v>3.6576587418264125E-18</v>
      </c>
      <c r="AF101">
        <v>3.6576587418264125E-18</v>
      </c>
      <c r="AG101">
        <v>3.6576587418264125E-18</v>
      </c>
      <c r="AH101">
        <v>3.6576587418264125E-18</v>
      </c>
      <c r="AI101">
        <v>3.6576587418264125E-18</v>
      </c>
      <c r="AJ101">
        <v>3.6576587418264125E-18</v>
      </c>
      <c r="AK101">
        <v>3.6576587418264125E-18</v>
      </c>
      <c r="AL101">
        <v>3.6576587418264125E-18</v>
      </c>
      <c r="AM101">
        <v>3.6576587418264125E-18</v>
      </c>
      <c r="AN101">
        <v>3.6576587418264125E-18</v>
      </c>
      <c r="AO101">
        <v>3.6576587418264125E-18</v>
      </c>
      <c r="AP101">
        <v>3.6576587418264125E-18</v>
      </c>
      <c r="AQ101">
        <v>3.6576587418264125E-18</v>
      </c>
      <c r="AR101">
        <v>3.6576587418264125E-18</v>
      </c>
      <c r="AS101">
        <v>3.6576587418264125E-18</v>
      </c>
      <c r="AT101">
        <v>3.6576587418264125E-18</v>
      </c>
      <c r="AU101">
        <v>3.6576587418264125E-18</v>
      </c>
      <c r="AV101">
        <v>3.6576587418264125E-18</v>
      </c>
      <c r="AW101">
        <v>3.6576587418264125E-18</v>
      </c>
      <c r="AX101">
        <v>3.6576587418264125E-18</v>
      </c>
    </row>
    <row r="102" spans="1:50">
      <c r="B102" s="103" t="s">
        <v>59</v>
      </c>
      <c r="C102">
        <v>263092.2565299595</v>
      </c>
      <c r="D102">
        <v>263092.2565299595</v>
      </c>
      <c r="E102">
        <v>263092.2565299595</v>
      </c>
      <c r="F102">
        <v>263092.2565299595</v>
      </c>
      <c r="G102">
        <v>263092.2565299595</v>
      </c>
      <c r="H102">
        <v>263092.2565299595</v>
      </c>
      <c r="I102">
        <v>263092.2565299595</v>
      </c>
      <c r="J102">
        <v>263092.2565299595</v>
      </c>
      <c r="K102">
        <v>263092.2565299595</v>
      </c>
      <c r="L102">
        <v>263092.2565299595</v>
      </c>
      <c r="M102">
        <v>263092.2565299595</v>
      </c>
      <c r="N102">
        <v>263092.2565299595</v>
      </c>
      <c r="O102">
        <v>263092.2565299595</v>
      </c>
      <c r="P102">
        <v>263092.2565299595</v>
      </c>
      <c r="Q102">
        <v>263092.2565299595</v>
      </c>
      <c r="R102">
        <v>263092.2565299595</v>
      </c>
      <c r="S102">
        <v>311661.41597736807</v>
      </c>
      <c r="T102">
        <v>311661.41597736807</v>
      </c>
      <c r="U102">
        <v>311661.41597736807</v>
      </c>
      <c r="V102">
        <v>311661.41597736807</v>
      </c>
      <c r="W102">
        <v>263092.2565299595</v>
      </c>
      <c r="X102">
        <v>263092.2565299595</v>
      </c>
      <c r="Y102">
        <v>263092.2565299595</v>
      </c>
      <c r="Z102">
        <v>263092.2565299595</v>
      </c>
      <c r="AA102">
        <v>263092.2565299595</v>
      </c>
      <c r="AB102">
        <v>263092.2565299595</v>
      </c>
      <c r="AC102">
        <v>263092.2565299595</v>
      </c>
      <c r="AD102">
        <v>263092.2565299595</v>
      </c>
      <c r="AE102">
        <v>263092.2565299595</v>
      </c>
      <c r="AF102">
        <v>263092.2565299595</v>
      </c>
      <c r="AG102">
        <v>263092.2565299595</v>
      </c>
      <c r="AH102">
        <v>263092.2565299595</v>
      </c>
      <c r="AI102">
        <v>263092.2565299595</v>
      </c>
      <c r="AJ102">
        <v>263092.2565299595</v>
      </c>
      <c r="AK102">
        <v>263092.2565299595</v>
      </c>
      <c r="AL102">
        <v>263092.2565299595</v>
      </c>
      <c r="AM102">
        <v>263092.2565299595</v>
      </c>
      <c r="AN102">
        <v>263092.2565299595</v>
      </c>
      <c r="AO102">
        <v>263092.2565299595</v>
      </c>
      <c r="AP102">
        <v>263092.2565299595</v>
      </c>
      <c r="AQ102">
        <v>263092.2565299595</v>
      </c>
      <c r="AR102">
        <v>263092.2565299595</v>
      </c>
      <c r="AS102">
        <v>263092.2565299595</v>
      </c>
      <c r="AT102">
        <v>263092.2565299595</v>
      </c>
      <c r="AU102">
        <v>263092.2565299595</v>
      </c>
      <c r="AV102">
        <v>263092.2565299595</v>
      </c>
      <c r="AW102">
        <v>263092.2565299595</v>
      </c>
      <c r="AX102">
        <v>263092.2565299595</v>
      </c>
    </row>
    <row r="103" spans="1:50">
      <c r="B103" t="s">
        <v>279</v>
      </c>
      <c r="C103" s="103">
        <f>SUM(C$98:C$102)</f>
        <v>622401.54574066505</v>
      </c>
      <c r="D103" s="103">
        <f t="shared" ref="D103:AX103" si="5">SUM(D$98:D$102)</f>
        <v>622401.54574066505</v>
      </c>
      <c r="E103" s="103">
        <f t="shared" si="5"/>
        <v>622401.54574066505</v>
      </c>
      <c r="F103" s="103">
        <f t="shared" si="5"/>
        <v>622401.54574066505</v>
      </c>
      <c r="G103" s="103">
        <f t="shared" si="5"/>
        <v>622401.54574066505</v>
      </c>
      <c r="H103" s="103">
        <f t="shared" si="5"/>
        <v>622401.54574066505</v>
      </c>
      <c r="I103" s="103">
        <f t="shared" si="5"/>
        <v>622401.54574066505</v>
      </c>
      <c r="J103" s="103">
        <f t="shared" si="5"/>
        <v>622401.54574066505</v>
      </c>
      <c r="K103" s="103">
        <f t="shared" si="5"/>
        <v>622401.54574066505</v>
      </c>
      <c r="L103" s="103">
        <f t="shared" si="5"/>
        <v>622401.54574066505</v>
      </c>
      <c r="M103" s="103">
        <f t="shared" si="5"/>
        <v>622401.54574066505</v>
      </c>
      <c r="N103" s="103">
        <f t="shared" si="5"/>
        <v>622401.54574066505</v>
      </c>
      <c r="O103" s="103">
        <f t="shared" si="5"/>
        <v>622401.54574066505</v>
      </c>
      <c r="P103" s="103">
        <f t="shared" si="5"/>
        <v>622401.54574066505</v>
      </c>
      <c r="Q103" s="103">
        <f t="shared" si="5"/>
        <v>622401.54574066505</v>
      </c>
      <c r="R103" s="103">
        <f t="shared" si="5"/>
        <v>622401.54574066505</v>
      </c>
      <c r="S103" s="103">
        <f t="shared" si="5"/>
        <v>737302.3805812737</v>
      </c>
      <c r="T103" s="103">
        <f t="shared" si="5"/>
        <v>737302.3805812737</v>
      </c>
      <c r="U103" s="103">
        <f t="shared" si="5"/>
        <v>737302.3805812737</v>
      </c>
      <c r="V103" s="103">
        <f t="shared" si="5"/>
        <v>737302.3805812737</v>
      </c>
      <c r="W103" s="103">
        <f t="shared" si="5"/>
        <v>622401.54574066505</v>
      </c>
      <c r="X103" s="103">
        <f t="shared" si="5"/>
        <v>622401.54574066505</v>
      </c>
      <c r="Y103" s="103">
        <f t="shared" si="5"/>
        <v>622401.54574066505</v>
      </c>
      <c r="Z103" s="103">
        <f t="shared" si="5"/>
        <v>622401.54574066505</v>
      </c>
      <c r="AA103" s="103">
        <f t="shared" si="5"/>
        <v>622401.54574066505</v>
      </c>
      <c r="AB103" s="103">
        <f t="shared" si="5"/>
        <v>622401.54574066505</v>
      </c>
      <c r="AC103" s="103">
        <f t="shared" si="5"/>
        <v>622401.54574066505</v>
      </c>
      <c r="AD103" s="103">
        <f t="shared" si="5"/>
        <v>622401.54574066505</v>
      </c>
      <c r="AE103" s="103">
        <f t="shared" si="5"/>
        <v>622401.54574066505</v>
      </c>
      <c r="AF103" s="103">
        <f t="shared" si="5"/>
        <v>622401.54574066505</v>
      </c>
      <c r="AG103" s="103">
        <f t="shared" si="5"/>
        <v>622401.54574066505</v>
      </c>
      <c r="AH103" s="103">
        <f t="shared" si="5"/>
        <v>622401.54574066505</v>
      </c>
      <c r="AI103" s="103">
        <f t="shared" si="5"/>
        <v>622401.54574066505</v>
      </c>
      <c r="AJ103" s="103">
        <f t="shared" si="5"/>
        <v>622401.54574066505</v>
      </c>
      <c r="AK103" s="103">
        <f t="shared" si="5"/>
        <v>622401.54574066505</v>
      </c>
      <c r="AL103" s="103">
        <f t="shared" si="5"/>
        <v>622401.54574066505</v>
      </c>
      <c r="AM103" s="103">
        <f t="shared" si="5"/>
        <v>622401.54574066505</v>
      </c>
      <c r="AN103" s="103">
        <f t="shared" si="5"/>
        <v>622401.54574066505</v>
      </c>
      <c r="AO103" s="103">
        <f t="shared" si="5"/>
        <v>622401.54574066505</v>
      </c>
      <c r="AP103" s="103">
        <f t="shared" si="5"/>
        <v>622401.54574066505</v>
      </c>
      <c r="AQ103" s="103">
        <f t="shared" si="5"/>
        <v>622401.54574066505</v>
      </c>
      <c r="AR103" s="103">
        <f t="shared" si="5"/>
        <v>622401.54574066505</v>
      </c>
      <c r="AS103" s="103">
        <f t="shared" si="5"/>
        <v>622401.54574066505</v>
      </c>
      <c r="AT103" s="103">
        <f t="shared" si="5"/>
        <v>622401.54574066505</v>
      </c>
      <c r="AU103" s="103">
        <f t="shared" si="5"/>
        <v>622401.54574066505</v>
      </c>
      <c r="AV103" s="103">
        <f t="shared" si="5"/>
        <v>622401.54574066505</v>
      </c>
      <c r="AW103" s="103">
        <f t="shared" si="5"/>
        <v>622401.54574066505</v>
      </c>
      <c r="AX103" s="103">
        <f t="shared" si="5"/>
        <v>622401.54574066505</v>
      </c>
    </row>
    <row r="104" spans="1:50">
      <c r="A104" s="103" t="s">
        <v>105</v>
      </c>
      <c r="B104" s="103" t="s">
        <v>10</v>
      </c>
      <c r="C104">
        <v>46332.000000000029</v>
      </c>
      <c r="D104">
        <v>46332.000000000029</v>
      </c>
      <c r="E104">
        <v>46332.000000000029</v>
      </c>
      <c r="F104">
        <v>46332.000000000029</v>
      </c>
      <c r="G104">
        <v>0</v>
      </c>
      <c r="H104">
        <v>0</v>
      </c>
      <c r="I104">
        <v>0</v>
      </c>
      <c r="J104">
        <v>0</v>
      </c>
      <c r="K104">
        <v>55598.400000000045</v>
      </c>
      <c r="L104">
        <v>55598.400000000045</v>
      </c>
      <c r="M104">
        <v>55598.400000000045</v>
      </c>
      <c r="N104">
        <v>55598.400000000045</v>
      </c>
      <c r="O104">
        <v>46332.000000000029</v>
      </c>
      <c r="P104">
        <v>46332.000000000029</v>
      </c>
      <c r="Q104">
        <v>46332.000000000029</v>
      </c>
      <c r="R104">
        <v>46332.000000000029</v>
      </c>
      <c r="S104">
        <v>55598.400000000045</v>
      </c>
      <c r="T104">
        <v>55598.400000000045</v>
      </c>
      <c r="U104">
        <v>55598.400000000045</v>
      </c>
      <c r="V104">
        <v>55598.400000000045</v>
      </c>
      <c r="W104">
        <v>46332.000000000029</v>
      </c>
      <c r="X104">
        <v>46332.000000000029</v>
      </c>
      <c r="Y104">
        <v>46332.000000000029</v>
      </c>
      <c r="Z104">
        <v>46332.000000000029</v>
      </c>
      <c r="AA104">
        <v>46332.000000000029</v>
      </c>
      <c r="AB104">
        <v>46332.000000000029</v>
      </c>
      <c r="AC104">
        <v>46332.000000000029</v>
      </c>
      <c r="AD104">
        <v>46332.000000000029</v>
      </c>
      <c r="AE104">
        <v>37065.600000000035</v>
      </c>
      <c r="AF104">
        <v>37065.600000000035</v>
      </c>
      <c r="AG104">
        <v>37065.600000000035</v>
      </c>
      <c r="AH104">
        <v>37065.600000000035</v>
      </c>
      <c r="AI104">
        <v>46332.000000000029</v>
      </c>
      <c r="AJ104">
        <v>46332.000000000029</v>
      </c>
      <c r="AK104">
        <v>46332.000000000029</v>
      </c>
      <c r="AL104">
        <v>46332.000000000029</v>
      </c>
      <c r="AM104">
        <v>46332.000000000029</v>
      </c>
      <c r="AN104">
        <v>46332.000000000029</v>
      </c>
      <c r="AO104">
        <v>46332.000000000029</v>
      </c>
      <c r="AP104">
        <v>46332.000000000029</v>
      </c>
      <c r="AQ104">
        <v>46332.000000000029</v>
      </c>
      <c r="AR104">
        <v>46332.000000000029</v>
      </c>
      <c r="AS104">
        <v>46332.000000000029</v>
      </c>
      <c r="AT104">
        <v>46332.000000000029</v>
      </c>
      <c r="AU104">
        <v>46332.000000000029</v>
      </c>
      <c r="AV104">
        <v>46332.000000000029</v>
      </c>
      <c r="AW104">
        <v>46332.000000000029</v>
      </c>
      <c r="AX104">
        <v>46332.000000000029</v>
      </c>
    </row>
    <row r="105" spans="1:50">
      <c r="B105" s="103" t="s">
        <v>12</v>
      </c>
      <c r="C105">
        <v>2.5227043184630111E-18</v>
      </c>
      <c r="D105">
        <v>2.5227043184630111E-18</v>
      </c>
      <c r="E105">
        <v>2.5227043184630111E-18</v>
      </c>
      <c r="F105">
        <v>2.5227043184630111E-18</v>
      </c>
      <c r="G105">
        <v>0</v>
      </c>
      <c r="H105">
        <v>0</v>
      </c>
      <c r="I105">
        <v>0</v>
      </c>
      <c r="J105">
        <v>0</v>
      </c>
      <c r="K105">
        <v>3.0272451821556135E-18</v>
      </c>
      <c r="L105">
        <v>3.0272451821556135E-18</v>
      </c>
      <c r="M105">
        <v>3.0272451821556135E-18</v>
      </c>
      <c r="N105">
        <v>3.0272451821556135E-18</v>
      </c>
      <c r="O105">
        <v>2.5227043184630111E-18</v>
      </c>
      <c r="P105">
        <v>2.5227043184630111E-18</v>
      </c>
      <c r="Q105">
        <v>2.5227043184630111E-18</v>
      </c>
      <c r="R105">
        <v>2.5227043184630111E-18</v>
      </c>
      <c r="S105">
        <v>3.0272451821556135E-18</v>
      </c>
      <c r="T105">
        <v>3.0272451821556135E-18</v>
      </c>
      <c r="U105">
        <v>3.0272451821556135E-18</v>
      </c>
      <c r="V105">
        <v>3.0272451821556135E-18</v>
      </c>
      <c r="W105">
        <v>2.5227043184630111E-18</v>
      </c>
      <c r="X105">
        <v>2.5227043184630111E-18</v>
      </c>
      <c r="Y105">
        <v>2.5227043184630111E-18</v>
      </c>
      <c r="Z105">
        <v>2.5227043184630111E-18</v>
      </c>
      <c r="AA105">
        <v>2.5227043184630111E-18</v>
      </c>
      <c r="AB105">
        <v>2.5227043184630111E-18</v>
      </c>
      <c r="AC105">
        <v>2.5227043184630111E-18</v>
      </c>
      <c r="AD105">
        <v>2.5227043184630111E-18</v>
      </c>
      <c r="AE105">
        <v>2.0181634547704087E-18</v>
      </c>
      <c r="AF105">
        <v>2.0181634547704087E-18</v>
      </c>
      <c r="AG105">
        <v>2.0181634547704087E-18</v>
      </c>
      <c r="AH105">
        <v>2.0181634547704087E-18</v>
      </c>
      <c r="AI105">
        <v>2.5227043184630111E-18</v>
      </c>
      <c r="AJ105">
        <v>2.5227043184630111E-18</v>
      </c>
      <c r="AK105">
        <v>2.5227043184630111E-18</v>
      </c>
      <c r="AL105">
        <v>2.5227043184630111E-18</v>
      </c>
      <c r="AM105">
        <v>2.5227043184630111E-18</v>
      </c>
      <c r="AN105">
        <v>2.5227043184630111E-18</v>
      </c>
      <c r="AO105">
        <v>2.5227043184630111E-18</v>
      </c>
      <c r="AP105">
        <v>2.5227043184630111E-18</v>
      </c>
      <c r="AQ105">
        <v>2.5227043184630111E-18</v>
      </c>
      <c r="AR105">
        <v>2.5227043184630111E-18</v>
      </c>
      <c r="AS105">
        <v>2.5227043184630111E-18</v>
      </c>
      <c r="AT105">
        <v>2.5227043184630111E-18</v>
      </c>
      <c r="AU105">
        <v>2.5227043184630111E-18</v>
      </c>
      <c r="AV105">
        <v>2.5227043184630111E-18</v>
      </c>
      <c r="AW105">
        <v>2.5227043184630111E-18</v>
      </c>
      <c r="AX105">
        <v>2.5227043184630111E-18</v>
      </c>
    </row>
    <row r="106" spans="1:50">
      <c r="B106" s="103" t="s">
        <v>22</v>
      </c>
      <c r="C106">
        <v>1.5639372560218442E-19</v>
      </c>
      <c r="D106">
        <v>1.5639372560218442E-19</v>
      </c>
      <c r="E106">
        <v>1.5639372560218442E-19</v>
      </c>
      <c r="F106">
        <v>1.5639372560218442E-19</v>
      </c>
      <c r="G106">
        <v>0</v>
      </c>
      <c r="H106">
        <v>0</v>
      </c>
      <c r="I106">
        <v>0</v>
      </c>
      <c r="J106">
        <v>0</v>
      </c>
      <c r="K106">
        <v>1.876724707226213E-19</v>
      </c>
      <c r="L106">
        <v>1.876724707226213E-19</v>
      </c>
      <c r="M106">
        <v>1.876724707226213E-19</v>
      </c>
      <c r="N106">
        <v>1.876724707226213E-19</v>
      </c>
      <c r="O106">
        <v>1.5639372560218442E-19</v>
      </c>
      <c r="P106">
        <v>1.5639372560218442E-19</v>
      </c>
      <c r="Q106">
        <v>1.5639372560218442E-19</v>
      </c>
      <c r="R106">
        <v>1.5639372560218442E-19</v>
      </c>
      <c r="S106">
        <v>1.876724707226213E-19</v>
      </c>
      <c r="T106">
        <v>1.876724707226213E-19</v>
      </c>
      <c r="U106">
        <v>1.876724707226213E-19</v>
      </c>
      <c r="V106">
        <v>1.876724707226213E-19</v>
      </c>
      <c r="W106">
        <v>1.5639372560218442E-19</v>
      </c>
      <c r="X106">
        <v>1.5639372560218442E-19</v>
      </c>
      <c r="Y106">
        <v>1.5639372560218442E-19</v>
      </c>
      <c r="Z106">
        <v>1.5639372560218442E-19</v>
      </c>
      <c r="AA106">
        <v>1.5639372560218442E-19</v>
      </c>
      <c r="AB106">
        <v>1.5639372560218442E-19</v>
      </c>
      <c r="AC106">
        <v>1.5639372560218442E-19</v>
      </c>
      <c r="AD106">
        <v>1.5639372560218442E-19</v>
      </c>
      <c r="AE106">
        <v>1.2511498048174756E-19</v>
      </c>
      <c r="AF106">
        <v>1.2511498048174756E-19</v>
      </c>
      <c r="AG106">
        <v>1.2511498048174756E-19</v>
      </c>
      <c r="AH106">
        <v>1.2511498048174756E-19</v>
      </c>
      <c r="AI106">
        <v>1.5639372560218442E-19</v>
      </c>
      <c r="AJ106">
        <v>1.5639372560218442E-19</v>
      </c>
      <c r="AK106">
        <v>1.5639372560218442E-19</v>
      </c>
      <c r="AL106">
        <v>1.5639372560218442E-19</v>
      </c>
      <c r="AM106">
        <v>1.5639372560218442E-19</v>
      </c>
      <c r="AN106">
        <v>1.5639372560218442E-19</v>
      </c>
      <c r="AO106">
        <v>1.5639372560218442E-19</v>
      </c>
      <c r="AP106">
        <v>1.5639372560218442E-19</v>
      </c>
      <c r="AQ106">
        <v>1.5639372560218442E-19</v>
      </c>
      <c r="AR106">
        <v>1.5639372560218442E-19</v>
      </c>
      <c r="AS106">
        <v>1.5639372560218442E-19</v>
      </c>
      <c r="AT106">
        <v>1.5639372560218442E-19</v>
      </c>
      <c r="AU106">
        <v>1.5639372560218442E-19</v>
      </c>
      <c r="AV106">
        <v>1.5639372560218442E-19</v>
      </c>
      <c r="AW106">
        <v>1.5639372560218442E-19</v>
      </c>
      <c r="AX106">
        <v>1.5639372560218442E-19</v>
      </c>
    </row>
    <row r="107" spans="1:50">
      <c r="B107" s="103" t="s">
        <v>46</v>
      </c>
      <c r="C107">
        <v>1.0617836327085687E-19</v>
      </c>
      <c r="D107">
        <v>1.0617836327085687E-19</v>
      </c>
      <c r="E107">
        <v>1.0617836327085687E-19</v>
      </c>
      <c r="F107">
        <v>1.0617836327085687E-19</v>
      </c>
      <c r="G107">
        <v>0</v>
      </c>
      <c r="H107">
        <v>0</v>
      </c>
      <c r="I107">
        <v>0</v>
      </c>
      <c r="J107">
        <v>0</v>
      </c>
      <c r="K107">
        <v>1.2741403592502825E-19</v>
      </c>
      <c r="L107">
        <v>1.2741403592502825E-19</v>
      </c>
      <c r="M107">
        <v>1.2741403592502825E-19</v>
      </c>
      <c r="N107">
        <v>1.2741403592502825E-19</v>
      </c>
      <c r="O107">
        <v>1.0617836327085687E-19</v>
      </c>
      <c r="P107">
        <v>1.0617836327085687E-19</v>
      </c>
      <c r="Q107">
        <v>1.0617836327085687E-19</v>
      </c>
      <c r="R107">
        <v>1.0617836327085687E-19</v>
      </c>
      <c r="S107">
        <v>1.2741403592502825E-19</v>
      </c>
      <c r="T107">
        <v>1.2741403592502825E-19</v>
      </c>
      <c r="U107">
        <v>1.2741403592502825E-19</v>
      </c>
      <c r="V107">
        <v>1.2741403592502825E-19</v>
      </c>
      <c r="W107">
        <v>1.0617836327085687E-19</v>
      </c>
      <c r="X107">
        <v>1.0617836327085687E-19</v>
      </c>
      <c r="Y107">
        <v>1.0617836327085687E-19</v>
      </c>
      <c r="Z107">
        <v>1.0617836327085687E-19</v>
      </c>
      <c r="AA107">
        <v>1.0617836327085687E-19</v>
      </c>
      <c r="AB107">
        <v>1.0617836327085687E-19</v>
      </c>
      <c r="AC107">
        <v>1.0617836327085687E-19</v>
      </c>
      <c r="AD107">
        <v>1.0617836327085687E-19</v>
      </c>
      <c r="AE107">
        <v>8.4942690616685507E-20</v>
      </c>
      <c r="AF107">
        <v>8.4942690616685507E-20</v>
      </c>
      <c r="AG107">
        <v>8.4942690616685507E-20</v>
      </c>
      <c r="AH107">
        <v>8.4942690616685507E-20</v>
      </c>
      <c r="AI107">
        <v>1.0617836327085687E-19</v>
      </c>
      <c r="AJ107">
        <v>1.0617836327085687E-19</v>
      </c>
      <c r="AK107">
        <v>1.0617836327085687E-19</v>
      </c>
      <c r="AL107">
        <v>1.0617836327085687E-19</v>
      </c>
      <c r="AM107">
        <v>1.0617836327085687E-19</v>
      </c>
      <c r="AN107">
        <v>1.0617836327085687E-19</v>
      </c>
      <c r="AO107">
        <v>1.0617836327085687E-19</v>
      </c>
      <c r="AP107">
        <v>1.0617836327085687E-19</v>
      </c>
      <c r="AQ107">
        <v>1.0617836327085687E-19</v>
      </c>
      <c r="AR107">
        <v>1.0617836327085687E-19</v>
      </c>
      <c r="AS107">
        <v>1.0617836327085687E-19</v>
      </c>
      <c r="AT107">
        <v>1.0617836327085687E-19</v>
      </c>
      <c r="AU107">
        <v>1.0617836327085687E-19</v>
      </c>
      <c r="AV107">
        <v>1.0617836327085687E-19</v>
      </c>
      <c r="AW107">
        <v>1.0617836327085687E-19</v>
      </c>
      <c r="AX107">
        <v>1.0617836327085687E-19</v>
      </c>
    </row>
    <row r="108" spans="1:50">
      <c r="B108" s="10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>
      <c r="B109" s="100" t="s">
        <v>279</v>
      </c>
      <c r="C109" s="103">
        <f>SUM(C$104:C$108)</f>
        <v>46332.000000000029</v>
      </c>
      <c r="D109" s="103">
        <f t="shared" ref="D109:AX109" si="6">SUM(D$104:D$108)</f>
        <v>46332.000000000029</v>
      </c>
      <c r="E109" s="103">
        <f t="shared" si="6"/>
        <v>46332.000000000029</v>
      </c>
      <c r="F109" s="103">
        <f t="shared" si="6"/>
        <v>46332.000000000029</v>
      </c>
      <c r="G109" s="103">
        <f t="shared" si="6"/>
        <v>0</v>
      </c>
      <c r="H109" s="103">
        <f t="shared" si="6"/>
        <v>0</v>
      </c>
      <c r="I109" s="103">
        <f t="shared" si="6"/>
        <v>0</v>
      </c>
      <c r="J109" s="103">
        <f t="shared" si="6"/>
        <v>0</v>
      </c>
      <c r="K109" s="103">
        <f t="shared" si="6"/>
        <v>55598.400000000045</v>
      </c>
      <c r="L109" s="103">
        <f t="shared" si="6"/>
        <v>55598.400000000045</v>
      </c>
      <c r="M109" s="103">
        <f t="shared" si="6"/>
        <v>55598.400000000045</v>
      </c>
      <c r="N109" s="103">
        <f t="shared" si="6"/>
        <v>55598.400000000045</v>
      </c>
      <c r="O109" s="103">
        <f t="shared" si="6"/>
        <v>46332.000000000029</v>
      </c>
      <c r="P109" s="103">
        <f t="shared" si="6"/>
        <v>46332.000000000029</v>
      </c>
      <c r="Q109" s="103">
        <f t="shared" si="6"/>
        <v>46332.000000000029</v>
      </c>
      <c r="R109" s="103">
        <f t="shared" si="6"/>
        <v>46332.000000000029</v>
      </c>
      <c r="S109" s="103">
        <f t="shared" si="6"/>
        <v>55598.400000000045</v>
      </c>
      <c r="T109" s="103">
        <f t="shared" si="6"/>
        <v>55598.400000000045</v>
      </c>
      <c r="U109" s="103">
        <f t="shared" si="6"/>
        <v>55598.400000000045</v>
      </c>
      <c r="V109" s="103">
        <f t="shared" si="6"/>
        <v>55598.400000000045</v>
      </c>
      <c r="W109" s="103">
        <f t="shared" si="6"/>
        <v>46332.000000000029</v>
      </c>
      <c r="X109" s="103">
        <f t="shared" si="6"/>
        <v>46332.000000000029</v>
      </c>
      <c r="Y109" s="103">
        <f t="shared" si="6"/>
        <v>46332.000000000029</v>
      </c>
      <c r="Z109" s="103">
        <f t="shared" si="6"/>
        <v>46332.000000000029</v>
      </c>
      <c r="AA109" s="103">
        <f t="shared" si="6"/>
        <v>46332.000000000029</v>
      </c>
      <c r="AB109" s="103">
        <f t="shared" si="6"/>
        <v>46332.000000000029</v>
      </c>
      <c r="AC109" s="103">
        <f t="shared" si="6"/>
        <v>46332.000000000029</v>
      </c>
      <c r="AD109" s="103">
        <f t="shared" si="6"/>
        <v>46332.000000000029</v>
      </c>
      <c r="AE109" s="103">
        <f t="shared" si="6"/>
        <v>37065.600000000035</v>
      </c>
      <c r="AF109" s="103">
        <f t="shared" si="6"/>
        <v>37065.600000000035</v>
      </c>
      <c r="AG109" s="103">
        <f t="shared" si="6"/>
        <v>37065.600000000035</v>
      </c>
      <c r="AH109" s="103">
        <f t="shared" si="6"/>
        <v>37065.600000000035</v>
      </c>
      <c r="AI109" s="103">
        <f t="shared" si="6"/>
        <v>46332.000000000029</v>
      </c>
      <c r="AJ109" s="103">
        <f t="shared" si="6"/>
        <v>46332.000000000029</v>
      </c>
      <c r="AK109" s="103">
        <f t="shared" si="6"/>
        <v>46332.000000000029</v>
      </c>
      <c r="AL109" s="103">
        <f t="shared" si="6"/>
        <v>46332.000000000029</v>
      </c>
      <c r="AM109" s="103">
        <f t="shared" si="6"/>
        <v>46332.000000000029</v>
      </c>
      <c r="AN109" s="103">
        <f t="shared" si="6"/>
        <v>46332.000000000029</v>
      </c>
      <c r="AO109" s="103">
        <f t="shared" si="6"/>
        <v>46332.000000000029</v>
      </c>
      <c r="AP109" s="103">
        <f t="shared" si="6"/>
        <v>46332.000000000029</v>
      </c>
      <c r="AQ109" s="103">
        <f t="shared" si="6"/>
        <v>46332.000000000029</v>
      </c>
      <c r="AR109" s="103">
        <f t="shared" si="6"/>
        <v>46332.000000000029</v>
      </c>
      <c r="AS109" s="103">
        <f t="shared" si="6"/>
        <v>46332.000000000029</v>
      </c>
      <c r="AT109" s="103">
        <f t="shared" si="6"/>
        <v>46332.000000000029</v>
      </c>
      <c r="AU109" s="103">
        <f t="shared" si="6"/>
        <v>46332.000000000029</v>
      </c>
      <c r="AV109" s="103">
        <f t="shared" si="6"/>
        <v>46332.000000000029</v>
      </c>
      <c r="AW109" s="103">
        <f t="shared" si="6"/>
        <v>46332.000000000029</v>
      </c>
      <c r="AX109" s="103">
        <f t="shared" si="6"/>
        <v>46332.000000000029</v>
      </c>
    </row>
    <row r="110" spans="1:50">
      <c r="A110" s="103" t="s">
        <v>106</v>
      </c>
      <c r="B110" s="103" t="s">
        <v>10</v>
      </c>
      <c r="C110">
        <v>2.0281200085070092E-18</v>
      </c>
      <c r="D110">
        <v>2.0281200085070092E-18</v>
      </c>
      <c r="E110">
        <v>2.0281200085070092E-18</v>
      </c>
      <c r="F110">
        <v>2.0281200085070092E-18</v>
      </c>
      <c r="G110">
        <v>1.0816640045370714E-17</v>
      </c>
      <c r="H110">
        <v>1.0816640045370714E-17</v>
      </c>
      <c r="I110">
        <v>1.0816640045370714E-17</v>
      </c>
      <c r="J110">
        <v>1.0816640045370714E-17</v>
      </c>
      <c r="K110">
        <v>1.0816640045370714E-17</v>
      </c>
      <c r="L110">
        <v>1.0816640045370714E-17</v>
      </c>
      <c r="M110">
        <v>1.0816640045370714E-17</v>
      </c>
      <c r="N110">
        <v>1.0816640045370714E-17</v>
      </c>
      <c r="O110">
        <v>0</v>
      </c>
      <c r="P110">
        <v>0</v>
      </c>
      <c r="Q110">
        <v>0</v>
      </c>
      <c r="R110">
        <v>0</v>
      </c>
      <c r="S110">
        <v>8.6533120362965722E-18</v>
      </c>
      <c r="T110">
        <v>8.6533120362965722E-18</v>
      </c>
      <c r="U110">
        <v>8.6533120362965722E-18</v>
      </c>
      <c r="V110">
        <v>8.6533120362965722E-18</v>
      </c>
      <c r="W110">
        <v>1.0816640045370714E-17</v>
      </c>
      <c r="X110">
        <v>1.0816640045370714E-17</v>
      </c>
      <c r="Y110">
        <v>1.0816640045370714E-17</v>
      </c>
      <c r="Z110">
        <v>1.0816640045370714E-17</v>
      </c>
      <c r="AA110">
        <v>1.0816640045370714E-17</v>
      </c>
      <c r="AB110">
        <v>1.0816640045370714E-17</v>
      </c>
      <c r="AC110">
        <v>1.0816640045370714E-17</v>
      </c>
      <c r="AD110">
        <v>1.0816640045370714E-17</v>
      </c>
      <c r="AE110">
        <v>1.0816640045370714E-17</v>
      </c>
      <c r="AF110">
        <v>1.0816640045370714E-17</v>
      </c>
      <c r="AG110">
        <v>1.0816640045370714E-17</v>
      </c>
      <c r="AH110">
        <v>1.0816640045370714E-17</v>
      </c>
      <c r="AI110">
        <v>1.0816640045370714E-17</v>
      </c>
      <c r="AJ110">
        <v>1.0816640045370714E-17</v>
      </c>
      <c r="AK110">
        <v>1.0816640045370714E-17</v>
      </c>
      <c r="AL110">
        <v>1.0816640045370714E-17</v>
      </c>
      <c r="AM110">
        <v>1.0816640045370714E-17</v>
      </c>
      <c r="AN110">
        <v>1.0816640045370714E-17</v>
      </c>
      <c r="AO110">
        <v>1.0816640045370714E-17</v>
      </c>
      <c r="AP110">
        <v>1.0816640045370714E-17</v>
      </c>
      <c r="AQ110">
        <v>1.2979968054444858E-17</v>
      </c>
      <c r="AR110">
        <v>1.2979968054444858E-17</v>
      </c>
      <c r="AS110">
        <v>1.2979968054444858E-17</v>
      </c>
      <c r="AT110">
        <v>1.2979968054444858E-17</v>
      </c>
      <c r="AU110">
        <v>1.0816640045370714E-17</v>
      </c>
      <c r="AV110">
        <v>1.0816640045370714E-17</v>
      </c>
      <c r="AW110">
        <v>1.0816640045370714E-17</v>
      </c>
      <c r="AX110">
        <v>1.0816640045370714E-17</v>
      </c>
    </row>
    <row r="111" spans="1:50">
      <c r="B111" s="103" t="s">
        <v>12</v>
      </c>
      <c r="C111">
        <v>2.4998202416930729E-18</v>
      </c>
      <c r="D111">
        <v>2.4998202416930729E-18</v>
      </c>
      <c r="E111">
        <v>2.4998202416930729E-18</v>
      </c>
      <c r="F111">
        <v>2.4998202416930729E-18</v>
      </c>
      <c r="G111">
        <v>1.3332374622363056E-17</v>
      </c>
      <c r="H111">
        <v>1.3332374622363056E-17</v>
      </c>
      <c r="I111">
        <v>1.3332374622363056E-17</v>
      </c>
      <c r="J111">
        <v>1.3332374622363056E-17</v>
      </c>
      <c r="K111">
        <v>1.3332374622363056E-17</v>
      </c>
      <c r="L111">
        <v>1.3332374622363056E-17</v>
      </c>
      <c r="M111">
        <v>1.3332374622363056E-17</v>
      </c>
      <c r="N111">
        <v>1.3332374622363056E-17</v>
      </c>
      <c r="O111">
        <v>0</v>
      </c>
      <c r="P111">
        <v>0</v>
      </c>
      <c r="Q111">
        <v>0</v>
      </c>
      <c r="R111">
        <v>0</v>
      </c>
      <c r="S111">
        <v>1.0665899697890444E-17</v>
      </c>
      <c r="T111">
        <v>1.0665899697890444E-17</v>
      </c>
      <c r="U111">
        <v>1.0665899697890444E-17</v>
      </c>
      <c r="V111">
        <v>1.0665899697890444E-17</v>
      </c>
      <c r="W111">
        <v>1.3332374622363056E-17</v>
      </c>
      <c r="X111">
        <v>1.3332374622363056E-17</v>
      </c>
      <c r="Y111">
        <v>1.3332374622363056E-17</v>
      </c>
      <c r="Z111">
        <v>1.3332374622363056E-17</v>
      </c>
      <c r="AA111">
        <v>1.3332374622363056E-17</v>
      </c>
      <c r="AB111">
        <v>1.3332374622363056E-17</v>
      </c>
      <c r="AC111">
        <v>1.3332374622363056E-17</v>
      </c>
      <c r="AD111">
        <v>1.3332374622363056E-17</v>
      </c>
      <c r="AE111">
        <v>1.3332374622363056E-17</v>
      </c>
      <c r="AF111">
        <v>1.3332374622363056E-17</v>
      </c>
      <c r="AG111">
        <v>1.3332374622363056E-17</v>
      </c>
      <c r="AH111">
        <v>1.3332374622363056E-17</v>
      </c>
      <c r="AI111">
        <v>1.3332374622363056E-17</v>
      </c>
      <c r="AJ111">
        <v>1.3332374622363056E-17</v>
      </c>
      <c r="AK111">
        <v>1.3332374622363056E-17</v>
      </c>
      <c r="AL111">
        <v>1.3332374622363056E-17</v>
      </c>
      <c r="AM111">
        <v>1.3332374622363056E-17</v>
      </c>
      <c r="AN111">
        <v>1.3332374622363056E-17</v>
      </c>
      <c r="AO111">
        <v>1.3332374622363056E-17</v>
      </c>
      <c r="AP111">
        <v>1.3332374622363056E-17</v>
      </c>
      <c r="AQ111">
        <v>1.5998849546835668E-17</v>
      </c>
      <c r="AR111">
        <v>1.5998849546835668E-17</v>
      </c>
      <c r="AS111">
        <v>1.5998849546835668E-17</v>
      </c>
      <c r="AT111">
        <v>1.5998849546835668E-17</v>
      </c>
      <c r="AU111">
        <v>1.3332374622363056E-17</v>
      </c>
      <c r="AV111">
        <v>1.3332374622363056E-17</v>
      </c>
      <c r="AW111">
        <v>1.3332374622363056E-17</v>
      </c>
      <c r="AX111">
        <v>1.3332374622363056E-17</v>
      </c>
    </row>
    <row r="112" spans="1:50">
      <c r="B112" s="103" t="s">
        <v>22</v>
      </c>
      <c r="C112">
        <v>633.6</v>
      </c>
      <c r="D112">
        <v>633.6</v>
      </c>
      <c r="E112">
        <v>633.6</v>
      </c>
      <c r="F112">
        <v>633.6</v>
      </c>
      <c r="G112">
        <v>3379.2</v>
      </c>
      <c r="H112">
        <v>3379.2</v>
      </c>
      <c r="I112">
        <v>3379.2</v>
      </c>
      <c r="J112">
        <v>3379.2</v>
      </c>
      <c r="K112">
        <v>3379.2</v>
      </c>
      <c r="L112">
        <v>3379.2</v>
      </c>
      <c r="M112">
        <v>3379.2</v>
      </c>
      <c r="N112">
        <v>3379.2</v>
      </c>
      <c r="O112">
        <v>0</v>
      </c>
      <c r="P112">
        <v>0</v>
      </c>
      <c r="Q112">
        <v>0</v>
      </c>
      <c r="R112">
        <v>0</v>
      </c>
      <c r="S112">
        <v>2703.36</v>
      </c>
      <c r="T112">
        <v>2703.36</v>
      </c>
      <c r="U112">
        <v>2703.36</v>
      </c>
      <c r="V112">
        <v>2703.36</v>
      </c>
      <c r="W112">
        <v>3379.2</v>
      </c>
      <c r="X112">
        <v>3379.2</v>
      </c>
      <c r="Y112">
        <v>3379.2</v>
      </c>
      <c r="Z112">
        <v>3379.2</v>
      </c>
      <c r="AA112">
        <v>3379.2</v>
      </c>
      <c r="AB112">
        <v>3379.2</v>
      </c>
      <c r="AC112">
        <v>3379.2</v>
      </c>
      <c r="AD112">
        <v>3379.2</v>
      </c>
      <c r="AE112">
        <v>3379.2</v>
      </c>
      <c r="AF112">
        <v>3379.2</v>
      </c>
      <c r="AG112">
        <v>3379.2</v>
      </c>
      <c r="AH112">
        <v>3379.2</v>
      </c>
      <c r="AI112">
        <v>3379.2</v>
      </c>
      <c r="AJ112">
        <v>3379.2</v>
      </c>
      <c r="AK112">
        <v>3379.2</v>
      </c>
      <c r="AL112">
        <v>3379.2</v>
      </c>
      <c r="AM112">
        <v>3379.2</v>
      </c>
      <c r="AN112">
        <v>3379.2</v>
      </c>
      <c r="AO112">
        <v>3379.2</v>
      </c>
      <c r="AP112">
        <v>3379.2</v>
      </c>
      <c r="AQ112">
        <v>4055.04</v>
      </c>
      <c r="AR112">
        <v>4055.04</v>
      </c>
      <c r="AS112">
        <v>4055.04</v>
      </c>
      <c r="AT112">
        <v>4055.04</v>
      </c>
      <c r="AU112">
        <v>3379.2</v>
      </c>
      <c r="AV112">
        <v>3379.2</v>
      </c>
      <c r="AW112">
        <v>3379.2</v>
      </c>
      <c r="AX112">
        <v>3379.2</v>
      </c>
    </row>
    <row r="113" spans="1:50">
      <c r="B113" s="103" t="s">
        <v>46</v>
      </c>
      <c r="C113">
        <v>1.2725041870380805E-19</v>
      </c>
      <c r="D113">
        <v>1.2725041870380805E-19</v>
      </c>
      <c r="E113">
        <v>1.2725041870380805E-19</v>
      </c>
      <c r="F113">
        <v>1.2725041870380805E-19</v>
      </c>
      <c r="G113">
        <v>6.7866889975364292E-19</v>
      </c>
      <c r="H113">
        <v>6.7866889975364292E-19</v>
      </c>
      <c r="I113">
        <v>6.7866889975364292E-19</v>
      </c>
      <c r="J113">
        <v>6.7866889975364292E-19</v>
      </c>
      <c r="K113">
        <v>6.7866889975364292E-19</v>
      </c>
      <c r="L113">
        <v>6.7866889975364292E-19</v>
      </c>
      <c r="M113">
        <v>6.7866889975364292E-19</v>
      </c>
      <c r="N113">
        <v>6.7866889975364292E-19</v>
      </c>
      <c r="O113">
        <v>0</v>
      </c>
      <c r="P113">
        <v>0</v>
      </c>
      <c r="Q113">
        <v>0</v>
      </c>
      <c r="R113">
        <v>0</v>
      </c>
      <c r="S113">
        <v>5.4293511980291436E-19</v>
      </c>
      <c r="T113">
        <v>5.4293511980291436E-19</v>
      </c>
      <c r="U113">
        <v>5.4293511980291436E-19</v>
      </c>
      <c r="V113">
        <v>5.4293511980291436E-19</v>
      </c>
      <c r="W113">
        <v>6.7866889975364292E-19</v>
      </c>
      <c r="X113">
        <v>6.7866889975364292E-19</v>
      </c>
      <c r="Y113">
        <v>6.7866889975364292E-19</v>
      </c>
      <c r="Z113">
        <v>6.7866889975364292E-19</v>
      </c>
      <c r="AA113">
        <v>6.7866889975364292E-19</v>
      </c>
      <c r="AB113">
        <v>6.7866889975364292E-19</v>
      </c>
      <c r="AC113">
        <v>6.7866889975364292E-19</v>
      </c>
      <c r="AD113">
        <v>6.7866889975364292E-19</v>
      </c>
      <c r="AE113">
        <v>6.7866889975364292E-19</v>
      </c>
      <c r="AF113">
        <v>6.7866889975364292E-19</v>
      </c>
      <c r="AG113">
        <v>6.7866889975364292E-19</v>
      </c>
      <c r="AH113">
        <v>6.7866889975364292E-19</v>
      </c>
      <c r="AI113">
        <v>6.7866889975364292E-19</v>
      </c>
      <c r="AJ113">
        <v>6.7866889975364292E-19</v>
      </c>
      <c r="AK113">
        <v>6.7866889975364292E-19</v>
      </c>
      <c r="AL113">
        <v>6.7866889975364292E-19</v>
      </c>
      <c r="AM113">
        <v>6.7866889975364292E-19</v>
      </c>
      <c r="AN113">
        <v>6.7866889975364292E-19</v>
      </c>
      <c r="AO113">
        <v>6.7866889975364292E-19</v>
      </c>
      <c r="AP113">
        <v>6.7866889975364292E-19</v>
      </c>
      <c r="AQ113">
        <v>8.1440267970437158E-19</v>
      </c>
      <c r="AR113">
        <v>8.1440267970437158E-19</v>
      </c>
      <c r="AS113">
        <v>8.1440267970437158E-19</v>
      </c>
      <c r="AT113">
        <v>8.1440267970437158E-19</v>
      </c>
      <c r="AU113">
        <v>6.7866889975364292E-19</v>
      </c>
      <c r="AV113">
        <v>6.7866889975364292E-19</v>
      </c>
      <c r="AW113">
        <v>6.7866889975364292E-19</v>
      </c>
      <c r="AX113">
        <v>6.7866889975364292E-19</v>
      </c>
    </row>
    <row r="114" spans="1:50">
      <c r="B114" s="103" t="s">
        <v>59</v>
      </c>
      <c r="C114">
        <v>5.8252688433454348E-19</v>
      </c>
      <c r="D114">
        <v>5.8252688433454348E-19</v>
      </c>
      <c r="E114">
        <v>5.8252688433454348E-19</v>
      </c>
      <c r="F114">
        <v>5.8252688433454348E-19</v>
      </c>
      <c r="G114">
        <v>3.1068100497842321E-18</v>
      </c>
      <c r="H114">
        <v>3.1068100497842321E-18</v>
      </c>
      <c r="I114">
        <v>3.1068100497842321E-18</v>
      </c>
      <c r="J114">
        <v>3.1068100497842321E-18</v>
      </c>
      <c r="K114">
        <v>3.1068100497842321E-18</v>
      </c>
      <c r="L114">
        <v>3.1068100497842321E-18</v>
      </c>
      <c r="M114">
        <v>3.1068100497842321E-18</v>
      </c>
      <c r="N114">
        <v>3.1068100497842321E-18</v>
      </c>
      <c r="O114">
        <v>0</v>
      </c>
      <c r="P114">
        <v>0</v>
      </c>
      <c r="Q114">
        <v>0</v>
      </c>
      <c r="R114">
        <v>0</v>
      </c>
      <c r="S114">
        <v>2.4854480398273857E-18</v>
      </c>
      <c r="T114">
        <v>2.4854480398273857E-18</v>
      </c>
      <c r="U114">
        <v>2.4854480398273857E-18</v>
      </c>
      <c r="V114">
        <v>2.4854480398273857E-18</v>
      </c>
      <c r="W114">
        <v>3.1068100497842321E-18</v>
      </c>
      <c r="X114">
        <v>3.1068100497842321E-18</v>
      </c>
      <c r="Y114">
        <v>3.1068100497842321E-18</v>
      </c>
      <c r="Z114">
        <v>3.1068100497842321E-18</v>
      </c>
      <c r="AA114">
        <v>3.1068100497842321E-18</v>
      </c>
      <c r="AB114">
        <v>3.1068100497842321E-18</v>
      </c>
      <c r="AC114">
        <v>3.1068100497842321E-18</v>
      </c>
      <c r="AD114">
        <v>3.1068100497842321E-18</v>
      </c>
      <c r="AE114">
        <v>3.1068100497842321E-18</v>
      </c>
      <c r="AF114">
        <v>3.1068100497842321E-18</v>
      </c>
      <c r="AG114">
        <v>3.1068100497842321E-18</v>
      </c>
      <c r="AH114">
        <v>3.1068100497842321E-18</v>
      </c>
      <c r="AI114">
        <v>3.1068100497842321E-18</v>
      </c>
      <c r="AJ114">
        <v>3.1068100497842321E-18</v>
      </c>
      <c r="AK114">
        <v>3.1068100497842321E-18</v>
      </c>
      <c r="AL114">
        <v>3.1068100497842321E-18</v>
      </c>
      <c r="AM114">
        <v>3.1068100497842321E-18</v>
      </c>
      <c r="AN114">
        <v>3.1068100497842321E-18</v>
      </c>
      <c r="AO114">
        <v>3.1068100497842321E-18</v>
      </c>
      <c r="AP114">
        <v>3.1068100497842321E-18</v>
      </c>
      <c r="AQ114">
        <v>3.7281720597410778E-18</v>
      </c>
      <c r="AR114">
        <v>3.7281720597410778E-18</v>
      </c>
      <c r="AS114">
        <v>3.7281720597410778E-18</v>
      </c>
      <c r="AT114">
        <v>3.7281720597410778E-18</v>
      </c>
      <c r="AU114">
        <v>3.1068100497842321E-18</v>
      </c>
      <c r="AV114">
        <v>3.1068100497842321E-18</v>
      </c>
      <c r="AW114">
        <v>3.1068100497842321E-18</v>
      </c>
      <c r="AX114">
        <v>3.1068100497842321E-18</v>
      </c>
    </row>
    <row r="115" spans="1:50">
      <c r="B115" t="s">
        <v>279</v>
      </c>
      <c r="C115" s="103">
        <f>SUM(C$110:C$114)</f>
        <v>633.6</v>
      </c>
      <c r="D115" s="103">
        <f t="shared" ref="D115:AX115" si="7">SUM(D$110:D$114)</f>
        <v>633.6</v>
      </c>
      <c r="E115" s="103">
        <f t="shared" si="7"/>
        <v>633.6</v>
      </c>
      <c r="F115" s="103">
        <f t="shared" si="7"/>
        <v>633.6</v>
      </c>
      <c r="G115" s="103">
        <f t="shared" si="7"/>
        <v>3379.2</v>
      </c>
      <c r="H115" s="103">
        <f t="shared" si="7"/>
        <v>3379.2</v>
      </c>
      <c r="I115" s="103">
        <f t="shared" si="7"/>
        <v>3379.2</v>
      </c>
      <c r="J115" s="103">
        <f t="shared" si="7"/>
        <v>3379.2</v>
      </c>
      <c r="K115" s="103">
        <f t="shared" si="7"/>
        <v>3379.2</v>
      </c>
      <c r="L115" s="103">
        <f t="shared" si="7"/>
        <v>3379.2</v>
      </c>
      <c r="M115" s="103">
        <f t="shared" si="7"/>
        <v>3379.2</v>
      </c>
      <c r="N115" s="103">
        <f t="shared" si="7"/>
        <v>3379.2</v>
      </c>
      <c r="O115" s="103">
        <f t="shared" si="7"/>
        <v>0</v>
      </c>
      <c r="P115" s="103">
        <f t="shared" si="7"/>
        <v>0</v>
      </c>
      <c r="Q115" s="103">
        <f t="shared" si="7"/>
        <v>0</v>
      </c>
      <c r="R115" s="103">
        <f t="shared" si="7"/>
        <v>0</v>
      </c>
      <c r="S115" s="103">
        <f t="shared" si="7"/>
        <v>2703.36</v>
      </c>
      <c r="T115" s="103">
        <f t="shared" si="7"/>
        <v>2703.36</v>
      </c>
      <c r="U115" s="103">
        <f t="shared" si="7"/>
        <v>2703.36</v>
      </c>
      <c r="V115" s="103">
        <f t="shared" si="7"/>
        <v>2703.36</v>
      </c>
      <c r="W115" s="103">
        <f t="shared" si="7"/>
        <v>3379.2</v>
      </c>
      <c r="X115" s="103">
        <f t="shared" si="7"/>
        <v>3379.2</v>
      </c>
      <c r="Y115" s="103">
        <f t="shared" si="7"/>
        <v>3379.2</v>
      </c>
      <c r="Z115" s="103">
        <f t="shared" si="7"/>
        <v>3379.2</v>
      </c>
      <c r="AA115" s="103">
        <f t="shared" si="7"/>
        <v>3379.2</v>
      </c>
      <c r="AB115" s="103">
        <f t="shared" si="7"/>
        <v>3379.2</v>
      </c>
      <c r="AC115" s="103">
        <f t="shared" si="7"/>
        <v>3379.2</v>
      </c>
      <c r="AD115" s="103">
        <f t="shared" si="7"/>
        <v>3379.2</v>
      </c>
      <c r="AE115" s="103">
        <f t="shared" si="7"/>
        <v>3379.2</v>
      </c>
      <c r="AF115" s="103">
        <f t="shared" si="7"/>
        <v>3379.2</v>
      </c>
      <c r="AG115" s="103">
        <f t="shared" si="7"/>
        <v>3379.2</v>
      </c>
      <c r="AH115" s="103">
        <f t="shared" si="7"/>
        <v>3379.2</v>
      </c>
      <c r="AI115" s="103">
        <f t="shared" si="7"/>
        <v>3379.2</v>
      </c>
      <c r="AJ115" s="103">
        <f t="shared" si="7"/>
        <v>3379.2</v>
      </c>
      <c r="AK115" s="103">
        <f t="shared" si="7"/>
        <v>3379.2</v>
      </c>
      <c r="AL115" s="103">
        <f t="shared" si="7"/>
        <v>3379.2</v>
      </c>
      <c r="AM115" s="103">
        <f t="shared" si="7"/>
        <v>3379.2</v>
      </c>
      <c r="AN115" s="103">
        <f t="shared" si="7"/>
        <v>3379.2</v>
      </c>
      <c r="AO115" s="103">
        <f t="shared" si="7"/>
        <v>3379.2</v>
      </c>
      <c r="AP115" s="103">
        <f t="shared" si="7"/>
        <v>3379.2</v>
      </c>
      <c r="AQ115" s="103">
        <f t="shared" si="7"/>
        <v>4055.04</v>
      </c>
      <c r="AR115" s="103">
        <f t="shared" si="7"/>
        <v>4055.04</v>
      </c>
      <c r="AS115" s="103">
        <f t="shared" si="7"/>
        <v>4055.04</v>
      </c>
      <c r="AT115" s="103">
        <f t="shared" si="7"/>
        <v>4055.04</v>
      </c>
      <c r="AU115" s="103">
        <f t="shared" si="7"/>
        <v>3379.2</v>
      </c>
      <c r="AV115" s="103">
        <f t="shared" si="7"/>
        <v>3379.2</v>
      </c>
      <c r="AW115" s="103">
        <f t="shared" si="7"/>
        <v>3379.2</v>
      </c>
      <c r="AX115" s="103">
        <f t="shared" si="7"/>
        <v>3379.2</v>
      </c>
    </row>
    <row r="116" spans="1:50">
      <c r="A116" s="103" t="s">
        <v>107</v>
      </c>
      <c r="B116" s="103" t="s">
        <v>10</v>
      </c>
      <c r="C116">
        <v>1.3750998770104936E-18</v>
      </c>
      <c r="D116">
        <v>1.3750998770104936E-18</v>
      </c>
      <c r="E116">
        <v>1.3750998770104936E-18</v>
      </c>
      <c r="F116">
        <v>1.3750998770104936E-18</v>
      </c>
      <c r="G116">
        <v>1.3750998770104936E-18</v>
      </c>
      <c r="H116">
        <v>1.3750998770104936E-18</v>
      </c>
      <c r="I116">
        <v>1.3750998770104936E-18</v>
      </c>
      <c r="J116">
        <v>1.3750998770104936E-18</v>
      </c>
      <c r="K116">
        <v>1.3750998770104936E-18</v>
      </c>
      <c r="L116">
        <v>1.3750998770104936E-18</v>
      </c>
      <c r="M116">
        <v>1.3750998770104936E-18</v>
      </c>
      <c r="N116">
        <v>1.3750998770104936E-18</v>
      </c>
      <c r="O116">
        <v>1.3750998770104936E-18</v>
      </c>
      <c r="P116">
        <v>1.3750998770104936E-18</v>
      </c>
      <c r="Q116">
        <v>1.3750998770104936E-18</v>
      </c>
      <c r="R116">
        <v>1.3750998770104936E-18</v>
      </c>
      <c r="S116">
        <v>1.1000799016083951E-18</v>
      </c>
      <c r="T116">
        <v>1.1000799016083951E-18</v>
      </c>
      <c r="U116">
        <v>1.1000799016083951E-18</v>
      </c>
      <c r="V116">
        <v>1.1000799016083951E-18</v>
      </c>
      <c r="W116">
        <v>1.3750998770104936E-18</v>
      </c>
      <c r="X116">
        <v>1.3750998770104936E-18</v>
      </c>
      <c r="Y116">
        <v>1.3750998770104936E-18</v>
      </c>
      <c r="Z116">
        <v>1.3750998770104936E-18</v>
      </c>
      <c r="AA116">
        <v>1.3750998770104936E-18</v>
      </c>
      <c r="AB116">
        <v>1.3750998770104936E-18</v>
      </c>
      <c r="AC116">
        <v>1.3750998770104936E-18</v>
      </c>
      <c r="AD116">
        <v>1.3750998770104936E-18</v>
      </c>
      <c r="AE116">
        <v>1.1000799016083951E-18</v>
      </c>
      <c r="AF116">
        <v>1.1000799016083951E-18</v>
      </c>
      <c r="AG116">
        <v>1.1000799016083951E-18</v>
      </c>
      <c r="AH116">
        <v>1.1000799016083951E-18</v>
      </c>
      <c r="AI116">
        <v>1.3750998770104936E-18</v>
      </c>
      <c r="AJ116">
        <v>1.3750998770104936E-18</v>
      </c>
      <c r="AK116">
        <v>1.3750998770104936E-18</v>
      </c>
      <c r="AL116">
        <v>1.3750998770104936E-18</v>
      </c>
      <c r="AM116">
        <v>1.3750998770104936E-18</v>
      </c>
      <c r="AN116">
        <v>1.3750998770104936E-18</v>
      </c>
      <c r="AO116">
        <v>1.3750998770104936E-18</v>
      </c>
      <c r="AP116">
        <v>1.3750998770104936E-18</v>
      </c>
      <c r="AQ116">
        <v>1.3750998770104936E-18</v>
      </c>
      <c r="AR116">
        <v>1.3750998770104936E-18</v>
      </c>
      <c r="AS116">
        <v>1.3750998770104936E-18</v>
      </c>
      <c r="AT116">
        <v>1.3750998770104936E-18</v>
      </c>
      <c r="AU116">
        <v>1.3750998770104936E-18</v>
      </c>
      <c r="AV116">
        <v>1.3750998770104936E-18</v>
      </c>
      <c r="AW116">
        <v>1.3750998770104936E-18</v>
      </c>
      <c r="AX116">
        <v>1.3750998770104936E-18</v>
      </c>
    </row>
    <row r="117" spans="1:50">
      <c r="B117" s="103" t="s">
        <v>12</v>
      </c>
      <c r="C117">
        <v>6.0694105409867603E-18</v>
      </c>
      <c r="D117">
        <v>6.0694105409867603E-18</v>
      </c>
      <c r="E117">
        <v>6.0694105409867603E-18</v>
      </c>
      <c r="F117">
        <v>6.0694105409867603E-18</v>
      </c>
      <c r="G117">
        <v>6.0694105409867603E-18</v>
      </c>
      <c r="H117">
        <v>6.0694105409867603E-18</v>
      </c>
      <c r="I117">
        <v>6.0694105409867603E-18</v>
      </c>
      <c r="J117">
        <v>6.0694105409867603E-18</v>
      </c>
      <c r="K117">
        <v>6.0694105409867603E-18</v>
      </c>
      <c r="L117">
        <v>6.0694105409867603E-18</v>
      </c>
      <c r="M117">
        <v>6.0694105409867603E-18</v>
      </c>
      <c r="N117">
        <v>6.0694105409867603E-18</v>
      </c>
      <c r="O117">
        <v>6.0694105409867603E-18</v>
      </c>
      <c r="P117">
        <v>6.0694105409867603E-18</v>
      </c>
      <c r="Q117">
        <v>6.0694105409867603E-18</v>
      </c>
      <c r="R117">
        <v>6.0694105409867603E-18</v>
      </c>
      <c r="S117">
        <v>4.8555284327894084E-18</v>
      </c>
      <c r="T117">
        <v>4.8555284327894084E-18</v>
      </c>
      <c r="U117">
        <v>4.8555284327894084E-18</v>
      </c>
      <c r="V117">
        <v>4.8555284327894084E-18</v>
      </c>
      <c r="W117">
        <v>6.0694105409867603E-18</v>
      </c>
      <c r="X117">
        <v>6.0694105409867603E-18</v>
      </c>
      <c r="Y117">
        <v>6.0694105409867603E-18</v>
      </c>
      <c r="Z117">
        <v>6.0694105409867603E-18</v>
      </c>
      <c r="AA117">
        <v>6.0694105409867603E-18</v>
      </c>
      <c r="AB117">
        <v>6.0694105409867603E-18</v>
      </c>
      <c r="AC117">
        <v>6.0694105409867603E-18</v>
      </c>
      <c r="AD117">
        <v>6.0694105409867603E-18</v>
      </c>
      <c r="AE117">
        <v>4.8555284327894084E-18</v>
      </c>
      <c r="AF117">
        <v>4.8555284327894084E-18</v>
      </c>
      <c r="AG117">
        <v>4.8555284327894084E-18</v>
      </c>
      <c r="AH117">
        <v>4.8555284327894084E-18</v>
      </c>
      <c r="AI117">
        <v>6.0694105409867603E-18</v>
      </c>
      <c r="AJ117">
        <v>6.0694105409867603E-18</v>
      </c>
      <c r="AK117">
        <v>6.0694105409867603E-18</v>
      </c>
      <c r="AL117">
        <v>6.0694105409867603E-18</v>
      </c>
      <c r="AM117">
        <v>6.0694105409867603E-18</v>
      </c>
      <c r="AN117">
        <v>6.0694105409867603E-18</v>
      </c>
      <c r="AO117">
        <v>6.0694105409867603E-18</v>
      </c>
      <c r="AP117">
        <v>6.0694105409867603E-18</v>
      </c>
      <c r="AQ117">
        <v>6.0694105409867603E-18</v>
      </c>
      <c r="AR117">
        <v>6.0694105409867603E-18</v>
      </c>
      <c r="AS117">
        <v>6.0694105409867603E-18</v>
      </c>
      <c r="AT117">
        <v>6.0694105409867603E-18</v>
      </c>
      <c r="AU117">
        <v>6.0694105409867603E-18</v>
      </c>
      <c r="AV117">
        <v>6.0694105409867603E-18</v>
      </c>
      <c r="AW117">
        <v>6.0694105409867603E-18</v>
      </c>
      <c r="AX117">
        <v>6.0694105409867603E-18</v>
      </c>
    </row>
    <row r="118" spans="1:50">
      <c r="B118" s="103" t="s">
        <v>22</v>
      </c>
      <c r="C118">
        <v>-1.9679091986438013E-34</v>
      </c>
      <c r="D118">
        <v>-1.9679091986438013E-34</v>
      </c>
      <c r="E118">
        <v>-1.9679091986438013E-34</v>
      </c>
      <c r="F118">
        <v>-1.9679091986438013E-34</v>
      </c>
      <c r="G118">
        <v>-1.9679091986438013E-34</v>
      </c>
      <c r="H118">
        <v>-1.9679091986438013E-34</v>
      </c>
      <c r="I118">
        <v>-1.9679091986438013E-34</v>
      </c>
      <c r="J118">
        <v>-1.9679091986438013E-34</v>
      </c>
      <c r="K118">
        <v>-1.9679091986438013E-34</v>
      </c>
      <c r="L118">
        <v>-1.9679091986438013E-34</v>
      </c>
      <c r="M118">
        <v>-1.9679091986438013E-34</v>
      </c>
      <c r="N118">
        <v>-1.9679091986438013E-34</v>
      </c>
      <c r="O118">
        <v>-1.9679091986438013E-34</v>
      </c>
      <c r="P118">
        <v>-1.9679091986438013E-34</v>
      </c>
      <c r="Q118">
        <v>-1.9679091986438013E-34</v>
      </c>
      <c r="R118">
        <v>-1.9679091986438013E-34</v>
      </c>
      <c r="S118">
        <v>-1.5743273589150414E-34</v>
      </c>
      <c r="T118">
        <v>-1.5743273589150414E-34</v>
      </c>
      <c r="U118">
        <v>-1.5743273589150414E-34</v>
      </c>
      <c r="V118">
        <v>-1.5743273589150414E-34</v>
      </c>
      <c r="W118">
        <v>-1.9679091986438013E-34</v>
      </c>
      <c r="X118">
        <v>-1.9679091986438013E-34</v>
      </c>
      <c r="Y118">
        <v>-1.9679091986438013E-34</v>
      </c>
      <c r="Z118">
        <v>-1.9679091986438013E-34</v>
      </c>
      <c r="AA118">
        <v>-1.9679091986438013E-34</v>
      </c>
      <c r="AB118">
        <v>-1.9679091986438013E-34</v>
      </c>
      <c r="AC118">
        <v>-1.9679091986438013E-34</v>
      </c>
      <c r="AD118">
        <v>-1.9679091986438013E-34</v>
      </c>
      <c r="AE118">
        <v>-1.5743273589150414E-34</v>
      </c>
      <c r="AF118">
        <v>-1.5743273589150414E-34</v>
      </c>
      <c r="AG118">
        <v>-1.5743273589150414E-34</v>
      </c>
      <c r="AH118">
        <v>-1.5743273589150414E-34</v>
      </c>
      <c r="AI118">
        <v>-1.9679091986438013E-34</v>
      </c>
      <c r="AJ118">
        <v>-1.9679091986438013E-34</v>
      </c>
      <c r="AK118">
        <v>-1.9679091986438013E-34</v>
      </c>
      <c r="AL118">
        <v>-1.9679091986438013E-34</v>
      </c>
      <c r="AM118">
        <v>-1.9679091986438013E-34</v>
      </c>
      <c r="AN118">
        <v>-1.9679091986438013E-34</v>
      </c>
      <c r="AO118">
        <v>-1.9679091986438013E-34</v>
      </c>
      <c r="AP118">
        <v>-1.9679091986438013E-34</v>
      </c>
      <c r="AQ118">
        <v>-1.9679091986438013E-34</v>
      </c>
      <c r="AR118">
        <v>-1.9679091986438013E-34</v>
      </c>
      <c r="AS118">
        <v>-1.9679091986438013E-34</v>
      </c>
      <c r="AT118">
        <v>-1.9679091986438013E-34</v>
      </c>
      <c r="AU118">
        <v>-1.9679091986438013E-34</v>
      </c>
      <c r="AV118">
        <v>-1.9679091986438013E-34</v>
      </c>
      <c r="AW118">
        <v>-1.9679091986438013E-34</v>
      </c>
      <c r="AX118">
        <v>-1.9679091986438013E-34</v>
      </c>
    </row>
    <row r="119" spans="1:50">
      <c r="B119" s="103" t="s">
        <v>46</v>
      </c>
      <c r="C119">
        <v>612.29334931108895</v>
      </c>
      <c r="D119">
        <v>612.29334931108895</v>
      </c>
      <c r="E119">
        <v>612.29334931108895</v>
      </c>
      <c r="F119">
        <v>612.29334931108895</v>
      </c>
      <c r="G119">
        <v>612.29334931108895</v>
      </c>
      <c r="H119">
        <v>612.29334931108895</v>
      </c>
      <c r="I119">
        <v>612.29334931108895</v>
      </c>
      <c r="J119">
        <v>612.29334931108895</v>
      </c>
      <c r="K119">
        <v>612.29334931108895</v>
      </c>
      <c r="L119">
        <v>612.29334931108895</v>
      </c>
      <c r="M119">
        <v>612.29334931108895</v>
      </c>
      <c r="N119">
        <v>612.29334931108895</v>
      </c>
      <c r="O119">
        <v>612.29334931108895</v>
      </c>
      <c r="P119">
        <v>612.29334931108895</v>
      </c>
      <c r="Q119">
        <v>612.29334931108895</v>
      </c>
      <c r="R119">
        <v>612.29334931108895</v>
      </c>
      <c r="S119">
        <v>489.83467944887116</v>
      </c>
      <c r="T119">
        <v>489.83467944887116</v>
      </c>
      <c r="U119">
        <v>489.83467944887116</v>
      </c>
      <c r="V119">
        <v>489.83467944887116</v>
      </c>
      <c r="W119">
        <v>612.29334931108895</v>
      </c>
      <c r="X119">
        <v>612.29334931108895</v>
      </c>
      <c r="Y119">
        <v>612.29334931108895</v>
      </c>
      <c r="Z119">
        <v>612.29334931108895</v>
      </c>
      <c r="AA119">
        <v>612.29334931108895</v>
      </c>
      <c r="AB119">
        <v>612.29334931108895</v>
      </c>
      <c r="AC119">
        <v>612.29334931108895</v>
      </c>
      <c r="AD119">
        <v>612.29334931108895</v>
      </c>
      <c r="AE119">
        <v>489.83467944887116</v>
      </c>
      <c r="AF119">
        <v>489.83467944887116</v>
      </c>
      <c r="AG119">
        <v>489.83467944887116</v>
      </c>
      <c r="AH119">
        <v>489.83467944887116</v>
      </c>
      <c r="AI119">
        <v>612.29334931108895</v>
      </c>
      <c r="AJ119">
        <v>612.29334931108895</v>
      </c>
      <c r="AK119">
        <v>612.29334931108895</v>
      </c>
      <c r="AL119">
        <v>612.29334931108895</v>
      </c>
      <c r="AM119">
        <v>612.29334931108895</v>
      </c>
      <c r="AN119">
        <v>612.29334931108895</v>
      </c>
      <c r="AO119">
        <v>612.29334931108895</v>
      </c>
      <c r="AP119">
        <v>612.29334931108895</v>
      </c>
      <c r="AQ119">
        <v>612.29334931108895</v>
      </c>
      <c r="AR119">
        <v>612.29334931108895</v>
      </c>
      <c r="AS119">
        <v>612.29334931108895</v>
      </c>
      <c r="AT119">
        <v>612.29334931108895</v>
      </c>
      <c r="AU119">
        <v>612.29334931108895</v>
      </c>
      <c r="AV119">
        <v>612.29334931108895</v>
      </c>
      <c r="AW119">
        <v>612.29334931108895</v>
      </c>
      <c r="AX119">
        <v>612.29334931108895</v>
      </c>
    </row>
    <row r="120" spans="1:50">
      <c r="B120" s="103" t="s">
        <v>59</v>
      </c>
      <c r="C120">
        <v>8.9578552371685913E-19</v>
      </c>
      <c r="D120">
        <v>8.9578552371685913E-19</v>
      </c>
      <c r="E120">
        <v>8.9578552371685913E-19</v>
      </c>
      <c r="F120">
        <v>8.9578552371685913E-19</v>
      </c>
      <c r="G120">
        <v>8.9578552371685913E-19</v>
      </c>
      <c r="H120">
        <v>8.9578552371685913E-19</v>
      </c>
      <c r="I120">
        <v>8.9578552371685913E-19</v>
      </c>
      <c r="J120">
        <v>8.9578552371685913E-19</v>
      </c>
      <c r="K120">
        <v>8.9578552371685913E-19</v>
      </c>
      <c r="L120">
        <v>8.9578552371685913E-19</v>
      </c>
      <c r="M120">
        <v>8.9578552371685913E-19</v>
      </c>
      <c r="N120">
        <v>8.9578552371685913E-19</v>
      </c>
      <c r="O120">
        <v>8.9578552371685913E-19</v>
      </c>
      <c r="P120">
        <v>8.9578552371685913E-19</v>
      </c>
      <c r="Q120">
        <v>8.9578552371685913E-19</v>
      </c>
      <c r="R120">
        <v>8.9578552371685913E-19</v>
      </c>
      <c r="S120">
        <v>7.1662841897348732E-19</v>
      </c>
      <c r="T120">
        <v>7.1662841897348732E-19</v>
      </c>
      <c r="U120">
        <v>7.1662841897348732E-19</v>
      </c>
      <c r="V120">
        <v>7.1662841897348732E-19</v>
      </c>
      <c r="W120">
        <v>8.9578552371685913E-19</v>
      </c>
      <c r="X120">
        <v>8.9578552371685913E-19</v>
      </c>
      <c r="Y120">
        <v>8.9578552371685913E-19</v>
      </c>
      <c r="Z120">
        <v>8.9578552371685913E-19</v>
      </c>
      <c r="AA120">
        <v>8.9578552371685913E-19</v>
      </c>
      <c r="AB120">
        <v>8.9578552371685913E-19</v>
      </c>
      <c r="AC120">
        <v>8.9578552371685913E-19</v>
      </c>
      <c r="AD120">
        <v>8.9578552371685913E-19</v>
      </c>
      <c r="AE120">
        <v>7.1662841897348732E-19</v>
      </c>
      <c r="AF120">
        <v>7.1662841897348732E-19</v>
      </c>
      <c r="AG120">
        <v>7.1662841897348732E-19</v>
      </c>
      <c r="AH120">
        <v>7.1662841897348732E-19</v>
      </c>
      <c r="AI120">
        <v>8.9578552371685913E-19</v>
      </c>
      <c r="AJ120">
        <v>8.9578552371685913E-19</v>
      </c>
      <c r="AK120">
        <v>8.9578552371685913E-19</v>
      </c>
      <c r="AL120">
        <v>8.9578552371685913E-19</v>
      </c>
      <c r="AM120">
        <v>8.9578552371685913E-19</v>
      </c>
      <c r="AN120">
        <v>8.9578552371685913E-19</v>
      </c>
      <c r="AO120">
        <v>8.9578552371685913E-19</v>
      </c>
      <c r="AP120">
        <v>8.9578552371685913E-19</v>
      </c>
      <c r="AQ120">
        <v>8.9578552371685913E-19</v>
      </c>
      <c r="AR120">
        <v>8.9578552371685913E-19</v>
      </c>
      <c r="AS120">
        <v>8.9578552371685913E-19</v>
      </c>
      <c r="AT120">
        <v>8.9578552371685913E-19</v>
      </c>
      <c r="AU120">
        <v>8.9578552371685913E-19</v>
      </c>
      <c r="AV120">
        <v>8.9578552371685913E-19</v>
      </c>
      <c r="AW120">
        <v>8.9578552371685913E-19</v>
      </c>
      <c r="AX120">
        <v>8.9578552371685913E-19</v>
      </c>
    </row>
    <row r="121" spans="1:50">
      <c r="B121" t="s">
        <v>279</v>
      </c>
      <c r="C121" s="103">
        <f>SUM(C$116:C$120)</f>
        <v>612.29334931108895</v>
      </c>
      <c r="D121" s="103">
        <f t="shared" ref="D121:AX121" si="8">SUM(D$116:D$120)</f>
        <v>612.29334931108895</v>
      </c>
      <c r="E121" s="103">
        <f t="shared" si="8"/>
        <v>612.29334931108895</v>
      </c>
      <c r="F121" s="103">
        <f t="shared" si="8"/>
        <v>612.29334931108895</v>
      </c>
      <c r="G121" s="103">
        <f t="shared" si="8"/>
        <v>612.29334931108895</v>
      </c>
      <c r="H121" s="103">
        <f t="shared" si="8"/>
        <v>612.29334931108895</v>
      </c>
      <c r="I121" s="103">
        <f t="shared" si="8"/>
        <v>612.29334931108895</v>
      </c>
      <c r="J121" s="103">
        <f t="shared" si="8"/>
        <v>612.29334931108895</v>
      </c>
      <c r="K121" s="103">
        <f t="shared" si="8"/>
        <v>612.29334931108895</v>
      </c>
      <c r="L121" s="103">
        <f t="shared" si="8"/>
        <v>612.29334931108895</v>
      </c>
      <c r="M121" s="103">
        <f t="shared" si="8"/>
        <v>612.29334931108895</v>
      </c>
      <c r="N121" s="103">
        <f t="shared" si="8"/>
        <v>612.29334931108895</v>
      </c>
      <c r="O121" s="103">
        <f t="shared" si="8"/>
        <v>612.29334931108895</v>
      </c>
      <c r="P121" s="103">
        <f t="shared" si="8"/>
        <v>612.29334931108895</v>
      </c>
      <c r="Q121" s="103">
        <f t="shared" si="8"/>
        <v>612.29334931108895</v>
      </c>
      <c r="R121" s="103">
        <f t="shared" si="8"/>
        <v>612.29334931108895</v>
      </c>
      <c r="S121" s="103">
        <f t="shared" si="8"/>
        <v>489.83467944887116</v>
      </c>
      <c r="T121" s="103">
        <f t="shared" si="8"/>
        <v>489.83467944887116</v>
      </c>
      <c r="U121" s="103">
        <f t="shared" si="8"/>
        <v>489.83467944887116</v>
      </c>
      <c r="V121" s="103">
        <f t="shared" si="8"/>
        <v>489.83467944887116</v>
      </c>
      <c r="W121" s="103">
        <f t="shared" si="8"/>
        <v>612.29334931108895</v>
      </c>
      <c r="X121" s="103">
        <f t="shared" si="8"/>
        <v>612.29334931108895</v>
      </c>
      <c r="Y121" s="103">
        <f t="shared" si="8"/>
        <v>612.29334931108895</v>
      </c>
      <c r="Z121" s="103">
        <f t="shared" si="8"/>
        <v>612.29334931108895</v>
      </c>
      <c r="AA121" s="103">
        <f t="shared" si="8"/>
        <v>612.29334931108895</v>
      </c>
      <c r="AB121" s="103">
        <f t="shared" si="8"/>
        <v>612.29334931108895</v>
      </c>
      <c r="AC121" s="103">
        <f t="shared" si="8"/>
        <v>612.29334931108895</v>
      </c>
      <c r="AD121" s="103">
        <f t="shared" si="8"/>
        <v>612.29334931108895</v>
      </c>
      <c r="AE121" s="103">
        <f t="shared" si="8"/>
        <v>489.83467944887116</v>
      </c>
      <c r="AF121" s="103">
        <f t="shared" si="8"/>
        <v>489.83467944887116</v>
      </c>
      <c r="AG121" s="103">
        <f t="shared" si="8"/>
        <v>489.83467944887116</v>
      </c>
      <c r="AH121" s="103">
        <f t="shared" si="8"/>
        <v>489.83467944887116</v>
      </c>
      <c r="AI121" s="103">
        <f t="shared" si="8"/>
        <v>612.29334931108895</v>
      </c>
      <c r="AJ121" s="103">
        <f t="shared" si="8"/>
        <v>612.29334931108895</v>
      </c>
      <c r="AK121" s="103">
        <f t="shared" si="8"/>
        <v>612.29334931108895</v>
      </c>
      <c r="AL121" s="103">
        <f t="shared" si="8"/>
        <v>612.29334931108895</v>
      </c>
      <c r="AM121" s="103">
        <f t="shared" si="8"/>
        <v>612.29334931108895</v>
      </c>
      <c r="AN121" s="103">
        <f t="shared" si="8"/>
        <v>612.29334931108895</v>
      </c>
      <c r="AO121" s="103">
        <f t="shared" si="8"/>
        <v>612.29334931108895</v>
      </c>
      <c r="AP121" s="103">
        <f t="shared" si="8"/>
        <v>612.29334931108895</v>
      </c>
      <c r="AQ121" s="103">
        <f t="shared" si="8"/>
        <v>612.29334931108895</v>
      </c>
      <c r="AR121" s="103">
        <f t="shared" si="8"/>
        <v>612.29334931108895</v>
      </c>
      <c r="AS121" s="103">
        <f t="shared" si="8"/>
        <v>612.29334931108895</v>
      </c>
      <c r="AT121" s="103">
        <f t="shared" si="8"/>
        <v>612.29334931108895</v>
      </c>
      <c r="AU121" s="103">
        <f t="shared" si="8"/>
        <v>612.29334931108895</v>
      </c>
      <c r="AV121" s="103">
        <f t="shared" si="8"/>
        <v>612.29334931108895</v>
      </c>
      <c r="AW121" s="103">
        <f t="shared" si="8"/>
        <v>612.29334931108895</v>
      </c>
      <c r="AX121" s="103">
        <f t="shared" si="8"/>
        <v>612.29334931108895</v>
      </c>
    </row>
    <row r="122" spans="1:50">
      <c r="A122" s="103" t="s">
        <v>108</v>
      </c>
      <c r="B122" s="103" t="s">
        <v>10</v>
      </c>
      <c r="C122">
        <v>1.0713261661679962E-17</v>
      </c>
      <c r="D122">
        <v>1.0713261661679962E-17</v>
      </c>
      <c r="E122">
        <v>1.0713261661679962E-17</v>
      </c>
      <c r="F122">
        <v>1.0713261661679962E-17</v>
      </c>
      <c r="G122">
        <v>1.0713261661679962E-17</v>
      </c>
      <c r="H122">
        <v>1.0713261661679962E-17</v>
      </c>
      <c r="I122">
        <v>1.0713261661679962E-17</v>
      </c>
      <c r="J122">
        <v>1.0713261661679962E-17</v>
      </c>
      <c r="K122">
        <v>1.0713261661679962E-17</v>
      </c>
      <c r="L122">
        <v>1.0713261661679962E-17</v>
      </c>
      <c r="M122">
        <v>1.0713261661679962E-17</v>
      </c>
      <c r="N122">
        <v>1.0713261661679962E-17</v>
      </c>
      <c r="O122">
        <v>1.0713261661679962E-17</v>
      </c>
      <c r="P122">
        <v>1.0713261661679962E-17</v>
      </c>
      <c r="Q122">
        <v>1.0713261661679962E-17</v>
      </c>
      <c r="R122">
        <v>1.0713261661679962E-17</v>
      </c>
      <c r="S122">
        <v>1.0713261661679962E-17</v>
      </c>
      <c r="T122">
        <v>1.0713261661679962E-17</v>
      </c>
      <c r="U122">
        <v>1.0713261661679962E-17</v>
      </c>
      <c r="V122">
        <v>1.0713261661679962E-17</v>
      </c>
      <c r="W122">
        <v>1.0713261661679962E-17</v>
      </c>
      <c r="X122">
        <v>1.0713261661679962E-17</v>
      </c>
      <c r="Y122">
        <v>1.0713261661679962E-17</v>
      </c>
      <c r="Z122">
        <v>1.0713261661679962E-17</v>
      </c>
      <c r="AA122">
        <v>1.0713261661679962E-17</v>
      </c>
      <c r="AB122">
        <v>1.0713261661679962E-17</v>
      </c>
      <c r="AC122">
        <v>1.0713261661679962E-17</v>
      </c>
      <c r="AD122">
        <v>1.0713261661679962E-17</v>
      </c>
      <c r="AE122">
        <v>1.0713261661679962E-17</v>
      </c>
      <c r="AF122">
        <v>1.0713261661679962E-17</v>
      </c>
      <c r="AG122">
        <v>1.0713261661679962E-17</v>
      </c>
      <c r="AH122">
        <v>1.0713261661679962E-17</v>
      </c>
      <c r="AI122">
        <v>1.0713261661679962E-17</v>
      </c>
      <c r="AJ122">
        <v>1.0713261661679962E-17</v>
      </c>
      <c r="AK122">
        <v>1.0713261661679962E-17</v>
      </c>
      <c r="AL122">
        <v>1.0713261661679962E-17</v>
      </c>
      <c r="AM122">
        <v>1.0713261661679962E-17</v>
      </c>
      <c r="AN122">
        <v>1.0713261661679962E-17</v>
      </c>
      <c r="AO122">
        <v>1.0713261661679962E-17</v>
      </c>
      <c r="AP122">
        <v>1.0713261661679962E-17</v>
      </c>
      <c r="AQ122">
        <v>1.0713261661679962E-17</v>
      </c>
      <c r="AR122">
        <v>1.0713261661679962E-17</v>
      </c>
      <c r="AS122">
        <v>1.0713261661679962E-17</v>
      </c>
      <c r="AT122">
        <v>1.0713261661679962E-17</v>
      </c>
      <c r="AU122">
        <v>1.0713261661679962E-17</v>
      </c>
      <c r="AV122">
        <v>1.0713261661679962E-17</v>
      </c>
      <c r="AW122">
        <v>1.0713261661679962E-17</v>
      </c>
      <c r="AX122">
        <v>1.0713261661679962E-17</v>
      </c>
    </row>
    <row r="123" spans="1:50">
      <c r="B123" s="103" t="s">
        <v>12</v>
      </c>
      <c r="C123">
        <v>8.8503760656363948E-18</v>
      </c>
      <c r="D123">
        <v>8.8503760656363948E-18</v>
      </c>
      <c r="E123">
        <v>8.8503760656363948E-18</v>
      </c>
      <c r="F123">
        <v>8.8503760656363948E-18</v>
      </c>
      <c r="G123">
        <v>8.8503760656363948E-18</v>
      </c>
      <c r="H123">
        <v>8.8503760656363948E-18</v>
      </c>
      <c r="I123">
        <v>8.8503760656363948E-18</v>
      </c>
      <c r="J123">
        <v>8.8503760656363948E-18</v>
      </c>
      <c r="K123">
        <v>8.8503760656363948E-18</v>
      </c>
      <c r="L123">
        <v>8.8503760656363948E-18</v>
      </c>
      <c r="M123">
        <v>8.8503760656363948E-18</v>
      </c>
      <c r="N123">
        <v>8.8503760656363948E-18</v>
      </c>
      <c r="O123">
        <v>8.8503760656363948E-18</v>
      </c>
      <c r="P123">
        <v>8.8503760656363948E-18</v>
      </c>
      <c r="Q123">
        <v>8.8503760656363948E-18</v>
      </c>
      <c r="R123">
        <v>8.8503760656363948E-18</v>
      </c>
      <c r="S123">
        <v>8.8503760656363948E-18</v>
      </c>
      <c r="T123">
        <v>8.8503760656363948E-18</v>
      </c>
      <c r="U123">
        <v>8.8503760656363948E-18</v>
      </c>
      <c r="V123">
        <v>8.8503760656363948E-18</v>
      </c>
      <c r="W123">
        <v>8.8503760656363948E-18</v>
      </c>
      <c r="X123">
        <v>8.8503760656363948E-18</v>
      </c>
      <c r="Y123">
        <v>8.8503760656363948E-18</v>
      </c>
      <c r="Z123">
        <v>8.8503760656363948E-18</v>
      </c>
      <c r="AA123">
        <v>8.8503760656363948E-18</v>
      </c>
      <c r="AB123">
        <v>8.8503760656363948E-18</v>
      </c>
      <c r="AC123">
        <v>8.8503760656363948E-18</v>
      </c>
      <c r="AD123">
        <v>8.8503760656363948E-18</v>
      </c>
      <c r="AE123">
        <v>8.8503760656363948E-18</v>
      </c>
      <c r="AF123">
        <v>8.8503760656363948E-18</v>
      </c>
      <c r="AG123">
        <v>8.8503760656363948E-18</v>
      </c>
      <c r="AH123">
        <v>8.8503760656363948E-18</v>
      </c>
      <c r="AI123">
        <v>8.8503760656363948E-18</v>
      </c>
      <c r="AJ123">
        <v>8.8503760656363948E-18</v>
      </c>
      <c r="AK123">
        <v>8.8503760656363948E-18</v>
      </c>
      <c r="AL123">
        <v>8.8503760656363948E-18</v>
      </c>
      <c r="AM123">
        <v>8.8503760656363948E-18</v>
      </c>
      <c r="AN123">
        <v>8.8503760656363948E-18</v>
      </c>
      <c r="AO123">
        <v>8.8503760656363948E-18</v>
      </c>
      <c r="AP123">
        <v>8.8503760656363948E-18</v>
      </c>
      <c r="AQ123">
        <v>8.8503760656363948E-18</v>
      </c>
      <c r="AR123">
        <v>8.8503760656363948E-18</v>
      </c>
      <c r="AS123">
        <v>8.8503760656363948E-18</v>
      </c>
      <c r="AT123">
        <v>8.8503760656363948E-18</v>
      </c>
      <c r="AU123">
        <v>8.8503760656363948E-18</v>
      </c>
      <c r="AV123">
        <v>8.8503760656363948E-18</v>
      </c>
      <c r="AW123">
        <v>8.8503760656363948E-18</v>
      </c>
      <c r="AX123">
        <v>8.8503760656363948E-18</v>
      </c>
    </row>
    <row r="124" spans="1:50">
      <c r="B124" s="103" t="s">
        <v>22</v>
      </c>
      <c r="C124">
        <v>8.8875235142171886E-19</v>
      </c>
      <c r="D124">
        <v>8.8875235142171886E-19</v>
      </c>
      <c r="E124">
        <v>8.8875235142171886E-19</v>
      </c>
      <c r="F124">
        <v>8.8875235142171886E-19</v>
      </c>
      <c r="G124">
        <v>8.8875235142171886E-19</v>
      </c>
      <c r="H124">
        <v>8.8875235142171886E-19</v>
      </c>
      <c r="I124">
        <v>8.8875235142171886E-19</v>
      </c>
      <c r="J124">
        <v>8.8875235142171886E-19</v>
      </c>
      <c r="K124">
        <v>8.8875235142171886E-19</v>
      </c>
      <c r="L124">
        <v>8.8875235142171886E-19</v>
      </c>
      <c r="M124">
        <v>8.8875235142171886E-19</v>
      </c>
      <c r="N124">
        <v>8.8875235142171886E-19</v>
      </c>
      <c r="O124">
        <v>8.8875235142171886E-19</v>
      </c>
      <c r="P124">
        <v>8.8875235142171886E-19</v>
      </c>
      <c r="Q124">
        <v>8.8875235142171886E-19</v>
      </c>
      <c r="R124">
        <v>8.8875235142171886E-19</v>
      </c>
      <c r="S124">
        <v>8.8875235142171886E-19</v>
      </c>
      <c r="T124">
        <v>8.8875235142171886E-19</v>
      </c>
      <c r="U124">
        <v>8.8875235142171886E-19</v>
      </c>
      <c r="V124">
        <v>8.8875235142171886E-19</v>
      </c>
      <c r="W124">
        <v>8.8875235142171886E-19</v>
      </c>
      <c r="X124">
        <v>8.8875235142171886E-19</v>
      </c>
      <c r="Y124">
        <v>8.8875235142171886E-19</v>
      </c>
      <c r="Z124">
        <v>8.8875235142171886E-19</v>
      </c>
      <c r="AA124">
        <v>8.8875235142171886E-19</v>
      </c>
      <c r="AB124">
        <v>8.8875235142171886E-19</v>
      </c>
      <c r="AC124">
        <v>8.8875235142171886E-19</v>
      </c>
      <c r="AD124">
        <v>8.8875235142171886E-19</v>
      </c>
      <c r="AE124">
        <v>8.8875235142171886E-19</v>
      </c>
      <c r="AF124">
        <v>8.8875235142171886E-19</v>
      </c>
      <c r="AG124">
        <v>8.8875235142171886E-19</v>
      </c>
      <c r="AH124">
        <v>8.8875235142171886E-19</v>
      </c>
      <c r="AI124">
        <v>8.8875235142171886E-19</v>
      </c>
      <c r="AJ124">
        <v>8.8875235142171886E-19</v>
      </c>
      <c r="AK124">
        <v>8.8875235142171886E-19</v>
      </c>
      <c r="AL124">
        <v>8.8875235142171886E-19</v>
      </c>
      <c r="AM124">
        <v>8.8875235142171886E-19</v>
      </c>
      <c r="AN124">
        <v>8.8875235142171886E-19</v>
      </c>
      <c r="AO124">
        <v>8.8875235142171886E-19</v>
      </c>
      <c r="AP124">
        <v>8.8875235142171886E-19</v>
      </c>
      <c r="AQ124">
        <v>8.8875235142171886E-19</v>
      </c>
      <c r="AR124">
        <v>8.8875235142171886E-19</v>
      </c>
      <c r="AS124">
        <v>8.8875235142171886E-19</v>
      </c>
      <c r="AT124">
        <v>8.8875235142171886E-19</v>
      </c>
      <c r="AU124">
        <v>8.8875235142171886E-19</v>
      </c>
      <c r="AV124">
        <v>8.8875235142171886E-19</v>
      </c>
      <c r="AW124">
        <v>8.8875235142171886E-19</v>
      </c>
      <c r="AX124">
        <v>8.8875235142171886E-19</v>
      </c>
    </row>
    <row r="125" spans="1:50">
      <c r="B125" s="103" t="s">
        <v>46</v>
      </c>
      <c r="C125">
        <v>9.4054076782690086E-19</v>
      </c>
      <c r="D125">
        <v>9.4054076782690086E-19</v>
      </c>
      <c r="E125">
        <v>9.4054076782690086E-19</v>
      </c>
      <c r="F125">
        <v>9.4054076782690086E-19</v>
      </c>
      <c r="G125">
        <v>9.4054076782690086E-19</v>
      </c>
      <c r="H125">
        <v>9.4054076782690086E-19</v>
      </c>
      <c r="I125">
        <v>9.4054076782690086E-19</v>
      </c>
      <c r="J125">
        <v>9.4054076782690086E-19</v>
      </c>
      <c r="K125">
        <v>9.4054076782690086E-19</v>
      </c>
      <c r="L125">
        <v>9.4054076782690086E-19</v>
      </c>
      <c r="M125">
        <v>9.4054076782690086E-19</v>
      </c>
      <c r="N125">
        <v>9.4054076782690086E-19</v>
      </c>
      <c r="O125">
        <v>9.4054076782690086E-19</v>
      </c>
      <c r="P125">
        <v>9.4054076782690086E-19</v>
      </c>
      <c r="Q125">
        <v>9.4054076782690086E-19</v>
      </c>
      <c r="R125">
        <v>9.4054076782690086E-19</v>
      </c>
      <c r="S125">
        <v>9.4054076782690086E-19</v>
      </c>
      <c r="T125">
        <v>9.4054076782690086E-19</v>
      </c>
      <c r="U125">
        <v>9.4054076782690086E-19</v>
      </c>
      <c r="V125">
        <v>9.4054076782690086E-19</v>
      </c>
      <c r="W125">
        <v>9.4054076782690086E-19</v>
      </c>
      <c r="X125">
        <v>9.4054076782690086E-19</v>
      </c>
      <c r="Y125">
        <v>9.4054076782690086E-19</v>
      </c>
      <c r="Z125">
        <v>9.4054076782690086E-19</v>
      </c>
      <c r="AA125">
        <v>9.4054076782690086E-19</v>
      </c>
      <c r="AB125">
        <v>9.4054076782690086E-19</v>
      </c>
      <c r="AC125">
        <v>9.4054076782690086E-19</v>
      </c>
      <c r="AD125">
        <v>9.4054076782690086E-19</v>
      </c>
      <c r="AE125">
        <v>9.4054076782690086E-19</v>
      </c>
      <c r="AF125">
        <v>9.4054076782690086E-19</v>
      </c>
      <c r="AG125">
        <v>9.4054076782690086E-19</v>
      </c>
      <c r="AH125">
        <v>9.4054076782690086E-19</v>
      </c>
      <c r="AI125">
        <v>9.4054076782690086E-19</v>
      </c>
      <c r="AJ125">
        <v>9.4054076782690086E-19</v>
      </c>
      <c r="AK125">
        <v>9.4054076782690086E-19</v>
      </c>
      <c r="AL125">
        <v>9.4054076782690086E-19</v>
      </c>
      <c r="AM125">
        <v>9.4054076782690086E-19</v>
      </c>
      <c r="AN125">
        <v>9.4054076782690086E-19</v>
      </c>
      <c r="AO125">
        <v>9.4054076782690086E-19</v>
      </c>
      <c r="AP125">
        <v>9.4054076782690086E-19</v>
      </c>
      <c r="AQ125">
        <v>9.4054076782690086E-19</v>
      </c>
      <c r="AR125">
        <v>9.4054076782690086E-19</v>
      </c>
      <c r="AS125">
        <v>9.4054076782690086E-19</v>
      </c>
      <c r="AT125">
        <v>9.4054076782690086E-19</v>
      </c>
      <c r="AU125">
        <v>9.4054076782690086E-19</v>
      </c>
      <c r="AV125">
        <v>9.4054076782690086E-19</v>
      </c>
      <c r="AW125">
        <v>9.4054076782690086E-19</v>
      </c>
      <c r="AX125">
        <v>9.4054076782690086E-19</v>
      </c>
    </row>
    <row r="126" spans="1:50">
      <c r="B126" s="10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>
      <c r="B127" t="s">
        <v>279</v>
      </c>
      <c r="C127" s="103">
        <f>SUM(C$122:C$126)</f>
        <v>2.1392930846564975E-17</v>
      </c>
      <c r="D127" s="103">
        <f t="shared" ref="D127:AX127" si="9">SUM(D$122:D$126)</f>
        <v>2.1392930846564975E-17</v>
      </c>
      <c r="E127" s="103">
        <f t="shared" si="9"/>
        <v>2.1392930846564975E-17</v>
      </c>
      <c r="F127" s="103">
        <f t="shared" si="9"/>
        <v>2.1392930846564975E-17</v>
      </c>
      <c r="G127" s="103">
        <f t="shared" si="9"/>
        <v>2.1392930846564975E-17</v>
      </c>
      <c r="H127" s="103">
        <f t="shared" si="9"/>
        <v>2.1392930846564975E-17</v>
      </c>
      <c r="I127" s="103">
        <f t="shared" si="9"/>
        <v>2.1392930846564975E-17</v>
      </c>
      <c r="J127" s="103">
        <f t="shared" si="9"/>
        <v>2.1392930846564975E-17</v>
      </c>
      <c r="K127" s="103">
        <f t="shared" si="9"/>
        <v>2.1392930846564975E-17</v>
      </c>
      <c r="L127" s="103">
        <f t="shared" si="9"/>
        <v>2.1392930846564975E-17</v>
      </c>
      <c r="M127" s="103">
        <f t="shared" si="9"/>
        <v>2.1392930846564975E-17</v>
      </c>
      <c r="N127" s="103">
        <f t="shared" si="9"/>
        <v>2.1392930846564975E-17</v>
      </c>
      <c r="O127" s="103">
        <f t="shared" si="9"/>
        <v>2.1392930846564975E-17</v>
      </c>
      <c r="P127" s="103">
        <f t="shared" si="9"/>
        <v>2.1392930846564975E-17</v>
      </c>
      <c r="Q127" s="103">
        <f t="shared" si="9"/>
        <v>2.1392930846564975E-17</v>
      </c>
      <c r="R127" s="103">
        <f t="shared" si="9"/>
        <v>2.1392930846564975E-17</v>
      </c>
      <c r="S127" s="103">
        <f t="shared" si="9"/>
        <v>2.1392930846564975E-17</v>
      </c>
      <c r="T127" s="103">
        <f t="shared" si="9"/>
        <v>2.1392930846564975E-17</v>
      </c>
      <c r="U127" s="103">
        <f t="shared" si="9"/>
        <v>2.1392930846564975E-17</v>
      </c>
      <c r="V127" s="103">
        <f t="shared" si="9"/>
        <v>2.1392930846564975E-17</v>
      </c>
      <c r="W127" s="103">
        <f t="shared" si="9"/>
        <v>2.1392930846564975E-17</v>
      </c>
      <c r="X127" s="103">
        <f t="shared" si="9"/>
        <v>2.1392930846564975E-17</v>
      </c>
      <c r="Y127" s="103">
        <f t="shared" si="9"/>
        <v>2.1392930846564975E-17</v>
      </c>
      <c r="Z127" s="103">
        <f t="shared" si="9"/>
        <v>2.1392930846564975E-17</v>
      </c>
      <c r="AA127" s="103">
        <f t="shared" si="9"/>
        <v>2.1392930846564975E-17</v>
      </c>
      <c r="AB127" s="103">
        <f t="shared" si="9"/>
        <v>2.1392930846564975E-17</v>
      </c>
      <c r="AC127" s="103">
        <f t="shared" si="9"/>
        <v>2.1392930846564975E-17</v>
      </c>
      <c r="AD127" s="103">
        <f t="shared" si="9"/>
        <v>2.1392930846564975E-17</v>
      </c>
      <c r="AE127" s="103">
        <f t="shared" si="9"/>
        <v>2.1392930846564975E-17</v>
      </c>
      <c r="AF127" s="103">
        <f t="shared" si="9"/>
        <v>2.1392930846564975E-17</v>
      </c>
      <c r="AG127" s="103">
        <f t="shared" si="9"/>
        <v>2.1392930846564975E-17</v>
      </c>
      <c r="AH127" s="103">
        <f t="shared" si="9"/>
        <v>2.1392930846564975E-17</v>
      </c>
      <c r="AI127" s="103">
        <f t="shared" si="9"/>
        <v>2.1392930846564975E-17</v>
      </c>
      <c r="AJ127" s="103">
        <f t="shared" si="9"/>
        <v>2.1392930846564975E-17</v>
      </c>
      <c r="AK127" s="103">
        <f t="shared" si="9"/>
        <v>2.1392930846564975E-17</v>
      </c>
      <c r="AL127" s="103">
        <f t="shared" si="9"/>
        <v>2.1392930846564975E-17</v>
      </c>
      <c r="AM127" s="103">
        <f t="shared" si="9"/>
        <v>2.1392930846564975E-17</v>
      </c>
      <c r="AN127" s="103">
        <f t="shared" si="9"/>
        <v>2.1392930846564975E-17</v>
      </c>
      <c r="AO127" s="103">
        <f t="shared" si="9"/>
        <v>2.1392930846564975E-17</v>
      </c>
      <c r="AP127" s="103">
        <f t="shared" si="9"/>
        <v>2.1392930846564975E-17</v>
      </c>
      <c r="AQ127" s="103">
        <f t="shared" si="9"/>
        <v>2.1392930846564975E-17</v>
      </c>
      <c r="AR127" s="103">
        <f t="shared" si="9"/>
        <v>2.1392930846564975E-17</v>
      </c>
      <c r="AS127" s="103">
        <f t="shared" si="9"/>
        <v>2.1392930846564975E-17</v>
      </c>
      <c r="AT127" s="103">
        <f t="shared" si="9"/>
        <v>2.1392930846564975E-17</v>
      </c>
      <c r="AU127" s="103">
        <f t="shared" si="9"/>
        <v>2.1392930846564975E-17</v>
      </c>
      <c r="AV127" s="103">
        <f t="shared" si="9"/>
        <v>2.1392930846564975E-17</v>
      </c>
      <c r="AW127" s="103">
        <f t="shared" si="9"/>
        <v>2.1392930846564975E-17</v>
      </c>
      <c r="AX127" s="103">
        <f t="shared" si="9"/>
        <v>2.1392930846564975E-17</v>
      </c>
    </row>
    <row r="128" spans="1:50">
      <c r="A128" s="103" t="s">
        <v>109</v>
      </c>
      <c r="B128" s="103" t="s">
        <v>10</v>
      </c>
      <c r="C128">
        <v>2.1694938650577684E-17</v>
      </c>
      <c r="D128">
        <v>2.1694938650577684E-17</v>
      </c>
      <c r="E128">
        <v>2.1694938650577684E-17</v>
      </c>
      <c r="F128">
        <v>2.1694938650577684E-17</v>
      </c>
      <c r="G128">
        <v>2.1694938650577684E-17</v>
      </c>
      <c r="H128">
        <v>2.1694938650577684E-17</v>
      </c>
      <c r="I128">
        <v>2.1694938650577684E-17</v>
      </c>
      <c r="J128">
        <v>2.1694938650577684E-17</v>
      </c>
      <c r="K128">
        <v>2.1694938650577684E-17</v>
      </c>
      <c r="L128">
        <v>2.1694938650577684E-17</v>
      </c>
      <c r="M128">
        <v>2.1694938650577684E-17</v>
      </c>
      <c r="N128">
        <v>2.1694938650577684E-17</v>
      </c>
      <c r="O128">
        <v>2.1694938650577684E-17</v>
      </c>
      <c r="P128">
        <v>2.1694938650577684E-17</v>
      </c>
      <c r="Q128">
        <v>2.1694938650577684E-17</v>
      </c>
      <c r="R128">
        <v>2.1694938650577684E-17</v>
      </c>
      <c r="S128">
        <v>2.7118673313222103E-17</v>
      </c>
      <c r="T128">
        <v>2.7118673313222103E-17</v>
      </c>
      <c r="U128">
        <v>2.7118673313222103E-17</v>
      </c>
      <c r="V128">
        <v>2.7118673313222103E-17</v>
      </c>
      <c r="W128">
        <v>2.7118673313222103E-17</v>
      </c>
      <c r="X128">
        <v>2.7118673313222103E-17</v>
      </c>
      <c r="Y128">
        <v>2.7118673313222103E-17</v>
      </c>
      <c r="Z128">
        <v>2.7118673313222103E-17</v>
      </c>
      <c r="AA128">
        <v>2.1694938650577684E-17</v>
      </c>
      <c r="AB128">
        <v>2.1694938650577684E-17</v>
      </c>
      <c r="AC128">
        <v>2.1694938650577684E-17</v>
      </c>
      <c r="AD128">
        <v>2.1694938650577684E-17</v>
      </c>
      <c r="AE128">
        <v>2.1694938650577684E-17</v>
      </c>
      <c r="AF128">
        <v>2.1694938650577684E-17</v>
      </c>
      <c r="AG128">
        <v>2.1694938650577684E-17</v>
      </c>
      <c r="AH128">
        <v>2.1694938650577684E-17</v>
      </c>
      <c r="AI128">
        <v>2.1694938650577684E-17</v>
      </c>
      <c r="AJ128">
        <v>2.1694938650577684E-17</v>
      </c>
      <c r="AK128">
        <v>2.1694938650577684E-17</v>
      </c>
      <c r="AL128">
        <v>2.1694938650577684E-17</v>
      </c>
      <c r="AM128">
        <v>2.1694938650577684E-17</v>
      </c>
      <c r="AN128">
        <v>2.1694938650577684E-17</v>
      </c>
      <c r="AO128">
        <v>2.1694938650577684E-17</v>
      </c>
      <c r="AP128">
        <v>2.1694938650577684E-17</v>
      </c>
      <c r="AQ128">
        <v>2.7118673313222103E-17</v>
      </c>
      <c r="AR128">
        <v>2.7118673313222103E-17</v>
      </c>
      <c r="AS128">
        <v>2.7118673313222103E-17</v>
      </c>
      <c r="AT128">
        <v>2.7118673313222103E-17</v>
      </c>
      <c r="AU128">
        <v>2.1694938650577684E-17</v>
      </c>
      <c r="AV128">
        <v>2.1694938650577684E-17</v>
      </c>
      <c r="AW128">
        <v>2.1694938650577684E-17</v>
      </c>
      <c r="AX128">
        <v>2.1694938650577684E-17</v>
      </c>
    </row>
    <row r="129" spans="2:50">
      <c r="B129" s="103" t="s">
        <v>12</v>
      </c>
      <c r="C129">
        <v>8.5449712273406725E-18</v>
      </c>
      <c r="D129">
        <v>8.5449712273406725E-18</v>
      </c>
      <c r="E129">
        <v>8.5449712273406725E-18</v>
      </c>
      <c r="F129">
        <v>8.5449712273406725E-18</v>
      </c>
      <c r="G129">
        <v>8.5449712273406725E-18</v>
      </c>
      <c r="H129">
        <v>8.5449712273406725E-18</v>
      </c>
      <c r="I129">
        <v>8.5449712273406725E-18</v>
      </c>
      <c r="J129">
        <v>8.5449712273406725E-18</v>
      </c>
      <c r="K129">
        <v>8.5449712273406725E-18</v>
      </c>
      <c r="L129">
        <v>8.5449712273406725E-18</v>
      </c>
      <c r="M129">
        <v>8.5449712273406725E-18</v>
      </c>
      <c r="N129">
        <v>8.5449712273406725E-18</v>
      </c>
      <c r="O129">
        <v>8.5449712273406725E-18</v>
      </c>
      <c r="P129">
        <v>8.5449712273406725E-18</v>
      </c>
      <c r="Q129">
        <v>8.5449712273406725E-18</v>
      </c>
      <c r="R129">
        <v>8.5449712273406725E-18</v>
      </c>
      <c r="S129">
        <v>1.068121403417584E-17</v>
      </c>
      <c r="T129">
        <v>1.068121403417584E-17</v>
      </c>
      <c r="U129">
        <v>1.068121403417584E-17</v>
      </c>
      <c r="V129">
        <v>1.068121403417584E-17</v>
      </c>
      <c r="W129">
        <v>1.068121403417584E-17</v>
      </c>
      <c r="X129">
        <v>1.068121403417584E-17</v>
      </c>
      <c r="Y129">
        <v>1.068121403417584E-17</v>
      </c>
      <c r="Z129">
        <v>1.068121403417584E-17</v>
      </c>
      <c r="AA129">
        <v>8.5449712273406725E-18</v>
      </c>
      <c r="AB129">
        <v>8.5449712273406725E-18</v>
      </c>
      <c r="AC129">
        <v>8.5449712273406725E-18</v>
      </c>
      <c r="AD129">
        <v>8.5449712273406725E-18</v>
      </c>
      <c r="AE129">
        <v>8.5449712273406725E-18</v>
      </c>
      <c r="AF129">
        <v>8.5449712273406725E-18</v>
      </c>
      <c r="AG129">
        <v>8.5449712273406725E-18</v>
      </c>
      <c r="AH129">
        <v>8.5449712273406725E-18</v>
      </c>
      <c r="AI129">
        <v>8.5449712273406725E-18</v>
      </c>
      <c r="AJ129">
        <v>8.5449712273406725E-18</v>
      </c>
      <c r="AK129">
        <v>8.5449712273406725E-18</v>
      </c>
      <c r="AL129">
        <v>8.5449712273406725E-18</v>
      </c>
      <c r="AM129">
        <v>8.5449712273406725E-18</v>
      </c>
      <c r="AN129">
        <v>8.5449712273406725E-18</v>
      </c>
      <c r="AO129">
        <v>8.5449712273406725E-18</v>
      </c>
      <c r="AP129">
        <v>8.5449712273406725E-18</v>
      </c>
      <c r="AQ129">
        <v>1.068121403417584E-17</v>
      </c>
      <c r="AR129">
        <v>1.068121403417584E-17</v>
      </c>
      <c r="AS129">
        <v>1.068121403417584E-17</v>
      </c>
      <c r="AT129">
        <v>1.068121403417584E-17</v>
      </c>
      <c r="AU129">
        <v>8.5449712273406725E-18</v>
      </c>
      <c r="AV129">
        <v>8.5449712273406725E-18</v>
      </c>
      <c r="AW129">
        <v>8.5449712273406725E-18</v>
      </c>
      <c r="AX129">
        <v>8.5449712273406725E-18</v>
      </c>
    </row>
    <row r="130" spans="2:50">
      <c r="B130" s="103" t="s">
        <v>22</v>
      </c>
      <c r="C130">
        <v>8.2950223084347757E-19</v>
      </c>
      <c r="D130">
        <v>8.2950223084347757E-19</v>
      </c>
      <c r="E130">
        <v>8.2950223084347757E-19</v>
      </c>
      <c r="F130">
        <v>8.2950223084347757E-19</v>
      </c>
      <c r="G130">
        <v>8.2950223084347757E-19</v>
      </c>
      <c r="H130">
        <v>8.2950223084347757E-19</v>
      </c>
      <c r="I130">
        <v>8.2950223084347757E-19</v>
      </c>
      <c r="J130">
        <v>8.2950223084347757E-19</v>
      </c>
      <c r="K130">
        <v>8.2950223084347757E-19</v>
      </c>
      <c r="L130">
        <v>8.2950223084347757E-19</v>
      </c>
      <c r="M130">
        <v>8.2950223084347757E-19</v>
      </c>
      <c r="N130">
        <v>8.2950223084347757E-19</v>
      </c>
      <c r="O130">
        <v>8.2950223084347757E-19</v>
      </c>
      <c r="P130">
        <v>8.2950223084347757E-19</v>
      </c>
      <c r="Q130">
        <v>8.2950223084347757E-19</v>
      </c>
      <c r="R130">
        <v>8.2950223084347757E-19</v>
      </c>
      <c r="S130">
        <v>1.036877788554347E-18</v>
      </c>
      <c r="T130">
        <v>1.036877788554347E-18</v>
      </c>
      <c r="U130">
        <v>1.036877788554347E-18</v>
      </c>
      <c r="V130">
        <v>1.036877788554347E-18</v>
      </c>
      <c r="W130">
        <v>1.036877788554347E-18</v>
      </c>
      <c r="X130">
        <v>1.036877788554347E-18</v>
      </c>
      <c r="Y130">
        <v>1.036877788554347E-18</v>
      </c>
      <c r="Z130">
        <v>1.036877788554347E-18</v>
      </c>
      <c r="AA130">
        <v>8.2950223084347757E-19</v>
      </c>
      <c r="AB130">
        <v>8.2950223084347757E-19</v>
      </c>
      <c r="AC130">
        <v>8.2950223084347757E-19</v>
      </c>
      <c r="AD130">
        <v>8.2950223084347757E-19</v>
      </c>
      <c r="AE130">
        <v>8.2950223084347757E-19</v>
      </c>
      <c r="AF130">
        <v>8.2950223084347757E-19</v>
      </c>
      <c r="AG130">
        <v>8.2950223084347757E-19</v>
      </c>
      <c r="AH130">
        <v>8.2950223084347757E-19</v>
      </c>
      <c r="AI130">
        <v>8.2950223084347757E-19</v>
      </c>
      <c r="AJ130">
        <v>8.2950223084347757E-19</v>
      </c>
      <c r="AK130">
        <v>8.2950223084347757E-19</v>
      </c>
      <c r="AL130">
        <v>8.2950223084347757E-19</v>
      </c>
      <c r="AM130">
        <v>8.2950223084347757E-19</v>
      </c>
      <c r="AN130">
        <v>8.2950223084347757E-19</v>
      </c>
      <c r="AO130">
        <v>8.2950223084347757E-19</v>
      </c>
      <c r="AP130">
        <v>8.2950223084347757E-19</v>
      </c>
      <c r="AQ130">
        <v>1.036877788554347E-18</v>
      </c>
      <c r="AR130">
        <v>1.036877788554347E-18</v>
      </c>
      <c r="AS130">
        <v>1.036877788554347E-18</v>
      </c>
      <c r="AT130">
        <v>1.036877788554347E-18</v>
      </c>
      <c r="AU130">
        <v>8.2950223084347757E-19</v>
      </c>
      <c r="AV130">
        <v>8.2950223084347757E-19</v>
      </c>
      <c r="AW130">
        <v>8.2950223084347757E-19</v>
      </c>
      <c r="AX130">
        <v>8.2950223084347757E-19</v>
      </c>
    </row>
    <row r="131" spans="2:50">
      <c r="B131" s="103" t="s">
        <v>46</v>
      </c>
      <c r="C131">
        <v>6.2702708563138371E-19</v>
      </c>
      <c r="D131">
        <v>6.2702708563138371E-19</v>
      </c>
      <c r="E131">
        <v>6.2702708563138371E-19</v>
      </c>
      <c r="F131">
        <v>6.2702708563138371E-19</v>
      </c>
      <c r="G131">
        <v>6.2702708563138371E-19</v>
      </c>
      <c r="H131">
        <v>6.2702708563138371E-19</v>
      </c>
      <c r="I131">
        <v>6.2702708563138371E-19</v>
      </c>
      <c r="J131">
        <v>6.2702708563138371E-19</v>
      </c>
      <c r="K131">
        <v>6.2702708563138371E-19</v>
      </c>
      <c r="L131">
        <v>6.2702708563138371E-19</v>
      </c>
      <c r="M131">
        <v>6.2702708563138371E-19</v>
      </c>
      <c r="N131">
        <v>6.2702708563138371E-19</v>
      </c>
      <c r="O131">
        <v>6.2702708563138371E-19</v>
      </c>
      <c r="P131">
        <v>6.2702708563138371E-19</v>
      </c>
      <c r="Q131">
        <v>6.2702708563138371E-19</v>
      </c>
      <c r="R131">
        <v>6.2702708563138371E-19</v>
      </c>
      <c r="S131">
        <v>7.8378385703922954E-19</v>
      </c>
      <c r="T131">
        <v>7.8378385703922954E-19</v>
      </c>
      <c r="U131">
        <v>7.8378385703922954E-19</v>
      </c>
      <c r="V131">
        <v>7.8378385703922954E-19</v>
      </c>
      <c r="W131">
        <v>7.8378385703922954E-19</v>
      </c>
      <c r="X131">
        <v>7.8378385703922954E-19</v>
      </c>
      <c r="Y131">
        <v>7.8378385703922954E-19</v>
      </c>
      <c r="Z131">
        <v>7.8378385703922954E-19</v>
      </c>
      <c r="AA131">
        <v>6.2702708563138371E-19</v>
      </c>
      <c r="AB131">
        <v>6.2702708563138371E-19</v>
      </c>
      <c r="AC131">
        <v>6.2702708563138371E-19</v>
      </c>
      <c r="AD131">
        <v>6.2702708563138371E-19</v>
      </c>
      <c r="AE131">
        <v>6.2702708563138371E-19</v>
      </c>
      <c r="AF131">
        <v>6.2702708563138371E-19</v>
      </c>
      <c r="AG131">
        <v>6.2702708563138371E-19</v>
      </c>
      <c r="AH131">
        <v>6.2702708563138371E-19</v>
      </c>
      <c r="AI131">
        <v>6.2702708563138371E-19</v>
      </c>
      <c r="AJ131">
        <v>6.2702708563138371E-19</v>
      </c>
      <c r="AK131">
        <v>6.2702708563138371E-19</v>
      </c>
      <c r="AL131">
        <v>6.2702708563138371E-19</v>
      </c>
      <c r="AM131">
        <v>6.2702708563138371E-19</v>
      </c>
      <c r="AN131">
        <v>6.2702708563138371E-19</v>
      </c>
      <c r="AO131">
        <v>6.2702708563138371E-19</v>
      </c>
      <c r="AP131">
        <v>6.2702708563138371E-19</v>
      </c>
      <c r="AQ131">
        <v>7.8378385703922954E-19</v>
      </c>
      <c r="AR131">
        <v>7.8378385703922954E-19</v>
      </c>
      <c r="AS131">
        <v>7.8378385703922954E-19</v>
      </c>
      <c r="AT131">
        <v>7.8378385703922954E-19</v>
      </c>
      <c r="AU131">
        <v>6.2702708563138371E-19</v>
      </c>
      <c r="AV131">
        <v>6.2702708563138371E-19</v>
      </c>
      <c r="AW131">
        <v>6.2702708563138371E-19</v>
      </c>
      <c r="AX131">
        <v>6.2702708563138371E-19</v>
      </c>
    </row>
    <row r="132" spans="2:50">
      <c r="B132" s="103" t="s">
        <v>59</v>
      </c>
      <c r="C132">
        <v>3.2270966509718346E-19</v>
      </c>
      <c r="D132">
        <v>3.2270966509718346E-19</v>
      </c>
      <c r="E132">
        <v>3.2270966509718346E-19</v>
      </c>
      <c r="F132">
        <v>3.2270966509718346E-19</v>
      </c>
      <c r="G132">
        <v>3.2270966509718346E-19</v>
      </c>
      <c r="H132">
        <v>3.2270966509718346E-19</v>
      </c>
      <c r="I132">
        <v>3.2270966509718346E-19</v>
      </c>
      <c r="J132">
        <v>3.2270966509718346E-19</v>
      </c>
      <c r="K132">
        <v>3.2270966509718346E-19</v>
      </c>
      <c r="L132">
        <v>3.2270966509718346E-19</v>
      </c>
      <c r="M132">
        <v>3.2270966509718346E-19</v>
      </c>
      <c r="N132">
        <v>3.2270966509718346E-19</v>
      </c>
      <c r="O132">
        <v>3.2270966509718346E-19</v>
      </c>
      <c r="P132">
        <v>3.2270966509718346E-19</v>
      </c>
      <c r="Q132">
        <v>3.2270966509718346E-19</v>
      </c>
      <c r="R132">
        <v>3.2270966509718346E-19</v>
      </c>
      <c r="S132">
        <v>4.0338708137147933E-19</v>
      </c>
      <c r="T132">
        <v>4.0338708137147933E-19</v>
      </c>
      <c r="U132">
        <v>4.0338708137147933E-19</v>
      </c>
      <c r="V132">
        <v>4.0338708137147933E-19</v>
      </c>
      <c r="W132">
        <v>4.0338708137147933E-19</v>
      </c>
      <c r="X132">
        <v>4.0338708137147933E-19</v>
      </c>
      <c r="Y132">
        <v>4.0338708137147933E-19</v>
      </c>
      <c r="Z132">
        <v>4.0338708137147933E-19</v>
      </c>
      <c r="AA132">
        <v>3.2270966509718346E-19</v>
      </c>
      <c r="AB132">
        <v>3.2270966509718346E-19</v>
      </c>
      <c r="AC132">
        <v>3.2270966509718346E-19</v>
      </c>
      <c r="AD132">
        <v>3.2270966509718346E-19</v>
      </c>
      <c r="AE132">
        <v>3.2270966509718346E-19</v>
      </c>
      <c r="AF132">
        <v>3.2270966509718346E-19</v>
      </c>
      <c r="AG132">
        <v>3.2270966509718346E-19</v>
      </c>
      <c r="AH132">
        <v>3.2270966509718346E-19</v>
      </c>
      <c r="AI132">
        <v>3.2270966509718346E-19</v>
      </c>
      <c r="AJ132">
        <v>3.2270966509718346E-19</v>
      </c>
      <c r="AK132">
        <v>3.2270966509718346E-19</v>
      </c>
      <c r="AL132">
        <v>3.2270966509718346E-19</v>
      </c>
      <c r="AM132">
        <v>3.2270966509718346E-19</v>
      </c>
      <c r="AN132">
        <v>3.2270966509718346E-19</v>
      </c>
      <c r="AO132">
        <v>3.2270966509718346E-19</v>
      </c>
      <c r="AP132">
        <v>3.2270966509718346E-19</v>
      </c>
      <c r="AQ132">
        <v>4.0338708137147933E-19</v>
      </c>
      <c r="AR132">
        <v>4.0338708137147933E-19</v>
      </c>
      <c r="AS132">
        <v>4.0338708137147933E-19</v>
      </c>
      <c r="AT132">
        <v>4.0338708137147933E-19</v>
      </c>
      <c r="AU132">
        <v>3.2270966509718346E-19</v>
      </c>
      <c r="AV132">
        <v>3.2270966509718346E-19</v>
      </c>
      <c r="AW132">
        <v>3.2270966509718346E-19</v>
      </c>
      <c r="AX132">
        <v>3.2270966509718346E-19</v>
      </c>
    </row>
    <row r="133" spans="2:50">
      <c r="B133" t="s">
        <v>279</v>
      </c>
      <c r="C133" s="103">
        <f>SUM(C$128:C$132)</f>
        <v>3.2019148859490405E-17</v>
      </c>
      <c r="D133" s="103">
        <f t="shared" ref="D133:AX133" si="10">SUM(D$128:D$132)</f>
        <v>3.2019148859490405E-17</v>
      </c>
      <c r="E133" s="103">
        <f t="shared" si="10"/>
        <v>3.2019148859490405E-17</v>
      </c>
      <c r="F133" s="103">
        <f t="shared" si="10"/>
        <v>3.2019148859490405E-17</v>
      </c>
      <c r="G133" s="103">
        <f t="shared" si="10"/>
        <v>3.2019148859490405E-17</v>
      </c>
      <c r="H133" s="103">
        <f t="shared" si="10"/>
        <v>3.2019148859490405E-17</v>
      </c>
      <c r="I133" s="103">
        <f t="shared" si="10"/>
        <v>3.2019148859490405E-17</v>
      </c>
      <c r="J133" s="103">
        <f t="shared" si="10"/>
        <v>3.2019148859490405E-17</v>
      </c>
      <c r="K133" s="103">
        <f t="shared" si="10"/>
        <v>3.2019148859490405E-17</v>
      </c>
      <c r="L133" s="103">
        <f t="shared" si="10"/>
        <v>3.2019148859490405E-17</v>
      </c>
      <c r="M133" s="103">
        <f t="shared" si="10"/>
        <v>3.2019148859490405E-17</v>
      </c>
      <c r="N133" s="103">
        <f t="shared" si="10"/>
        <v>3.2019148859490405E-17</v>
      </c>
      <c r="O133" s="103">
        <f t="shared" si="10"/>
        <v>3.2019148859490405E-17</v>
      </c>
      <c r="P133" s="103">
        <f t="shared" si="10"/>
        <v>3.2019148859490405E-17</v>
      </c>
      <c r="Q133" s="103">
        <f t="shared" si="10"/>
        <v>3.2019148859490405E-17</v>
      </c>
      <c r="R133" s="103">
        <f t="shared" si="10"/>
        <v>3.2019148859490405E-17</v>
      </c>
      <c r="S133" s="103">
        <f t="shared" si="10"/>
        <v>4.0023936074362993E-17</v>
      </c>
      <c r="T133" s="103">
        <f t="shared" si="10"/>
        <v>4.0023936074362993E-17</v>
      </c>
      <c r="U133" s="103">
        <f t="shared" si="10"/>
        <v>4.0023936074362993E-17</v>
      </c>
      <c r="V133" s="103">
        <f t="shared" si="10"/>
        <v>4.0023936074362993E-17</v>
      </c>
      <c r="W133" s="103">
        <f t="shared" si="10"/>
        <v>4.0023936074362993E-17</v>
      </c>
      <c r="X133" s="103">
        <f t="shared" si="10"/>
        <v>4.0023936074362993E-17</v>
      </c>
      <c r="Y133" s="103">
        <f t="shared" si="10"/>
        <v>4.0023936074362993E-17</v>
      </c>
      <c r="Z133" s="103">
        <f t="shared" si="10"/>
        <v>4.0023936074362993E-17</v>
      </c>
      <c r="AA133" s="103">
        <f t="shared" si="10"/>
        <v>3.2019148859490405E-17</v>
      </c>
      <c r="AB133" s="103">
        <f t="shared" si="10"/>
        <v>3.2019148859490405E-17</v>
      </c>
      <c r="AC133" s="103">
        <f t="shared" si="10"/>
        <v>3.2019148859490405E-17</v>
      </c>
      <c r="AD133" s="103">
        <f t="shared" si="10"/>
        <v>3.2019148859490405E-17</v>
      </c>
      <c r="AE133" s="103">
        <f t="shared" si="10"/>
        <v>3.2019148859490405E-17</v>
      </c>
      <c r="AF133" s="103">
        <f t="shared" si="10"/>
        <v>3.2019148859490405E-17</v>
      </c>
      <c r="AG133" s="103">
        <f t="shared" si="10"/>
        <v>3.2019148859490405E-17</v>
      </c>
      <c r="AH133" s="103">
        <f t="shared" si="10"/>
        <v>3.2019148859490405E-17</v>
      </c>
      <c r="AI133" s="103">
        <f t="shared" si="10"/>
        <v>3.2019148859490405E-17</v>
      </c>
      <c r="AJ133" s="103">
        <f t="shared" si="10"/>
        <v>3.2019148859490405E-17</v>
      </c>
      <c r="AK133" s="103">
        <f t="shared" si="10"/>
        <v>3.2019148859490405E-17</v>
      </c>
      <c r="AL133" s="103">
        <f t="shared" si="10"/>
        <v>3.2019148859490405E-17</v>
      </c>
      <c r="AM133" s="103">
        <f t="shared" si="10"/>
        <v>3.2019148859490405E-17</v>
      </c>
      <c r="AN133" s="103">
        <f t="shared" si="10"/>
        <v>3.2019148859490405E-17</v>
      </c>
      <c r="AO133" s="103">
        <f t="shared" si="10"/>
        <v>3.2019148859490405E-17</v>
      </c>
      <c r="AP133" s="103">
        <f t="shared" si="10"/>
        <v>3.2019148859490405E-17</v>
      </c>
      <c r="AQ133" s="103">
        <f t="shared" si="10"/>
        <v>4.0023936074362993E-17</v>
      </c>
      <c r="AR133" s="103">
        <f t="shared" si="10"/>
        <v>4.0023936074362993E-17</v>
      </c>
      <c r="AS133" s="103">
        <f t="shared" si="10"/>
        <v>4.0023936074362993E-17</v>
      </c>
      <c r="AT133" s="103">
        <f t="shared" si="10"/>
        <v>4.0023936074362993E-17</v>
      </c>
      <c r="AU133" s="103">
        <f t="shared" si="10"/>
        <v>3.2019148859490405E-17</v>
      </c>
      <c r="AV133" s="103">
        <f t="shared" si="10"/>
        <v>3.2019148859490405E-17</v>
      </c>
      <c r="AW133" s="103">
        <f t="shared" si="10"/>
        <v>3.2019148859490405E-17</v>
      </c>
      <c r="AX133" s="103">
        <f t="shared" si="10"/>
        <v>3.2019148859490405E-17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304</v>
      </c>
      <c r="B2" s="105" t="s">
        <v>10</v>
      </c>
      <c r="E2" s="108"/>
    </row>
    <row r="3" spans="1:52">
      <c r="A3" t="s">
        <v>287</v>
      </c>
      <c r="B3" s="105">
        <v>600</v>
      </c>
      <c r="E3" s="108"/>
    </row>
    <row r="4" spans="1:52">
      <c r="A4" s="1"/>
      <c r="C4" s="9" t="s">
        <v>288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305</v>
      </c>
      <c r="B6" s="111"/>
      <c r="C6" s="110" t="s">
        <v>289</v>
      </c>
      <c r="D6" s="109" t="s">
        <v>290</v>
      </c>
      <c r="E6" s="109" t="s">
        <v>290</v>
      </c>
      <c r="F6" s="109" t="s">
        <v>290</v>
      </c>
      <c r="G6" s="109" t="s">
        <v>290</v>
      </c>
      <c r="H6" s="109" t="s">
        <v>290</v>
      </c>
      <c r="I6" s="109" t="s">
        <v>290</v>
      </c>
      <c r="J6" s="109" t="s">
        <v>290</v>
      </c>
      <c r="K6" s="109" t="s">
        <v>290</v>
      </c>
      <c r="L6" s="109" t="s">
        <v>290</v>
      </c>
      <c r="M6" s="109" t="s">
        <v>290</v>
      </c>
      <c r="N6" s="109" t="s">
        <v>290</v>
      </c>
      <c r="O6" s="109" t="s">
        <v>290</v>
      </c>
      <c r="P6" s="109" t="s">
        <v>290</v>
      </c>
      <c r="Q6" s="109" t="s">
        <v>290</v>
      </c>
      <c r="R6" s="109" t="s">
        <v>290</v>
      </c>
      <c r="S6" s="109" t="s">
        <v>290</v>
      </c>
      <c r="T6" s="109" t="s">
        <v>290</v>
      </c>
      <c r="U6" s="109" t="s">
        <v>290</v>
      </c>
      <c r="V6" s="109" t="s">
        <v>290</v>
      </c>
      <c r="W6" s="109" t="s">
        <v>290</v>
      </c>
      <c r="X6" s="109" t="s">
        <v>290</v>
      </c>
      <c r="Y6" s="109" t="s">
        <v>290</v>
      </c>
      <c r="Z6" s="109" t="s">
        <v>290</v>
      </c>
      <c r="AA6" s="109" t="s">
        <v>290</v>
      </c>
      <c r="AB6" s="109" t="s">
        <v>290</v>
      </c>
      <c r="AC6" s="109" t="s">
        <v>290</v>
      </c>
      <c r="AD6" s="109" t="s">
        <v>290</v>
      </c>
      <c r="AE6" s="109" t="s">
        <v>290</v>
      </c>
      <c r="AF6" s="109" t="s">
        <v>290</v>
      </c>
      <c r="AG6" s="109" t="s">
        <v>290</v>
      </c>
      <c r="AH6" s="109" t="s">
        <v>290</v>
      </c>
      <c r="AI6" s="109" t="s">
        <v>290</v>
      </c>
      <c r="AJ6" s="109" t="s">
        <v>290</v>
      </c>
      <c r="AK6" s="109" t="s">
        <v>290</v>
      </c>
      <c r="AL6" s="109" t="s">
        <v>290</v>
      </c>
      <c r="AM6" s="109" t="s">
        <v>290</v>
      </c>
      <c r="AN6" s="109" t="s">
        <v>290</v>
      </c>
      <c r="AO6" s="109" t="s">
        <v>290</v>
      </c>
      <c r="AP6" s="109" t="s">
        <v>290</v>
      </c>
      <c r="AQ6" s="109" t="s">
        <v>290</v>
      </c>
      <c r="AR6" s="109" t="s">
        <v>290</v>
      </c>
      <c r="AS6" s="109" t="s">
        <v>290</v>
      </c>
      <c r="AT6" s="109" t="s">
        <v>290</v>
      </c>
      <c r="AU6" s="109" t="s">
        <v>290</v>
      </c>
      <c r="AV6" s="109" t="s">
        <v>290</v>
      </c>
      <c r="AW6" s="109" t="s">
        <v>290</v>
      </c>
      <c r="AX6" s="109" t="s">
        <v>290</v>
      </c>
      <c r="AY6" s="9" t="s">
        <v>291</v>
      </c>
      <c r="AZ6" s="139" t="s">
        <v>150</v>
      </c>
    </row>
    <row r="7" spans="1:52">
      <c r="A7" s="112" t="s">
        <v>125</v>
      </c>
      <c r="B7" s="140">
        <v>1</v>
      </c>
      <c r="C7" s="141" t="s">
        <v>294</v>
      </c>
      <c r="D7" s="141">
        <v>600.00000000000045</v>
      </c>
      <c r="E7" s="141">
        <v>600.00000000000045</v>
      </c>
      <c r="F7" s="141">
        <v>600.00000000000045</v>
      </c>
      <c r="G7" s="141">
        <v>600.00000000000045</v>
      </c>
      <c r="H7" s="141">
        <v>1.8467323872440043E-19</v>
      </c>
      <c r="I7" s="141">
        <v>1.8467323872440043E-19</v>
      </c>
      <c r="J7" s="141">
        <v>1.8467323872440043E-19</v>
      </c>
      <c r="K7" s="141">
        <v>1.8467323872440043E-19</v>
      </c>
      <c r="L7" s="141">
        <v>720.00000000000057</v>
      </c>
      <c r="M7" s="141">
        <v>720.00000000000057</v>
      </c>
      <c r="N7" s="141">
        <v>720.00000000000057</v>
      </c>
      <c r="O7" s="141">
        <v>720.00000000000057</v>
      </c>
      <c r="P7" s="141">
        <v>600.00000000000045</v>
      </c>
      <c r="Q7" s="141">
        <v>600.00000000000045</v>
      </c>
      <c r="R7" s="141">
        <v>600.00000000000045</v>
      </c>
      <c r="S7" s="141">
        <v>600.00000000000045</v>
      </c>
      <c r="T7" s="141">
        <v>720.00000000000057</v>
      </c>
      <c r="U7" s="141">
        <v>720.00000000000057</v>
      </c>
      <c r="V7" s="141">
        <v>720.00000000000057</v>
      </c>
      <c r="W7" s="141">
        <v>720.00000000000057</v>
      </c>
      <c r="X7" s="141">
        <v>600.00000000000045</v>
      </c>
      <c r="Y7" s="141">
        <v>600.00000000000045</v>
      </c>
      <c r="Z7" s="141">
        <v>600.00000000000045</v>
      </c>
      <c r="AA7" s="141">
        <v>600.00000000000045</v>
      </c>
      <c r="AB7" s="141">
        <v>600.00000000000045</v>
      </c>
      <c r="AC7" s="141">
        <v>600.00000000000045</v>
      </c>
      <c r="AD7" s="141">
        <v>600.00000000000045</v>
      </c>
      <c r="AE7" s="141">
        <v>600.00000000000045</v>
      </c>
      <c r="AF7" s="141">
        <v>480.0000000000004</v>
      </c>
      <c r="AG7" s="141">
        <v>480.0000000000004</v>
      </c>
      <c r="AH7" s="141">
        <v>480.0000000000004</v>
      </c>
      <c r="AI7" s="141">
        <v>480.0000000000004</v>
      </c>
      <c r="AJ7" s="141">
        <v>600.00000000000045</v>
      </c>
      <c r="AK7" s="141">
        <v>600.00000000000045</v>
      </c>
      <c r="AL7" s="141">
        <v>600.00000000000045</v>
      </c>
      <c r="AM7" s="141">
        <v>600.00000000000045</v>
      </c>
      <c r="AN7" s="141">
        <v>600.00000000000045</v>
      </c>
      <c r="AO7" s="141">
        <v>600.00000000000045</v>
      </c>
      <c r="AP7" s="141">
        <v>600.00000000000045</v>
      </c>
      <c r="AQ7" s="141">
        <v>600.00000000000045</v>
      </c>
      <c r="AR7" s="141">
        <v>600.00000000000045</v>
      </c>
      <c r="AS7" s="141">
        <v>600.00000000000045</v>
      </c>
      <c r="AT7" s="141">
        <v>600.00000000000045</v>
      </c>
      <c r="AU7" s="141">
        <v>600.00000000000045</v>
      </c>
      <c r="AV7" s="141">
        <v>600.00000000000045</v>
      </c>
      <c r="AW7" s="141">
        <v>600.00000000000045</v>
      </c>
      <c r="AX7" s="141">
        <v>600.00000000000045</v>
      </c>
      <c r="AY7" s="141">
        <v>600.00000000000045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295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294</v>
      </c>
      <c r="D10" s="141">
        <f t="shared" ref="D10:AY10" si="0">MAX(SUM(D$14:D$16)+D$7-$B$3,0)</f>
        <v>4.5474735088646412E-13</v>
      </c>
      <c r="E10" s="141">
        <f t="shared" si="0"/>
        <v>4.5474735088646412E-13</v>
      </c>
      <c r="F10" s="141">
        <f t="shared" si="0"/>
        <v>4.5474735088646412E-13</v>
      </c>
      <c r="G10" s="141">
        <f t="shared" si="0"/>
        <v>4.5474735088646412E-13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120.00000000000057</v>
      </c>
      <c r="M10" s="141">
        <f t="shared" si="0"/>
        <v>120.00000000000057</v>
      </c>
      <c r="N10" s="141">
        <f t="shared" si="0"/>
        <v>120.00000000000057</v>
      </c>
      <c r="O10" s="141">
        <f t="shared" si="0"/>
        <v>120.00000000000057</v>
      </c>
      <c r="P10" s="141">
        <f t="shared" si="0"/>
        <v>4.5474735088646412E-13</v>
      </c>
      <c r="Q10" s="141">
        <f t="shared" si="0"/>
        <v>4.5474735088646412E-13</v>
      </c>
      <c r="R10" s="141">
        <f t="shared" si="0"/>
        <v>4.5474735088646412E-13</v>
      </c>
      <c r="S10" s="141">
        <f t="shared" si="0"/>
        <v>4.5474735088646412E-13</v>
      </c>
      <c r="T10" s="141">
        <f t="shared" si="0"/>
        <v>120.00000000000057</v>
      </c>
      <c r="U10" s="141">
        <f t="shared" si="0"/>
        <v>120.00000000000057</v>
      </c>
      <c r="V10" s="141">
        <f t="shared" si="0"/>
        <v>120.00000000000057</v>
      </c>
      <c r="W10" s="141">
        <f t="shared" si="0"/>
        <v>120.00000000000057</v>
      </c>
      <c r="X10" s="141">
        <f t="shared" si="0"/>
        <v>4.5474735088646412E-13</v>
      </c>
      <c r="Y10" s="141">
        <f t="shared" si="0"/>
        <v>4.5474735088646412E-13</v>
      </c>
      <c r="Z10" s="141">
        <f t="shared" si="0"/>
        <v>4.5474735088646412E-13</v>
      </c>
      <c r="AA10" s="141">
        <f t="shared" si="0"/>
        <v>4.5474735088646412E-13</v>
      </c>
      <c r="AB10" s="141">
        <f t="shared" si="0"/>
        <v>4.5474735088646412E-13</v>
      </c>
      <c r="AC10" s="141">
        <f t="shared" si="0"/>
        <v>4.5474735088646412E-13</v>
      </c>
      <c r="AD10" s="141">
        <f t="shared" si="0"/>
        <v>4.5474735088646412E-13</v>
      </c>
      <c r="AE10" s="141">
        <f t="shared" si="0"/>
        <v>4.5474735088646412E-13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4.5474735088646412E-13</v>
      </c>
      <c r="AK10" s="141">
        <f t="shared" si="0"/>
        <v>4.5474735088646412E-13</v>
      </c>
      <c r="AL10" s="141">
        <f t="shared" si="0"/>
        <v>4.5474735088646412E-13</v>
      </c>
      <c r="AM10" s="141">
        <f t="shared" si="0"/>
        <v>4.5474735088646412E-13</v>
      </c>
      <c r="AN10" s="141">
        <f t="shared" si="0"/>
        <v>4.5474735088646412E-13</v>
      </c>
      <c r="AO10" s="141">
        <f t="shared" si="0"/>
        <v>4.5474735088646412E-13</v>
      </c>
      <c r="AP10" s="141">
        <f t="shared" si="0"/>
        <v>4.5474735088646412E-13</v>
      </c>
      <c r="AQ10" s="141">
        <f t="shared" si="0"/>
        <v>4.5474735088646412E-13</v>
      </c>
      <c r="AR10" s="141">
        <f t="shared" si="0"/>
        <v>4.5474735088646412E-13</v>
      </c>
      <c r="AS10" s="141">
        <f t="shared" si="0"/>
        <v>600.00000000000045</v>
      </c>
      <c r="AT10" s="141">
        <f t="shared" si="0"/>
        <v>4.5474735088646412E-13</v>
      </c>
      <c r="AU10" s="141">
        <f t="shared" si="0"/>
        <v>4.5474735088646412E-13</v>
      </c>
      <c r="AV10" s="141">
        <f t="shared" si="0"/>
        <v>4.5474735088646412E-13</v>
      </c>
      <c r="AW10" s="141">
        <f t="shared" si="0"/>
        <v>4.5474735088646412E-13</v>
      </c>
      <c r="AX10" s="141">
        <f t="shared" si="0"/>
        <v>4.5474735088646412E-13</v>
      </c>
      <c r="AY10" s="141">
        <f t="shared" si="0"/>
        <v>4.5474735088646412E-13</v>
      </c>
      <c r="AZ10" s="148">
        <f>SUM($D10:$AY10)</f>
        <v>1560.0000000000191</v>
      </c>
    </row>
    <row r="11" spans="1:52">
      <c r="C11" s="108"/>
    </row>
    <row r="12" spans="1:52">
      <c r="A12" s="149" t="s">
        <v>296</v>
      </c>
      <c r="B12" s="143"/>
      <c r="C12" s="108"/>
    </row>
    <row r="13" spans="1:52">
      <c r="A13" s="119" t="s">
        <v>125</v>
      </c>
      <c r="B13" s="120">
        <v>1</v>
      </c>
      <c r="C13" s="121">
        <v>394.87778597704909</v>
      </c>
      <c r="D13" s="135">
        <f t="shared" ref="D13:AY13" si="1">D$7-D$10</f>
        <v>600</v>
      </c>
      <c r="E13" s="135">
        <f t="shared" si="1"/>
        <v>600</v>
      </c>
      <c r="F13" s="135">
        <f t="shared" si="1"/>
        <v>600</v>
      </c>
      <c r="G13" s="135">
        <f t="shared" si="1"/>
        <v>600</v>
      </c>
      <c r="H13" s="135">
        <f t="shared" si="1"/>
        <v>1.8467323872440043E-19</v>
      </c>
      <c r="I13" s="135">
        <f t="shared" si="1"/>
        <v>1.8467323872440043E-19</v>
      </c>
      <c r="J13" s="135">
        <f t="shared" si="1"/>
        <v>1.8467323872440043E-19</v>
      </c>
      <c r="K13" s="135">
        <f t="shared" si="1"/>
        <v>1.8467323872440043E-19</v>
      </c>
      <c r="L13" s="135">
        <f t="shared" si="1"/>
        <v>600</v>
      </c>
      <c r="M13" s="135">
        <f t="shared" si="1"/>
        <v>600</v>
      </c>
      <c r="N13" s="135">
        <f t="shared" si="1"/>
        <v>600</v>
      </c>
      <c r="O13" s="135">
        <f t="shared" si="1"/>
        <v>600</v>
      </c>
      <c r="P13" s="135">
        <f t="shared" si="1"/>
        <v>600</v>
      </c>
      <c r="Q13" s="135">
        <f t="shared" si="1"/>
        <v>600</v>
      </c>
      <c r="R13" s="135">
        <f t="shared" si="1"/>
        <v>600</v>
      </c>
      <c r="S13" s="135">
        <f t="shared" si="1"/>
        <v>600</v>
      </c>
      <c r="T13" s="135">
        <f t="shared" si="1"/>
        <v>600</v>
      </c>
      <c r="U13" s="135">
        <f t="shared" si="1"/>
        <v>600</v>
      </c>
      <c r="V13" s="135">
        <f t="shared" si="1"/>
        <v>600</v>
      </c>
      <c r="W13" s="135">
        <f t="shared" si="1"/>
        <v>600</v>
      </c>
      <c r="X13" s="135">
        <f t="shared" si="1"/>
        <v>600</v>
      </c>
      <c r="Y13" s="135">
        <f t="shared" si="1"/>
        <v>600</v>
      </c>
      <c r="Z13" s="135">
        <f t="shared" si="1"/>
        <v>600</v>
      </c>
      <c r="AA13" s="135">
        <f t="shared" si="1"/>
        <v>600</v>
      </c>
      <c r="AB13" s="135">
        <f t="shared" si="1"/>
        <v>600</v>
      </c>
      <c r="AC13" s="135">
        <f t="shared" si="1"/>
        <v>600</v>
      </c>
      <c r="AD13" s="135">
        <f t="shared" si="1"/>
        <v>600</v>
      </c>
      <c r="AE13" s="135">
        <f t="shared" si="1"/>
        <v>600</v>
      </c>
      <c r="AF13" s="135">
        <f t="shared" si="1"/>
        <v>480.0000000000004</v>
      </c>
      <c r="AG13" s="135">
        <f t="shared" si="1"/>
        <v>480.0000000000004</v>
      </c>
      <c r="AH13" s="135">
        <f t="shared" si="1"/>
        <v>480.0000000000004</v>
      </c>
      <c r="AI13" s="135">
        <f t="shared" si="1"/>
        <v>480.0000000000004</v>
      </c>
      <c r="AJ13" s="135">
        <f t="shared" si="1"/>
        <v>600</v>
      </c>
      <c r="AK13" s="135">
        <f t="shared" si="1"/>
        <v>600</v>
      </c>
      <c r="AL13" s="135">
        <f t="shared" si="1"/>
        <v>600</v>
      </c>
      <c r="AM13" s="135">
        <f t="shared" si="1"/>
        <v>600</v>
      </c>
      <c r="AN13" s="135">
        <f t="shared" si="1"/>
        <v>600</v>
      </c>
      <c r="AO13" s="135">
        <f t="shared" si="1"/>
        <v>600</v>
      </c>
      <c r="AP13" s="135">
        <f t="shared" si="1"/>
        <v>600</v>
      </c>
      <c r="AQ13" s="135">
        <f t="shared" si="1"/>
        <v>600</v>
      </c>
      <c r="AR13" s="135">
        <f t="shared" si="1"/>
        <v>600</v>
      </c>
      <c r="AS13" s="135">
        <f t="shared" si="1"/>
        <v>0</v>
      </c>
      <c r="AT13" s="135">
        <f t="shared" si="1"/>
        <v>600</v>
      </c>
      <c r="AU13" s="135">
        <f t="shared" si="1"/>
        <v>600</v>
      </c>
      <c r="AV13" s="135">
        <f t="shared" si="1"/>
        <v>600</v>
      </c>
      <c r="AW13" s="135">
        <f t="shared" si="1"/>
        <v>600</v>
      </c>
      <c r="AX13" s="135">
        <f t="shared" si="1"/>
        <v>600</v>
      </c>
      <c r="AY13" s="135">
        <f t="shared" si="1"/>
        <v>600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600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297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306</v>
      </c>
      <c r="B20" s="151" t="s">
        <v>307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 t="s">
        <v>340</v>
      </c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shipping_manufacturing!$C$19/100</f>
        <v>0.4766382762230218</v>
      </c>
      <c r="C21" s="153" t="s">
        <v>294</v>
      </c>
      <c r="D21" s="104">
        <f>IF(C$20="Yes",0,SUM(C$13:C$16)*$B$21)</f>
        <v>188.21386722686401</v>
      </c>
      <c r="E21" s="104">
        <f t="shared" ref="E21:AY21" si="3">IF(D$20="Yes",0,SUM(D$13:D$16)*$B$21)</f>
        <v>285.9829657338131</v>
      </c>
      <c r="F21" s="104">
        <f t="shared" si="3"/>
        <v>285.9829657338131</v>
      </c>
      <c r="G21" s="104">
        <f t="shared" si="3"/>
        <v>285.9829657338131</v>
      </c>
      <c r="H21" s="104">
        <f t="shared" si="3"/>
        <v>285.9829657338131</v>
      </c>
      <c r="I21" s="104">
        <f t="shared" si="3"/>
        <v>8.8022334170120816E-20</v>
      </c>
      <c r="J21" s="104">
        <f t="shared" si="3"/>
        <v>8.8022334170120816E-20</v>
      </c>
      <c r="K21" s="104">
        <f t="shared" si="3"/>
        <v>8.8022334170120816E-20</v>
      </c>
      <c r="L21" s="104">
        <f t="shared" si="3"/>
        <v>8.8022334170120816E-20</v>
      </c>
      <c r="M21" s="104">
        <f t="shared" si="3"/>
        <v>285.9829657338131</v>
      </c>
      <c r="N21" s="104">
        <f t="shared" si="3"/>
        <v>285.9829657338131</v>
      </c>
      <c r="O21" s="104">
        <f t="shared" si="3"/>
        <v>285.9829657338131</v>
      </c>
      <c r="P21" s="104">
        <f t="shared" si="3"/>
        <v>285.9829657338131</v>
      </c>
      <c r="Q21" s="104">
        <f t="shared" si="3"/>
        <v>285.9829657338131</v>
      </c>
      <c r="R21" s="104">
        <f t="shared" si="3"/>
        <v>285.9829657338131</v>
      </c>
      <c r="S21" s="104">
        <f t="shared" si="3"/>
        <v>285.9829657338131</v>
      </c>
      <c r="T21" s="104">
        <f t="shared" si="3"/>
        <v>285.9829657338131</v>
      </c>
      <c r="U21" s="104">
        <f t="shared" si="3"/>
        <v>285.9829657338131</v>
      </c>
      <c r="V21" s="104">
        <f t="shared" si="3"/>
        <v>285.9829657338131</v>
      </c>
      <c r="W21" s="104">
        <f t="shared" si="3"/>
        <v>285.9829657338131</v>
      </c>
      <c r="X21" s="104">
        <f t="shared" si="3"/>
        <v>285.9829657338131</v>
      </c>
      <c r="Y21" s="104">
        <f t="shared" si="3"/>
        <v>285.9829657338131</v>
      </c>
      <c r="Z21" s="104">
        <f t="shared" si="3"/>
        <v>285.9829657338131</v>
      </c>
      <c r="AA21" s="104">
        <f t="shared" si="3"/>
        <v>285.9829657338131</v>
      </c>
      <c r="AB21" s="104">
        <f t="shared" si="3"/>
        <v>285.9829657338131</v>
      </c>
      <c r="AC21" s="104">
        <f t="shared" si="3"/>
        <v>285.9829657338131</v>
      </c>
      <c r="AD21" s="104">
        <f t="shared" si="3"/>
        <v>285.9829657338131</v>
      </c>
      <c r="AE21" s="104">
        <f t="shared" si="3"/>
        <v>285.9829657338131</v>
      </c>
      <c r="AF21" s="104">
        <f t="shared" si="3"/>
        <v>285.9829657338131</v>
      </c>
      <c r="AG21" s="104">
        <f t="shared" si="3"/>
        <v>228.78637258705066</v>
      </c>
      <c r="AH21" s="104">
        <f t="shared" si="3"/>
        <v>228.78637258705066</v>
      </c>
      <c r="AI21" s="104">
        <f t="shared" si="3"/>
        <v>228.78637258705066</v>
      </c>
      <c r="AJ21" s="104">
        <f t="shared" si="3"/>
        <v>228.78637258705066</v>
      </c>
      <c r="AK21" s="104">
        <f t="shared" si="3"/>
        <v>285.9829657338131</v>
      </c>
      <c r="AL21" s="104">
        <f t="shared" si="3"/>
        <v>285.9829657338131</v>
      </c>
      <c r="AM21" s="104">
        <f t="shared" si="3"/>
        <v>285.9829657338131</v>
      </c>
      <c r="AN21" s="104">
        <f t="shared" si="3"/>
        <v>285.9829657338131</v>
      </c>
      <c r="AO21" s="104">
        <f t="shared" si="3"/>
        <v>285.9829657338131</v>
      </c>
      <c r="AP21" s="104">
        <f t="shared" si="3"/>
        <v>285.9829657338131</v>
      </c>
      <c r="AQ21" s="104">
        <f t="shared" si="3"/>
        <v>285.9829657338131</v>
      </c>
      <c r="AR21" s="104">
        <f t="shared" si="3"/>
        <v>285.9829657338131</v>
      </c>
      <c r="AS21" s="104">
        <f t="shared" si="3"/>
        <v>0</v>
      </c>
      <c r="AT21" s="104">
        <f t="shared" si="3"/>
        <v>285.9829657338131</v>
      </c>
      <c r="AU21" s="104">
        <f t="shared" si="3"/>
        <v>285.9829657338131</v>
      </c>
      <c r="AV21" s="104">
        <f t="shared" si="3"/>
        <v>285.9829657338131</v>
      </c>
      <c r="AW21" s="104">
        <f t="shared" si="3"/>
        <v>285.9829657338131</v>
      </c>
      <c r="AX21" s="104">
        <f t="shared" si="3"/>
        <v>285.9829657338131</v>
      </c>
      <c r="AY21" s="104">
        <f t="shared" si="3"/>
        <v>285.9829657338131</v>
      </c>
      <c r="AZ21" s="154">
        <f>SUM($D21:$AY21)</f>
        <v>11970.712055459955</v>
      </c>
    </row>
    <row r="22" spans="1:52" s="108" customFormat="1">
      <c r="A22" s="155" t="s">
        <v>123</v>
      </c>
      <c r="B22" s="156">
        <f>1-$B$21</f>
        <v>0.5233617237769782</v>
      </c>
      <c r="C22" s="156" t="s">
        <v>294</v>
      </c>
      <c r="D22" s="111">
        <f>IF(C$20="Yes",0,SUM(C$13:C$16)*$B$22)</f>
        <v>206.66391875018508</v>
      </c>
      <c r="E22" s="111">
        <f t="shared" ref="E22:AY22" si="4">IF(D$20="Yes",0,SUM(D$13:D$16)*$B$22)</f>
        <v>314.0170342661869</v>
      </c>
      <c r="F22" s="111">
        <f t="shared" si="4"/>
        <v>314.0170342661869</v>
      </c>
      <c r="G22" s="111">
        <f t="shared" si="4"/>
        <v>314.0170342661869</v>
      </c>
      <c r="H22" s="111">
        <f t="shared" si="4"/>
        <v>314.0170342661869</v>
      </c>
      <c r="I22" s="111">
        <f t="shared" si="4"/>
        <v>9.6650904554279613E-20</v>
      </c>
      <c r="J22" s="111">
        <f t="shared" si="4"/>
        <v>9.6650904554279613E-20</v>
      </c>
      <c r="K22" s="111">
        <f t="shared" si="4"/>
        <v>9.6650904554279613E-20</v>
      </c>
      <c r="L22" s="111">
        <f t="shared" si="4"/>
        <v>9.6650904554279613E-20</v>
      </c>
      <c r="M22" s="111">
        <f t="shared" si="4"/>
        <v>314.0170342661869</v>
      </c>
      <c r="N22" s="111">
        <f t="shared" si="4"/>
        <v>314.0170342661869</v>
      </c>
      <c r="O22" s="111">
        <f t="shared" si="4"/>
        <v>314.0170342661869</v>
      </c>
      <c r="P22" s="111">
        <f t="shared" si="4"/>
        <v>314.0170342661869</v>
      </c>
      <c r="Q22" s="111">
        <f t="shared" si="4"/>
        <v>314.0170342661869</v>
      </c>
      <c r="R22" s="111">
        <f t="shared" si="4"/>
        <v>314.0170342661869</v>
      </c>
      <c r="S22" s="111">
        <f t="shared" si="4"/>
        <v>314.0170342661869</v>
      </c>
      <c r="T22" s="111">
        <f t="shared" si="4"/>
        <v>314.0170342661869</v>
      </c>
      <c r="U22" s="111">
        <f t="shared" si="4"/>
        <v>314.0170342661869</v>
      </c>
      <c r="V22" s="111">
        <f t="shared" si="4"/>
        <v>314.0170342661869</v>
      </c>
      <c r="W22" s="111">
        <f t="shared" si="4"/>
        <v>314.0170342661869</v>
      </c>
      <c r="X22" s="111">
        <f t="shared" si="4"/>
        <v>314.0170342661869</v>
      </c>
      <c r="Y22" s="111">
        <f t="shared" si="4"/>
        <v>314.0170342661869</v>
      </c>
      <c r="Z22" s="111">
        <f t="shared" si="4"/>
        <v>314.0170342661869</v>
      </c>
      <c r="AA22" s="111">
        <f t="shared" si="4"/>
        <v>314.0170342661869</v>
      </c>
      <c r="AB22" s="111">
        <f t="shared" si="4"/>
        <v>314.0170342661869</v>
      </c>
      <c r="AC22" s="111">
        <f t="shared" si="4"/>
        <v>314.0170342661869</v>
      </c>
      <c r="AD22" s="111">
        <f t="shared" si="4"/>
        <v>314.0170342661869</v>
      </c>
      <c r="AE22" s="111">
        <f t="shared" si="4"/>
        <v>314.0170342661869</v>
      </c>
      <c r="AF22" s="111">
        <f t="shared" si="4"/>
        <v>314.0170342661869</v>
      </c>
      <c r="AG22" s="111">
        <f t="shared" si="4"/>
        <v>251.21362741294973</v>
      </c>
      <c r="AH22" s="111">
        <f t="shared" si="4"/>
        <v>251.21362741294973</v>
      </c>
      <c r="AI22" s="111">
        <f t="shared" si="4"/>
        <v>251.21362741294973</v>
      </c>
      <c r="AJ22" s="111">
        <f t="shared" si="4"/>
        <v>251.21362741294973</v>
      </c>
      <c r="AK22" s="111">
        <f t="shared" si="4"/>
        <v>314.0170342661869</v>
      </c>
      <c r="AL22" s="111">
        <f t="shared" si="4"/>
        <v>314.0170342661869</v>
      </c>
      <c r="AM22" s="111">
        <f t="shared" si="4"/>
        <v>314.0170342661869</v>
      </c>
      <c r="AN22" s="111">
        <f t="shared" si="4"/>
        <v>314.0170342661869</v>
      </c>
      <c r="AO22" s="111">
        <f t="shared" si="4"/>
        <v>314.0170342661869</v>
      </c>
      <c r="AP22" s="111">
        <f t="shared" si="4"/>
        <v>314.0170342661869</v>
      </c>
      <c r="AQ22" s="111">
        <f t="shared" si="4"/>
        <v>314.0170342661869</v>
      </c>
      <c r="AR22" s="111">
        <f t="shared" si="4"/>
        <v>314.0170342661869</v>
      </c>
      <c r="AS22" s="111">
        <f t="shared" si="4"/>
        <v>0</v>
      </c>
      <c r="AT22" s="111">
        <f t="shared" si="4"/>
        <v>314.0170342661869</v>
      </c>
      <c r="AU22" s="111">
        <f t="shared" si="4"/>
        <v>314.0170342661869</v>
      </c>
      <c r="AV22" s="111">
        <f t="shared" si="4"/>
        <v>314.0170342661869</v>
      </c>
      <c r="AW22" s="111">
        <f t="shared" si="4"/>
        <v>314.0170342661869</v>
      </c>
      <c r="AX22" s="111">
        <f t="shared" si="4"/>
        <v>314.0170342661869</v>
      </c>
      <c r="AY22" s="111">
        <f t="shared" si="4"/>
        <v>314.0170342661869</v>
      </c>
      <c r="AZ22" s="138">
        <f t="shared" ref="AZ22:AZ30" si="5">SUM($D22:$AY22)</f>
        <v>13144.165730517096</v>
      </c>
    </row>
    <row r="23" spans="1:52">
      <c r="A23" s="157" t="s">
        <v>308</v>
      </c>
      <c r="B23" s="121">
        <v>2000</v>
      </c>
      <c r="C23" t="s">
        <v>294</v>
      </c>
      <c r="D23">
        <f>D$21*$B$23</f>
        <v>376427.73445372802</v>
      </c>
      <c r="E23">
        <f t="shared" ref="E23:AY23" si="6">E$21*$B$23</f>
        <v>571965.93146762624</v>
      </c>
      <c r="F23">
        <f t="shared" si="6"/>
        <v>571965.93146762624</v>
      </c>
      <c r="G23">
        <f t="shared" si="6"/>
        <v>571965.93146762624</v>
      </c>
      <c r="H23">
        <f t="shared" si="6"/>
        <v>571965.93146762624</v>
      </c>
      <c r="I23">
        <f t="shared" si="6"/>
        <v>1.7604466834024163E-16</v>
      </c>
      <c r="J23">
        <f t="shared" si="6"/>
        <v>1.7604466834024163E-16</v>
      </c>
      <c r="K23">
        <f t="shared" si="6"/>
        <v>1.7604466834024163E-16</v>
      </c>
      <c r="L23">
        <f t="shared" si="6"/>
        <v>1.7604466834024163E-16</v>
      </c>
      <c r="M23">
        <f t="shared" si="6"/>
        <v>571965.93146762624</v>
      </c>
      <c r="N23">
        <f t="shared" si="6"/>
        <v>571965.93146762624</v>
      </c>
      <c r="O23">
        <f t="shared" si="6"/>
        <v>571965.93146762624</v>
      </c>
      <c r="P23">
        <f t="shared" si="6"/>
        <v>571965.93146762624</v>
      </c>
      <c r="Q23">
        <f t="shared" si="6"/>
        <v>571965.93146762624</v>
      </c>
      <c r="R23">
        <f t="shared" si="6"/>
        <v>571965.93146762624</v>
      </c>
      <c r="S23">
        <f t="shared" si="6"/>
        <v>571965.93146762624</v>
      </c>
      <c r="T23">
        <f t="shared" si="6"/>
        <v>571965.93146762624</v>
      </c>
      <c r="U23">
        <f t="shared" si="6"/>
        <v>571965.93146762624</v>
      </c>
      <c r="V23">
        <f t="shared" si="6"/>
        <v>571965.93146762624</v>
      </c>
      <c r="W23">
        <f t="shared" si="6"/>
        <v>571965.93146762624</v>
      </c>
      <c r="X23">
        <f t="shared" si="6"/>
        <v>571965.93146762624</v>
      </c>
      <c r="Y23">
        <f t="shared" si="6"/>
        <v>571965.93146762624</v>
      </c>
      <c r="Z23">
        <f t="shared" si="6"/>
        <v>571965.93146762624</v>
      </c>
      <c r="AA23">
        <f t="shared" si="6"/>
        <v>571965.93146762624</v>
      </c>
      <c r="AB23">
        <f t="shared" si="6"/>
        <v>571965.93146762624</v>
      </c>
      <c r="AC23">
        <f t="shared" si="6"/>
        <v>571965.93146762624</v>
      </c>
      <c r="AD23">
        <f t="shared" si="6"/>
        <v>571965.93146762624</v>
      </c>
      <c r="AE23">
        <f t="shared" si="6"/>
        <v>571965.93146762624</v>
      </c>
      <c r="AF23">
        <f t="shared" si="6"/>
        <v>571965.93146762624</v>
      </c>
      <c r="AG23">
        <f t="shared" si="6"/>
        <v>457572.74517410132</v>
      </c>
      <c r="AH23">
        <f t="shared" si="6"/>
        <v>457572.74517410132</v>
      </c>
      <c r="AI23">
        <f t="shared" si="6"/>
        <v>457572.74517410132</v>
      </c>
      <c r="AJ23">
        <f t="shared" si="6"/>
        <v>457572.74517410132</v>
      </c>
      <c r="AK23">
        <f t="shared" si="6"/>
        <v>571965.93146762624</v>
      </c>
      <c r="AL23">
        <f t="shared" si="6"/>
        <v>571965.93146762624</v>
      </c>
      <c r="AM23">
        <f t="shared" si="6"/>
        <v>571965.93146762624</v>
      </c>
      <c r="AN23">
        <f t="shared" si="6"/>
        <v>571965.93146762624</v>
      </c>
      <c r="AO23">
        <f t="shared" si="6"/>
        <v>571965.93146762624</v>
      </c>
      <c r="AP23">
        <f t="shared" si="6"/>
        <v>571965.93146762624</v>
      </c>
      <c r="AQ23">
        <f t="shared" si="6"/>
        <v>571965.93146762624</v>
      </c>
      <c r="AR23">
        <f t="shared" si="6"/>
        <v>571965.93146762624</v>
      </c>
      <c r="AS23">
        <f t="shared" si="6"/>
        <v>0</v>
      </c>
      <c r="AT23">
        <f t="shared" si="6"/>
        <v>571965.93146762624</v>
      </c>
      <c r="AU23">
        <f t="shared" si="6"/>
        <v>571965.93146762624</v>
      </c>
      <c r="AV23">
        <f t="shared" si="6"/>
        <v>571965.93146762624</v>
      </c>
      <c r="AW23">
        <f t="shared" si="6"/>
        <v>571965.93146762624</v>
      </c>
      <c r="AX23">
        <f t="shared" si="6"/>
        <v>571965.93146762624</v>
      </c>
      <c r="AY23">
        <f t="shared" si="6"/>
        <v>571965.93146762624</v>
      </c>
      <c r="AZ23" s="136">
        <f t="shared" si="5"/>
        <v>23941424.11091993</v>
      </c>
    </row>
    <row r="24" spans="1:52" s="108" customFormat="1">
      <c r="A24" s="158" t="s">
        <v>309</v>
      </c>
      <c r="B24" s="159">
        <v>1000</v>
      </c>
      <c r="C24" s="153" t="s">
        <v>294</v>
      </c>
      <c r="D24" s="104">
        <f>D$22*$B$24</f>
        <v>206663.91875018508</v>
      </c>
      <c r="E24" s="104">
        <f t="shared" ref="E24:AY24" si="7">E$22*$B$24</f>
        <v>314017.03426618688</v>
      </c>
      <c r="F24" s="104">
        <f t="shared" si="7"/>
        <v>314017.03426618688</v>
      </c>
      <c r="G24" s="104">
        <f t="shared" si="7"/>
        <v>314017.03426618688</v>
      </c>
      <c r="H24" s="104">
        <f t="shared" si="7"/>
        <v>314017.03426618688</v>
      </c>
      <c r="I24" s="104">
        <f t="shared" si="7"/>
        <v>9.6650904554279611E-17</v>
      </c>
      <c r="J24" s="104">
        <f t="shared" si="7"/>
        <v>9.6650904554279611E-17</v>
      </c>
      <c r="K24" s="104">
        <f t="shared" si="7"/>
        <v>9.6650904554279611E-17</v>
      </c>
      <c r="L24" s="104">
        <f t="shared" si="7"/>
        <v>9.6650904554279611E-17</v>
      </c>
      <c r="M24" s="104">
        <f t="shared" si="7"/>
        <v>314017.03426618688</v>
      </c>
      <c r="N24" s="104">
        <f t="shared" si="7"/>
        <v>314017.03426618688</v>
      </c>
      <c r="O24" s="104">
        <f t="shared" si="7"/>
        <v>314017.03426618688</v>
      </c>
      <c r="P24" s="104">
        <f t="shared" si="7"/>
        <v>314017.03426618688</v>
      </c>
      <c r="Q24" s="104">
        <f t="shared" si="7"/>
        <v>314017.03426618688</v>
      </c>
      <c r="R24" s="104">
        <f t="shared" si="7"/>
        <v>314017.03426618688</v>
      </c>
      <c r="S24" s="104">
        <f t="shared" si="7"/>
        <v>314017.03426618688</v>
      </c>
      <c r="T24" s="104">
        <f t="shared" si="7"/>
        <v>314017.03426618688</v>
      </c>
      <c r="U24" s="104">
        <f t="shared" si="7"/>
        <v>314017.03426618688</v>
      </c>
      <c r="V24" s="104">
        <f t="shared" si="7"/>
        <v>314017.03426618688</v>
      </c>
      <c r="W24" s="104">
        <f t="shared" si="7"/>
        <v>314017.03426618688</v>
      </c>
      <c r="X24" s="104">
        <f t="shared" si="7"/>
        <v>314017.03426618688</v>
      </c>
      <c r="Y24" s="104">
        <f t="shared" si="7"/>
        <v>314017.03426618688</v>
      </c>
      <c r="Z24" s="104">
        <f t="shared" si="7"/>
        <v>314017.03426618688</v>
      </c>
      <c r="AA24" s="104">
        <f t="shared" si="7"/>
        <v>314017.03426618688</v>
      </c>
      <c r="AB24" s="104">
        <f t="shared" si="7"/>
        <v>314017.03426618688</v>
      </c>
      <c r="AC24" s="104">
        <f t="shared" si="7"/>
        <v>314017.03426618688</v>
      </c>
      <c r="AD24" s="104">
        <f t="shared" si="7"/>
        <v>314017.03426618688</v>
      </c>
      <c r="AE24" s="104">
        <f t="shared" si="7"/>
        <v>314017.03426618688</v>
      </c>
      <c r="AF24" s="104">
        <f t="shared" si="7"/>
        <v>314017.03426618688</v>
      </c>
      <c r="AG24" s="104">
        <f t="shared" si="7"/>
        <v>251213.62741294975</v>
      </c>
      <c r="AH24" s="104">
        <f t="shared" si="7"/>
        <v>251213.62741294975</v>
      </c>
      <c r="AI24" s="104">
        <f t="shared" si="7"/>
        <v>251213.62741294975</v>
      </c>
      <c r="AJ24" s="104">
        <f t="shared" si="7"/>
        <v>251213.62741294975</v>
      </c>
      <c r="AK24" s="104">
        <f t="shared" si="7"/>
        <v>314017.03426618688</v>
      </c>
      <c r="AL24" s="104">
        <f t="shared" si="7"/>
        <v>314017.03426618688</v>
      </c>
      <c r="AM24" s="104">
        <f t="shared" si="7"/>
        <v>314017.03426618688</v>
      </c>
      <c r="AN24" s="104">
        <f t="shared" si="7"/>
        <v>314017.03426618688</v>
      </c>
      <c r="AO24" s="104">
        <f t="shared" si="7"/>
        <v>314017.03426618688</v>
      </c>
      <c r="AP24" s="104">
        <f t="shared" si="7"/>
        <v>314017.03426618688</v>
      </c>
      <c r="AQ24" s="104">
        <f t="shared" si="7"/>
        <v>314017.03426618688</v>
      </c>
      <c r="AR24" s="104">
        <f t="shared" si="7"/>
        <v>314017.03426618688</v>
      </c>
      <c r="AS24" s="104">
        <f t="shared" si="7"/>
        <v>0</v>
      </c>
      <c r="AT24" s="104">
        <f t="shared" si="7"/>
        <v>314017.03426618688</v>
      </c>
      <c r="AU24" s="104">
        <f t="shared" si="7"/>
        <v>314017.03426618688</v>
      </c>
      <c r="AV24" s="104">
        <f t="shared" si="7"/>
        <v>314017.03426618688</v>
      </c>
      <c r="AW24" s="104">
        <f t="shared" si="7"/>
        <v>314017.03426618688</v>
      </c>
      <c r="AX24" s="104">
        <f t="shared" si="7"/>
        <v>314017.03426618688</v>
      </c>
      <c r="AY24" s="104">
        <f t="shared" si="7"/>
        <v>314017.03426618688</v>
      </c>
      <c r="AZ24" s="138">
        <f t="shared" si="5"/>
        <v>13144165.730517088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310</v>
      </c>
      <c r="C27" s="121">
        <v>15</v>
      </c>
      <c r="D27" s="121">
        <f>C$27-C$28+C$29</f>
        <v>7</v>
      </c>
      <c r="E27" s="121">
        <f t="shared" ref="E27:AY27" si="8">D27-D28+D29</f>
        <v>15</v>
      </c>
      <c r="F27" s="121">
        <f t="shared" si="8"/>
        <v>7</v>
      </c>
      <c r="G27" s="121">
        <f t="shared" si="8"/>
        <v>15</v>
      </c>
      <c r="H27" s="121">
        <f t="shared" si="8"/>
        <v>7</v>
      </c>
      <c r="I27" s="121">
        <f t="shared" si="8"/>
        <v>15</v>
      </c>
      <c r="J27" s="121">
        <f t="shared" si="8"/>
        <v>20</v>
      </c>
      <c r="K27" s="121">
        <f t="shared" si="8"/>
        <v>20</v>
      </c>
      <c r="L27" s="121">
        <f t="shared" si="8"/>
        <v>20</v>
      </c>
      <c r="M27" s="121">
        <f t="shared" si="8"/>
        <v>20</v>
      </c>
      <c r="N27" s="121">
        <f t="shared" si="8"/>
        <v>2</v>
      </c>
      <c r="O27" s="121">
        <f t="shared" si="8"/>
        <v>20</v>
      </c>
      <c r="P27" s="121">
        <f t="shared" si="8"/>
        <v>2</v>
      </c>
      <c r="Q27" s="121">
        <f t="shared" si="8"/>
        <v>20</v>
      </c>
      <c r="R27" s="121">
        <f t="shared" si="8"/>
        <v>2</v>
      </c>
      <c r="S27" s="121">
        <f t="shared" si="8"/>
        <v>20</v>
      </c>
      <c r="T27" s="121">
        <f t="shared" si="8"/>
        <v>2</v>
      </c>
      <c r="U27" s="121">
        <f t="shared" si="8"/>
        <v>20</v>
      </c>
      <c r="V27" s="121">
        <f t="shared" si="8"/>
        <v>2</v>
      </c>
      <c r="W27" s="121">
        <f t="shared" si="8"/>
        <v>20</v>
      </c>
      <c r="X27" s="121">
        <f t="shared" si="8"/>
        <v>2</v>
      </c>
      <c r="Y27" s="121">
        <f t="shared" si="8"/>
        <v>20</v>
      </c>
      <c r="Z27" s="121">
        <f t="shared" si="8"/>
        <v>2</v>
      </c>
      <c r="AA27" s="121">
        <f t="shared" si="8"/>
        <v>20</v>
      </c>
      <c r="AB27" s="121">
        <f t="shared" si="8"/>
        <v>2</v>
      </c>
      <c r="AC27" s="121">
        <f t="shared" si="8"/>
        <v>20</v>
      </c>
      <c r="AD27" s="121">
        <f t="shared" si="8"/>
        <v>2</v>
      </c>
      <c r="AE27" s="121">
        <f t="shared" si="8"/>
        <v>20</v>
      </c>
      <c r="AF27" s="121">
        <f t="shared" si="8"/>
        <v>2</v>
      </c>
      <c r="AG27" s="121">
        <f t="shared" si="8"/>
        <v>20</v>
      </c>
      <c r="AH27" s="121">
        <f t="shared" si="8"/>
        <v>5</v>
      </c>
      <c r="AI27" s="121">
        <f t="shared" si="8"/>
        <v>17</v>
      </c>
      <c r="AJ27" s="121">
        <f t="shared" si="8"/>
        <v>5</v>
      </c>
      <c r="AK27" s="121">
        <f t="shared" si="8"/>
        <v>17</v>
      </c>
      <c r="AL27" s="121">
        <f t="shared" si="8"/>
        <v>5</v>
      </c>
      <c r="AM27" s="121">
        <f t="shared" si="8"/>
        <v>17</v>
      </c>
      <c r="AN27" s="121">
        <f t="shared" si="8"/>
        <v>5</v>
      </c>
      <c r="AO27" s="121">
        <f t="shared" si="8"/>
        <v>17</v>
      </c>
      <c r="AP27" s="121">
        <f t="shared" si="8"/>
        <v>5</v>
      </c>
      <c r="AQ27" s="121">
        <f t="shared" si="8"/>
        <v>17</v>
      </c>
      <c r="AR27" s="121">
        <f t="shared" si="8"/>
        <v>5</v>
      </c>
      <c r="AS27" s="121">
        <f t="shared" si="8"/>
        <v>17</v>
      </c>
      <c r="AT27" s="121">
        <f t="shared" si="8"/>
        <v>22</v>
      </c>
      <c r="AU27" s="121">
        <f t="shared" si="8"/>
        <v>1</v>
      </c>
      <c r="AV27" s="121">
        <f t="shared" si="8"/>
        <v>21</v>
      </c>
      <c r="AW27" s="121">
        <f t="shared" si="8"/>
        <v>1</v>
      </c>
      <c r="AX27" s="121">
        <f t="shared" si="8"/>
        <v>21</v>
      </c>
      <c r="AY27" s="161">
        <f t="shared" si="8"/>
        <v>1</v>
      </c>
      <c r="AZ27" s="104"/>
    </row>
    <row r="28" spans="1:52">
      <c r="B28" s="162" t="s">
        <v>311</v>
      </c>
      <c r="C28" s="108">
        <v>15</v>
      </c>
      <c r="D28" s="108">
        <v>7</v>
      </c>
      <c r="E28" s="108">
        <v>15</v>
      </c>
      <c r="F28" s="108">
        <v>7</v>
      </c>
      <c r="G28" s="108">
        <v>15</v>
      </c>
      <c r="H28" s="108">
        <v>7</v>
      </c>
      <c r="I28" s="108">
        <v>2</v>
      </c>
      <c r="J28" s="108">
        <v>2</v>
      </c>
      <c r="K28" s="108">
        <v>2</v>
      </c>
      <c r="L28" s="108">
        <v>2</v>
      </c>
      <c r="M28" s="108">
        <v>20</v>
      </c>
      <c r="N28" s="108">
        <v>2</v>
      </c>
      <c r="O28" s="108">
        <v>20</v>
      </c>
      <c r="P28" s="108">
        <v>2</v>
      </c>
      <c r="Q28" s="108">
        <v>20</v>
      </c>
      <c r="R28" s="108">
        <v>2</v>
      </c>
      <c r="S28" s="108">
        <v>20</v>
      </c>
      <c r="T28" s="108">
        <v>2</v>
      </c>
      <c r="U28" s="108">
        <v>20</v>
      </c>
      <c r="V28" s="108">
        <v>2</v>
      </c>
      <c r="W28" s="108">
        <v>20</v>
      </c>
      <c r="X28" s="108">
        <v>2</v>
      </c>
      <c r="Y28" s="108">
        <v>20</v>
      </c>
      <c r="Z28" s="108">
        <v>2</v>
      </c>
      <c r="AA28" s="108">
        <v>20</v>
      </c>
      <c r="AB28" s="108">
        <v>2</v>
      </c>
      <c r="AC28" s="108">
        <v>20</v>
      </c>
      <c r="AD28" s="108">
        <v>2</v>
      </c>
      <c r="AE28" s="108">
        <v>20</v>
      </c>
      <c r="AF28" s="108">
        <v>2</v>
      </c>
      <c r="AG28" s="108">
        <v>17</v>
      </c>
      <c r="AH28" s="108">
        <v>5</v>
      </c>
      <c r="AI28" s="108">
        <v>17</v>
      </c>
      <c r="AJ28" s="108">
        <v>5</v>
      </c>
      <c r="AK28" s="108">
        <v>17</v>
      </c>
      <c r="AL28" s="108">
        <v>5</v>
      </c>
      <c r="AM28" s="108">
        <v>17</v>
      </c>
      <c r="AN28" s="108">
        <v>5</v>
      </c>
      <c r="AO28" s="108">
        <v>17</v>
      </c>
      <c r="AP28" s="108">
        <v>5</v>
      </c>
      <c r="AQ28" s="108">
        <v>17</v>
      </c>
      <c r="AR28" s="108">
        <v>5</v>
      </c>
      <c r="AS28" s="108">
        <v>0</v>
      </c>
      <c r="AT28" s="108">
        <v>21</v>
      </c>
      <c r="AU28" s="108">
        <v>1</v>
      </c>
      <c r="AV28" s="108">
        <v>21</v>
      </c>
      <c r="AW28" s="108">
        <v>1</v>
      </c>
      <c r="AX28" s="108">
        <v>21</v>
      </c>
      <c r="AY28" s="163">
        <v>1</v>
      </c>
      <c r="AZ28" s="104"/>
    </row>
    <row r="29" spans="1:52">
      <c r="B29" s="133" t="s">
        <v>312</v>
      </c>
      <c r="C29" s="122">
        <v>7</v>
      </c>
      <c r="D29" s="122">
        <f>C$28</f>
        <v>15</v>
      </c>
      <c r="E29" s="122">
        <f t="shared" ref="E29:AY29" si="9">D$28</f>
        <v>7</v>
      </c>
      <c r="F29" s="122">
        <f t="shared" si="9"/>
        <v>15</v>
      </c>
      <c r="G29" s="122">
        <f t="shared" si="9"/>
        <v>7</v>
      </c>
      <c r="H29" s="122">
        <f t="shared" si="9"/>
        <v>15</v>
      </c>
      <c r="I29" s="122">
        <f t="shared" si="9"/>
        <v>7</v>
      </c>
      <c r="J29" s="122">
        <f t="shared" si="9"/>
        <v>2</v>
      </c>
      <c r="K29" s="122">
        <f t="shared" si="9"/>
        <v>2</v>
      </c>
      <c r="L29" s="122">
        <f t="shared" si="9"/>
        <v>2</v>
      </c>
      <c r="M29" s="122">
        <f t="shared" si="9"/>
        <v>2</v>
      </c>
      <c r="N29" s="122">
        <f t="shared" si="9"/>
        <v>20</v>
      </c>
      <c r="O29" s="122">
        <f t="shared" si="9"/>
        <v>2</v>
      </c>
      <c r="P29" s="122">
        <f t="shared" si="9"/>
        <v>20</v>
      </c>
      <c r="Q29" s="122">
        <f t="shared" si="9"/>
        <v>2</v>
      </c>
      <c r="R29" s="122">
        <f t="shared" si="9"/>
        <v>20</v>
      </c>
      <c r="S29" s="122">
        <f t="shared" si="9"/>
        <v>2</v>
      </c>
      <c r="T29" s="122">
        <f t="shared" si="9"/>
        <v>20</v>
      </c>
      <c r="U29" s="122">
        <f t="shared" si="9"/>
        <v>2</v>
      </c>
      <c r="V29" s="122">
        <f t="shared" si="9"/>
        <v>20</v>
      </c>
      <c r="W29" s="122">
        <f t="shared" si="9"/>
        <v>2</v>
      </c>
      <c r="X29" s="122">
        <f t="shared" si="9"/>
        <v>20</v>
      </c>
      <c r="Y29" s="122">
        <f t="shared" si="9"/>
        <v>2</v>
      </c>
      <c r="Z29" s="122">
        <f t="shared" si="9"/>
        <v>20</v>
      </c>
      <c r="AA29" s="122">
        <f t="shared" si="9"/>
        <v>2</v>
      </c>
      <c r="AB29" s="122">
        <f t="shared" si="9"/>
        <v>20</v>
      </c>
      <c r="AC29" s="122">
        <f t="shared" si="9"/>
        <v>2</v>
      </c>
      <c r="AD29" s="122">
        <f t="shared" si="9"/>
        <v>20</v>
      </c>
      <c r="AE29" s="122">
        <f t="shared" si="9"/>
        <v>2</v>
      </c>
      <c r="AF29" s="122">
        <f t="shared" si="9"/>
        <v>20</v>
      </c>
      <c r="AG29" s="122">
        <f t="shared" si="9"/>
        <v>2</v>
      </c>
      <c r="AH29" s="122">
        <f t="shared" si="9"/>
        <v>17</v>
      </c>
      <c r="AI29" s="122">
        <f t="shared" si="9"/>
        <v>5</v>
      </c>
      <c r="AJ29" s="122">
        <f t="shared" si="9"/>
        <v>17</v>
      </c>
      <c r="AK29" s="122">
        <f t="shared" si="9"/>
        <v>5</v>
      </c>
      <c r="AL29" s="122">
        <f t="shared" si="9"/>
        <v>17</v>
      </c>
      <c r="AM29" s="122">
        <f t="shared" si="9"/>
        <v>5</v>
      </c>
      <c r="AN29" s="122">
        <f t="shared" si="9"/>
        <v>17</v>
      </c>
      <c r="AO29" s="122">
        <f t="shared" si="9"/>
        <v>5</v>
      </c>
      <c r="AP29" s="122">
        <f t="shared" si="9"/>
        <v>17</v>
      </c>
      <c r="AQ29" s="122">
        <f t="shared" si="9"/>
        <v>5</v>
      </c>
      <c r="AR29" s="122">
        <f t="shared" si="9"/>
        <v>17</v>
      </c>
      <c r="AS29" s="122">
        <f t="shared" si="9"/>
        <v>5</v>
      </c>
      <c r="AT29" s="122">
        <f t="shared" si="9"/>
        <v>0</v>
      </c>
      <c r="AU29" s="122">
        <f t="shared" si="9"/>
        <v>21</v>
      </c>
      <c r="AV29" s="122">
        <f t="shared" si="9"/>
        <v>1</v>
      </c>
      <c r="AW29" s="122">
        <f t="shared" si="9"/>
        <v>21</v>
      </c>
      <c r="AX29" s="122">
        <f t="shared" si="9"/>
        <v>1</v>
      </c>
      <c r="AY29" s="164">
        <f t="shared" si="9"/>
        <v>21</v>
      </c>
      <c r="AZ29" s="165"/>
    </row>
    <row r="30" spans="1:52">
      <c r="A30" s="166" t="s">
        <v>313</v>
      </c>
      <c r="B30" s="141">
        <v>10</v>
      </c>
      <c r="C30" s="114" t="s">
        <v>294</v>
      </c>
      <c r="D30" s="114">
        <f>D$27*$B$30</f>
        <v>70</v>
      </c>
      <c r="E30" s="114">
        <f t="shared" ref="E30:AY30" si="10">E$27*$B$30</f>
        <v>150</v>
      </c>
      <c r="F30" s="114">
        <f t="shared" si="10"/>
        <v>70</v>
      </c>
      <c r="G30" s="114">
        <f t="shared" si="10"/>
        <v>150</v>
      </c>
      <c r="H30" s="114">
        <f t="shared" si="10"/>
        <v>70</v>
      </c>
      <c r="I30" s="114">
        <f t="shared" si="10"/>
        <v>150</v>
      </c>
      <c r="J30" s="114">
        <f t="shared" si="10"/>
        <v>200</v>
      </c>
      <c r="K30" s="114">
        <f t="shared" si="10"/>
        <v>200</v>
      </c>
      <c r="L30" s="114">
        <f t="shared" si="10"/>
        <v>200</v>
      </c>
      <c r="M30" s="114">
        <f t="shared" si="10"/>
        <v>200</v>
      </c>
      <c r="N30" s="114">
        <f t="shared" si="10"/>
        <v>20</v>
      </c>
      <c r="O30" s="114">
        <f t="shared" si="10"/>
        <v>200</v>
      </c>
      <c r="P30" s="114">
        <f t="shared" si="10"/>
        <v>20</v>
      </c>
      <c r="Q30" s="114">
        <f t="shared" si="10"/>
        <v>200</v>
      </c>
      <c r="R30" s="114">
        <f>R$27*$B$30</f>
        <v>20</v>
      </c>
      <c r="S30" s="114">
        <f t="shared" si="10"/>
        <v>200</v>
      </c>
      <c r="T30" s="114">
        <f t="shared" si="10"/>
        <v>20</v>
      </c>
      <c r="U30" s="114">
        <f t="shared" si="10"/>
        <v>200</v>
      </c>
      <c r="V30" s="114">
        <f t="shared" si="10"/>
        <v>20</v>
      </c>
      <c r="W30" s="114">
        <f t="shared" si="10"/>
        <v>200</v>
      </c>
      <c r="X30" s="114">
        <f t="shared" si="10"/>
        <v>20</v>
      </c>
      <c r="Y30" s="114">
        <f t="shared" si="10"/>
        <v>200</v>
      </c>
      <c r="Z30" s="114">
        <f t="shared" si="10"/>
        <v>20</v>
      </c>
      <c r="AA30" s="114">
        <f t="shared" si="10"/>
        <v>200</v>
      </c>
      <c r="AB30" s="114">
        <f t="shared" si="10"/>
        <v>20</v>
      </c>
      <c r="AC30" s="114">
        <f t="shared" si="10"/>
        <v>200</v>
      </c>
      <c r="AD30" s="114">
        <f t="shared" si="10"/>
        <v>20</v>
      </c>
      <c r="AE30" s="114">
        <f>AE$27*$B$30</f>
        <v>200</v>
      </c>
      <c r="AF30" s="114">
        <f t="shared" si="10"/>
        <v>20</v>
      </c>
      <c r="AG30" s="114">
        <f t="shared" si="10"/>
        <v>200</v>
      </c>
      <c r="AH30" s="114">
        <f t="shared" si="10"/>
        <v>50</v>
      </c>
      <c r="AI30" s="114">
        <f t="shared" si="10"/>
        <v>170</v>
      </c>
      <c r="AJ30" s="114">
        <f t="shared" si="10"/>
        <v>50</v>
      </c>
      <c r="AK30" s="114">
        <f t="shared" si="10"/>
        <v>170</v>
      </c>
      <c r="AL30" s="114">
        <f t="shared" si="10"/>
        <v>50</v>
      </c>
      <c r="AM30" s="114">
        <f t="shared" si="10"/>
        <v>170</v>
      </c>
      <c r="AN30" s="114">
        <f t="shared" si="10"/>
        <v>50</v>
      </c>
      <c r="AO30" s="114">
        <f t="shared" si="10"/>
        <v>170</v>
      </c>
      <c r="AP30" s="114">
        <f t="shared" si="10"/>
        <v>50</v>
      </c>
      <c r="AQ30" s="114">
        <f t="shared" si="10"/>
        <v>170</v>
      </c>
      <c r="AR30" s="114">
        <f t="shared" si="10"/>
        <v>50</v>
      </c>
      <c r="AS30" s="114">
        <f t="shared" si="10"/>
        <v>170</v>
      </c>
      <c r="AT30" s="114">
        <f t="shared" si="10"/>
        <v>220</v>
      </c>
      <c r="AU30" s="114">
        <f t="shared" si="10"/>
        <v>10</v>
      </c>
      <c r="AV30" s="114">
        <f t="shared" si="10"/>
        <v>210</v>
      </c>
      <c r="AW30" s="114">
        <f t="shared" si="10"/>
        <v>10</v>
      </c>
      <c r="AX30" s="114">
        <f t="shared" si="10"/>
        <v>210</v>
      </c>
      <c r="AY30" s="114">
        <f t="shared" si="10"/>
        <v>10</v>
      </c>
      <c r="AZ30" s="138">
        <f t="shared" si="5"/>
        <v>5650</v>
      </c>
    </row>
    <row r="32" spans="1:52">
      <c r="A32" s="1" t="s">
        <v>301</v>
      </c>
    </row>
    <row r="33" spans="1:52">
      <c r="A33" s="132" t="s">
        <v>22</v>
      </c>
      <c r="B33" s="132" t="s">
        <v>342</v>
      </c>
      <c r="C33" s="121"/>
      <c r="D33" s="121">
        <f>D$21*shipping_manufacturing!$D$27/100</f>
        <v>85.478437708564357</v>
      </c>
      <c r="E33" s="121">
        <f>E$21*shipping_manufacturing!$D$27/100</f>
        <v>129.88085034522427</v>
      </c>
      <c r="F33" s="121">
        <f>F$21*shipping_manufacturing!$D$27/100</f>
        <v>129.88085034522427</v>
      </c>
      <c r="G33" s="121">
        <f>G$21*shipping_manufacturing!$D$27/100</f>
        <v>129.88085034522427</v>
      </c>
      <c r="H33" s="121">
        <f>H$21*shipping_manufacturing!$D$27/100</f>
        <v>129.88085034522427</v>
      </c>
      <c r="I33" s="121">
        <f>I$21*shipping_manufacturing!$D$27/100</f>
        <v>3.9975862135886218E-20</v>
      </c>
      <c r="J33" s="121">
        <f>J$21*shipping_manufacturing!$D$27/100</f>
        <v>3.9975862135886218E-20</v>
      </c>
      <c r="K33" s="121">
        <f>K$21*shipping_manufacturing!$D$27/100</f>
        <v>3.9975862135886218E-20</v>
      </c>
      <c r="L33" s="121">
        <f>L$21*shipping_manufacturing!$D$27/100</f>
        <v>3.9975862135886218E-20</v>
      </c>
      <c r="M33" s="121">
        <f>M$21*shipping_manufacturing!$D$27/100</f>
        <v>129.88085034522427</v>
      </c>
      <c r="N33" s="121">
        <f>N$21*shipping_manufacturing!$D$27/100</f>
        <v>129.88085034522427</v>
      </c>
      <c r="O33" s="121">
        <f>O$21*shipping_manufacturing!$D$27/100</f>
        <v>129.88085034522427</v>
      </c>
      <c r="P33" s="121">
        <f>P$21*shipping_manufacturing!$D$27/100</f>
        <v>129.88085034522427</v>
      </c>
      <c r="Q33" s="121">
        <f>Q$21*shipping_manufacturing!$D$27/100</f>
        <v>129.88085034522427</v>
      </c>
      <c r="R33" s="121">
        <f>R$21*shipping_manufacturing!$D$27/100</f>
        <v>129.88085034522427</v>
      </c>
      <c r="S33" s="121">
        <f>S$21*shipping_manufacturing!$D$27/100</f>
        <v>129.88085034522427</v>
      </c>
      <c r="T33" s="121">
        <f>T$21*shipping_manufacturing!$D$27/100</f>
        <v>129.88085034522427</v>
      </c>
      <c r="U33" s="121">
        <f>U$21*shipping_manufacturing!$D$27/100</f>
        <v>129.88085034522427</v>
      </c>
      <c r="V33" s="121">
        <f>V$21*shipping_manufacturing!$D$27/100</f>
        <v>129.88085034522427</v>
      </c>
      <c r="W33" s="121">
        <f>W$21*shipping_manufacturing!$D$27/100</f>
        <v>129.88085034522427</v>
      </c>
      <c r="X33" s="121">
        <f>X$21*shipping_manufacturing!$D$27/100</f>
        <v>129.88085034522427</v>
      </c>
      <c r="Y33" s="121">
        <f>Y$21*shipping_manufacturing!$D$27/100</f>
        <v>129.88085034522427</v>
      </c>
      <c r="Z33" s="121">
        <f>Z$21*shipping_manufacturing!$D$27/100</f>
        <v>129.88085034522427</v>
      </c>
      <c r="AA33" s="121">
        <f>AA$21*shipping_manufacturing!$D$27/100</f>
        <v>129.88085034522427</v>
      </c>
      <c r="AB33" s="121">
        <f>AB$21*shipping_manufacturing!$D$27/100</f>
        <v>129.88085034522427</v>
      </c>
      <c r="AC33" s="121">
        <f>AC$21*shipping_manufacturing!$D$27/100</f>
        <v>129.88085034522427</v>
      </c>
      <c r="AD33" s="121">
        <f>AD$21*shipping_manufacturing!$D$27/100</f>
        <v>129.88085034522427</v>
      </c>
      <c r="AE33" s="121">
        <f>AE$21*shipping_manufacturing!$D$27/100</f>
        <v>129.88085034522427</v>
      </c>
      <c r="AF33" s="121">
        <f>AF$21*shipping_manufacturing!$D$27/100</f>
        <v>129.88085034522427</v>
      </c>
      <c r="AG33" s="121">
        <f>AG$21*shipping_manufacturing!$D$27/100</f>
        <v>103.90468027617952</v>
      </c>
      <c r="AH33" s="121">
        <f>AH$21*shipping_manufacturing!$D$27/100</f>
        <v>103.90468027617952</v>
      </c>
      <c r="AI33" s="121">
        <f>AI$21*shipping_manufacturing!$D$27/100</f>
        <v>103.90468027617952</v>
      </c>
      <c r="AJ33" s="121">
        <f>AJ$21*shipping_manufacturing!$D$27/100</f>
        <v>103.90468027617952</v>
      </c>
      <c r="AK33" s="121">
        <f>AK$21*shipping_manufacturing!$D$27/100</f>
        <v>129.88085034522427</v>
      </c>
      <c r="AL33" s="121">
        <f>AL$21*shipping_manufacturing!$D$27/100</f>
        <v>129.88085034522427</v>
      </c>
      <c r="AM33" s="121">
        <f>AM$21*shipping_manufacturing!$D$27/100</f>
        <v>129.88085034522427</v>
      </c>
      <c r="AN33" s="121">
        <f>AN$21*shipping_manufacturing!$D$27/100</f>
        <v>129.88085034522427</v>
      </c>
      <c r="AO33" s="121">
        <f>AO$21*shipping_manufacturing!$D$27/100</f>
        <v>129.88085034522427</v>
      </c>
      <c r="AP33" s="121">
        <f>AP$21*shipping_manufacturing!$D$27/100</f>
        <v>129.88085034522427</v>
      </c>
      <c r="AQ33" s="121">
        <f>AQ$21*shipping_manufacturing!$D$27/100</f>
        <v>129.88085034522427</v>
      </c>
      <c r="AR33" s="121">
        <f>AR$21*shipping_manufacturing!$D$27/100</f>
        <v>129.88085034522427</v>
      </c>
      <c r="AS33" s="121">
        <f>AS$21*shipping_manufacturing!$D$27/100</f>
        <v>0</v>
      </c>
      <c r="AT33" s="121">
        <f>AT$21*shipping_manufacturing!$D$27/100</f>
        <v>129.88085034522427</v>
      </c>
      <c r="AU33" s="121">
        <f>AU$21*shipping_manufacturing!$D$27/100</f>
        <v>129.88085034522427</v>
      </c>
      <c r="AV33" s="121">
        <f>AV$21*shipping_manufacturing!$D$27/100</f>
        <v>129.88085034522427</v>
      </c>
      <c r="AW33" s="121">
        <f>AW$21*shipping_manufacturing!$D$27/100</f>
        <v>129.88085034522427</v>
      </c>
      <c r="AX33" s="121">
        <f>AX$21*shipping_manufacturing!$D$27/100</f>
        <v>129.88085034522427</v>
      </c>
      <c r="AY33" s="121">
        <f>AY$21*shipping_manufacturing!$D$27/100</f>
        <v>129.88085034522427</v>
      </c>
    </row>
    <row r="34" spans="1:52">
      <c r="A34" s="110" t="s">
        <v>341</v>
      </c>
      <c r="B34" s="162" t="s">
        <v>343</v>
      </c>
      <c r="C34" s="108"/>
      <c r="D34" s="108">
        <f>D$22*shipping_manufacturing!$E$27/100</f>
        <v>81.650827591749959</v>
      </c>
      <c r="E34" s="108">
        <f>E$22*shipping_manufacturing!$E$27/100</f>
        <v>124.06495957687873</v>
      </c>
      <c r="F34" s="108">
        <f>F$22*shipping_manufacturing!$E$27/100</f>
        <v>124.06495957687873</v>
      </c>
      <c r="G34" s="108">
        <f>G$22*shipping_manufacturing!$E$27/100</f>
        <v>124.06495957687873</v>
      </c>
      <c r="H34" s="108">
        <f>H$22*shipping_manufacturing!$E$27/100</f>
        <v>124.06495957687873</v>
      </c>
      <c r="I34" s="108">
        <f>I$22*shipping_manufacturing!$E$27/100</f>
        <v>3.8185796495456696E-20</v>
      </c>
      <c r="J34" s="108">
        <f>J$22*shipping_manufacturing!$E$27/100</f>
        <v>3.8185796495456696E-20</v>
      </c>
      <c r="K34" s="108">
        <f>K$22*shipping_manufacturing!$E$27/100</f>
        <v>3.8185796495456696E-20</v>
      </c>
      <c r="L34" s="108">
        <f>L$22*shipping_manufacturing!$E$27/100</f>
        <v>3.8185796495456696E-20</v>
      </c>
      <c r="M34" s="108">
        <f>M$22*shipping_manufacturing!$E$27/100</f>
        <v>124.06495957687873</v>
      </c>
      <c r="N34" s="108">
        <f>N$22*shipping_manufacturing!$E$27/100</f>
        <v>124.06495957687873</v>
      </c>
      <c r="O34" s="108">
        <f>O$22*shipping_manufacturing!$E$27/100</f>
        <v>124.06495957687873</v>
      </c>
      <c r="P34" s="108">
        <f>P$22*shipping_manufacturing!$E$27/100</f>
        <v>124.06495957687873</v>
      </c>
      <c r="Q34" s="108">
        <f>Q$22*shipping_manufacturing!$E$27/100</f>
        <v>124.06495957687873</v>
      </c>
      <c r="R34" s="108">
        <f>R$22*shipping_manufacturing!$E$27/100</f>
        <v>124.06495957687873</v>
      </c>
      <c r="S34" s="108">
        <f>S$22*shipping_manufacturing!$E$27/100</f>
        <v>124.06495957687873</v>
      </c>
      <c r="T34" s="108">
        <f>T$22*shipping_manufacturing!$E$27/100</f>
        <v>124.06495957687873</v>
      </c>
      <c r="U34" s="108">
        <f>U$22*shipping_manufacturing!$E$27/100</f>
        <v>124.06495957687873</v>
      </c>
      <c r="V34" s="108">
        <f>V$22*shipping_manufacturing!$E$27/100</f>
        <v>124.06495957687873</v>
      </c>
      <c r="W34" s="108">
        <f>W$22*shipping_manufacturing!$E$27/100</f>
        <v>124.06495957687873</v>
      </c>
      <c r="X34" s="108">
        <f>X$22*shipping_manufacturing!$E$27/100</f>
        <v>124.06495957687873</v>
      </c>
      <c r="Y34" s="108">
        <f>Y$22*shipping_manufacturing!$E$27/100</f>
        <v>124.06495957687873</v>
      </c>
      <c r="Z34" s="108">
        <f>Z$22*shipping_manufacturing!$E$27/100</f>
        <v>124.06495957687873</v>
      </c>
      <c r="AA34" s="108">
        <f>AA$22*shipping_manufacturing!$E$27/100</f>
        <v>124.06495957687873</v>
      </c>
      <c r="AB34" s="108">
        <f>AB$22*shipping_manufacturing!$E$27/100</f>
        <v>124.06495957687873</v>
      </c>
      <c r="AC34" s="108">
        <f>AC$22*shipping_manufacturing!$E$27/100</f>
        <v>124.06495957687873</v>
      </c>
      <c r="AD34" s="108">
        <f>AD$22*shipping_manufacturing!$E$27/100</f>
        <v>124.06495957687873</v>
      </c>
      <c r="AE34" s="108">
        <f>AE$22*shipping_manufacturing!$E$27/100</f>
        <v>124.06495957687873</v>
      </c>
      <c r="AF34" s="108">
        <f>AF$22*shipping_manufacturing!$E$27/100</f>
        <v>124.06495957687873</v>
      </c>
      <c r="AG34" s="108">
        <f>AG$22*shipping_manufacturing!$E$27/100</f>
        <v>99.251967661503073</v>
      </c>
      <c r="AH34" s="108">
        <f>AH$22*shipping_manufacturing!$E$27/100</f>
        <v>99.251967661503073</v>
      </c>
      <c r="AI34" s="108">
        <f>AI$22*shipping_manufacturing!$E$27/100</f>
        <v>99.251967661503073</v>
      </c>
      <c r="AJ34" s="108">
        <f>AJ$22*shipping_manufacturing!$E$27/100</f>
        <v>99.251967661503073</v>
      </c>
      <c r="AK34" s="108">
        <f>AK$22*shipping_manufacturing!$E$27/100</f>
        <v>124.06495957687873</v>
      </c>
      <c r="AL34" s="108">
        <f>AL$22*shipping_manufacturing!$E$27/100</f>
        <v>124.06495957687873</v>
      </c>
      <c r="AM34" s="108">
        <f>AM$22*shipping_manufacturing!$E$27/100</f>
        <v>124.06495957687873</v>
      </c>
      <c r="AN34" s="108">
        <f>AN$22*shipping_manufacturing!$E$27/100</f>
        <v>124.06495957687873</v>
      </c>
      <c r="AO34" s="108">
        <f>AO$22*shipping_manufacturing!$E$27/100</f>
        <v>124.06495957687873</v>
      </c>
      <c r="AP34" s="108">
        <f>AP$22*shipping_manufacturing!$E$27/100</f>
        <v>124.06495957687873</v>
      </c>
      <c r="AQ34" s="108">
        <f>AQ$22*shipping_manufacturing!$E$27/100</f>
        <v>124.06495957687873</v>
      </c>
      <c r="AR34" s="108">
        <f>AR$22*shipping_manufacturing!$E$27/100</f>
        <v>124.06495957687873</v>
      </c>
      <c r="AS34" s="108">
        <f>AS$22*shipping_manufacturing!$E$27/100</f>
        <v>0</v>
      </c>
      <c r="AT34" s="108">
        <f>AT$22*shipping_manufacturing!$E$27/100</f>
        <v>124.06495957687873</v>
      </c>
      <c r="AU34" s="108">
        <f>AU$22*shipping_manufacturing!$E$27/100</f>
        <v>124.06495957687873</v>
      </c>
      <c r="AV34" s="108">
        <f>AV$22*shipping_manufacturing!$E$27/100</f>
        <v>124.06495957687873</v>
      </c>
      <c r="AW34" s="108">
        <f>AW$22*shipping_manufacturing!$E$27/100</f>
        <v>124.06495957687873</v>
      </c>
      <c r="AX34" s="108">
        <f>AX$22*shipping_manufacturing!$E$27/100</f>
        <v>124.06495957687873</v>
      </c>
      <c r="AY34" s="108">
        <f>AY$22*shipping_manufacturing!$E$27/100</f>
        <v>124.06495957687873</v>
      </c>
    </row>
    <row r="35" spans="1:52">
      <c r="A35" s="108">
        <v>1225</v>
      </c>
      <c r="B35" s="162" t="s">
        <v>344</v>
      </c>
      <c r="C35" s="108"/>
      <c r="D35" s="108">
        <f>SUM(D33:D34)</f>
        <v>167.12926530031433</v>
      </c>
      <c r="E35" s="108">
        <f t="shared" ref="E35:AY35" si="11">SUM(E33:E34)</f>
        <v>253.94580992210302</v>
      </c>
      <c r="F35" s="108">
        <f t="shared" si="11"/>
        <v>253.94580992210302</v>
      </c>
      <c r="G35" s="108">
        <f t="shared" si="11"/>
        <v>253.94580992210302</v>
      </c>
      <c r="H35" s="108">
        <f t="shared" si="11"/>
        <v>253.94580992210302</v>
      </c>
      <c r="I35" s="108">
        <f t="shared" si="11"/>
        <v>7.8161658631342908E-20</v>
      </c>
      <c r="J35" s="108">
        <f t="shared" si="11"/>
        <v>7.8161658631342908E-20</v>
      </c>
      <c r="K35" s="108">
        <f t="shared" si="11"/>
        <v>7.8161658631342908E-20</v>
      </c>
      <c r="L35" s="108">
        <f t="shared" si="11"/>
        <v>7.8161658631342908E-20</v>
      </c>
      <c r="M35" s="108">
        <f t="shared" si="11"/>
        <v>253.94580992210302</v>
      </c>
      <c r="N35" s="108">
        <f t="shared" si="11"/>
        <v>253.94580992210302</v>
      </c>
      <c r="O35" s="108">
        <f t="shared" si="11"/>
        <v>253.94580992210302</v>
      </c>
      <c r="P35" s="108">
        <f t="shared" si="11"/>
        <v>253.94580992210302</v>
      </c>
      <c r="Q35" s="108">
        <f t="shared" si="11"/>
        <v>253.94580992210302</v>
      </c>
      <c r="R35" s="108">
        <f t="shared" si="11"/>
        <v>253.94580992210302</v>
      </c>
      <c r="S35" s="108">
        <f t="shared" si="11"/>
        <v>253.94580992210302</v>
      </c>
      <c r="T35" s="108">
        <f t="shared" si="11"/>
        <v>253.94580992210302</v>
      </c>
      <c r="U35" s="108">
        <f t="shared" si="11"/>
        <v>253.94580992210302</v>
      </c>
      <c r="V35" s="108">
        <f t="shared" si="11"/>
        <v>253.94580992210302</v>
      </c>
      <c r="W35" s="108">
        <f t="shared" si="11"/>
        <v>253.94580992210302</v>
      </c>
      <c r="X35" s="108">
        <f t="shared" si="11"/>
        <v>253.94580992210302</v>
      </c>
      <c r="Y35" s="108">
        <f t="shared" si="11"/>
        <v>253.94580992210302</v>
      </c>
      <c r="Z35" s="108">
        <f t="shared" si="11"/>
        <v>253.94580992210302</v>
      </c>
      <c r="AA35" s="108">
        <f t="shared" si="11"/>
        <v>253.94580992210302</v>
      </c>
      <c r="AB35" s="108">
        <f t="shared" si="11"/>
        <v>253.94580992210302</v>
      </c>
      <c r="AC35" s="108">
        <f t="shared" si="11"/>
        <v>253.94580992210302</v>
      </c>
      <c r="AD35" s="108">
        <f t="shared" si="11"/>
        <v>253.94580992210302</v>
      </c>
      <c r="AE35" s="108">
        <f t="shared" si="11"/>
        <v>253.94580992210302</v>
      </c>
      <c r="AF35" s="108">
        <f t="shared" si="11"/>
        <v>253.94580992210302</v>
      </c>
      <c r="AG35" s="108">
        <f t="shared" si="11"/>
        <v>203.15664793768258</v>
      </c>
      <c r="AH35" s="108">
        <f t="shared" si="11"/>
        <v>203.15664793768258</v>
      </c>
      <c r="AI35" s="108">
        <f t="shared" si="11"/>
        <v>203.15664793768258</v>
      </c>
      <c r="AJ35" s="108">
        <f t="shared" si="11"/>
        <v>203.15664793768258</v>
      </c>
      <c r="AK35" s="108">
        <f t="shared" si="11"/>
        <v>253.94580992210302</v>
      </c>
      <c r="AL35" s="108">
        <f t="shared" si="11"/>
        <v>253.94580992210302</v>
      </c>
      <c r="AM35" s="108">
        <f t="shared" si="11"/>
        <v>253.94580992210302</v>
      </c>
      <c r="AN35" s="108">
        <f t="shared" si="11"/>
        <v>253.94580992210302</v>
      </c>
      <c r="AO35" s="108">
        <f t="shared" si="11"/>
        <v>253.94580992210302</v>
      </c>
      <c r="AP35" s="108">
        <f t="shared" si="11"/>
        <v>253.94580992210302</v>
      </c>
      <c r="AQ35" s="108">
        <f t="shared" si="11"/>
        <v>253.94580992210302</v>
      </c>
      <c r="AR35" s="108">
        <f t="shared" si="11"/>
        <v>253.94580992210302</v>
      </c>
      <c r="AS35" s="108">
        <f t="shared" si="11"/>
        <v>0</v>
      </c>
      <c r="AT35" s="108">
        <f t="shared" si="11"/>
        <v>253.94580992210302</v>
      </c>
      <c r="AU35" s="108">
        <f t="shared" si="11"/>
        <v>253.94580992210302</v>
      </c>
      <c r="AV35" s="108">
        <f t="shared" si="11"/>
        <v>253.94580992210302</v>
      </c>
      <c r="AW35" s="108">
        <f t="shared" si="11"/>
        <v>253.94580992210302</v>
      </c>
      <c r="AX35" s="108">
        <f t="shared" si="11"/>
        <v>253.94580992210302</v>
      </c>
      <c r="AY35" s="108">
        <f t="shared" si="11"/>
        <v>253.94580992210302</v>
      </c>
    </row>
    <row r="36" spans="1:52">
      <c r="A36" s="108"/>
      <c r="B36" s="162" t="s">
        <v>345</v>
      </c>
      <c r="C36" s="108"/>
      <c r="D36" s="108">
        <v>30.687062815109591</v>
      </c>
      <c r="E36" s="108">
        <v>92.061188445328796</v>
      </c>
      <c r="F36" s="108">
        <v>30.687062815109591</v>
      </c>
      <c r="G36" s="108">
        <v>92.061188445328796</v>
      </c>
      <c r="H36" s="108">
        <v>30.687062815109591</v>
      </c>
      <c r="I36" s="108">
        <v>3.9975862135886218E-20</v>
      </c>
      <c r="J36" s="108">
        <v>3.9975862135886218E-20</v>
      </c>
      <c r="K36" s="108">
        <v>3.9975862135886218E-20</v>
      </c>
      <c r="L36" s="108">
        <v>3.9975862135886218E-20</v>
      </c>
      <c r="M36" s="108">
        <v>122.74825126043841</v>
      </c>
      <c r="N36" s="108"/>
      <c r="O36" s="108">
        <v>122.74825126043841</v>
      </c>
      <c r="P36" s="108"/>
      <c r="Q36" s="108">
        <v>122.74825126043841</v>
      </c>
      <c r="R36" s="108"/>
      <c r="S36" s="108">
        <v>122.74825126043841</v>
      </c>
      <c r="T36" s="108"/>
      <c r="U36" s="108">
        <v>122.74825126043841</v>
      </c>
      <c r="V36" s="108"/>
      <c r="W36" s="108">
        <v>122.74825126043841</v>
      </c>
      <c r="X36" s="108"/>
      <c r="Y36" s="108">
        <v>122.74825126043841</v>
      </c>
      <c r="Z36" s="108"/>
      <c r="AA36" s="108">
        <v>122.74825126043841</v>
      </c>
      <c r="AB36" s="108"/>
      <c r="AC36" s="108">
        <v>122.74825126043841</v>
      </c>
      <c r="AD36" s="108"/>
      <c r="AE36" s="108">
        <v>122.74825126043841</v>
      </c>
      <c r="AF36" s="108"/>
      <c r="AG36" s="108">
        <v>103.9046802761795</v>
      </c>
      <c r="AH36" s="108">
        <v>15.343531407554799</v>
      </c>
      <c r="AI36" s="108">
        <v>103.9046802761795</v>
      </c>
      <c r="AJ36" s="108">
        <v>15.343531407554799</v>
      </c>
      <c r="AK36" s="108">
        <v>107.4047198528836</v>
      </c>
      <c r="AL36" s="108">
        <v>15.343531407554796</v>
      </c>
      <c r="AM36" s="108">
        <v>107.4047198528836</v>
      </c>
      <c r="AN36" s="108">
        <v>15.343531407554796</v>
      </c>
      <c r="AO36" s="108">
        <v>107.4047198528836</v>
      </c>
      <c r="AP36" s="108">
        <v>15.343531407554796</v>
      </c>
      <c r="AQ36" s="108">
        <v>107.4047198528836</v>
      </c>
      <c r="AR36" s="108">
        <v>15.343531407554796</v>
      </c>
      <c r="AS36" s="108"/>
      <c r="AT36" s="108">
        <v>129.8808503452243</v>
      </c>
      <c r="AU36" s="108"/>
      <c r="AV36" s="108">
        <v>129.8808503452243</v>
      </c>
      <c r="AW36" s="108"/>
      <c r="AX36" s="108">
        <v>129.8808503452243</v>
      </c>
      <c r="AY36" s="108"/>
    </row>
    <row r="37" spans="1:52">
      <c r="A37" s="108"/>
      <c r="B37" s="162" t="s">
        <v>346</v>
      </c>
      <c r="C37" s="108"/>
      <c r="D37" s="108">
        <v>29.312937184890401</v>
      </c>
      <c r="E37" s="108">
        <v>87.93881155467119</v>
      </c>
      <c r="F37" s="108">
        <v>29.312937184890401</v>
      </c>
      <c r="G37" s="108">
        <v>87.93881155467119</v>
      </c>
      <c r="H37" s="108">
        <v>29.312937184890401</v>
      </c>
      <c r="I37" s="108">
        <v>3.8185796495456696E-20</v>
      </c>
      <c r="J37" s="108">
        <v>3.8185796495456696E-20</v>
      </c>
      <c r="K37" s="108">
        <v>3.8185796495456696E-20</v>
      </c>
      <c r="L37" s="108">
        <v>3.8185796495456696E-20</v>
      </c>
      <c r="M37" s="108">
        <v>117.25174873956158</v>
      </c>
      <c r="N37" s="108"/>
      <c r="O37" s="108">
        <v>117.25174873956158</v>
      </c>
      <c r="P37" s="108"/>
      <c r="Q37" s="108">
        <v>117.25174873956158</v>
      </c>
      <c r="R37" s="108"/>
      <c r="S37" s="108">
        <v>117.25174873956158</v>
      </c>
      <c r="T37" s="108"/>
      <c r="U37" s="108">
        <v>117.25174873956158</v>
      </c>
      <c r="V37" s="108"/>
      <c r="W37" s="108">
        <v>117.25174873956158</v>
      </c>
      <c r="X37" s="108"/>
      <c r="Y37" s="108">
        <v>117.25174873956158</v>
      </c>
      <c r="Z37" s="108"/>
      <c r="AA37" s="108">
        <v>117.25174873956158</v>
      </c>
      <c r="AB37" s="108"/>
      <c r="AC37" s="108">
        <v>117.25174873956158</v>
      </c>
      <c r="AD37" s="108"/>
      <c r="AE37" s="108">
        <v>117.25174873956158</v>
      </c>
      <c r="AF37" s="108"/>
      <c r="AG37" s="108">
        <v>99.251967661503073</v>
      </c>
      <c r="AH37" s="108">
        <v>14.656468592445203</v>
      </c>
      <c r="AI37" s="108">
        <v>99.251967661503073</v>
      </c>
      <c r="AJ37" s="108">
        <v>14.656468592445203</v>
      </c>
      <c r="AK37" s="108">
        <v>102.59528014711638</v>
      </c>
      <c r="AL37" s="108">
        <v>14.656468592445203</v>
      </c>
      <c r="AM37" s="108">
        <v>102.59528014711638</v>
      </c>
      <c r="AN37" s="108">
        <v>14.656468592445203</v>
      </c>
      <c r="AO37" s="108">
        <v>102.59528014711638</v>
      </c>
      <c r="AP37" s="108">
        <v>14.656468592445203</v>
      </c>
      <c r="AQ37" s="108">
        <v>102.59528014711638</v>
      </c>
      <c r="AR37" s="108">
        <v>14.656468592445203</v>
      </c>
      <c r="AS37" s="108"/>
      <c r="AT37" s="108">
        <v>124.06495957687869</v>
      </c>
      <c r="AU37" s="108"/>
      <c r="AV37" s="108">
        <v>124.06495957687869</v>
      </c>
      <c r="AW37" s="108"/>
      <c r="AX37" s="108">
        <v>124.06495957687869</v>
      </c>
      <c r="AY37" s="108"/>
    </row>
    <row r="38" spans="1:52">
      <c r="A38" s="108"/>
      <c r="B38" s="162" t="s">
        <v>347</v>
      </c>
      <c r="C38" s="108"/>
      <c r="D38" s="108">
        <v>2</v>
      </c>
      <c r="E38" s="108">
        <v>6</v>
      </c>
      <c r="F38" s="108">
        <v>2</v>
      </c>
      <c r="G38" s="108">
        <v>6</v>
      </c>
      <c r="H38" s="108">
        <v>2</v>
      </c>
      <c r="I38" s="108">
        <v>1</v>
      </c>
      <c r="J38" s="108">
        <v>1</v>
      </c>
      <c r="K38" s="108">
        <v>1</v>
      </c>
      <c r="L38" s="108">
        <v>1</v>
      </c>
      <c r="M38" s="108">
        <v>8</v>
      </c>
      <c r="N38" s="108"/>
      <c r="O38" s="108">
        <v>8</v>
      </c>
      <c r="P38" s="108"/>
      <c r="Q38" s="108">
        <v>8</v>
      </c>
      <c r="R38" s="108"/>
      <c r="S38" s="108">
        <v>8</v>
      </c>
      <c r="T38" s="108"/>
      <c r="U38" s="108">
        <v>8</v>
      </c>
      <c r="V38" s="108"/>
      <c r="W38" s="108">
        <v>8</v>
      </c>
      <c r="X38" s="108"/>
      <c r="Y38" s="108">
        <v>8</v>
      </c>
      <c r="Z38" s="108"/>
      <c r="AA38" s="108">
        <v>8</v>
      </c>
      <c r="AB38" s="108"/>
      <c r="AC38" s="108">
        <v>8</v>
      </c>
      <c r="AD38" s="108"/>
      <c r="AE38" s="108">
        <v>8</v>
      </c>
      <c r="AF38" s="108"/>
      <c r="AG38" s="108">
        <v>7</v>
      </c>
      <c r="AH38" s="108">
        <v>1</v>
      </c>
      <c r="AI38" s="108">
        <v>7</v>
      </c>
      <c r="AJ38" s="108">
        <v>1</v>
      </c>
      <c r="AK38" s="108">
        <v>7</v>
      </c>
      <c r="AL38" s="108">
        <v>1</v>
      </c>
      <c r="AM38" s="108">
        <v>7</v>
      </c>
      <c r="AN38" s="108">
        <v>1</v>
      </c>
      <c r="AO38" s="108">
        <v>7</v>
      </c>
      <c r="AP38" s="108">
        <v>1</v>
      </c>
      <c r="AQ38" s="108">
        <v>7</v>
      </c>
      <c r="AR38" s="108">
        <v>1</v>
      </c>
      <c r="AS38" s="108"/>
      <c r="AT38" s="108">
        <v>9</v>
      </c>
      <c r="AU38" s="108"/>
      <c r="AV38" s="108">
        <v>9</v>
      </c>
      <c r="AW38" s="108"/>
      <c r="AX38" s="108">
        <v>9</v>
      </c>
      <c r="AY38" s="108"/>
    </row>
    <row r="39" spans="1:52">
      <c r="A39" s="108"/>
      <c r="B39" s="162" t="s">
        <v>348</v>
      </c>
      <c r="C39" s="108"/>
      <c r="D39" s="108">
        <f>D33-D36</f>
        <v>54.791374893454766</v>
      </c>
      <c r="E39" s="108">
        <f t="shared" ref="E39:AY39" si="12">E33-E36</f>
        <v>37.819661899895479</v>
      </c>
      <c r="F39" s="108">
        <f t="shared" si="12"/>
        <v>99.19378753011469</v>
      </c>
      <c r="G39" s="108">
        <f t="shared" si="12"/>
        <v>37.819661899895479</v>
      </c>
      <c r="H39" s="108">
        <f t="shared" si="12"/>
        <v>99.19378753011469</v>
      </c>
      <c r="I39" s="108">
        <f t="shared" si="12"/>
        <v>0</v>
      </c>
      <c r="J39" s="108">
        <f t="shared" si="12"/>
        <v>0</v>
      </c>
      <c r="K39" s="108">
        <f t="shared" si="12"/>
        <v>0</v>
      </c>
      <c r="L39" s="108">
        <f t="shared" si="12"/>
        <v>0</v>
      </c>
      <c r="M39" s="108">
        <f t="shared" si="12"/>
        <v>7.1325990847858662</v>
      </c>
      <c r="N39" s="108">
        <f t="shared" si="12"/>
        <v>129.88085034522427</v>
      </c>
      <c r="O39" s="108">
        <f t="shared" si="12"/>
        <v>7.1325990847858662</v>
      </c>
      <c r="P39" s="108">
        <f t="shared" si="12"/>
        <v>129.88085034522427</v>
      </c>
      <c r="Q39" s="108">
        <f t="shared" si="12"/>
        <v>7.1325990847858662</v>
      </c>
      <c r="R39" s="108">
        <f t="shared" si="12"/>
        <v>129.88085034522427</v>
      </c>
      <c r="S39" s="108">
        <f t="shared" si="12"/>
        <v>7.1325990847858662</v>
      </c>
      <c r="T39" s="108">
        <f t="shared" si="12"/>
        <v>129.88085034522427</v>
      </c>
      <c r="U39" s="108">
        <f t="shared" si="12"/>
        <v>7.1325990847858662</v>
      </c>
      <c r="V39" s="108">
        <f t="shared" si="12"/>
        <v>129.88085034522427</v>
      </c>
      <c r="W39" s="108">
        <f t="shared" si="12"/>
        <v>7.1325990847858662</v>
      </c>
      <c r="X39" s="108">
        <f t="shared" si="12"/>
        <v>129.88085034522427</v>
      </c>
      <c r="Y39" s="108">
        <f t="shared" si="12"/>
        <v>7.1325990847858662</v>
      </c>
      <c r="Z39" s="108">
        <f t="shared" si="12"/>
        <v>129.88085034522427</v>
      </c>
      <c r="AA39" s="108">
        <f t="shared" si="12"/>
        <v>7.1325990847858662</v>
      </c>
      <c r="AB39" s="108">
        <f t="shared" si="12"/>
        <v>129.88085034522427</v>
      </c>
      <c r="AC39" s="108">
        <f t="shared" si="12"/>
        <v>7.1325990847858662</v>
      </c>
      <c r="AD39" s="108">
        <f t="shared" si="12"/>
        <v>129.88085034522427</v>
      </c>
      <c r="AE39" s="108">
        <f t="shared" si="12"/>
        <v>7.1325990847858662</v>
      </c>
      <c r="AF39" s="108">
        <f t="shared" si="12"/>
        <v>129.88085034522427</v>
      </c>
      <c r="AG39" s="108">
        <f t="shared" si="12"/>
        <v>0</v>
      </c>
      <c r="AH39" s="108">
        <f t="shared" si="12"/>
        <v>88.561148868624713</v>
      </c>
      <c r="AI39" s="108">
        <f t="shared" si="12"/>
        <v>0</v>
      </c>
      <c r="AJ39" s="108">
        <f t="shared" si="12"/>
        <v>88.561148868624713</v>
      </c>
      <c r="AK39" s="108">
        <f t="shared" si="12"/>
        <v>22.476130492340673</v>
      </c>
      <c r="AL39" s="108">
        <f t="shared" si="12"/>
        <v>114.53731893766948</v>
      </c>
      <c r="AM39" s="108">
        <f t="shared" si="12"/>
        <v>22.476130492340673</v>
      </c>
      <c r="AN39" s="108">
        <f t="shared" si="12"/>
        <v>114.53731893766948</v>
      </c>
      <c r="AO39" s="108">
        <f t="shared" si="12"/>
        <v>22.476130492340673</v>
      </c>
      <c r="AP39" s="108">
        <f t="shared" si="12"/>
        <v>114.53731893766948</v>
      </c>
      <c r="AQ39" s="108">
        <f t="shared" si="12"/>
        <v>22.476130492340673</v>
      </c>
      <c r="AR39" s="108">
        <f t="shared" si="12"/>
        <v>114.53731893766948</v>
      </c>
      <c r="AS39" s="108">
        <f t="shared" si="12"/>
        <v>0</v>
      </c>
      <c r="AT39" s="108">
        <f t="shared" si="12"/>
        <v>0</v>
      </c>
      <c r="AU39" s="108">
        <f t="shared" si="12"/>
        <v>129.88085034522427</v>
      </c>
      <c r="AV39" s="108">
        <f t="shared" si="12"/>
        <v>0</v>
      </c>
      <c r="AW39" s="108">
        <f t="shared" si="12"/>
        <v>129.88085034522427</v>
      </c>
      <c r="AX39" s="108">
        <f t="shared" si="12"/>
        <v>0</v>
      </c>
      <c r="AY39" s="108">
        <f t="shared" si="12"/>
        <v>129.88085034522427</v>
      </c>
    </row>
    <row r="40" spans="1:52">
      <c r="A40" s="108"/>
      <c r="B40" s="162" t="s">
        <v>349</v>
      </c>
      <c r="C40" s="108"/>
      <c r="D40" s="108">
        <f>D34-D37</f>
        <v>52.337890406859557</v>
      </c>
      <c r="E40" s="108">
        <f t="shared" ref="E40:AY40" si="13">E34-E37</f>
        <v>36.126148022207545</v>
      </c>
      <c r="F40" s="108">
        <f t="shared" si="13"/>
        <v>94.752022391988334</v>
      </c>
      <c r="G40" s="108">
        <f t="shared" si="13"/>
        <v>36.126148022207545</v>
      </c>
      <c r="H40" s="108">
        <f t="shared" si="13"/>
        <v>94.752022391988334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6.8132108373171576</v>
      </c>
      <c r="N40" s="108">
        <f t="shared" si="13"/>
        <v>124.06495957687873</v>
      </c>
      <c r="O40" s="108">
        <f t="shared" si="13"/>
        <v>6.8132108373171576</v>
      </c>
      <c r="P40" s="108">
        <f t="shared" si="13"/>
        <v>124.06495957687873</v>
      </c>
      <c r="Q40" s="108">
        <f t="shared" si="13"/>
        <v>6.8132108373171576</v>
      </c>
      <c r="R40" s="108">
        <f t="shared" si="13"/>
        <v>124.06495957687873</v>
      </c>
      <c r="S40" s="108">
        <f t="shared" si="13"/>
        <v>6.8132108373171576</v>
      </c>
      <c r="T40" s="108">
        <f t="shared" si="13"/>
        <v>124.06495957687873</v>
      </c>
      <c r="U40" s="108">
        <f t="shared" si="13"/>
        <v>6.8132108373171576</v>
      </c>
      <c r="V40" s="108">
        <f t="shared" si="13"/>
        <v>124.06495957687873</v>
      </c>
      <c r="W40" s="108">
        <f t="shared" si="13"/>
        <v>6.8132108373171576</v>
      </c>
      <c r="X40" s="108">
        <f t="shared" si="13"/>
        <v>124.06495957687873</v>
      </c>
      <c r="Y40" s="108">
        <f t="shared" si="13"/>
        <v>6.8132108373171576</v>
      </c>
      <c r="Z40" s="108">
        <f t="shared" si="13"/>
        <v>124.06495957687873</v>
      </c>
      <c r="AA40" s="108">
        <f t="shared" si="13"/>
        <v>6.8132108373171576</v>
      </c>
      <c r="AB40" s="108">
        <f t="shared" si="13"/>
        <v>124.06495957687873</v>
      </c>
      <c r="AC40" s="108">
        <f t="shared" si="13"/>
        <v>6.8132108373171576</v>
      </c>
      <c r="AD40" s="108">
        <f t="shared" si="13"/>
        <v>124.06495957687873</v>
      </c>
      <c r="AE40" s="108">
        <f t="shared" si="13"/>
        <v>6.8132108373171576</v>
      </c>
      <c r="AF40" s="108">
        <f t="shared" si="13"/>
        <v>124.06495957687873</v>
      </c>
      <c r="AG40" s="108">
        <f t="shared" si="13"/>
        <v>0</v>
      </c>
      <c r="AH40" s="108">
        <f t="shared" si="13"/>
        <v>84.595499069057865</v>
      </c>
      <c r="AI40" s="108">
        <f t="shared" si="13"/>
        <v>0</v>
      </c>
      <c r="AJ40" s="108">
        <f t="shared" si="13"/>
        <v>84.595499069057865</v>
      </c>
      <c r="AK40" s="108">
        <f t="shared" si="13"/>
        <v>21.469679429762351</v>
      </c>
      <c r="AL40" s="108">
        <f t="shared" si="13"/>
        <v>109.40849098443353</v>
      </c>
      <c r="AM40" s="108">
        <f t="shared" si="13"/>
        <v>21.469679429762351</v>
      </c>
      <c r="AN40" s="108">
        <f t="shared" si="13"/>
        <v>109.40849098443353</v>
      </c>
      <c r="AO40" s="108">
        <f t="shared" si="13"/>
        <v>21.469679429762351</v>
      </c>
      <c r="AP40" s="108">
        <f t="shared" si="13"/>
        <v>109.40849098443353</v>
      </c>
      <c r="AQ40" s="108">
        <f t="shared" si="13"/>
        <v>21.469679429762351</v>
      </c>
      <c r="AR40" s="108">
        <f t="shared" si="13"/>
        <v>109.40849098443353</v>
      </c>
      <c r="AS40" s="108">
        <f t="shared" si="13"/>
        <v>0</v>
      </c>
      <c r="AT40" s="108">
        <f t="shared" si="13"/>
        <v>0</v>
      </c>
      <c r="AU40" s="108">
        <f t="shared" si="13"/>
        <v>124.06495957687873</v>
      </c>
      <c r="AV40" s="108">
        <f t="shared" si="13"/>
        <v>0</v>
      </c>
      <c r="AW40" s="108">
        <f t="shared" si="13"/>
        <v>124.06495957687873</v>
      </c>
      <c r="AX40" s="108">
        <f t="shared" si="13"/>
        <v>0</v>
      </c>
      <c r="AY40" s="108">
        <f t="shared" si="13"/>
        <v>124.06495957687873</v>
      </c>
    </row>
    <row r="41" spans="1:52">
      <c r="A41" s="108"/>
      <c r="B41" s="162" t="s">
        <v>350</v>
      </c>
      <c r="C41" s="108"/>
      <c r="D41" s="108">
        <v>1</v>
      </c>
      <c r="E41" s="108">
        <v>1</v>
      </c>
      <c r="F41" s="108">
        <v>1</v>
      </c>
      <c r="G41" s="108">
        <v>1</v>
      </c>
      <c r="H41" s="108">
        <v>3</v>
      </c>
      <c r="I41" s="108">
        <v>3</v>
      </c>
      <c r="J41" s="108">
        <v>2</v>
      </c>
      <c r="K41" s="108">
        <v>1</v>
      </c>
      <c r="L41" s="108">
        <v>1</v>
      </c>
      <c r="M41" s="108">
        <v>3</v>
      </c>
      <c r="N41" s="108">
        <v>1</v>
      </c>
      <c r="O41" s="108">
        <v>1</v>
      </c>
      <c r="P41" s="108">
        <v>1</v>
      </c>
      <c r="Q41" s="108">
        <v>1</v>
      </c>
      <c r="R41" s="108">
        <v>1</v>
      </c>
      <c r="S41" s="108">
        <v>2</v>
      </c>
      <c r="T41" s="108">
        <v>1</v>
      </c>
      <c r="U41" s="108">
        <v>1</v>
      </c>
      <c r="V41" s="108">
        <v>2</v>
      </c>
      <c r="W41" s="108">
        <v>2</v>
      </c>
      <c r="X41" s="108">
        <v>1</v>
      </c>
      <c r="Y41" s="108">
        <v>2</v>
      </c>
      <c r="Z41" s="108">
        <v>1</v>
      </c>
      <c r="AA41" s="108">
        <v>1</v>
      </c>
      <c r="AB41" s="108">
        <v>2</v>
      </c>
      <c r="AC41" s="108">
        <v>2</v>
      </c>
      <c r="AD41" s="108">
        <v>1</v>
      </c>
      <c r="AE41" s="108">
        <v>1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2</v>
      </c>
      <c r="AM41" s="108">
        <v>2</v>
      </c>
      <c r="AN41" s="108">
        <v>1</v>
      </c>
      <c r="AO41" s="108">
        <v>1</v>
      </c>
      <c r="AP41" s="108">
        <v>2</v>
      </c>
      <c r="AQ41" s="108">
        <v>3</v>
      </c>
      <c r="AR41" s="108">
        <v>1</v>
      </c>
      <c r="AS41" s="108">
        <v>3</v>
      </c>
      <c r="AT41" s="108">
        <v>1</v>
      </c>
      <c r="AU41" s="108">
        <v>1</v>
      </c>
      <c r="AV41" s="108">
        <v>2</v>
      </c>
      <c r="AW41" s="108">
        <v>3</v>
      </c>
      <c r="AX41" s="108">
        <v>1</v>
      </c>
      <c r="AY41" s="108">
        <v>1</v>
      </c>
    </row>
    <row r="42" spans="1:52">
      <c r="A42" s="108"/>
      <c r="B42" s="173" t="s">
        <v>351</v>
      </c>
      <c r="C42" s="108"/>
      <c r="D42" s="108">
        <v>88200</v>
      </c>
      <c r="E42" s="108">
        <v>264600</v>
      </c>
      <c r="F42" s="108">
        <v>88200</v>
      </c>
      <c r="G42" s="108">
        <v>264600</v>
      </c>
      <c r="H42" s="108">
        <v>88200</v>
      </c>
      <c r="I42" s="108">
        <v>44100</v>
      </c>
      <c r="J42" s="108">
        <v>44100</v>
      </c>
      <c r="K42" s="108">
        <v>44100</v>
      </c>
      <c r="L42" s="108">
        <v>44100</v>
      </c>
      <c r="M42" s="108">
        <v>352800</v>
      </c>
      <c r="N42" s="108">
        <v>0</v>
      </c>
      <c r="O42" s="108">
        <v>352800</v>
      </c>
      <c r="P42" s="108">
        <v>0</v>
      </c>
      <c r="Q42" s="108">
        <v>352800</v>
      </c>
      <c r="R42" s="108">
        <v>0</v>
      </c>
      <c r="S42" s="108">
        <v>352800</v>
      </c>
      <c r="T42" s="108">
        <v>0</v>
      </c>
      <c r="U42" s="108">
        <v>352800</v>
      </c>
      <c r="V42" s="108">
        <v>0</v>
      </c>
      <c r="W42" s="108">
        <v>352800</v>
      </c>
      <c r="X42" s="108">
        <v>0</v>
      </c>
      <c r="Y42" s="108">
        <v>352800</v>
      </c>
      <c r="Z42" s="108">
        <v>0</v>
      </c>
      <c r="AA42" s="108">
        <v>352800</v>
      </c>
      <c r="AB42" s="108">
        <v>0</v>
      </c>
      <c r="AC42" s="108">
        <v>352800</v>
      </c>
      <c r="AD42" s="108">
        <v>0</v>
      </c>
      <c r="AE42" s="108">
        <v>352800</v>
      </c>
      <c r="AF42" s="108">
        <v>0</v>
      </c>
      <c r="AG42" s="108">
        <v>308700</v>
      </c>
      <c r="AH42" s="108">
        <v>44100</v>
      </c>
      <c r="AI42" s="108">
        <v>308700</v>
      </c>
      <c r="AJ42" s="108">
        <v>44100</v>
      </c>
      <c r="AK42" s="108">
        <v>308700</v>
      </c>
      <c r="AL42" s="108">
        <v>44100</v>
      </c>
      <c r="AM42" s="108">
        <v>308700</v>
      </c>
      <c r="AN42" s="108">
        <v>44100</v>
      </c>
      <c r="AO42" s="108">
        <v>308700</v>
      </c>
      <c r="AP42" s="108">
        <v>44100</v>
      </c>
      <c r="AQ42" s="108">
        <v>308700</v>
      </c>
      <c r="AR42" s="108">
        <v>44100</v>
      </c>
      <c r="AS42" s="108">
        <v>0</v>
      </c>
      <c r="AT42" s="108">
        <v>396900</v>
      </c>
      <c r="AU42" s="108">
        <v>0</v>
      </c>
      <c r="AV42" s="108">
        <v>396900</v>
      </c>
      <c r="AW42" s="108">
        <v>0</v>
      </c>
      <c r="AX42" s="108">
        <v>396900</v>
      </c>
      <c r="AY42" s="108">
        <v>0</v>
      </c>
      <c r="AZ42">
        <f>SUM($D$42:$AY$42)</f>
        <v>7805700</v>
      </c>
    </row>
    <row r="43" spans="1:52">
      <c r="A43" s="108"/>
      <c r="B43" s="173" t="s">
        <v>352</v>
      </c>
      <c r="C43" s="108"/>
      <c r="D43" s="108">
        <v>85301.67749537529</v>
      </c>
      <c r="E43" s="108">
        <v>58879.351150474533</v>
      </c>
      <c r="F43" s="108">
        <v>154429.35115047454</v>
      </c>
      <c r="G43" s="108">
        <v>58879.351150474533</v>
      </c>
      <c r="H43" s="108">
        <v>154429.35115047454</v>
      </c>
      <c r="I43" s="108">
        <v>0</v>
      </c>
      <c r="J43" s="108">
        <v>0</v>
      </c>
      <c r="K43" s="108">
        <v>0</v>
      </c>
      <c r="L43" s="108">
        <v>0</v>
      </c>
      <c r="M43" s="108">
        <v>11104.351150474533</v>
      </c>
      <c r="N43" s="108">
        <v>202204.35115047451</v>
      </c>
      <c r="O43" s="108">
        <v>11104.351150474533</v>
      </c>
      <c r="P43" s="108">
        <v>202204.35115047451</v>
      </c>
      <c r="Q43" s="108">
        <v>11104.351150474533</v>
      </c>
      <c r="R43" s="108">
        <v>202204.35115047451</v>
      </c>
      <c r="S43" s="108">
        <v>11104.351150474533</v>
      </c>
      <c r="T43" s="108">
        <v>202204.35115047451</v>
      </c>
      <c r="U43" s="108">
        <v>11104.351150474533</v>
      </c>
      <c r="V43" s="108">
        <v>202204.35115047451</v>
      </c>
      <c r="W43" s="108">
        <v>11104.351150474533</v>
      </c>
      <c r="X43" s="108">
        <v>202204.35115047451</v>
      </c>
      <c r="Y43" s="108">
        <v>11104.351150474533</v>
      </c>
      <c r="Z43" s="108">
        <v>202204.35115047451</v>
      </c>
      <c r="AA43" s="108">
        <v>11104.351150474533</v>
      </c>
      <c r="AB43" s="108">
        <v>202204.35115047451</v>
      </c>
      <c r="AC43" s="108">
        <v>11104.351150474533</v>
      </c>
      <c r="AD43" s="108">
        <v>202204.35115047451</v>
      </c>
      <c r="AE43" s="108">
        <v>11104.351150474533</v>
      </c>
      <c r="AF43" s="108">
        <v>202204.35115047451</v>
      </c>
      <c r="AG43" s="108">
        <v>0</v>
      </c>
      <c r="AH43" s="108">
        <v>137875.98092037978</v>
      </c>
      <c r="AI43" s="108">
        <v>0</v>
      </c>
      <c r="AJ43" s="108">
        <v>137875.98092037978</v>
      </c>
      <c r="AK43" s="108">
        <v>34991.851150474533</v>
      </c>
      <c r="AL43" s="108">
        <v>178316.85115047451</v>
      </c>
      <c r="AM43" s="108">
        <v>34991.851150474533</v>
      </c>
      <c r="AN43" s="108">
        <v>178316.85115047451</v>
      </c>
      <c r="AO43" s="108">
        <v>34991.851150474533</v>
      </c>
      <c r="AP43" s="108">
        <v>178316.85115047451</v>
      </c>
      <c r="AQ43" s="108">
        <v>34991.851150474533</v>
      </c>
      <c r="AR43" s="108">
        <v>178316.85115047451</v>
      </c>
      <c r="AS43" s="108">
        <v>0</v>
      </c>
      <c r="AT43" s="108">
        <v>0</v>
      </c>
      <c r="AU43" s="108">
        <v>202204.35115047451</v>
      </c>
      <c r="AV43" s="108">
        <v>0</v>
      </c>
      <c r="AW43" s="108">
        <v>202204.35115047451</v>
      </c>
      <c r="AX43" s="108">
        <v>0</v>
      </c>
      <c r="AY43" s="108">
        <v>202204.35115047451</v>
      </c>
      <c r="AZ43">
        <f>SUM($D$43:$AY$43)</f>
        <v>4380605.9296027431</v>
      </c>
    </row>
    <row r="44" spans="1:52">
      <c r="A44" s="132" t="s">
        <v>46</v>
      </c>
      <c r="B44" s="132" t="s">
        <v>342</v>
      </c>
      <c r="C44" s="121"/>
      <c r="D44" s="121">
        <f>D$21*shipping_manufacturing!$D$28/100</f>
        <v>102.73542951829967</v>
      </c>
      <c r="E44" s="121">
        <f>E$21*shipping_manufacturing!$D$28/100</f>
        <v>156.10211538858883</v>
      </c>
      <c r="F44" s="121">
        <f>F$21*shipping_manufacturing!$D$28/100</f>
        <v>156.10211538858883</v>
      </c>
      <c r="G44" s="121">
        <f>G$21*shipping_manufacturing!$D$28/100</f>
        <v>156.10211538858883</v>
      </c>
      <c r="H44" s="121">
        <f>H$21*shipping_manufacturing!$D$28/100</f>
        <v>156.10211538858883</v>
      </c>
      <c r="I44" s="121">
        <f>I$21*shipping_manufacturing!$D$28/100</f>
        <v>4.8046472034234598E-20</v>
      </c>
      <c r="J44" s="121">
        <f>J$21*shipping_manufacturing!$D$28/100</f>
        <v>4.8046472034234598E-20</v>
      </c>
      <c r="K44" s="121">
        <f>K$21*shipping_manufacturing!$D$28/100</f>
        <v>4.8046472034234598E-20</v>
      </c>
      <c r="L44" s="121">
        <f>L$21*shipping_manufacturing!$D$28/100</f>
        <v>4.8046472034234598E-20</v>
      </c>
      <c r="M44" s="121">
        <f>M$21*shipping_manufacturing!$D$28/100</f>
        <v>156.10211538858883</v>
      </c>
      <c r="N44" s="121">
        <f>N$21*shipping_manufacturing!$D$28/100</f>
        <v>156.10211538858883</v>
      </c>
      <c r="O44" s="121">
        <f>O$21*shipping_manufacturing!$D$28/100</f>
        <v>156.10211538858883</v>
      </c>
      <c r="P44" s="121">
        <f>P$21*shipping_manufacturing!$D$28/100</f>
        <v>156.10211538858883</v>
      </c>
      <c r="Q44" s="121">
        <f>Q$21*shipping_manufacturing!$D$28/100</f>
        <v>156.10211538858883</v>
      </c>
      <c r="R44" s="121">
        <f>R$21*shipping_manufacturing!$D$28/100</f>
        <v>156.10211538858883</v>
      </c>
      <c r="S44" s="121">
        <f>S$21*shipping_manufacturing!$D$28/100</f>
        <v>156.10211538858883</v>
      </c>
      <c r="T44" s="121">
        <f>T$21*shipping_manufacturing!$D$28/100</f>
        <v>156.10211538858883</v>
      </c>
      <c r="U44" s="121">
        <f>U$21*shipping_manufacturing!$D$28/100</f>
        <v>156.10211538858883</v>
      </c>
      <c r="V44" s="121">
        <f>V$21*shipping_manufacturing!$D$28/100</f>
        <v>156.10211538858883</v>
      </c>
      <c r="W44" s="121">
        <f>W$21*shipping_manufacturing!$D$28/100</f>
        <v>156.10211538858883</v>
      </c>
      <c r="X44" s="121">
        <f>X$21*shipping_manufacturing!$D$28/100</f>
        <v>156.10211538858883</v>
      </c>
      <c r="Y44" s="121">
        <f>Y$21*shipping_manufacturing!$D$28/100</f>
        <v>156.10211538858883</v>
      </c>
      <c r="Z44" s="121">
        <f>Z$21*shipping_manufacturing!$D$28/100</f>
        <v>156.10211538858883</v>
      </c>
      <c r="AA44" s="121">
        <f>AA$21*shipping_manufacturing!$D$28/100</f>
        <v>156.10211538858883</v>
      </c>
      <c r="AB44" s="121">
        <f>AB$21*shipping_manufacturing!$D$28/100</f>
        <v>156.10211538858883</v>
      </c>
      <c r="AC44" s="121">
        <f>AC$21*shipping_manufacturing!$D$28/100</f>
        <v>156.10211538858883</v>
      </c>
      <c r="AD44" s="121">
        <f>AD$21*shipping_manufacturing!$D$28/100</f>
        <v>156.10211538858883</v>
      </c>
      <c r="AE44" s="121">
        <f>AE$21*shipping_manufacturing!$D$28/100</f>
        <v>156.10211538858883</v>
      </c>
      <c r="AF44" s="121">
        <f>AF$21*shipping_manufacturing!$D$28/100</f>
        <v>156.10211538858883</v>
      </c>
      <c r="AG44" s="121">
        <f>AG$21*shipping_manufacturing!$D$28/100</f>
        <v>124.88169231087114</v>
      </c>
      <c r="AH44" s="121">
        <f>AH$21*shipping_manufacturing!$D$28/100</f>
        <v>124.88169231087114</v>
      </c>
      <c r="AI44" s="121">
        <f>AI$21*shipping_manufacturing!$D$28/100</f>
        <v>124.88169231087114</v>
      </c>
      <c r="AJ44" s="121">
        <f>AJ$21*shipping_manufacturing!$D$28/100</f>
        <v>124.88169231087114</v>
      </c>
      <c r="AK44" s="121">
        <f>AK$21*shipping_manufacturing!$D$28/100</f>
        <v>156.10211538858883</v>
      </c>
      <c r="AL44" s="121">
        <f>AL$21*shipping_manufacturing!$D$28/100</f>
        <v>156.10211538858883</v>
      </c>
      <c r="AM44" s="121">
        <f>AM$21*shipping_manufacturing!$D$28/100</f>
        <v>156.10211538858883</v>
      </c>
      <c r="AN44" s="121">
        <f>AN$21*shipping_manufacturing!$D$28/100</f>
        <v>156.10211538858883</v>
      </c>
      <c r="AO44" s="121">
        <f>AO$21*shipping_manufacturing!$D$28/100</f>
        <v>156.10211538858883</v>
      </c>
      <c r="AP44" s="121">
        <f>AP$21*shipping_manufacturing!$D$28/100</f>
        <v>156.10211538858883</v>
      </c>
      <c r="AQ44" s="121">
        <f>AQ$21*shipping_manufacturing!$D$28/100</f>
        <v>156.10211538858883</v>
      </c>
      <c r="AR44" s="121">
        <f>AR$21*shipping_manufacturing!$D$28/100</f>
        <v>156.10211538858883</v>
      </c>
      <c r="AS44" s="121">
        <f>AS$21*shipping_manufacturing!$D$28/100</f>
        <v>0</v>
      </c>
      <c r="AT44" s="121">
        <f>AT$21*shipping_manufacturing!$D$28/100</f>
        <v>156.10211538858883</v>
      </c>
      <c r="AU44" s="121">
        <f>AU$21*shipping_manufacturing!$D$28/100</f>
        <v>156.10211538858883</v>
      </c>
      <c r="AV44" s="121">
        <f>AV$21*shipping_manufacturing!$D$28/100</f>
        <v>156.10211538858883</v>
      </c>
      <c r="AW44" s="121">
        <f>AW$21*shipping_manufacturing!$D$28/100</f>
        <v>156.10211538858883</v>
      </c>
      <c r="AX44" s="121">
        <f>AX$21*shipping_manufacturing!$D$28/100</f>
        <v>156.10211538858883</v>
      </c>
      <c r="AY44" s="121">
        <f>AY$21*shipping_manufacturing!$D$28/100</f>
        <v>156.10211538858883</v>
      </c>
    </row>
    <row r="45" spans="1:52">
      <c r="A45" s="110" t="s">
        <v>341</v>
      </c>
      <c r="B45" s="162" t="s">
        <v>343</v>
      </c>
      <c r="C45" s="108"/>
      <c r="D45" s="108">
        <f>D$22*shipping_manufacturing!$E$28/100</f>
        <v>125.01309115843513</v>
      </c>
      <c r="E45" s="108">
        <f>E$22*shipping_manufacturing!$E$28/100</f>
        <v>189.95207468930818</v>
      </c>
      <c r="F45" s="108">
        <f>F$22*shipping_manufacturing!$E$28/100</f>
        <v>189.95207468930818</v>
      </c>
      <c r="G45" s="108">
        <f>G$22*shipping_manufacturing!$E$28/100</f>
        <v>189.95207468930818</v>
      </c>
      <c r="H45" s="108">
        <f>H$22*shipping_manufacturing!$E$28/100</f>
        <v>189.95207468930818</v>
      </c>
      <c r="I45" s="108">
        <f>I$22*shipping_manufacturing!$E$28/100</f>
        <v>5.8465108058822911E-20</v>
      </c>
      <c r="J45" s="108">
        <f>J$22*shipping_manufacturing!$E$28/100</f>
        <v>5.8465108058822911E-20</v>
      </c>
      <c r="K45" s="108">
        <f>K$22*shipping_manufacturing!$E$28/100</f>
        <v>5.8465108058822911E-20</v>
      </c>
      <c r="L45" s="108">
        <f>L$22*shipping_manufacturing!$E$28/100</f>
        <v>5.8465108058822911E-20</v>
      </c>
      <c r="M45" s="108">
        <f>M$22*shipping_manufacturing!$E$28/100</f>
        <v>189.95207468930818</v>
      </c>
      <c r="N45" s="108">
        <f>N$22*shipping_manufacturing!$E$28/100</f>
        <v>189.95207468930818</v>
      </c>
      <c r="O45" s="108">
        <f>O$22*shipping_manufacturing!$E$28/100</f>
        <v>189.95207468930818</v>
      </c>
      <c r="P45" s="108">
        <f>P$22*shipping_manufacturing!$E$28/100</f>
        <v>189.95207468930818</v>
      </c>
      <c r="Q45" s="108">
        <f>Q$22*shipping_manufacturing!$E$28/100</f>
        <v>189.95207468930818</v>
      </c>
      <c r="R45" s="108">
        <f>R$22*shipping_manufacturing!$E$28/100</f>
        <v>189.95207468930818</v>
      </c>
      <c r="S45" s="108">
        <f>S$22*shipping_manufacturing!$E$28/100</f>
        <v>189.95207468930818</v>
      </c>
      <c r="T45" s="108">
        <f>T$22*shipping_manufacturing!$E$28/100</f>
        <v>189.95207468930818</v>
      </c>
      <c r="U45" s="108">
        <f>U$22*shipping_manufacturing!$E$28/100</f>
        <v>189.95207468930818</v>
      </c>
      <c r="V45" s="108">
        <f>V$22*shipping_manufacturing!$E$28/100</f>
        <v>189.95207468930818</v>
      </c>
      <c r="W45" s="108">
        <f>W$22*shipping_manufacturing!$E$28/100</f>
        <v>189.95207468930818</v>
      </c>
      <c r="X45" s="108">
        <f>X$22*shipping_manufacturing!$E$28/100</f>
        <v>189.95207468930818</v>
      </c>
      <c r="Y45" s="108">
        <f>Y$22*shipping_manufacturing!$E$28/100</f>
        <v>189.95207468930818</v>
      </c>
      <c r="Z45" s="108">
        <f>Z$22*shipping_manufacturing!$E$28/100</f>
        <v>189.95207468930818</v>
      </c>
      <c r="AA45" s="108">
        <f>AA$22*shipping_manufacturing!$E$28/100</f>
        <v>189.95207468930818</v>
      </c>
      <c r="AB45" s="108">
        <f>AB$22*shipping_manufacturing!$E$28/100</f>
        <v>189.95207468930818</v>
      </c>
      <c r="AC45" s="108">
        <f>AC$22*shipping_manufacturing!$E$28/100</f>
        <v>189.95207468930818</v>
      </c>
      <c r="AD45" s="108">
        <f>AD$22*shipping_manufacturing!$E$28/100</f>
        <v>189.95207468930818</v>
      </c>
      <c r="AE45" s="108">
        <f>AE$22*shipping_manufacturing!$E$28/100</f>
        <v>189.95207468930818</v>
      </c>
      <c r="AF45" s="108">
        <f>AF$22*shipping_manufacturing!$E$28/100</f>
        <v>189.95207468930818</v>
      </c>
      <c r="AG45" s="108">
        <f>AG$22*shipping_manufacturing!$E$28/100</f>
        <v>151.96165975144666</v>
      </c>
      <c r="AH45" s="108">
        <f>AH$22*shipping_manufacturing!$E$28/100</f>
        <v>151.96165975144666</v>
      </c>
      <c r="AI45" s="108">
        <f>AI$22*shipping_manufacturing!$E$28/100</f>
        <v>151.96165975144666</v>
      </c>
      <c r="AJ45" s="108">
        <f>AJ$22*shipping_manufacturing!$E$28/100</f>
        <v>151.96165975144666</v>
      </c>
      <c r="AK45" s="108">
        <f>AK$22*shipping_manufacturing!$E$28/100</f>
        <v>189.95207468930818</v>
      </c>
      <c r="AL45" s="108">
        <f>AL$22*shipping_manufacturing!$E$28/100</f>
        <v>189.95207468930818</v>
      </c>
      <c r="AM45" s="108">
        <f>AM$22*shipping_manufacturing!$E$28/100</f>
        <v>189.95207468930818</v>
      </c>
      <c r="AN45" s="108">
        <f>AN$22*shipping_manufacturing!$E$28/100</f>
        <v>189.95207468930818</v>
      </c>
      <c r="AO45" s="108">
        <f>AO$22*shipping_manufacturing!$E$28/100</f>
        <v>189.95207468930818</v>
      </c>
      <c r="AP45" s="108">
        <f>AP$22*shipping_manufacturing!$E$28/100</f>
        <v>189.95207468930818</v>
      </c>
      <c r="AQ45" s="108">
        <f>AQ$22*shipping_manufacturing!$E$28/100</f>
        <v>189.95207468930818</v>
      </c>
      <c r="AR45" s="108">
        <f>AR$22*shipping_manufacturing!$E$28/100</f>
        <v>189.95207468930818</v>
      </c>
      <c r="AS45" s="108">
        <f>AS$22*shipping_manufacturing!$E$28/100</f>
        <v>0</v>
      </c>
      <c r="AT45" s="108">
        <f>AT$22*shipping_manufacturing!$E$28/100</f>
        <v>189.95207468930818</v>
      </c>
      <c r="AU45" s="108">
        <f>AU$22*shipping_manufacturing!$E$28/100</f>
        <v>189.95207468930818</v>
      </c>
      <c r="AV45" s="108">
        <f>AV$22*shipping_manufacturing!$E$28/100</f>
        <v>189.95207468930818</v>
      </c>
      <c r="AW45" s="108">
        <f>AW$22*shipping_manufacturing!$E$28/100</f>
        <v>189.95207468930818</v>
      </c>
      <c r="AX45" s="108">
        <f>AX$22*shipping_manufacturing!$E$28/100</f>
        <v>189.95207468930818</v>
      </c>
      <c r="AY45" s="108">
        <f>AY$22*shipping_manufacturing!$E$28/100</f>
        <v>189.95207468930818</v>
      </c>
    </row>
    <row r="46" spans="1:52">
      <c r="A46" s="108">
        <v>89</v>
      </c>
      <c r="B46" s="162" t="s">
        <v>344</v>
      </c>
      <c r="C46" s="108"/>
      <c r="D46" s="108">
        <f>SUM(D44:D45)</f>
        <v>227.74852067673481</v>
      </c>
      <c r="E46" s="108">
        <f t="shared" ref="E46:AY46" si="14">SUM(E44:E45)</f>
        <v>346.05419007789703</v>
      </c>
      <c r="F46" s="108">
        <f t="shared" si="14"/>
        <v>346.05419007789703</v>
      </c>
      <c r="G46" s="108">
        <f t="shared" si="14"/>
        <v>346.05419007789703</v>
      </c>
      <c r="H46" s="108">
        <f t="shared" si="14"/>
        <v>346.05419007789703</v>
      </c>
      <c r="I46" s="108">
        <f t="shared" si="14"/>
        <v>1.0651158009305751E-19</v>
      </c>
      <c r="J46" s="108">
        <f t="shared" si="14"/>
        <v>1.0651158009305751E-19</v>
      </c>
      <c r="K46" s="108">
        <f t="shared" si="14"/>
        <v>1.0651158009305751E-19</v>
      </c>
      <c r="L46" s="108">
        <f t="shared" si="14"/>
        <v>1.0651158009305751E-19</v>
      </c>
      <c r="M46" s="108">
        <f t="shared" si="14"/>
        <v>346.05419007789703</v>
      </c>
      <c r="N46" s="108">
        <f t="shared" si="14"/>
        <v>346.05419007789703</v>
      </c>
      <c r="O46" s="108">
        <f t="shared" si="14"/>
        <v>346.05419007789703</v>
      </c>
      <c r="P46" s="108">
        <f t="shared" si="14"/>
        <v>346.05419007789703</v>
      </c>
      <c r="Q46" s="108">
        <f t="shared" si="14"/>
        <v>346.05419007789703</v>
      </c>
      <c r="R46" s="108">
        <f t="shared" si="14"/>
        <v>346.05419007789703</v>
      </c>
      <c r="S46" s="108">
        <f t="shared" si="14"/>
        <v>346.05419007789703</v>
      </c>
      <c r="T46" s="108">
        <f t="shared" si="14"/>
        <v>346.05419007789703</v>
      </c>
      <c r="U46" s="108">
        <f t="shared" si="14"/>
        <v>346.05419007789703</v>
      </c>
      <c r="V46" s="108">
        <f t="shared" si="14"/>
        <v>346.05419007789703</v>
      </c>
      <c r="W46" s="108">
        <f t="shared" si="14"/>
        <v>346.05419007789703</v>
      </c>
      <c r="X46" s="108">
        <f t="shared" si="14"/>
        <v>346.05419007789703</v>
      </c>
      <c r="Y46" s="108">
        <f t="shared" si="14"/>
        <v>346.05419007789703</v>
      </c>
      <c r="Z46" s="108">
        <f t="shared" si="14"/>
        <v>346.05419007789703</v>
      </c>
      <c r="AA46" s="108">
        <f t="shared" si="14"/>
        <v>346.05419007789703</v>
      </c>
      <c r="AB46" s="108">
        <f t="shared" si="14"/>
        <v>346.05419007789703</v>
      </c>
      <c r="AC46" s="108">
        <f t="shared" si="14"/>
        <v>346.05419007789703</v>
      </c>
      <c r="AD46" s="108">
        <f t="shared" si="14"/>
        <v>346.05419007789703</v>
      </c>
      <c r="AE46" s="108">
        <f t="shared" si="14"/>
        <v>346.05419007789703</v>
      </c>
      <c r="AF46" s="108">
        <f t="shared" si="14"/>
        <v>346.05419007789703</v>
      </c>
      <c r="AG46" s="108">
        <f t="shared" si="14"/>
        <v>276.84335206231782</v>
      </c>
      <c r="AH46" s="108">
        <f t="shared" si="14"/>
        <v>276.84335206231782</v>
      </c>
      <c r="AI46" s="108">
        <f t="shared" si="14"/>
        <v>276.84335206231782</v>
      </c>
      <c r="AJ46" s="108">
        <f t="shared" si="14"/>
        <v>276.84335206231782</v>
      </c>
      <c r="AK46" s="108">
        <f t="shared" si="14"/>
        <v>346.05419007789703</v>
      </c>
      <c r="AL46" s="108">
        <f t="shared" si="14"/>
        <v>346.05419007789703</v>
      </c>
      <c r="AM46" s="108">
        <f t="shared" si="14"/>
        <v>346.05419007789703</v>
      </c>
      <c r="AN46" s="108">
        <f t="shared" si="14"/>
        <v>346.05419007789703</v>
      </c>
      <c r="AO46" s="108">
        <f t="shared" si="14"/>
        <v>346.05419007789703</v>
      </c>
      <c r="AP46" s="108">
        <f t="shared" si="14"/>
        <v>346.05419007789703</v>
      </c>
      <c r="AQ46" s="108">
        <f t="shared" si="14"/>
        <v>346.05419007789703</v>
      </c>
      <c r="AR46" s="108">
        <f t="shared" si="14"/>
        <v>346.05419007789703</v>
      </c>
      <c r="AS46" s="108">
        <f t="shared" si="14"/>
        <v>0</v>
      </c>
      <c r="AT46" s="108">
        <f t="shared" si="14"/>
        <v>346.05419007789703</v>
      </c>
      <c r="AU46" s="108">
        <f t="shared" si="14"/>
        <v>346.05419007789703</v>
      </c>
      <c r="AV46" s="108">
        <f t="shared" si="14"/>
        <v>346.05419007789703</v>
      </c>
      <c r="AW46" s="108">
        <f t="shared" si="14"/>
        <v>346.05419007789703</v>
      </c>
      <c r="AX46" s="108">
        <f t="shared" si="14"/>
        <v>346.05419007789703</v>
      </c>
      <c r="AY46" s="108">
        <f t="shared" si="14"/>
        <v>346.05419007789703</v>
      </c>
    </row>
    <row r="47" spans="1:52">
      <c r="A47" s="108"/>
      <c r="B47" s="162" t="s">
        <v>345</v>
      </c>
      <c r="C47" s="108"/>
      <c r="D47" s="108">
        <v>67.663730073655572</v>
      </c>
      <c r="E47" s="108">
        <v>121.79471413258004</v>
      </c>
      <c r="F47" s="108">
        <v>67.663730073655572</v>
      </c>
      <c r="G47" s="108">
        <v>121.79471413258004</v>
      </c>
      <c r="H47" s="108">
        <v>67.663730073655572</v>
      </c>
      <c r="I47" s="108">
        <v>4.8046472034234598E-20</v>
      </c>
      <c r="J47" s="108">
        <v>4.8046472034234598E-20</v>
      </c>
      <c r="K47" s="108">
        <v>4.8046472034234598E-20</v>
      </c>
      <c r="L47" s="108">
        <v>4.8046472034234598E-20</v>
      </c>
      <c r="M47" s="108">
        <v>156.10211538858883</v>
      </c>
      <c r="N47" s="108">
        <v>27.065492029462231</v>
      </c>
      <c r="O47" s="108">
        <v>156.10211538858883</v>
      </c>
      <c r="P47" s="108">
        <v>27.065492029462231</v>
      </c>
      <c r="Q47" s="108">
        <v>156.10211538858883</v>
      </c>
      <c r="R47" s="108">
        <v>27.065492029462231</v>
      </c>
      <c r="S47" s="108">
        <v>156.10211538858883</v>
      </c>
      <c r="T47" s="108">
        <v>27.065492029462231</v>
      </c>
      <c r="U47" s="108">
        <v>156.10211538858883</v>
      </c>
      <c r="V47" s="108">
        <v>27.065492029462231</v>
      </c>
      <c r="W47" s="108">
        <v>156.10211538858883</v>
      </c>
      <c r="X47" s="108">
        <v>27.065492029462231</v>
      </c>
      <c r="Y47" s="108">
        <v>156.10211538858883</v>
      </c>
      <c r="Z47" s="108">
        <v>27.065492029462231</v>
      </c>
      <c r="AA47" s="108">
        <v>156.10211538858883</v>
      </c>
      <c r="AB47" s="108">
        <v>27.065492029462231</v>
      </c>
      <c r="AC47" s="108">
        <v>156.10211538858883</v>
      </c>
      <c r="AD47" s="108">
        <v>27.065492029462231</v>
      </c>
      <c r="AE47" s="108">
        <v>156.10211538858883</v>
      </c>
      <c r="AF47" s="108">
        <v>27.065492029462231</v>
      </c>
      <c r="AG47" s="108">
        <v>124.88169231087116</v>
      </c>
      <c r="AH47" s="108">
        <v>54.130984058924454</v>
      </c>
      <c r="AI47" s="108">
        <v>124.88169231087116</v>
      </c>
      <c r="AJ47" s="108">
        <v>54.130984058924454</v>
      </c>
      <c r="AK47" s="108">
        <v>135.32746014731114</v>
      </c>
      <c r="AL47" s="108">
        <v>54.130984058924454</v>
      </c>
      <c r="AM47" s="108">
        <v>135.32746014731114</v>
      </c>
      <c r="AN47" s="108">
        <v>54.130984058924454</v>
      </c>
      <c r="AO47" s="108">
        <v>135.32746014731114</v>
      </c>
      <c r="AP47" s="108">
        <v>54.130984058924454</v>
      </c>
      <c r="AQ47" s="108">
        <v>135.32746014731114</v>
      </c>
      <c r="AR47" s="108">
        <v>54.130984058924454</v>
      </c>
      <c r="AS47" s="108"/>
      <c r="AT47" s="108">
        <v>156.10211538858883</v>
      </c>
      <c r="AU47" s="108">
        <v>13.532746014731115</v>
      </c>
      <c r="AV47" s="108">
        <v>156.10211538858883</v>
      </c>
      <c r="AW47" s="108">
        <v>13.532746014731115</v>
      </c>
      <c r="AX47" s="108">
        <v>156.10211538858883</v>
      </c>
      <c r="AY47" s="108">
        <v>13.532746014731115</v>
      </c>
    </row>
    <row r="48" spans="1:52">
      <c r="A48" s="108"/>
      <c r="B48" s="162" t="s">
        <v>346</v>
      </c>
      <c r="C48" s="108"/>
      <c r="D48" s="108">
        <v>82.336269926344414</v>
      </c>
      <c r="E48" s="108">
        <v>148.20528586741995</v>
      </c>
      <c r="F48" s="108">
        <v>82.336269926344414</v>
      </c>
      <c r="G48" s="108">
        <v>148.20528586741995</v>
      </c>
      <c r="H48" s="108">
        <v>82.336269926344414</v>
      </c>
      <c r="I48" s="108">
        <v>5.8465108058822911E-20</v>
      </c>
      <c r="J48" s="108">
        <v>5.8465108058822911E-20</v>
      </c>
      <c r="K48" s="108">
        <v>5.8465108058822911E-20</v>
      </c>
      <c r="L48" s="108">
        <v>5.8465108058822911E-20</v>
      </c>
      <c r="M48" s="108">
        <v>189.95207468930818</v>
      </c>
      <c r="N48" s="108">
        <v>32.934507970537766</v>
      </c>
      <c r="O48" s="108">
        <v>189.95207468930818</v>
      </c>
      <c r="P48" s="108">
        <v>32.934507970537766</v>
      </c>
      <c r="Q48" s="108">
        <v>189.95207468930818</v>
      </c>
      <c r="R48" s="108">
        <v>32.934507970537766</v>
      </c>
      <c r="S48" s="108">
        <v>189.95207468930818</v>
      </c>
      <c r="T48" s="108">
        <v>32.934507970537766</v>
      </c>
      <c r="U48" s="108">
        <v>189.95207468930818</v>
      </c>
      <c r="V48" s="108">
        <v>32.934507970537766</v>
      </c>
      <c r="W48" s="108">
        <v>189.95207468930818</v>
      </c>
      <c r="X48" s="108">
        <v>32.934507970537766</v>
      </c>
      <c r="Y48" s="108">
        <v>189.95207468930818</v>
      </c>
      <c r="Z48" s="108">
        <v>32.934507970537766</v>
      </c>
      <c r="AA48" s="108">
        <v>189.95207468930818</v>
      </c>
      <c r="AB48" s="108">
        <v>32.934507970537766</v>
      </c>
      <c r="AC48" s="108">
        <v>189.95207468930818</v>
      </c>
      <c r="AD48" s="108">
        <v>32.934507970537766</v>
      </c>
      <c r="AE48" s="108">
        <v>189.95207468930818</v>
      </c>
      <c r="AF48" s="108">
        <v>32.934507970537766</v>
      </c>
      <c r="AG48" s="108">
        <v>151.96165975144666</v>
      </c>
      <c r="AH48" s="108">
        <v>65.869015941075531</v>
      </c>
      <c r="AI48" s="108">
        <v>151.96165975144666</v>
      </c>
      <c r="AJ48" s="108">
        <v>65.869015941075531</v>
      </c>
      <c r="AK48" s="108">
        <v>164.67253985268883</v>
      </c>
      <c r="AL48" s="108">
        <v>65.869015941075531</v>
      </c>
      <c r="AM48" s="108">
        <v>164.67253985268883</v>
      </c>
      <c r="AN48" s="108">
        <v>65.869015941075531</v>
      </c>
      <c r="AO48" s="108">
        <v>164.67253985268883</v>
      </c>
      <c r="AP48" s="108">
        <v>65.869015941075531</v>
      </c>
      <c r="AQ48" s="108">
        <v>164.67253985268883</v>
      </c>
      <c r="AR48" s="108">
        <v>65.869015941075531</v>
      </c>
      <c r="AS48" s="108"/>
      <c r="AT48" s="108">
        <v>189.95207468930818</v>
      </c>
      <c r="AU48" s="108">
        <v>16.467253985268883</v>
      </c>
      <c r="AV48" s="108">
        <v>189.95207468930818</v>
      </c>
      <c r="AW48" s="108">
        <v>16.467253985268883</v>
      </c>
      <c r="AX48" s="108">
        <v>189.95207468930818</v>
      </c>
      <c r="AY48" s="108">
        <v>16.467253985268883</v>
      </c>
    </row>
    <row r="49" spans="1:52">
      <c r="A49" s="108"/>
      <c r="B49" s="162" t="s">
        <v>347</v>
      </c>
      <c r="C49" s="108"/>
      <c r="D49" s="108">
        <v>5</v>
      </c>
      <c r="E49" s="108">
        <v>9</v>
      </c>
      <c r="F49" s="108">
        <v>5</v>
      </c>
      <c r="G49" s="108">
        <v>9</v>
      </c>
      <c r="H49" s="108">
        <v>5</v>
      </c>
      <c r="I49" s="108">
        <v>1</v>
      </c>
      <c r="J49" s="108">
        <v>1</v>
      </c>
      <c r="K49" s="108">
        <v>1</v>
      </c>
      <c r="L49" s="108">
        <v>1</v>
      </c>
      <c r="M49" s="108">
        <v>12</v>
      </c>
      <c r="N49" s="108">
        <v>2</v>
      </c>
      <c r="O49" s="108">
        <v>12</v>
      </c>
      <c r="P49" s="108">
        <v>2</v>
      </c>
      <c r="Q49" s="108">
        <v>12</v>
      </c>
      <c r="R49" s="108">
        <v>2</v>
      </c>
      <c r="S49" s="108">
        <v>12</v>
      </c>
      <c r="T49" s="108">
        <v>2</v>
      </c>
      <c r="U49" s="108">
        <v>12</v>
      </c>
      <c r="V49" s="108">
        <v>2</v>
      </c>
      <c r="W49" s="108">
        <v>12</v>
      </c>
      <c r="X49" s="108">
        <v>2</v>
      </c>
      <c r="Y49" s="108">
        <v>12</v>
      </c>
      <c r="Z49" s="108">
        <v>2</v>
      </c>
      <c r="AA49" s="108">
        <v>12</v>
      </c>
      <c r="AB49" s="108">
        <v>2</v>
      </c>
      <c r="AC49" s="108">
        <v>12</v>
      </c>
      <c r="AD49" s="108">
        <v>2</v>
      </c>
      <c r="AE49" s="108">
        <v>12</v>
      </c>
      <c r="AF49" s="108">
        <v>2</v>
      </c>
      <c r="AG49" s="108">
        <v>10</v>
      </c>
      <c r="AH49" s="108">
        <v>4</v>
      </c>
      <c r="AI49" s="108">
        <v>10</v>
      </c>
      <c r="AJ49" s="108">
        <v>4</v>
      </c>
      <c r="AK49" s="108">
        <v>10</v>
      </c>
      <c r="AL49" s="108">
        <v>4</v>
      </c>
      <c r="AM49" s="108">
        <v>10</v>
      </c>
      <c r="AN49" s="108">
        <v>4</v>
      </c>
      <c r="AO49" s="108">
        <v>10</v>
      </c>
      <c r="AP49" s="108">
        <v>4</v>
      </c>
      <c r="AQ49" s="108">
        <v>10</v>
      </c>
      <c r="AR49" s="108">
        <v>4</v>
      </c>
      <c r="AS49" s="108"/>
      <c r="AT49" s="108">
        <v>12</v>
      </c>
      <c r="AU49" s="108">
        <v>1</v>
      </c>
      <c r="AV49" s="108">
        <v>12</v>
      </c>
      <c r="AW49" s="108">
        <v>1</v>
      </c>
      <c r="AX49" s="108">
        <v>12</v>
      </c>
      <c r="AY49" s="108">
        <v>1</v>
      </c>
    </row>
    <row r="50" spans="1:52">
      <c r="A50" s="108"/>
      <c r="B50" s="162" t="s">
        <v>348</v>
      </c>
      <c r="C50" s="108"/>
      <c r="D50" s="108">
        <f>D44-D47</f>
        <v>35.071699444644096</v>
      </c>
      <c r="E50" s="108">
        <f t="shared" ref="E50:AY50" si="15">E44-E47</f>
        <v>34.307401256008788</v>
      </c>
      <c r="F50" s="108">
        <f t="shared" si="15"/>
        <v>88.438385314933257</v>
      </c>
      <c r="G50" s="108">
        <f t="shared" si="15"/>
        <v>34.307401256008788</v>
      </c>
      <c r="H50" s="108">
        <f t="shared" si="15"/>
        <v>88.438385314933257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129.03662335912659</v>
      </c>
      <c r="O50" s="108">
        <f t="shared" si="15"/>
        <v>0</v>
      </c>
      <c r="P50" s="108">
        <f t="shared" si="15"/>
        <v>129.03662335912659</v>
      </c>
      <c r="Q50" s="108">
        <f t="shared" si="15"/>
        <v>0</v>
      </c>
      <c r="R50" s="108">
        <f t="shared" si="15"/>
        <v>129.03662335912659</v>
      </c>
      <c r="S50" s="108">
        <f t="shared" si="15"/>
        <v>0</v>
      </c>
      <c r="T50" s="108">
        <f t="shared" si="15"/>
        <v>129.03662335912659</v>
      </c>
      <c r="U50" s="108">
        <f t="shared" si="15"/>
        <v>0</v>
      </c>
      <c r="V50" s="108">
        <f t="shared" si="15"/>
        <v>129.03662335912659</v>
      </c>
      <c r="W50" s="108">
        <f t="shared" si="15"/>
        <v>0</v>
      </c>
      <c r="X50" s="108">
        <f t="shared" si="15"/>
        <v>129.03662335912659</v>
      </c>
      <c r="Y50" s="108">
        <f t="shared" si="15"/>
        <v>0</v>
      </c>
      <c r="Z50" s="108">
        <f t="shared" si="15"/>
        <v>129.03662335912659</v>
      </c>
      <c r="AA50" s="108">
        <f t="shared" si="15"/>
        <v>0</v>
      </c>
      <c r="AB50" s="108">
        <f t="shared" si="15"/>
        <v>129.03662335912659</v>
      </c>
      <c r="AC50" s="108">
        <f t="shared" si="15"/>
        <v>0</v>
      </c>
      <c r="AD50" s="108">
        <f t="shared" si="15"/>
        <v>129.03662335912659</v>
      </c>
      <c r="AE50" s="108">
        <f t="shared" si="15"/>
        <v>0</v>
      </c>
      <c r="AF50" s="108">
        <f t="shared" si="15"/>
        <v>129.03662335912659</v>
      </c>
      <c r="AG50" s="108">
        <f t="shared" si="15"/>
        <v>0</v>
      </c>
      <c r="AH50" s="108">
        <f t="shared" si="15"/>
        <v>70.750708251946691</v>
      </c>
      <c r="AI50" s="108">
        <f t="shared" si="15"/>
        <v>0</v>
      </c>
      <c r="AJ50" s="108">
        <f t="shared" si="15"/>
        <v>70.750708251946691</v>
      </c>
      <c r="AK50" s="108">
        <f t="shared" si="15"/>
        <v>20.774655241277685</v>
      </c>
      <c r="AL50" s="108">
        <f t="shared" si="15"/>
        <v>101.97113132966437</v>
      </c>
      <c r="AM50" s="108">
        <f t="shared" si="15"/>
        <v>20.774655241277685</v>
      </c>
      <c r="AN50" s="108">
        <f t="shared" si="15"/>
        <v>101.97113132966437</v>
      </c>
      <c r="AO50" s="108">
        <f t="shared" si="15"/>
        <v>20.774655241277685</v>
      </c>
      <c r="AP50" s="108">
        <f t="shared" si="15"/>
        <v>101.97113132966437</v>
      </c>
      <c r="AQ50" s="108">
        <f t="shared" si="15"/>
        <v>20.774655241277685</v>
      </c>
      <c r="AR50" s="108">
        <f t="shared" si="15"/>
        <v>101.97113132966437</v>
      </c>
      <c r="AS50" s="108">
        <f t="shared" si="15"/>
        <v>0</v>
      </c>
      <c r="AT50" s="108">
        <f t="shared" si="15"/>
        <v>0</v>
      </c>
      <c r="AU50" s="108">
        <f t="shared" si="15"/>
        <v>142.56936937385771</v>
      </c>
      <c r="AV50" s="108">
        <f t="shared" si="15"/>
        <v>0</v>
      </c>
      <c r="AW50" s="108">
        <f t="shared" si="15"/>
        <v>142.56936937385771</v>
      </c>
      <c r="AX50" s="108">
        <f t="shared" si="15"/>
        <v>0</v>
      </c>
      <c r="AY50" s="108">
        <f t="shared" si="15"/>
        <v>142.56936937385771</v>
      </c>
    </row>
    <row r="51" spans="1:52">
      <c r="A51" s="108"/>
      <c r="B51" s="162" t="s">
        <v>349</v>
      </c>
      <c r="C51" s="108"/>
      <c r="D51" s="108">
        <f>D45-D48</f>
        <v>42.676821232090717</v>
      </c>
      <c r="E51" s="108">
        <f t="shared" ref="E51:AY51" si="16">E45-E48</f>
        <v>41.746788821888231</v>
      </c>
      <c r="F51" s="108">
        <f t="shared" si="16"/>
        <v>107.61580476296376</v>
      </c>
      <c r="G51" s="108">
        <f t="shared" si="16"/>
        <v>41.746788821888231</v>
      </c>
      <c r="H51" s="108">
        <f t="shared" si="16"/>
        <v>107.61580476296376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157.01756671877041</v>
      </c>
      <c r="O51" s="108">
        <f t="shared" si="16"/>
        <v>0</v>
      </c>
      <c r="P51" s="108">
        <f t="shared" si="16"/>
        <v>157.01756671877041</v>
      </c>
      <c r="Q51" s="108">
        <f t="shared" si="16"/>
        <v>0</v>
      </c>
      <c r="R51" s="108">
        <f t="shared" si="16"/>
        <v>157.01756671877041</v>
      </c>
      <c r="S51" s="108">
        <f t="shared" si="16"/>
        <v>0</v>
      </c>
      <c r="T51" s="108">
        <f t="shared" si="16"/>
        <v>157.01756671877041</v>
      </c>
      <c r="U51" s="108">
        <f t="shared" si="16"/>
        <v>0</v>
      </c>
      <c r="V51" s="108">
        <f t="shared" si="16"/>
        <v>157.01756671877041</v>
      </c>
      <c r="W51" s="108">
        <f t="shared" si="16"/>
        <v>0</v>
      </c>
      <c r="X51" s="108">
        <f t="shared" si="16"/>
        <v>157.01756671877041</v>
      </c>
      <c r="Y51" s="108">
        <f t="shared" si="16"/>
        <v>0</v>
      </c>
      <c r="Z51" s="108">
        <f t="shared" si="16"/>
        <v>157.01756671877041</v>
      </c>
      <c r="AA51" s="108">
        <f t="shared" si="16"/>
        <v>0</v>
      </c>
      <c r="AB51" s="108">
        <f t="shared" si="16"/>
        <v>157.01756671877041</v>
      </c>
      <c r="AC51" s="108">
        <f t="shared" si="16"/>
        <v>0</v>
      </c>
      <c r="AD51" s="108">
        <f t="shared" si="16"/>
        <v>157.01756671877041</v>
      </c>
      <c r="AE51" s="108">
        <f t="shared" si="16"/>
        <v>0</v>
      </c>
      <c r="AF51" s="108">
        <f t="shared" si="16"/>
        <v>157.01756671877041</v>
      </c>
      <c r="AG51" s="108">
        <f t="shared" si="16"/>
        <v>0</v>
      </c>
      <c r="AH51" s="108">
        <f t="shared" si="16"/>
        <v>86.092643810371129</v>
      </c>
      <c r="AI51" s="108">
        <f t="shared" si="16"/>
        <v>0</v>
      </c>
      <c r="AJ51" s="108">
        <f t="shared" si="16"/>
        <v>86.092643810371129</v>
      </c>
      <c r="AK51" s="108">
        <f t="shared" si="16"/>
        <v>25.279534836619348</v>
      </c>
      <c r="AL51" s="108">
        <f t="shared" si="16"/>
        <v>124.08305874823265</v>
      </c>
      <c r="AM51" s="108">
        <f t="shared" si="16"/>
        <v>25.279534836619348</v>
      </c>
      <c r="AN51" s="108">
        <f t="shared" si="16"/>
        <v>124.08305874823265</v>
      </c>
      <c r="AO51" s="108">
        <f t="shared" si="16"/>
        <v>25.279534836619348</v>
      </c>
      <c r="AP51" s="108">
        <f t="shared" si="16"/>
        <v>124.08305874823265</v>
      </c>
      <c r="AQ51" s="108">
        <f t="shared" si="16"/>
        <v>25.279534836619348</v>
      </c>
      <c r="AR51" s="108">
        <f t="shared" si="16"/>
        <v>124.08305874823265</v>
      </c>
      <c r="AS51" s="108">
        <f t="shared" si="16"/>
        <v>0</v>
      </c>
      <c r="AT51" s="108">
        <f t="shared" si="16"/>
        <v>0</v>
      </c>
      <c r="AU51" s="108">
        <f t="shared" si="16"/>
        <v>173.48482070403929</v>
      </c>
      <c r="AV51" s="108">
        <f t="shared" si="16"/>
        <v>0</v>
      </c>
      <c r="AW51" s="108">
        <f t="shared" si="16"/>
        <v>173.48482070403929</v>
      </c>
      <c r="AX51" s="108">
        <f t="shared" si="16"/>
        <v>0</v>
      </c>
      <c r="AY51" s="108">
        <f t="shared" si="16"/>
        <v>173.48482070403929</v>
      </c>
    </row>
    <row r="52" spans="1:52">
      <c r="A52" s="108"/>
      <c r="B52" s="162" t="s">
        <v>350</v>
      </c>
      <c r="C52" s="108"/>
      <c r="D52" s="108">
        <v>1</v>
      </c>
      <c r="E52" s="108">
        <v>2</v>
      </c>
      <c r="F52" s="108">
        <v>2</v>
      </c>
      <c r="G52" s="108">
        <v>1</v>
      </c>
      <c r="H52" s="108">
        <v>2</v>
      </c>
      <c r="I52" s="108">
        <v>1</v>
      </c>
      <c r="J52" s="108">
        <v>3</v>
      </c>
      <c r="K52" s="108">
        <v>2</v>
      </c>
      <c r="L52" s="108">
        <v>1</v>
      </c>
      <c r="M52" s="108">
        <v>1</v>
      </c>
      <c r="N52" s="108">
        <v>1</v>
      </c>
      <c r="O52" s="108">
        <v>1</v>
      </c>
      <c r="P52" s="108">
        <v>1</v>
      </c>
      <c r="Q52" s="108">
        <v>1</v>
      </c>
      <c r="R52" s="108">
        <v>3</v>
      </c>
      <c r="S52" s="108">
        <v>1</v>
      </c>
      <c r="T52" s="108">
        <v>1</v>
      </c>
      <c r="U52" s="108">
        <v>1</v>
      </c>
      <c r="V52" s="108">
        <v>1</v>
      </c>
      <c r="W52" s="108">
        <v>2</v>
      </c>
      <c r="X52" s="108">
        <v>3</v>
      </c>
      <c r="Y52" s="108">
        <v>3</v>
      </c>
      <c r="Z52" s="108">
        <v>1</v>
      </c>
      <c r="AA52" s="108">
        <v>1</v>
      </c>
      <c r="AB52" s="108">
        <v>1</v>
      </c>
      <c r="AC52" s="108">
        <v>3</v>
      </c>
      <c r="AD52" s="108">
        <v>1</v>
      </c>
      <c r="AE52" s="108">
        <v>1</v>
      </c>
      <c r="AF52" s="108">
        <v>1</v>
      </c>
      <c r="AG52" s="108">
        <v>1</v>
      </c>
      <c r="AH52" s="108">
        <v>1</v>
      </c>
      <c r="AI52" s="108">
        <v>3</v>
      </c>
      <c r="AJ52" s="108">
        <v>1</v>
      </c>
      <c r="AK52" s="108">
        <v>2</v>
      </c>
      <c r="AL52" s="108">
        <v>2</v>
      </c>
      <c r="AM52" s="108">
        <v>1</v>
      </c>
      <c r="AN52" s="108">
        <v>1</v>
      </c>
      <c r="AO52" s="108">
        <v>1</v>
      </c>
      <c r="AP52" s="108">
        <v>2</v>
      </c>
      <c r="AQ52" s="108">
        <v>1</v>
      </c>
      <c r="AR52" s="108">
        <v>1</v>
      </c>
      <c r="AS52" s="108">
        <v>1</v>
      </c>
      <c r="AT52" s="108">
        <v>1</v>
      </c>
      <c r="AU52" s="108">
        <v>2</v>
      </c>
      <c r="AV52" s="108">
        <v>2</v>
      </c>
      <c r="AW52" s="108">
        <v>1</v>
      </c>
      <c r="AX52" s="108">
        <v>1</v>
      </c>
      <c r="AY52" s="108">
        <v>1</v>
      </c>
    </row>
    <row r="53" spans="1:52">
      <c r="A53" s="108"/>
      <c r="B53" s="173" t="s">
        <v>351</v>
      </c>
      <c r="C53" s="108"/>
      <c r="D53" s="108">
        <v>16020</v>
      </c>
      <c r="E53" s="108">
        <v>28836</v>
      </c>
      <c r="F53" s="108">
        <v>16020</v>
      </c>
      <c r="G53" s="108">
        <v>28836</v>
      </c>
      <c r="H53" s="108">
        <v>16020</v>
      </c>
      <c r="I53" s="108">
        <v>3204</v>
      </c>
      <c r="J53" s="108">
        <v>3204</v>
      </c>
      <c r="K53" s="108">
        <v>3204</v>
      </c>
      <c r="L53" s="108">
        <v>3204</v>
      </c>
      <c r="M53" s="108">
        <v>38448</v>
      </c>
      <c r="N53" s="108">
        <v>6408</v>
      </c>
      <c r="O53" s="108">
        <v>38448</v>
      </c>
      <c r="P53" s="108">
        <v>6408</v>
      </c>
      <c r="Q53" s="108">
        <v>38448</v>
      </c>
      <c r="R53" s="108">
        <v>6408</v>
      </c>
      <c r="S53" s="108">
        <v>38448</v>
      </c>
      <c r="T53" s="108">
        <v>6408</v>
      </c>
      <c r="U53" s="108">
        <v>38448</v>
      </c>
      <c r="V53" s="108">
        <v>6408</v>
      </c>
      <c r="W53" s="108">
        <v>38448</v>
      </c>
      <c r="X53" s="108">
        <v>6408</v>
      </c>
      <c r="Y53" s="108">
        <v>38448</v>
      </c>
      <c r="Z53" s="108">
        <v>6408</v>
      </c>
      <c r="AA53" s="108">
        <v>38448</v>
      </c>
      <c r="AB53" s="108">
        <v>6408</v>
      </c>
      <c r="AC53" s="108">
        <v>38448</v>
      </c>
      <c r="AD53" s="108">
        <v>6408</v>
      </c>
      <c r="AE53" s="108">
        <v>38448</v>
      </c>
      <c r="AF53" s="108">
        <v>6408</v>
      </c>
      <c r="AG53" s="108">
        <v>32040</v>
      </c>
      <c r="AH53" s="108">
        <v>12816</v>
      </c>
      <c r="AI53" s="108">
        <v>32040</v>
      </c>
      <c r="AJ53" s="108">
        <v>12816</v>
      </c>
      <c r="AK53" s="108">
        <v>32040</v>
      </c>
      <c r="AL53" s="108">
        <v>12816</v>
      </c>
      <c r="AM53" s="108">
        <v>32040</v>
      </c>
      <c r="AN53" s="108">
        <v>12816</v>
      </c>
      <c r="AO53" s="108">
        <v>32040</v>
      </c>
      <c r="AP53" s="108">
        <v>12816</v>
      </c>
      <c r="AQ53" s="108">
        <v>32040</v>
      </c>
      <c r="AR53" s="108">
        <v>12816</v>
      </c>
      <c r="AS53" s="108">
        <v>0</v>
      </c>
      <c r="AT53" s="108">
        <v>38448</v>
      </c>
      <c r="AU53" s="108">
        <v>3204</v>
      </c>
      <c r="AV53" s="108">
        <v>38448</v>
      </c>
      <c r="AW53" s="108">
        <v>3204</v>
      </c>
      <c r="AX53" s="108">
        <v>38448</v>
      </c>
      <c r="AY53" s="108">
        <v>3204</v>
      </c>
      <c r="AZ53">
        <f>SUM($D$53:$AY$53)</f>
        <v>961200</v>
      </c>
    </row>
    <row r="54" spans="1:52">
      <c r="A54" s="108"/>
      <c r="B54" s="173" t="s">
        <v>352</v>
      </c>
      <c r="C54" s="108"/>
      <c r="D54" s="108">
        <v>4497.751921149109</v>
      </c>
      <c r="E54" s="108">
        <v>4399.7348960063428</v>
      </c>
      <c r="F54" s="108">
        <v>11341.734896006345</v>
      </c>
      <c r="G54" s="108">
        <v>4399.7348960063428</v>
      </c>
      <c r="H54" s="108">
        <v>11341.734896006345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16548.234896006346</v>
      </c>
      <c r="O54" s="108">
        <v>0</v>
      </c>
      <c r="P54" s="108">
        <v>16548.234896006346</v>
      </c>
      <c r="Q54" s="108">
        <v>0</v>
      </c>
      <c r="R54" s="108">
        <v>16548.234896006346</v>
      </c>
      <c r="S54" s="108">
        <v>0</v>
      </c>
      <c r="T54" s="108">
        <v>16548.234896006346</v>
      </c>
      <c r="U54" s="108">
        <v>0</v>
      </c>
      <c r="V54" s="108">
        <v>16548.234896006346</v>
      </c>
      <c r="W54" s="108">
        <v>0</v>
      </c>
      <c r="X54" s="108">
        <v>16548.234896006346</v>
      </c>
      <c r="Y54" s="108">
        <v>0</v>
      </c>
      <c r="Z54" s="108">
        <v>16548.234896006346</v>
      </c>
      <c r="AA54" s="108">
        <v>0</v>
      </c>
      <c r="AB54" s="108">
        <v>16548.234896006346</v>
      </c>
      <c r="AC54" s="108">
        <v>0</v>
      </c>
      <c r="AD54" s="108">
        <v>16548.234896006346</v>
      </c>
      <c r="AE54" s="108">
        <v>0</v>
      </c>
      <c r="AF54" s="108">
        <v>16548.234896006346</v>
      </c>
      <c r="AG54" s="108">
        <v>0</v>
      </c>
      <c r="AH54" s="108">
        <v>9073.3879168050862</v>
      </c>
      <c r="AI54" s="108">
        <v>0</v>
      </c>
      <c r="AJ54" s="108">
        <v>9073.3879168050862</v>
      </c>
      <c r="AK54" s="108">
        <v>2664.2348960063437</v>
      </c>
      <c r="AL54" s="108">
        <v>13077.234896006345</v>
      </c>
      <c r="AM54" s="108">
        <v>2664.2348960063437</v>
      </c>
      <c r="AN54" s="108">
        <v>13077.234896006345</v>
      </c>
      <c r="AO54" s="108">
        <v>2664.2348960063437</v>
      </c>
      <c r="AP54" s="108">
        <v>13077.234896006345</v>
      </c>
      <c r="AQ54" s="108">
        <v>2664.2348960063437</v>
      </c>
      <c r="AR54" s="108">
        <v>13077.234896006345</v>
      </c>
      <c r="AS54" s="108">
        <v>0</v>
      </c>
      <c r="AT54" s="108">
        <v>0</v>
      </c>
      <c r="AU54" s="108">
        <v>18283.734896006346</v>
      </c>
      <c r="AV54" s="108">
        <v>0</v>
      </c>
      <c r="AW54" s="108">
        <v>18283.734896006346</v>
      </c>
      <c r="AX54" s="108">
        <v>0</v>
      </c>
      <c r="AY54" s="108">
        <v>18283.734896006346</v>
      </c>
      <c r="AZ54">
        <f>SUM($D$54:$AY$54)</f>
        <v>337426.90015491802</v>
      </c>
    </row>
    <row r="55" spans="1:52">
      <c r="A55" s="132" t="s">
        <v>59</v>
      </c>
      <c r="B55" s="132" t="s">
        <v>342</v>
      </c>
      <c r="C55" s="121"/>
      <c r="D55" s="121">
        <f>D$21*shipping_manufacturing!$D$29/100</f>
        <v>0</v>
      </c>
      <c r="E55" s="121">
        <f>E$21*shipping_manufacturing!$D$29/100</f>
        <v>0</v>
      </c>
      <c r="F55" s="121">
        <f>F$21*shipping_manufacturing!$D$29/100</f>
        <v>0</v>
      </c>
      <c r="G55" s="121">
        <f>G$21*shipping_manufacturing!$D$29/100</f>
        <v>0</v>
      </c>
      <c r="H55" s="121">
        <f>H$21*shipping_manufacturing!$D$29/100</f>
        <v>0</v>
      </c>
      <c r="I55" s="121">
        <f>I$21*shipping_manufacturing!$D$29/100</f>
        <v>0</v>
      </c>
      <c r="J55" s="121">
        <f>J$21*shipping_manufacturing!$D$29/100</f>
        <v>0</v>
      </c>
      <c r="K55" s="121">
        <f>K$21*shipping_manufacturing!$D$29/100</f>
        <v>0</v>
      </c>
      <c r="L55" s="121">
        <f>L$21*shipping_manufacturing!$D$29/100</f>
        <v>0</v>
      </c>
      <c r="M55" s="121">
        <f>M$21*shipping_manufacturing!$D$29/100</f>
        <v>0</v>
      </c>
      <c r="N55" s="121">
        <f>N$21*shipping_manufacturing!$D$29/100</f>
        <v>0</v>
      </c>
      <c r="O55" s="121">
        <f>O$21*shipping_manufacturing!$D$29/100</f>
        <v>0</v>
      </c>
      <c r="P55" s="121">
        <f>P$21*shipping_manufacturing!$D$29/100</f>
        <v>0</v>
      </c>
      <c r="Q55" s="121">
        <f>Q$21*shipping_manufacturing!$D$29/100</f>
        <v>0</v>
      </c>
      <c r="R55" s="121">
        <f>R$21*shipping_manufacturing!$D$29/100</f>
        <v>0</v>
      </c>
      <c r="S55" s="121">
        <f>S$21*shipping_manufacturing!$D$29/100</f>
        <v>0</v>
      </c>
      <c r="T55" s="121">
        <f>T$21*shipping_manufacturing!$D$29/100</f>
        <v>0</v>
      </c>
      <c r="U55" s="121">
        <f>U$21*shipping_manufacturing!$D$29/100</f>
        <v>0</v>
      </c>
      <c r="V55" s="121">
        <f>V$21*shipping_manufacturing!$D$29/100</f>
        <v>0</v>
      </c>
      <c r="W55" s="121">
        <f>W$21*shipping_manufacturing!$D$29/100</f>
        <v>0</v>
      </c>
      <c r="X55" s="121">
        <f>X$21*shipping_manufacturing!$D$29/100</f>
        <v>0</v>
      </c>
      <c r="Y55" s="121">
        <f>Y$21*shipping_manufacturing!$D$29/100</f>
        <v>0</v>
      </c>
      <c r="Z55" s="121">
        <f>Z$21*shipping_manufacturing!$D$29/100</f>
        <v>0</v>
      </c>
      <c r="AA55" s="121">
        <f>AA$21*shipping_manufacturing!$D$29/100</f>
        <v>0</v>
      </c>
      <c r="AB55" s="121">
        <f>AB$21*shipping_manufacturing!$D$29/100</f>
        <v>0</v>
      </c>
      <c r="AC55" s="121">
        <f>AC$21*shipping_manufacturing!$D$29/100</f>
        <v>0</v>
      </c>
      <c r="AD55" s="121">
        <f>AD$21*shipping_manufacturing!$D$29/100</f>
        <v>0</v>
      </c>
      <c r="AE55" s="121">
        <f>AE$21*shipping_manufacturing!$D$29/100</f>
        <v>0</v>
      </c>
      <c r="AF55" s="121">
        <f>AF$21*shipping_manufacturing!$D$29/100</f>
        <v>0</v>
      </c>
      <c r="AG55" s="121">
        <f>AG$21*shipping_manufacturing!$D$29/100</f>
        <v>0</v>
      </c>
      <c r="AH55" s="121">
        <f>AH$21*shipping_manufacturing!$D$29/100</f>
        <v>0</v>
      </c>
      <c r="AI55" s="121">
        <f>AI$21*shipping_manufacturing!$D$29/100</f>
        <v>0</v>
      </c>
      <c r="AJ55" s="121">
        <f>AJ$21*shipping_manufacturing!$D$29/100</f>
        <v>0</v>
      </c>
      <c r="AK55" s="121">
        <f>AK$21*shipping_manufacturing!$D$29/100</f>
        <v>0</v>
      </c>
      <c r="AL55" s="121">
        <f>AL$21*shipping_manufacturing!$D$29/100</f>
        <v>0</v>
      </c>
      <c r="AM55" s="121">
        <f>AM$21*shipping_manufacturing!$D$29/100</f>
        <v>0</v>
      </c>
      <c r="AN55" s="121">
        <f>AN$21*shipping_manufacturing!$D$29/100</f>
        <v>0</v>
      </c>
      <c r="AO55" s="121">
        <f>AO$21*shipping_manufacturing!$D$29/100</f>
        <v>0</v>
      </c>
      <c r="AP55" s="121">
        <f>AP$21*shipping_manufacturing!$D$29/100</f>
        <v>0</v>
      </c>
      <c r="AQ55" s="121">
        <f>AQ$21*shipping_manufacturing!$D$29/100</f>
        <v>0</v>
      </c>
      <c r="AR55" s="121">
        <f>AR$21*shipping_manufacturing!$D$29/100</f>
        <v>0</v>
      </c>
      <c r="AS55" s="121">
        <f>AS$21*shipping_manufacturing!$D$29/100</f>
        <v>0</v>
      </c>
      <c r="AT55" s="121">
        <f>AT$21*shipping_manufacturing!$D$29/100</f>
        <v>0</v>
      </c>
      <c r="AU55" s="121">
        <f>AU$21*shipping_manufacturing!$D$29/100</f>
        <v>0</v>
      </c>
      <c r="AV55" s="121">
        <f>AV$21*shipping_manufacturing!$D$29/100</f>
        <v>0</v>
      </c>
      <c r="AW55" s="121">
        <f>AW$21*shipping_manufacturing!$D$29/100</f>
        <v>0</v>
      </c>
      <c r="AX55" s="121">
        <f>AX$21*shipping_manufacturing!$D$29/100</f>
        <v>0</v>
      </c>
      <c r="AY55" s="121">
        <f>AY$21*shipping_manufacturing!$D$29/100</f>
        <v>0</v>
      </c>
    </row>
    <row r="56" spans="1:52">
      <c r="A56" s="110" t="s">
        <v>341</v>
      </c>
      <c r="B56" s="162" t="s">
        <v>343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2339</v>
      </c>
      <c r="B57" s="162" t="s">
        <v>344</v>
      </c>
      <c r="C57" s="108"/>
      <c r="D57" s="108">
        <f>SUM(D55:D56)</f>
        <v>0</v>
      </c>
      <c r="E57" s="108">
        <f t="shared" ref="E57:AY57" si="17">SUM(E55:E56)</f>
        <v>0</v>
      </c>
      <c r="F57" s="108">
        <f t="shared" si="17"/>
        <v>0</v>
      </c>
      <c r="G57" s="108">
        <f t="shared" si="17"/>
        <v>0</v>
      </c>
      <c r="H57" s="108">
        <f t="shared" si="17"/>
        <v>0</v>
      </c>
      <c r="I57" s="108">
        <f t="shared" si="17"/>
        <v>0</v>
      </c>
      <c r="J57" s="108">
        <f t="shared" si="17"/>
        <v>0</v>
      </c>
      <c r="K57" s="108">
        <f t="shared" si="17"/>
        <v>0</v>
      </c>
      <c r="L57" s="108">
        <f t="shared" si="17"/>
        <v>0</v>
      </c>
      <c r="M57" s="108">
        <f t="shared" si="17"/>
        <v>0</v>
      </c>
      <c r="N57" s="108">
        <f t="shared" si="17"/>
        <v>0</v>
      </c>
      <c r="O57" s="108">
        <f t="shared" si="17"/>
        <v>0</v>
      </c>
      <c r="P57" s="108">
        <f t="shared" si="17"/>
        <v>0</v>
      </c>
      <c r="Q57" s="108">
        <f t="shared" si="17"/>
        <v>0</v>
      </c>
      <c r="R57" s="108">
        <f t="shared" si="17"/>
        <v>0</v>
      </c>
      <c r="S57" s="108">
        <f t="shared" si="17"/>
        <v>0</v>
      </c>
      <c r="T57" s="108">
        <f t="shared" si="17"/>
        <v>0</v>
      </c>
      <c r="U57" s="108">
        <f t="shared" si="17"/>
        <v>0</v>
      </c>
      <c r="V57" s="108">
        <f t="shared" si="17"/>
        <v>0</v>
      </c>
      <c r="W57" s="108">
        <f t="shared" si="17"/>
        <v>0</v>
      </c>
      <c r="X57" s="108">
        <f t="shared" si="17"/>
        <v>0</v>
      </c>
      <c r="Y57" s="108">
        <f t="shared" si="17"/>
        <v>0</v>
      </c>
      <c r="Z57" s="108">
        <f t="shared" si="17"/>
        <v>0</v>
      </c>
      <c r="AA57" s="108">
        <f t="shared" si="17"/>
        <v>0</v>
      </c>
      <c r="AB57" s="108">
        <f t="shared" si="17"/>
        <v>0</v>
      </c>
      <c r="AC57" s="108">
        <f t="shared" si="17"/>
        <v>0</v>
      </c>
      <c r="AD57" s="108">
        <f t="shared" si="17"/>
        <v>0</v>
      </c>
      <c r="AE57" s="108">
        <f t="shared" si="17"/>
        <v>0</v>
      </c>
      <c r="AF57" s="108">
        <f t="shared" si="17"/>
        <v>0</v>
      </c>
      <c r="AG57" s="108">
        <f t="shared" si="17"/>
        <v>0</v>
      </c>
      <c r="AH57" s="108">
        <f t="shared" si="17"/>
        <v>0</v>
      </c>
      <c r="AI57" s="108">
        <f t="shared" si="17"/>
        <v>0</v>
      </c>
      <c r="AJ57" s="108">
        <f t="shared" si="17"/>
        <v>0</v>
      </c>
      <c r="AK57" s="108">
        <f t="shared" si="17"/>
        <v>0</v>
      </c>
      <c r="AL57" s="108">
        <f t="shared" si="17"/>
        <v>0</v>
      </c>
      <c r="AM57" s="108">
        <f t="shared" si="17"/>
        <v>0</v>
      </c>
      <c r="AN57" s="108">
        <f t="shared" si="17"/>
        <v>0</v>
      </c>
      <c r="AO57" s="108">
        <f t="shared" si="17"/>
        <v>0</v>
      </c>
      <c r="AP57" s="108">
        <f t="shared" si="17"/>
        <v>0</v>
      </c>
      <c r="AQ57" s="108">
        <f t="shared" si="17"/>
        <v>0</v>
      </c>
      <c r="AR57" s="108">
        <f t="shared" si="17"/>
        <v>0</v>
      </c>
      <c r="AS57" s="108">
        <f t="shared" si="17"/>
        <v>0</v>
      </c>
      <c r="AT57" s="108">
        <f t="shared" si="17"/>
        <v>0</v>
      </c>
      <c r="AU57" s="108">
        <f t="shared" si="17"/>
        <v>0</v>
      </c>
      <c r="AV57" s="108">
        <f t="shared" si="17"/>
        <v>0</v>
      </c>
      <c r="AW57" s="108">
        <f t="shared" si="17"/>
        <v>0</v>
      </c>
      <c r="AX57" s="108">
        <f t="shared" si="17"/>
        <v>0</v>
      </c>
      <c r="AY57" s="108">
        <f t="shared" si="17"/>
        <v>0</v>
      </c>
    </row>
    <row r="58" spans="1:52">
      <c r="A58" s="108"/>
      <c r="B58" s="162" t="s">
        <v>345</v>
      </c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2">
      <c r="A59" s="108"/>
      <c r="B59" s="162" t="s">
        <v>346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2">
      <c r="A60" s="108"/>
      <c r="B60" s="162" t="s">
        <v>347</v>
      </c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2">
      <c r="A61" s="108"/>
      <c r="B61" s="162" t="s">
        <v>348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2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2" t="s">
        <v>350</v>
      </c>
      <c r="C63" s="108"/>
      <c r="D63" s="108">
        <v>4</v>
      </c>
      <c r="E63" s="108">
        <v>2</v>
      </c>
      <c r="F63" s="108">
        <v>2</v>
      </c>
      <c r="G63" s="108">
        <v>2</v>
      </c>
      <c r="H63" s="108">
        <v>2</v>
      </c>
      <c r="I63" s="108">
        <v>2</v>
      </c>
      <c r="J63" s="108">
        <v>3</v>
      </c>
      <c r="K63" s="108">
        <v>2</v>
      </c>
      <c r="L63" s="108">
        <v>2</v>
      </c>
      <c r="M63" s="108">
        <v>2</v>
      </c>
      <c r="N63" s="108">
        <v>2</v>
      </c>
      <c r="O63" s="108">
        <v>3</v>
      </c>
      <c r="P63" s="108">
        <v>2</v>
      </c>
      <c r="Q63" s="108">
        <v>2</v>
      </c>
      <c r="R63" s="108">
        <v>2</v>
      </c>
      <c r="S63" s="108">
        <v>3</v>
      </c>
      <c r="T63" s="108">
        <v>2</v>
      </c>
      <c r="U63" s="108">
        <v>2</v>
      </c>
      <c r="V63" s="108">
        <v>3</v>
      </c>
      <c r="W63" s="108">
        <v>2</v>
      </c>
      <c r="X63" s="108">
        <v>4</v>
      </c>
      <c r="Y63" s="108">
        <v>2</v>
      </c>
      <c r="Z63" s="108">
        <v>2</v>
      </c>
      <c r="AA63" s="108">
        <v>2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4</v>
      </c>
      <c r="AL63" s="108">
        <v>2</v>
      </c>
      <c r="AM63" s="108">
        <v>2</v>
      </c>
      <c r="AN63" s="108">
        <v>3</v>
      </c>
      <c r="AO63" s="108">
        <v>2</v>
      </c>
      <c r="AP63" s="108">
        <v>2</v>
      </c>
      <c r="AQ63" s="108">
        <v>3</v>
      </c>
      <c r="AR63" s="108">
        <v>2</v>
      </c>
      <c r="AS63" s="108">
        <v>4</v>
      </c>
      <c r="AT63" s="108">
        <v>2</v>
      </c>
      <c r="AU63" s="108">
        <v>2</v>
      </c>
      <c r="AV63" s="108">
        <v>2</v>
      </c>
      <c r="AW63" s="108">
        <v>2</v>
      </c>
      <c r="AX63" s="108">
        <v>2</v>
      </c>
      <c r="AY63" s="108">
        <v>2</v>
      </c>
    </row>
    <row r="64" spans="1:52">
      <c r="A64" s="108"/>
      <c r="B64" s="173" t="s">
        <v>351</v>
      </c>
      <c r="C64" s="108"/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0</v>
      </c>
      <c r="M64" s="108">
        <v>0</v>
      </c>
      <c r="N64" s="108">
        <v>0</v>
      </c>
      <c r="O64" s="108">
        <v>0</v>
      </c>
      <c r="P64" s="108">
        <v>0</v>
      </c>
      <c r="Q64" s="108">
        <v>0</v>
      </c>
      <c r="R64" s="108">
        <v>0</v>
      </c>
      <c r="S64" s="108">
        <v>0</v>
      </c>
      <c r="T64" s="108">
        <v>0</v>
      </c>
      <c r="U64" s="108">
        <v>0</v>
      </c>
      <c r="V64" s="108">
        <v>0</v>
      </c>
      <c r="W64" s="108">
        <v>0</v>
      </c>
      <c r="X64" s="108">
        <v>0</v>
      </c>
      <c r="Y64" s="108">
        <v>0</v>
      </c>
      <c r="Z64" s="108">
        <v>0</v>
      </c>
      <c r="AA64" s="108">
        <v>0</v>
      </c>
      <c r="AB64" s="108">
        <v>0</v>
      </c>
      <c r="AC64" s="108">
        <v>0</v>
      </c>
      <c r="AD64" s="108">
        <v>0</v>
      </c>
      <c r="AE64" s="108">
        <v>0</v>
      </c>
      <c r="AF64" s="108">
        <v>0</v>
      </c>
      <c r="AG64" s="108">
        <v>0</v>
      </c>
      <c r="AH64" s="108">
        <v>0</v>
      </c>
      <c r="AI64" s="108">
        <v>0</v>
      </c>
      <c r="AJ64" s="108">
        <v>0</v>
      </c>
      <c r="AK64" s="108">
        <v>0</v>
      </c>
      <c r="AL64" s="108">
        <v>0</v>
      </c>
      <c r="AM64" s="108">
        <v>0</v>
      </c>
      <c r="AN64" s="108">
        <v>0</v>
      </c>
      <c r="AO64" s="108">
        <v>0</v>
      </c>
      <c r="AP64" s="108">
        <v>0</v>
      </c>
      <c r="AQ64" s="108">
        <v>0</v>
      </c>
      <c r="AR64" s="108">
        <v>0</v>
      </c>
      <c r="AS64" s="108">
        <v>0</v>
      </c>
      <c r="AT64" s="108">
        <v>0</v>
      </c>
      <c r="AU64" s="108">
        <v>0</v>
      </c>
      <c r="AV64" s="108">
        <v>0</v>
      </c>
      <c r="AW64" s="108">
        <v>0</v>
      </c>
      <c r="AX64" s="108">
        <v>0</v>
      </c>
      <c r="AY64" s="108">
        <v>0</v>
      </c>
      <c r="AZ64">
        <f>SUM($D$64:$AY$64)</f>
        <v>0</v>
      </c>
    </row>
    <row r="65" spans="1:52">
      <c r="A65" s="122"/>
      <c r="B65" s="137" t="s">
        <v>352</v>
      </c>
      <c r="C65" s="122"/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2">
        <v>0</v>
      </c>
      <c r="AP65" s="122">
        <v>0</v>
      </c>
      <c r="AQ65" s="122">
        <v>0</v>
      </c>
      <c r="AR65" s="122">
        <v>0</v>
      </c>
      <c r="AS65" s="122">
        <v>0</v>
      </c>
      <c r="AT65" s="122">
        <v>0</v>
      </c>
      <c r="AU65" s="122">
        <v>0</v>
      </c>
      <c r="AV65" s="122">
        <v>0</v>
      </c>
      <c r="AW65" s="122">
        <v>0</v>
      </c>
      <c r="AX65" s="122">
        <v>0</v>
      </c>
      <c r="AY65" s="122">
        <v>0</v>
      </c>
      <c r="AZ65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304</v>
      </c>
      <c r="B2" s="105" t="s">
        <v>12</v>
      </c>
      <c r="E2" s="108"/>
    </row>
    <row r="3" spans="1:52">
      <c r="A3" t="s">
        <v>287</v>
      </c>
      <c r="B3" s="105">
        <v>3589</v>
      </c>
      <c r="E3" s="108"/>
    </row>
    <row r="4" spans="1:52">
      <c r="A4" s="1"/>
      <c r="C4" s="9" t="s">
        <v>288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305</v>
      </c>
      <c r="B6" s="111"/>
      <c r="C6" s="110" t="s">
        <v>289</v>
      </c>
      <c r="D6" s="109" t="s">
        <v>290</v>
      </c>
      <c r="E6" s="109" t="s">
        <v>290</v>
      </c>
      <c r="F6" s="109" t="s">
        <v>290</v>
      </c>
      <c r="G6" s="109" t="s">
        <v>290</v>
      </c>
      <c r="H6" s="109" t="s">
        <v>290</v>
      </c>
      <c r="I6" s="109" t="s">
        <v>290</v>
      </c>
      <c r="J6" s="109" t="s">
        <v>290</v>
      </c>
      <c r="K6" s="109" t="s">
        <v>290</v>
      </c>
      <c r="L6" s="109" t="s">
        <v>290</v>
      </c>
      <c r="M6" s="109" t="s">
        <v>290</v>
      </c>
      <c r="N6" s="109" t="s">
        <v>290</v>
      </c>
      <c r="O6" s="109" t="s">
        <v>290</v>
      </c>
      <c r="P6" s="109" t="s">
        <v>290</v>
      </c>
      <c r="Q6" s="109" t="s">
        <v>290</v>
      </c>
      <c r="R6" s="109" t="s">
        <v>290</v>
      </c>
      <c r="S6" s="109" t="s">
        <v>290</v>
      </c>
      <c r="T6" s="109" t="s">
        <v>290</v>
      </c>
      <c r="U6" s="109" t="s">
        <v>290</v>
      </c>
      <c r="V6" s="109" t="s">
        <v>290</v>
      </c>
      <c r="W6" s="109" t="s">
        <v>290</v>
      </c>
      <c r="X6" s="109" t="s">
        <v>290</v>
      </c>
      <c r="Y6" s="109" t="s">
        <v>290</v>
      </c>
      <c r="Z6" s="109" t="s">
        <v>290</v>
      </c>
      <c r="AA6" s="109" t="s">
        <v>290</v>
      </c>
      <c r="AB6" s="109" t="s">
        <v>290</v>
      </c>
      <c r="AC6" s="109" t="s">
        <v>290</v>
      </c>
      <c r="AD6" s="109" t="s">
        <v>290</v>
      </c>
      <c r="AE6" s="109" t="s">
        <v>290</v>
      </c>
      <c r="AF6" s="109" t="s">
        <v>290</v>
      </c>
      <c r="AG6" s="109" t="s">
        <v>290</v>
      </c>
      <c r="AH6" s="109" t="s">
        <v>290</v>
      </c>
      <c r="AI6" s="109" t="s">
        <v>290</v>
      </c>
      <c r="AJ6" s="109" t="s">
        <v>290</v>
      </c>
      <c r="AK6" s="109" t="s">
        <v>290</v>
      </c>
      <c r="AL6" s="109" t="s">
        <v>290</v>
      </c>
      <c r="AM6" s="109" t="s">
        <v>290</v>
      </c>
      <c r="AN6" s="109" t="s">
        <v>290</v>
      </c>
      <c r="AO6" s="109" t="s">
        <v>290</v>
      </c>
      <c r="AP6" s="109" t="s">
        <v>290</v>
      </c>
      <c r="AQ6" s="109" t="s">
        <v>290</v>
      </c>
      <c r="AR6" s="109" t="s">
        <v>290</v>
      </c>
      <c r="AS6" s="109" t="s">
        <v>290</v>
      </c>
      <c r="AT6" s="109" t="s">
        <v>290</v>
      </c>
      <c r="AU6" s="109" t="s">
        <v>290</v>
      </c>
      <c r="AV6" s="109" t="s">
        <v>290</v>
      </c>
      <c r="AW6" s="109" t="s">
        <v>290</v>
      </c>
      <c r="AX6" s="109" t="s">
        <v>290</v>
      </c>
      <c r="AY6" s="9" t="s">
        <v>291</v>
      </c>
      <c r="AZ6" s="139" t="s">
        <v>150</v>
      </c>
    </row>
    <row r="7" spans="1:52">
      <c r="A7" s="112" t="s">
        <v>125</v>
      </c>
      <c r="B7" s="140">
        <v>1</v>
      </c>
      <c r="C7" s="141" t="s">
        <v>294</v>
      </c>
      <c r="D7" s="141">
        <v>1406.7390541488746</v>
      </c>
      <c r="E7" s="141">
        <v>1406.7390541488746</v>
      </c>
      <c r="F7" s="141">
        <v>1406.7390541488746</v>
      </c>
      <c r="G7" s="141">
        <v>1406.7390541488746</v>
      </c>
      <c r="H7" s="141">
        <v>1406.7390541488746</v>
      </c>
      <c r="I7" s="141">
        <v>1406.7390541488746</v>
      </c>
      <c r="J7" s="141">
        <v>1406.7390541488746</v>
      </c>
      <c r="K7" s="141">
        <v>1406.7390541488746</v>
      </c>
      <c r="L7" s="141">
        <v>1406.7390541488746</v>
      </c>
      <c r="M7" s="141">
        <v>1406.7390541488746</v>
      </c>
      <c r="N7" s="141">
        <v>1406.7390541488746</v>
      </c>
      <c r="O7" s="141">
        <v>1406.7390541488746</v>
      </c>
      <c r="P7" s="141">
        <v>1406.7390541488746</v>
      </c>
      <c r="Q7" s="141">
        <v>1406.7390541488746</v>
      </c>
      <c r="R7" s="141">
        <v>1406.7390541488746</v>
      </c>
      <c r="S7" s="141">
        <v>1406.7390541488746</v>
      </c>
      <c r="T7" s="141">
        <v>1666.4355359952458</v>
      </c>
      <c r="U7" s="141">
        <v>1666.4355359952458</v>
      </c>
      <c r="V7" s="141">
        <v>1666.4355359952458</v>
      </c>
      <c r="W7" s="141">
        <v>1666.4355359952458</v>
      </c>
      <c r="X7" s="141">
        <v>1406.7390541488746</v>
      </c>
      <c r="Y7" s="141">
        <v>1406.7390541488746</v>
      </c>
      <c r="Z7" s="141">
        <v>1406.7390541488746</v>
      </c>
      <c r="AA7" s="141">
        <v>1406.7390541488746</v>
      </c>
      <c r="AB7" s="141">
        <v>1406.7390541488746</v>
      </c>
      <c r="AC7" s="141">
        <v>1406.7390541488746</v>
      </c>
      <c r="AD7" s="141">
        <v>1406.7390541488746</v>
      </c>
      <c r="AE7" s="141">
        <v>1406.7390541488746</v>
      </c>
      <c r="AF7" s="141">
        <v>1406.7390541488746</v>
      </c>
      <c r="AG7" s="141">
        <v>1406.7390541488746</v>
      </c>
      <c r="AH7" s="141">
        <v>1406.7390541488746</v>
      </c>
      <c r="AI7" s="141">
        <v>1406.7390541488746</v>
      </c>
      <c r="AJ7" s="141">
        <v>1406.7390541488746</v>
      </c>
      <c r="AK7" s="141">
        <v>1406.7390541488746</v>
      </c>
      <c r="AL7" s="141">
        <v>1406.7390541488746</v>
      </c>
      <c r="AM7" s="141">
        <v>1406.7390541488746</v>
      </c>
      <c r="AN7" s="141">
        <v>1406.7390541488746</v>
      </c>
      <c r="AO7" s="141">
        <v>1406.7390541488746</v>
      </c>
      <c r="AP7" s="141">
        <v>1406.7390541488746</v>
      </c>
      <c r="AQ7" s="141">
        <v>1406.7390541488746</v>
      </c>
      <c r="AR7" s="141">
        <v>1406.7390541488746</v>
      </c>
      <c r="AS7" s="141">
        <v>1406.7390541488746</v>
      </c>
      <c r="AT7" s="141">
        <v>1406.7390541488746</v>
      </c>
      <c r="AU7" s="141">
        <v>1406.7390541488746</v>
      </c>
      <c r="AV7" s="141">
        <v>1406.7390541488746</v>
      </c>
      <c r="AW7" s="141">
        <v>1406.7390541488746</v>
      </c>
      <c r="AX7" s="141">
        <v>1406.7390541488746</v>
      </c>
      <c r="AY7" s="141">
        <v>1406.7390541488746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295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294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0</v>
      </c>
    </row>
    <row r="11" spans="1:52">
      <c r="C11" s="108"/>
    </row>
    <row r="12" spans="1:52">
      <c r="A12" s="149" t="s">
        <v>296</v>
      </c>
      <c r="B12" s="143"/>
      <c r="C12" s="108"/>
    </row>
    <row r="13" spans="1:52">
      <c r="A13" s="119" t="s">
        <v>125</v>
      </c>
      <c r="B13" s="120">
        <v>1</v>
      </c>
      <c r="C13" s="121">
        <v>1625.5397228245045</v>
      </c>
      <c r="D13" s="135">
        <f t="shared" ref="D13:AY13" si="1">D$7-D$10</f>
        <v>1406.7390541488746</v>
      </c>
      <c r="E13" s="135">
        <f t="shared" si="1"/>
        <v>1406.7390541488746</v>
      </c>
      <c r="F13" s="135">
        <f t="shared" si="1"/>
        <v>1406.7390541488746</v>
      </c>
      <c r="G13" s="135">
        <f t="shared" si="1"/>
        <v>1406.7390541488746</v>
      </c>
      <c r="H13" s="135">
        <f t="shared" si="1"/>
        <v>1406.7390541488746</v>
      </c>
      <c r="I13" s="135">
        <f t="shared" si="1"/>
        <v>1406.7390541488746</v>
      </c>
      <c r="J13" s="135">
        <f t="shared" si="1"/>
        <v>1406.7390541488746</v>
      </c>
      <c r="K13" s="135">
        <f t="shared" si="1"/>
        <v>1406.7390541488746</v>
      </c>
      <c r="L13" s="135">
        <f t="shared" si="1"/>
        <v>1406.7390541488746</v>
      </c>
      <c r="M13" s="135">
        <f t="shared" si="1"/>
        <v>1406.7390541488746</v>
      </c>
      <c r="N13" s="135">
        <f t="shared" si="1"/>
        <v>1406.7390541488746</v>
      </c>
      <c r="O13" s="135">
        <f t="shared" si="1"/>
        <v>1406.7390541488746</v>
      </c>
      <c r="P13" s="135">
        <f t="shared" si="1"/>
        <v>1406.7390541488746</v>
      </c>
      <c r="Q13" s="135">
        <f t="shared" si="1"/>
        <v>1406.7390541488746</v>
      </c>
      <c r="R13" s="135">
        <f t="shared" si="1"/>
        <v>1406.7390541488746</v>
      </c>
      <c r="S13" s="135">
        <f t="shared" si="1"/>
        <v>1406.7390541488746</v>
      </c>
      <c r="T13" s="135">
        <f t="shared" si="1"/>
        <v>1666.4355359952458</v>
      </c>
      <c r="U13" s="135">
        <f t="shared" si="1"/>
        <v>1666.4355359952458</v>
      </c>
      <c r="V13" s="135">
        <f t="shared" si="1"/>
        <v>1666.4355359952458</v>
      </c>
      <c r="W13" s="135">
        <f t="shared" si="1"/>
        <v>1666.4355359952458</v>
      </c>
      <c r="X13" s="135">
        <f t="shared" si="1"/>
        <v>1406.7390541488746</v>
      </c>
      <c r="Y13" s="135">
        <f t="shared" si="1"/>
        <v>1406.7390541488746</v>
      </c>
      <c r="Z13" s="135">
        <f t="shared" si="1"/>
        <v>1406.7390541488746</v>
      </c>
      <c r="AA13" s="135">
        <f t="shared" si="1"/>
        <v>1406.7390541488746</v>
      </c>
      <c r="AB13" s="135">
        <f t="shared" si="1"/>
        <v>1406.7390541488746</v>
      </c>
      <c r="AC13" s="135">
        <f t="shared" si="1"/>
        <v>1406.7390541488746</v>
      </c>
      <c r="AD13" s="135">
        <f t="shared" si="1"/>
        <v>1406.7390541488746</v>
      </c>
      <c r="AE13" s="135">
        <f t="shared" si="1"/>
        <v>1406.7390541488746</v>
      </c>
      <c r="AF13" s="135">
        <f t="shared" si="1"/>
        <v>1406.7390541488746</v>
      </c>
      <c r="AG13" s="135">
        <f t="shared" si="1"/>
        <v>1406.7390541488746</v>
      </c>
      <c r="AH13" s="135">
        <f t="shared" si="1"/>
        <v>1406.7390541488746</v>
      </c>
      <c r="AI13" s="135">
        <f t="shared" si="1"/>
        <v>1406.7390541488746</v>
      </c>
      <c r="AJ13" s="135">
        <f t="shared" si="1"/>
        <v>1406.7390541488746</v>
      </c>
      <c r="AK13" s="135">
        <f t="shared" si="1"/>
        <v>1406.7390541488746</v>
      </c>
      <c r="AL13" s="135">
        <f t="shared" si="1"/>
        <v>1406.7390541488746</v>
      </c>
      <c r="AM13" s="135">
        <f t="shared" si="1"/>
        <v>1406.7390541488746</v>
      </c>
      <c r="AN13" s="135">
        <f t="shared" si="1"/>
        <v>1406.7390541488746</v>
      </c>
      <c r="AO13" s="135">
        <f t="shared" si="1"/>
        <v>1406.7390541488746</v>
      </c>
      <c r="AP13" s="135">
        <f t="shared" si="1"/>
        <v>1406.7390541488746</v>
      </c>
      <c r="AQ13" s="135">
        <f t="shared" si="1"/>
        <v>1406.7390541488746</v>
      </c>
      <c r="AR13" s="135">
        <f t="shared" si="1"/>
        <v>1406.7390541488746</v>
      </c>
      <c r="AS13" s="135">
        <f t="shared" si="1"/>
        <v>1406.7390541488746</v>
      </c>
      <c r="AT13" s="135">
        <f t="shared" si="1"/>
        <v>1406.7390541488746</v>
      </c>
      <c r="AU13" s="135">
        <f t="shared" si="1"/>
        <v>1406.7390541488746</v>
      </c>
      <c r="AV13" s="135">
        <f t="shared" si="1"/>
        <v>1406.7390541488746</v>
      </c>
      <c r="AW13" s="135">
        <f t="shared" si="1"/>
        <v>1406.7390541488746</v>
      </c>
      <c r="AX13" s="135">
        <f t="shared" si="1"/>
        <v>1406.7390541488746</v>
      </c>
      <c r="AY13" s="135">
        <f t="shared" si="1"/>
        <v>1406.7390541488746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1406.7390541488746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1406.7390541488746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297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306</v>
      </c>
      <c r="B20" s="151" t="s">
        <v>307</v>
      </c>
      <c r="C20" s="114"/>
      <c r="D20" s="114"/>
      <c r="E20" s="114"/>
      <c r="F20" s="114"/>
      <c r="G20" s="114"/>
      <c r="H20" s="114" t="s">
        <v>340</v>
      </c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 t="s">
        <v>340</v>
      </c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shipping_manufacturing!$E$19/100</f>
        <v>0.46817699197802976</v>
      </c>
      <c r="C21" s="153" t="s">
        <v>294</v>
      </c>
      <c r="D21" s="104">
        <f>IF(C$20="Yes",0,SUM(C$13:C$16)*$B$21)</f>
        <v>761.04029777277674</v>
      </c>
      <c r="E21" s="104">
        <f t="shared" ref="E21:AY21" si="3">IF(D$20="Yes",0,SUM(D$13:D$16)*$B$21)</f>
        <v>658.60285886943882</v>
      </c>
      <c r="F21" s="104">
        <f t="shared" si="3"/>
        <v>658.60285886943882</v>
      </c>
      <c r="G21" s="104">
        <f t="shared" si="3"/>
        <v>658.60285886943882</v>
      </c>
      <c r="H21" s="104">
        <f t="shared" si="3"/>
        <v>658.60285886943882</v>
      </c>
      <c r="I21" s="104">
        <f t="shared" si="3"/>
        <v>0</v>
      </c>
      <c r="J21" s="104">
        <f t="shared" si="3"/>
        <v>1317.2057177388776</v>
      </c>
      <c r="K21" s="104">
        <f t="shared" si="3"/>
        <v>658.60285886943882</v>
      </c>
      <c r="L21" s="104">
        <f t="shared" si="3"/>
        <v>658.60285886943882</v>
      </c>
      <c r="M21" s="104">
        <f t="shared" si="3"/>
        <v>658.60285886943882</v>
      </c>
      <c r="N21" s="104">
        <f t="shared" si="3"/>
        <v>658.60285886943882</v>
      </c>
      <c r="O21" s="104">
        <f t="shared" si="3"/>
        <v>658.60285886943882</v>
      </c>
      <c r="P21" s="104">
        <f t="shared" si="3"/>
        <v>658.60285886943882</v>
      </c>
      <c r="Q21" s="104">
        <f t="shared" si="3"/>
        <v>658.60285886943882</v>
      </c>
      <c r="R21" s="104">
        <f t="shared" si="3"/>
        <v>658.60285886943882</v>
      </c>
      <c r="S21" s="104">
        <f t="shared" si="3"/>
        <v>658.60285886943882</v>
      </c>
      <c r="T21" s="104">
        <f t="shared" si="3"/>
        <v>0</v>
      </c>
      <c r="U21" s="104">
        <f t="shared" si="3"/>
        <v>1438.7896354369886</v>
      </c>
      <c r="V21" s="104">
        <f t="shared" si="3"/>
        <v>780.18677656754994</v>
      </c>
      <c r="W21" s="104">
        <f t="shared" si="3"/>
        <v>780.18677656754994</v>
      </c>
      <c r="X21" s="104">
        <f t="shared" si="3"/>
        <v>780.18677656754994</v>
      </c>
      <c r="Y21" s="104">
        <f t="shared" si="3"/>
        <v>658.60285886943882</v>
      </c>
      <c r="Z21" s="104">
        <f t="shared" si="3"/>
        <v>658.60285886943882</v>
      </c>
      <c r="AA21" s="104">
        <f t="shared" si="3"/>
        <v>658.60285886943882</v>
      </c>
      <c r="AB21" s="104">
        <f t="shared" si="3"/>
        <v>658.60285886943882</v>
      </c>
      <c r="AC21" s="104">
        <f t="shared" si="3"/>
        <v>658.60285886943882</v>
      </c>
      <c r="AD21" s="104">
        <f t="shared" si="3"/>
        <v>658.60285886943882</v>
      </c>
      <c r="AE21" s="104">
        <f t="shared" si="3"/>
        <v>658.60285886943882</v>
      </c>
      <c r="AF21" s="104">
        <f t="shared" si="3"/>
        <v>658.60285886943882</v>
      </c>
      <c r="AG21" s="104">
        <f t="shared" si="3"/>
        <v>658.60285886943882</v>
      </c>
      <c r="AH21" s="104">
        <f t="shared" si="3"/>
        <v>658.60285886943882</v>
      </c>
      <c r="AI21" s="104">
        <f t="shared" si="3"/>
        <v>658.60285886943882</v>
      </c>
      <c r="AJ21" s="104">
        <f t="shared" si="3"/>
        <v>658.60285886943882</v>
      </c>
      <c r="AK21" s="104">
        <f t="shared" si="3"/>
        <v>658.60285886943882</v>
      </c>
      <c r="AL21" s="104">
        <f t="shared" si="3"/>
        <v>658.60285886943882</v>
      </c>
      <c r="AM21" s="104">
        <f t="shared" si="3"/>
        <v>658.60285886943882</v>
      </c>
      <c r="AN21" s="104">
        <f t="shared" si="3"/>
        <v>658.60285886943882</v>
      </c>
      <c r="AO21" s="104">
        <f t="shared" si="3"/>
        <v>658.60285886943882</v>
      </c>
      <c r="AP21" s="104">
        <f t="shared" si="3"/>
        <v>658.60285886943882</v>
      </c>
      <c r="AQ21" s="104">
        <f t="shared" si="3"/>
        <v>658.60285886943882</v>
      </c>
      <c r="AR21" s="104">
        <f t="shared" si="3"/>
        <v>658.60285886943882</v>
      </c>
      <c r="AS21" s="104">
        <f t="shared" si="3"/>
        <v>658.60285886943882</v>
      </c>
      <c r="AT21" s="104">
        <f t="shared" si="3"/>
        <v>658.60285886943882</v>
      </c>
      <c r="AU21" s="104">
        <f t="shared" si="3"/>
        <v>658.60285886943882</v>
      </c>
      <c r="AV21" s="104">
        <f t="shared" si="3"/>
        <v>658.60285886943882</v>
      </c>
      <c r="AW21" s="104">
        <f t="shared" si="3"/>
        <v>658.60285886943882</v>
      </c>
      <c r="AX21" s="104">
        <f t="shared" si="3"/>
        <v>658.60285886943882</v>
      </c>
      <c r="AY21" s="104">
        <f t="shared" si="3"/>
        <v>658.60285886943882</v>
      </c>
      <c r="AZ21" s="154">
        <f>SUM($D21:$AY21)</f>
        <v>32201.710335428848</v>
      </c>
    </row>
    <row r="22" spans="1:52" s="108" customFormat="1">
      <c r="A22" s="155" t="s">
        <v>123</v>
      </c>
      <c r="B22" s="156">
        <f>1-$B$21</f>
        <v>0.53182300802197024</v>
      </c>
      <c r="C22" s="156" t="s">
        <v>294</v>
      </c>
      <c r="D22" s="111">
        <f>IF(C$20="Yes",0,SUM(C$13:C$16)*$B$22)</f>
        <v>864.49942505172771</v>
      </c>
      <c r="E22" s="111">
        <f t="shared" ref="E22:AY22" si="4">IF(D$20="Yes",0,SUM(D$13:D$16)*$B$22)</f>
        <v>748.13619527943581</v>
      </c>
      <c r="F22" s="111">
        <f t="shared" si="4"/>
        <v>748.13619527943581</v>
      </c>
      <c r="G22" s="111">
        <f t="shared" si="4"/>
        <v>748.13619527943581</v>
      </c>
      <c r="H22" s="111">
        <f t="shared" si="4"/>
        <v>748.13619527943581</v>
      </c>
      <c r="I22" s="111">
        <f t="shared" si="4"/>
        <v>0</v>
      </c>
      <c r="J22" s="111">
        <f t="shared" si="4"/>
        <v>1496.2723905588716</v>
      </c>
      <c r="K22" s="111">
        <f t="shared" si="4"/>
        <v>748.13619527943581</v>
      </c>
      <c r="L22" s="111">
        <f t="shared" si="4"/>
        <v>748.13619527943581</v>
      </c>
      <c r="M22" s="111">
        <f t="shared" si="4"/>
        <v>748.13619527943581</v>
      </c>
      <c r="N22" s="111">
        <f t="shared" si="4"/>
        <v>748.13619527943581</v>
      </c>
      <c r="O22" s="111">
        <f t="shared" si="4"/>
        <v>748.13619527943581</v>
      </c>
      <c r="P22" s="111">
        <f t="shared" si="4"/>
        <v>748.13619527943581</v>
      </c>
      <c r="Q22" s="111">
        <f t="shared" si="4"/>
        <v>748.13619527943581</v>
      </c>
      <c r="R22" s="111">
        <f t="shared" si="4"/>
        <v>748.13619527943581</v>
      </c>
      <c r="S22" s="111">
        <f t="shared" si="4"/>
        <v>748.13619527943581</v>
      </c>
      <c r="T22" s="111">
        <f t="shared" si="4"/>
        <v>0</v>
      </c>
      <c r="U22" s="111">
        <f t="shared" si="4"/>
        <v>1634.3849547071318</v>
      </c>
      <c r="V22" s="111">
        <f t="shared" si="4"/>
        <v>886.24875942769586</v>
      </c>
      <c r="W22" s="111">
        <f t="shared" si="4"/>
        <v>886.24875942769586</v>
      </c>
      <c r="X22" s="111">
        <f t="shared" si="4"/>
        <v>886.24875942769586</v>
      </c>
      <c r="Y22" s="111">
        <f t="shared" si="4"/>
        <v>748.13619527943581</v>
      </c>
      <c r="Z22" s="111">
        <f t="shared" si="4"/>
        <v>748.13619527943581</v>
      </c>
      <c r="AA22" s="111">
        <f t="shared" si="4"/>
        <v>748.13619527943581</v>
      </c>
      <c r="AB22" s="111">
        <f t="shared" si="4"/>
        <v>748.13619527943581</v>
      </c>
      <c r="AC22" s="111">
        <f t="shared" si="4"/>
        <v>748.13619527943581</v>
      </c>
      <c r="AD22" s="111">
        <f t="shared" si="4"/>
        <v>748.13619527943581</v>
      </c>
      <c r="AE22" s="111">
        <f t="shared" si="4"/>
        <v>748.13619527943581</v>
      </c>
      <c r="AF22" s="111">
        <f t="shared" si="4"/>
        <v>748.13619527943581</v>
      </c>
      <c r="AG22" s="111">
        <f t="shared" si="4"/>
        <v>748.13619527943581</v>
      </c>
      <c r="AH22" s="111">
        <f t="shared" si="4"/>
        <v>748.13619527943581</v>
      </c>
      <c r="AI22" s="111">
        <f t="shared" si="4"/>
        <v>748.13619527943581</v>
      </c>
      <c r="AJ22" s="111">
        <f t="shared" si="4"/>
        <v>748.13619527943581</v>
      </c>
      <c r="AK22" s="111">
        <f t="shared" si="4"/>
        <v>748.13619527943581</v>
      </c>
      <c r="AL22" s="111">
        <f t="shared" si="4"/>
        <v>748.13619527943581</v>
      </c>
      <c r="AM22" s="111">
        <f t="shared" si="4"/>
        <v>748.13619527943581</v>
      </c>
      <c r="AN22" s="111">
        <f t="shared" si="4"/>
        <v>748.13619527943581</v>
      </c>
      <c r="AO22" s="111">
        <f t="shared" si="4"/>
        <v>748.13619527943581</v>
      </c>
      <c r="AP22" s="111">
        <f t="shared" si="4"/>
        <v>748.13619527943581</v>
      </c>
      <c r="AQ22" s="111">
        <f t="shared" si="4"/>
        <v>748.13619527943581</v>
      </c>
      <c r="AR22" s="111">
        <f t="shared" si="4"/>
        <v>748.13619527943581</v>
      </c>
      <c r="AS22" s="111">
        <f t="shared" si="4"/>
        <v>748.13619527943581</v>
      </c>
      <c r="AT22" s="111">
        <f t="shared" si="4"/>
        <v>748.13619527943581</v>
      </c>
      <c r="AU22" s="111">
        <f t="shared" si="4"/>
        <v>748.13619527943581</v>
      </c>
      <c r="AV22" s="111">
        <f t="shared" si="4"/>
        <v>748.13619527943581</v>
      </c>
      <c r="AW22" s="111">
        <f t="shared" si="4"/>
        <v>748.13619527943581</v>
      </c>
      <c r="AX22" s="111">
        <f t="shared" si="4"/>
        <v>748.13619527943581</v>
      </c>
      <c r="AY22" s="111">
        <f t="shared" si="4"/>
        <v>748.13619527943581</v>
      </c>
      <c r="AZ22" s="138">
        <f t="shared" ref="AZ22:AZ30" si="5">SUM($D22:$AY22)</f>
        <v>36579.350859778235</v>
      </c>
    </row>
    <row r="23" spans="1:52">
      <c r="A23" s="157" t="s">
        <v>308</v>
      </c>
      <c r="B23" s="121">
        <v>2000</v>
      </c>
      <c r="C23" t="s">
        <v>294</v>
      </c>
      <c r="D23">
        <f>D$21*$B$23</f>
        <v>1522080.5955455534</v>
      </c>
      <c r="E23">
        <f t="shared" ref="E23:AY23" si="6">E$21*$B$23</f>
        <v>1317205.7177388777</v>
      </c>
      <c r="F23">
        <f t="shared" si="6"/>
        <v>1317205.7177388777</v>
      </c>
      <c r="G23">
        <f t="shared" si="6"/>
        <v>1317205.7177388777</v>
      </c>
      <c r="H23">
        <f t="shared" si="6"/>
        <v>1317205.7177388777</v>
      </c>
      <c r="I23">
        <f t="shared" si="6"/>
        <v>0</v>
      </c>
      <c r="J23">
        <f t="shared" si="6"/>
        <v>2634411.4354777555</v>
      </c>
      <c r="K23">
        <f t="shared" si="6"/>
        <v>1317205.7177388777</v>
      </c>
      <c r="L23">
        <f t="shared" si="6"/>
        <v>1317205.7177388777</v>
      </c>
      <c r="M23">
        <f t="shared" si="6"/>
        <v>1317205.7177388777</v>
      </c>
      <c r="N23">
        <f t="shared" si="6"/>
        <v>1317205.7177388777</v>
      </c>
      <c r="O23">
        <f t="shared" si="6"/>
        <v>1317205.7177388777</v>
      </c>
      <c r="P23">
        <f t="shared" si="6"/>
        <v>1317205.7177388777</v>
      </c>
      <c r="Q23">
        <f t="shared" si="6"/>
        <v>1317205.7177388777</v>
      </c>
      <c r="R23">
        <f t="shared" si="6"/>
        <v>1317205.7177388777</v>
      </c>
      <c r="S23">
        <f t="shared" si="6"/>
        <v>1317205.7177388777</v>
      </c>
      <c r="T23">
        <f t="shared" si="6"/>
        <v>0</v>
      </c>
      <c r="U23">
        <f t="shared" si="6"/>
        <v>2877579.2708739773</v>
      </c>
      <c r="V23">
        <f t="shared" si="6"/>
        <v>1560373.5531350998</v>
      </c>
      <c r="W23">
        <f t="shared" si="6"/>
        <v>1560373.5531350998</v>
      </c>
      <c r="X23">
        <f t="shared" si="6"/>
        <v>1560373.5531350998</v>
      </c>
      <c r="Y23">
        <f t="shared" si="6"/>
        <v>1317205.7177388777</v>
      </c>
      <c r="Z23">
        <f t="shared" si="6"/>
        <v>1317205.7177388777</v>
      </c>
      <c r="AA23">
        <f t="shared" si="6"/>
        <v>1317205.7177388777</v>
      </c>
      <c r="AB23">
        <f t="shared" si="6"/>
        <v>1317205.7177388777</v>
      </c>
      <c r="AC23">
        <f t="shared" si="6"/>
        <v>1317205.7177388777</v>
      </c>
      <c r="AD23">
        <f t="shared" si="6"/>
        <v>1317205.7177388777</v>
      </c>
      <c r="AE23">
        <f t="shared" si="6"/>
        <v>1317205.7177388777</v>
      </c>
      <c r="AF23">
        <f t="shared" si="6"/>
        <v>1317205.7177388777</v>
      </c>
      <c r="AG23">
        <f t="shared" si="6"/>
        <v>1317205.7177388777</v>
      </c>
      <c r="AH23">
        <f t="shared" si="6"/>
        <v>1317205.7177388777</v>
      </c>
      <c r="AI23">
        <f t="shared" si="6"/>
        <v>1317205.7177388777</v>
      </c>
      <c r="AJ23">
        <f t="shared" si="6"/>
        <v>1317205.7177388777</v>
      </c>
      <c r="AK23">
        <f t="shared" si="6"/>
        <v>1317205.7177388777</v>
      </c>
      <c r="AL23">
        <f t="shared" si="6"/>
        <v>1317205.7177388777</v>
      </c>
      <c r="AM23">
        <f t="shared" si="6"/>
        <v>1317205.7177388777</v>
      </c>
      <c r="AN23">
        <f t="shared" si="6"/>
        <v>1317205.7177388777</v>
      </c>
      <c r="AO23">
        <f t="shared" si="6"/>
        <v>1317205.7177388777</v>
      </c>
      <c r="AP23">
        <f t="shared" si="6"/>
        <v>1317205.7177388777</v>
      </c>
      <c r="AQ23">
        <f t="shared" si="6"/>
        <v>1317205.7177388777</v>
      </c>
      <c r="AR23">
        <f t="shared" si="6"/>
        <v>1317205.7177388777</v>
      </c>
      <c r="AS23">
        <f t="shared" si="6"/>
        <v>1317205.7177388777</v>
      </c>
      <c r="AT23">
        <f t="shared" si="6"/>
        <v>1317205.7177388777</v>
      </c>
      <c r="AU23">
        <f t="shared" si="6"/>
        <v>1317205.7177388777</v>
      </c>
      <c r="AV23">
        <f t="shared" si="6"/>
        <v>1317205.7177388777</v>
      </c>
      <c r="AW23">
        <f t="shared" si="6"/>
        <v>1317205.7177388777</v>
      </c>
      <c r="AX23">
        <f t="shared" si="6"/>
        <v>1317205.7177388777</v>
      </c>
      <c r="AY23">
        <f t="shared" si="6"/>
        <v>1317205.7177388777</v>
      </c>
      <c r="AZ23" s="136">
        <f t="shared" si="5"/>
        <v>64403420.670857623</v>
      </c>
    </row>
    <row r="24" spans="1:52" s="108" customFormat="1">
      <c r="A24" s="158" t="s">
        <v>309</v>
      </c>
      <c r="B24" s="159">
        <v>1000</v>
      </c>
      <c r="C24" s="153" t="s">
        <v>294</v>
      </c>
      <c r="D24" s="104">
        <f>D$22*$B$24</f>
        <v>864499.42505172768</v>
      </c>
      <c r="E24" s="104">
        <f t="shared" ref="E24:AY24" si="7">E$22*$B$24</f>
        <v>748136.19527943584</v>
      </c>
      <c r="F24" s="104">
        <f t="shared" si="7"/>
        <v>748136.19527943584</v>
      </c>
      <c r="G24" s="104">
        <f t="shared" si="7"/>
        <v>748136.19527943584</v>
      </c>
      <c r="H24" s="104">
        <f t="shared" si="7"/>
        <v>748136.19527943584</v>
      </c>
      <c r="I24" s="104">
        <f t="shared" si="7"/>
        <v>0</v>
      </c>
      <c r="J24" s="104">
        <f t="shared" si="7"/>
        <v>1496272.3905588717</v>
      </c>
      <c r="K24" s="104">
        <f t="shared" si="7"/>
        <v>748136.19527943584</v>
      </c>
      <c r="L24" s="104">
        <f t="shared" si="7"/>
        <v>748136.19527943584</v>
      </c>
      <c r="M24" s="104">
        <f t="shared" si="7"/>
        <v>748136.19527943584</v>
      </c>
      <c r="N24" s="104">
        <f t="shared" si="7"/>
        <v>748136.19527943584</v>
      </c>
      <c r="O24" s="104">
        <f t="shared" si="7"/>
        <v>748136.19527943584</v>
      </c>
      <c r="P24" s="104">
        <f t="shared" si="7"/>
        <v>748136.19527943584</v>
      </c>
      <c r="Q24" s="104">
        <f t="shared" si="7"/>
        <v>748136.19527943584</v>
      </c>
      <c r="R24" s="104">
        <f t="shared" si="7"/>
        <v>748136.19527943584</v>
      </c>
      <c r="S24" s="104">
        <f t="shared" si="7"/>
        <v>748136.19527943584</v>
      </c>
      <c r="T24" s="104">
        <f t="shared" si="7"/>
        <v>0</v>
      </c>
      <c r="U24" s="104">
        <f t="shared" si="7"/>
        <v>1634384.9547071317</v>
      </c>
      <c r="V24" s="104">
        <f t="shared" si="7"/>
        <v>886248.75942769588</v>
      </c>
      <c r="W24" s="104">
        <f t="shared" si="7"/>
        <v>886248.75942769588</v>
      </c>
      <c r="X24" s="104">
        <f t="shared" si="7"/>
        <v>886248.75942769588</v>
      </c>
      <c r="Y24" s="104">
        <f t="shared" si="7"/>
        <v>748136.19527943584</v>
      </c>
      <c r="Z24" s="104">
        <f t="shared" si="7"/>
        <v>748136.19527943584</v>
      </c>
      <c r="AA24" s="104">
        <f t="shared" si="7"/>
        <v>748136.19527943584</v>
      </c>
      <c r="AB24" s="104">
        <f t="shared" si="7"/>
        <v>748136.19527943584</v>
      </c>
      <c r="AC24" s="104">
        <f t="shared" si="7"/>
        <v>748136.19527943584</v>
      </c>
      <c r="AD24" s="104">
        <f t="shared" si="7"/>
        <v>748136.19527943584</v>
      </c>
      <c r="AE24" s="104">
        <f t="shared" si="7"/>
        <v>748136.19527943584</v>
      </c>
      <c r="AF24" s="104">
        <f t="shared" si="7"/>
        <v>748136.19527943584</v>
      </c>
      <c r="AG24" s="104">
        <f t="shared" si="7"/>
        <v>748136.19527943584</v>
      </c>
      <c r="AH24" s="104">
        <f t="shared" si="7"/>
        <v>748136.19527943584</v>
      </c>
      <c r="AI24" s="104">
        <f t="shared" si="7"/>
        <v>748136.19527943584</v>
      </c>
      <c r="AJ24" s="104">
        <f t="shared" si="7"/>
        <v>748136.19527943584</v>
      </c>
      <c r="AK24" s="104">
        <f t="shared" si="7"/>
        <v>748136.19527943584</v>
      </c>
      <c r="AL24" s="104">
        <f t="shared" si="7"/>
        <v>748136.19527943584</v>
      </c>
      <c r="AM24" s="104">
        <f t="shared" si="7"/>
        <v>748136.19527943584</v>
      </c>
      <c r="AN24" s="104">
        <f t="shared" si="7"/>
        <v>748136.19527943584</v>
      </c>
      <c r="AO24" s="104">
        <f t="shared" si="7"/>
        <v>748136.19527943584</v>
      </c>
      <c r="AP24" s="104">
        <f t="shared" si="7"/>
        <v>748136.19527943584</v>
      </c>
      <c r="AQ24" s="104">
        <f t="shared" si="7"/>
        <v>748136.19527943584</v>
      </c>
      <c r="AR24" s="104">
        <f t="shared" si="7"/>
        <v>748136.19527943584</v>
      </c>
      <c r="AS24" s="104">
        <f t="shared" si="7"/>
        <v>748136.19527943584</v>
      </c>
      <c r="AT24" s="104">
        <f t="shared" si="7"/>
        <v>748136.19527943584</v>
      </c>
      <c r="AU24" s="104">
        <f t="shared" si="7"/>
        <v>748136.19527943584</v>
      </c>
      <c r="AV24" s="104">
        <f t="shared" si="7"/>
        <v>748136.19527943584</v>
      </c>
      <c r="AW24" s="104">
        <f t="shared" si="7"/>
        <v>748136.19527943584</v>
      </c>
      <c r="AX24" s="104">
        <f t="shared" si="7"/>
        <v>748136.19527943584</v>
      </c>
      <c r="AY24" s="104">
        <f t="shared" si="7"/>
        <v>748136.19527943584</v>
      </c>
      <c r="AZ24" s="138">
        <f t="shared" si="5"/>
        <v>36579350.859778218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310</v>
      </c>
      <c r="C27" s="121">
        <v>0</v>
      </c>
      <c r="D27" s="121">
        <f>C$27-C$28+C$29</f>
        <v>15</v>
      </c>
      <c r="E27" s="121">
        <f t="shared" ref="E27:AY27" si="8">D27-D28+D29</f>
        <v>0</v>
      </c>
      <c r="F27" s="121">
        <f t="shared" si="8"/>
        <v>15</v>
      </c>
      <c r="G27" s="121">
        <f t="shared" si="8"/>
        <v>0</v>
      </c>
      <c r="H27" s="121">
        <f t="shared" si="8"/>
        <v>15</v>
      </c>
      <c r="I27" s="121">
        <f t="shared" si="8"/>
        <v>0</v>
      </c>
      <c r="J27" s="121">
        <f t="shared" si="8"/>
        <v>15</v>
      </c>
      <c r="K27" s="121">
        <f t="shared" si="8"/>
        <v>0</v>
      </c>
      <c r="L27" s="121">
        <f t="shared" si="8"/>
        <v>15</v>
      </c>
      <c r="M27" s="121">
        <f t="shared" si="8"/>
        <v>0</v>
      </c>
      <c r="N27" s="121">
        <f t="shared" si="8"/>
        <v>15</v>
      </c>
      <c r="O27" s="121">
        <f t="shared" si="8"/>
        <v>0</v>
      </c>
      <c r="P27" s="121">
        <f t="shared" si="8"/>
        <v>15</v>
      </c>
      <c r="Q27" s="121">
        <f t="shared" si="8"/>
        <v>0</v>
      </c>
      <c r="R27" s="121">
        <f t="shared" si="8"/>
        <v>15</v>
      </c>
      <c r="S27" s="121">
        <f t="shared" si="8"/>
        <v>0</v>
      </c>
      <c r="T27" s="121">
        <f t="shared" si="8"/>
        <v>15</v>
      </c>
      <c r="U27" s="121">
        <f t="shared" si="8"/>
        <v>15</v>
      </c>
      <c r="V27" s="121">
        <f t="shared" si="8"/>
        <v>0</v>
      </c>
      <c r="W27" s="121">
        <f t="shared" si="8"/>
        <v>15</v>
      </c>
      <c r="X27" s="121">
        <f t="shared" si="8"/>
        <v>0</v>
      </c>
      <c r="Y27" s="121">
        <f t="shared" si="8"/>
        <v>15</v>
      </c>
      <c r="Z27" s="121">
        <f t="shared" si="8"/>
        <v>0</v>
      </c>
      <c r="AA27" s="121">
        <f t="shared" si="8"/>
        <v>15</v>
      </c>
      <c r="AB27" s="121">
        <f t="shared" si="8"/>
        <v>0</v>
      </c>
      <c r="AC27" s="121">
        <f t="shared" si="8"/>
        <v>15</v>
      </c>
      <c r="AD27" s="121">
        <f t="shared" si="8"/>
        <v>0</v>
      </c>
      <c r="AE27" s="121">
        <f t="shared" si="8"/>
        <v>15</v>
      </c>
      <c r="AF27" s="121">
        <f t="shared" si="8"/>
        <v>0</v>
      </c>
      <c r="AG27" s="121">
        <f t="shared" si="8"/>
        <v>15</v>
      </c>
      <c r="AH27" s="121">
        <f t="shared" si="8"/>
        <v>0</v>
      </c>
      <c r="AI27" s="121">
        <f t="shared" si="8"/>
        <v>15</v>
      </c>
      <c r="AJ27" s="121">
        <f t="shared" si="8"/>
        <v>0</v>
      </c>
      <c r="AK27" s="121">
        <f t="shared" si="8"/>
        <v>15</v>
      </c>
      <c r="AL27" s="121">
        <f t="shared" si="8"/>
        <v>0</v>
      </c>
      <c r="AM27" s="121">
        <f t="shared" si="8"/>
        <v>15</v>
      </c>
      <c r="AN27" s="121">
        <f t="shared" si="8"/>
        <v>0</v>
      </c>
      <c r="AO27" s="121">
        <f t="shared" si="8"/>
        <v>15</v>
      </c>
      <c r="AP27" s="121">
        <f t="shared" si="8"/>
        <v>0</v>
      </c>
      <c r="AQ27" s="121">
        <f t="shared" si="8"/>
        <v>15</v>
      </c>
      <c r="AR27" s="121">
        <f t="shared" si="8"/>
        <v>0</v>
      </c>
      <c r="AS27" s="121">
        <f t="shared" si="8"/>
        <v>15</v>
      </c>
      <c r="AT27" s="121">
        <f t="shared" si="8"/>
        <v>0</v>
      </c>
      <c r="AU27" s="121">
        <f t="shared" si="8"/>
        <v>15</v>
      </c>
      <c r="AV27" s="121">
        <f t="shared" si="8"/>
        <v>0</v>
      </c>
      <c r="AW27" s="121">
        <f t="shared" si="8"/>
        <v>15</v>
      </c>
      <c r="AX27" s="121">
        <f t="shared" si="8"/>
        <v>0</v>
      </c>
      <c r="AY27" s="161">
        <f t="shared" si="8"/>
        <v>15</v>
      </c>
      <c r="AZ27" s="104"/>
    </row>
    <row r="28" spans="1:52">
      <c r="B28" s="162" t="s">
        <v>311</v>
      </c>
      <c r="C28" s="108">
        <v>0</v>
      </c>
      <c r="D28" s="108">
        <v>15</v>
      </c>
      <c r="E28" s="108">
        <v>0</v>
      </c>
      <c r="F28" s="108">
        <v>15</v>
      </c>
      <c r="G28" s="108">
        <v>0</v>
      </c>
      <c r="H28" s="108">
        <v>15</v>
      </c>
      <c r="I28" s="108">
        <v>0</v>
      </c>
      <c r="J28" s="108">
        <v>15</v>
      </c>
      <c r="K28" s="108">
        <v>0</v>
      </c>
      <c r="L28" s="108">
        <v>15</v>
      </c>
      <c r="M28" s="108">
        <v>0</v>
      </c>
      <c r="N28" s="108">
        <v>15</v>
      </c>
      <c r="O28" s="108">
        <v>0</v>
      </c>
      <c r="P28" s="108">
        <v>15</v>
      </c>
      <c r="Q28" s="108">
        <v>0</v>
      </c>
      <c r="R28" s="108">
        <v>15</v>
      </c>
      <c r="S28" s="108">
        <v>0</v>
      </c>
      <c r="T28" s="108">
        <v>0</v>
      </c>
      <c r="U28" s="108">
        <v>15</v>
      </c>
      <c r="V28" s="108">
        <v>0</v>
      </c>
      <c r="W28" s="108">
        <v>15</v>
      </c>
      <c r="X28" s="108">
        <v>0</v>
      </c>
      <c r="Y28" s="108">
        <v>15</v>
      </c>
      <c r="Z28" s="108">
        <v>0</v>
      </c>
      <c r="AA28" s="108">
        <v>15</v>
      </c>
      <c r="AB28" s="108">
        <v>0</v>
      </c>
      <c r="AC28" s="108">
        <v>15</v>
      </c>
      <c r="AD28" s="108">
        <v>0</v>
      </c>
      <c r="AE28" s="108">
        <v>15</v>
      </c>
      <c r="AF28" s="108">
        <v>0</v>
      </c>
      <c r="AG28" s="108">
        <v>15</v>
      </c>
      <c r="AH28" s="108">
        <v>0</v>
      </c>
      <c r="AI28" s="108">
        <v>15</v>
      </c>
      <c r="AJ28" s="108">
        <v>0</v>
      </c>
      <c r="AK28" s="108">
        <v>15</v>
      </c>
      <c r="AL28" s="108">
        <v>0</v>
      </c>
      <c r="AM28" s="108">
        <v>15</v>
      </c>
      <c r="AN28" s="108">
        <v>0</v>
      </c>
      <c r="AO28" s="108">
        <v>15</v>
      </c>
      <c r="AP28" s="108">
        <v>0</v>
      </c>
      <c r="AQ28" s="108">
        <v>15</v>
      </c>
      <c r="AR28" s="108">
        <v>0</v>
      </c>
      <c r="AS28" s="108">
        <v>15</v>
      </c>
      <c r="AT28" s="108">
        <v>0</v>
      </c>
      <c r="AU28" s="108">
        <v>15</v>
      </c>
      <c r="AV28" s="108">
        <v>0</v>
      </c>
      <c r="AW28" s="108">
        <v>15</v>
      </c>
      <c r="AX28" s="108">
        <v>0</v>
      </c>
      <c r="AY28" s="163">
        <v>15</v>
      </c>
      <c r="AZ28" s="104"/>
    </row>
    <row r="29" spans="1:52">
      <c r="B29" s="133" t="s">
        <v>312</v>
      </c>
      <c r="C29" s="122">
        <v>15</v>
      </c>
      <c r="D29" s="122">
        <f>C$28</f>
        <v>0</v>
      </c>
      <c r="E29" s="122">
        <f t="shared" ref="E29:AY29" si="9">D$28</f>
        <v>15</v>
      </c>
      <c r="F29" s="122">
        <f t="shared" si="9"/>
        <v>0</v>
      </c>
      <c r="G29" s="122">
        <f t="shared" si="9"/>
        <v>15</v>
      </c>
      <c r="H29" s="122">
        <f t="shared" si="9"/>
        <v>0</v>
      </c>
      <c r="I29" s="122">
        <f t="shared" si="9"/>
        <v>15</v>
      </c>
      <c r="J29" s="122">
        <f t="shared" si="9"/>
        <v>0</v>
      </c>
      <c r="K29" s="122">
        <f t="shared" si="9"/>
        <v>15</v>
      </c>
      <c r="L29" s="122">
        <f t="shared" si="9"/>
        <v>0</v>
      </c>
      <c r="M29" s="122">
        <f t="shared" si="9"/>
        <v>15</v>
      </c>
      <c r="N29" s="122">
        <f t="shared" si="9"/>
        <v>0</v>
      </c>
      <c r="O29" s="122">
        <f t="shared" si="9"/>
        <v>15</v>
      </c>
      <c r="P29" s="122">
        <f t="shared" si="9"/>
        <v>0</v>
      </c>
      <c r="Q29" s="122">
        <f t="shared" si="9"/>
        <v>15</v>
      </c>
      <c r="R29" s="122">
        <f t="shared" si="9"/>
        <v>0</v>
      </c>
      <c r="S29" s="122">
        <f t="shared" si="9"/>
        <v>15</v>
      </c>
      <c r="T29" s="122">
        <f t="shared" si="9"/>
        <v>0</v>
      </c>
      <c r="U29" s="122">
        <f t="shared" si="9"/>
        <v>0</v>
      </c>
      <c r="V29" s="122">
        <f t="shared" si="9"/>
        <v>15</v>
      </c>
      <c r="W29" s="122">
        <f t="shared" si="9"/>
        <v>0</v>
      </c>
      <c r="X29" s="122">
        <f t="shared" si="9"/>
        <v>15</v>
      </c>
      <c r="Y29" s="122">
        <f t="shared" si="9"/>
        <v>0</v>
      </c>
      <c r="Z29" s="122">
        <f t="shared" si="9"/>
        <v>15</v>
      </c>
      <c r="AA29" s="122">
        <f t="shared" si="9"/>
        <v>0</v>
      </c>
      <c r="AB29" s="122">
        <f t="shared" si="9"/>
        <v>15</v>
      </c>
      <c r="AC29" s="122">
        <f t="shared" si="9"/>
        <v>0</v>
      </c>
      <c r="AD29" s="122">
        <f t="shared" si="9"/>
        <v>15</v>
      </c>
      <c r="AE29" s="122">
        <f t="shared" si="9"/>
        <v>0</v>
      </c>
      <c r="AF29" s="122">
        <f t="shared" si="9"/>
        <v>15</v>
      </c>
      <c r="AG29" s="122">
        <f t="shared" si="9"/>
        <v>0</v>
      </c>
      <c r="AH29" s="122">
        <f t="shared" si="9"/>
        <v>15</v>
      </c>
      <c r="AI29" s="122">
        <f t="shared" si="9"/>
        <v>0</v>
      </c>
      <c r="AJ29" s="122">
        <f t="shared" si="9"/>
        <v>15</v>
      </c>
      <c r="AK29" s="122">
        <f t="shared" si="9"/>
        <v>0</v>
      </c>
      <c r="AL29" s="122">
        <f t="shared" si="9"/>
        <v>15</v>
      </c>
      <c r="AM29" s="122">
        <f t="shared" si="9"/>
        <v>0</v>
      </c>
      <c r="AN29" s="122">
        <f t="shared" si="9"/>
        <v>15</v>
      </c>
      <c r="AO29" s="122">
        <f t="shared" si="9"/>
        <v>0</v>
      </c>
      <c r="AP29" s="122">
        <f t="shared" si="9"/>
        <v>15</v>
      </c>
      <c r="AQ29" s="122">
        <f t="shared" si="9"/>
        <v>0</v>
      </c>
      <c r="AR29" s="122">
        <f t="shared" si="9"/>
        <v>15</v>
      </c>
      <c r="AS29" s="122">
        <f t="shared" si="9"/>
        <v>0</v>
      </c>
      <c r="AT29" s="122">
        <f t="shared" si="9"/>
        <v>15</v>
      </c>
      <c r="AU29" s="122">
        <f t="shared" si="9"/>
        <v>0</v>
      </c>
      <c r="AV29" s="122">
        <f t="shared" si="9"/>
        <v>15</v>
      </c>
      <c r="AW29" s="122">
        <f t="shared" si="9"/>
        <v>0</v>
      </c>
      <c r="AX29" s="122">
        <f t="shared" si="9"/>
        <v>15</v>
      </c>
      <c r="AY29" s="164">
        <f t="shared" si="9"/>
        <v>0</v>
      </c>
      <c r="AZ29" s="165"/>
    </row>
    <row r="30" spans="1:52">
      <c r="A30" s="166" t="s">
        <v>313</v>
      </c>
      <c r="B30" s="141">
        <v>10</v>
      </c>
      <c r="C30" s="114" t="s">
        <v>294</v>
      </c>
      <c r="D30" s="114">
        <f>D$27*$B$30</f>
        <v>150</v>
      </c>
      <c r="E30" s="114">
        <f t="shared" ref="E30:AY30" si="10">E$27*$B$30</f>
        <v>0</v>
      </c>
      <c r="F30" s="114">
        <f t="shared" si="10"/>
        <v>150</v>
      </c>
      <c r="G30" s="114">
        <f t="shared" si="10"/>
        <v>0</v>
      </c>
      <c r="H30" s="114">
        <f t="shared" si="10"/>
        <v>150</v>
      </c>
      <c r="I30" s="114">
        <f t="shared" si="10"/>
        <v>0</v>
      </c>
      <c r="J30" s="114">
        <f t="shared" si="10"/>
        <v>150</v>
      </c>
      <c r="K30" s="114">
        <f t="shared" si="10"/>
        <v>0</v>
      </c>
      <c r="L30" s="114">
        <f t="shared" si="10"/>
        <v>150</v>
      </c>
      <c r="M30" s="114">
        <f t="shared" si="10"/>
        <v>0</v>
      </c>
      <c r="N30" s="114">
        <f t="shared" si="10"/>
        <v>150</v>
      </c>
      <c r="O30" s="114">
        <f t="shared" si="10"/>
        <v>0</v>
      </c>
      <c r="P30" s="114">
        <f t="shared" si="10"/>
        <v>150</v>
      </c>
      <c r="Q30" s="114">
        <f t="shared" si="10"/>
        <v>0</v>
      </c>
      <c r="R30" s="114">
        <f>R$27*$B$30</f>
        <v>150</v>
      </c>
      <c r="S30" s="114">
        <f t="shared" si="10"/>
        <v>0</v>
      </c>
      <c r="T30" s="114">
        <f t="shared" si="10"/>
        <v>150</v>
      </c>
      <c r="U30" s="114">
        <f t="shared" si="10"/>
        <v>150</v>
      </c>
      <c r="V30" s="114">
        <f t="shared" si="10"/>
        <v>0</v>
      </c>
      <c r="W30" s="114">
        <f t="shared" si="10"/>
        <v>150</v>
      </c>
      <c r="X30" s="114">
        <f t="shared" si="10"/>
        <v>0</v>
      </c>
      <c r="Y30" s="114">
        <f t="shared" si="10"/>
        <v>150</v>
      </c>
      <c r="Z30" s="114">
        <f t="shared" si="10"/>
        <v>0</v>
      </c>
      <c r="AA30" s="114">
        <f t="shared" si="10"/>
        <v>150</v>
      </c>
      <c r="AB30" s="114">
        <f t="shared" si="10"/>
        <v>0</v>
      </c>
      <c r="AC30" s="114">
        <f t="shared" si="10"/>
        <v>150</v>
      </c>
      <c r="AD30" s="114">
        <f t="shared" si="10"/>
        <v>0</v>
      </c>
      <c r="AE30" s="114">
        <f>AE$27*$B$30</f>
        <v>150</v>
      </c>
      <c r="AF30" s="114">
        <f t="shared" si="10"/>
        <v>0</v>
      </c>
      <c r="AG30" s="114">
        <f t="shared" si="10"/>
        <v>150</v>
      </c>
      <c r="AH30" s="114">
        <f t="shared" si="10"/>
        <v>0</v>
      </c>
      <c r="AI30" s="114">
        <f t="shared" si="10"/>
        <v>150</v>
      </c>
      <c r="AJ30" s="114">
        <f t="shared" si="10"/>
        <v>0</v>
      </c>
      <c r="AK30" s="114">
        <f t="shared" si="10"/>
        <v>150</v>
      </c>
      <c r="AL30" s="114">
        <f t="shared" si="10"/>
        <v>0</v>
      </c>
      <c r="AM30" s="114">
        <f t="shared" si="10"/>
        <v>150</v>
      </c>
      <c r="AN30" s="114">
        <f t="shared" si="10"/>
        <v>0</v>
      </c>
      <c r="AO30" s="114">
        <f t="shared" si="10"/>
        <v>150</v>
      </c>
      <c r="AP30" s="114">
        <f t="shared" si="10"/>
        <v>0</v>
      </c>
      <c r="AQ30" s="114">
        <f t="shared" si="10"/>
        <v>150</v>
      </c>
      <c r="AR30" s="114">
        <f t="shared" si="10"/>
        <v>0</v>
      </c>
      <c r="AS30" s="114">
        <f t="shared" si="10"/>
        <v>150</v>
      </c>
      <c r="AT30" s="114">
        <f t="shared" si="10"/>
        <v>0</v>
      </c>
      <c r="AU30" s="114">
        <f t="shared" si="10"/>
        <v>150</v>
      </c>
      <c r="AV30" s="114">
        <f t="shared" si="10"/>
        <v>0</v>
      </c>
      <c r="AW30" s="114">
        <f t="shared" si="10"/>
        <v>150</v>
      </c>
      <c r="AX30" s="114">
        <f t="shared" si="10"/>
        <v>0</v>
      </c>
      <c r="AY30" s="114">
        <f t="shared" si="10"/>
        <v>150</v>
      </c>
      <c r="AZ30" s="138">
        <f t="shared" si="5"/>
        <v>3750</v>
      </c>
    </row>
    <row r="32" spans="1:52">
      <c r="A32" s="1" t="s">
        <v>301</v>
      </c>
    </row>
    <row r="33" spans="1:52">
      <c r="A33" s="132" t="s">
        <v>22</v>
      </c>
      <c r="B33" s="132" t="s">
        <v>342</v>
      </c>
      <c r="C33" s="121"/>
      <c r="D33" s="121">
        <f>D$21*shipping_manufacturing!$F$27/100</f>
        <v>45.736873830005806</v>
      </c>
      <c r="E33" s="121">
        <f>E$21*shipping_manufacturing!$F$27/100</f>
        <v>39.580605584681244</v>
      </c>
      <c r="F33" s="121">
        <f>F$21*shipping_manufacturing!$F$27/100</f>
        <v>39.580605584681244</v>
      </c>
      <c r="G33" s="121">
        <f>G$21*shipping_manufacturing!$F$27/100</f>
        <v>39.580605584681244</v>
      </c>
      <c r="H33" s="121">
        <f>H$21*shipping_manufacturing!$F$27/100</f>
        <v>39.580605584681244</v>
      </c>
      <c r="I33" s="121">
        <f>I$21*shipping_manufacturing!$F$27/100</f>
        <v>0</v>
      </c>
      <c r="J33" s="121">
        <f>J$21*shipping_manufacturing!$F$27/100</f>
        <v>79.161211169362488</v>
      </c>
      <c r="K33" s="121">
        <f>K$21*shipping_manufacturing!$F$27/100</f>
        <v>39.580605584681244</v>
      </c>
      <c r="L33" s="121">
        <f>L$21*shipping_manufacturing!$F$27/100</f>
        <v>39.580605584681244</v>
      </c>
      <c r="M33" s="121">
        <f>M$21*shipping_manufacturing!$F$27/100</f>
        <v>39.580605584681244</v>
      </c>
      <c r="N33" s="121">
        <f>N$21*shipping_manufacturing!$F$27/100</f>
        <v>39.580605584681244</v>
      </c>
      <c r="O33" s="121">
        <f>O$21*shipping_manufacturing!$F$27/100</f>
        <v>39.580605584681244</v>
      </c>
      <c r="P33" s="121">
        <f>P$21*shipping_manufacturing!$F$27/100</f>
        <v>39.580605584681244</v>
      </c>
      <c r="Q33" s="121">
        <f>Q$21*shipping_manufacturing!$F$27/100</f>
        <v>39.580605584681244</v>
      </c>
      <c r="R33" s="121">
        <f>R$21*shipping_manufacturing!$F$27/100</f>
        <v>39.580605584681244</v>
      </c>
      <c r="S33" s="121">
        <f>S$21*shipping_manufacturing!$F$27/100</f>
        <v>39.580605584681244</v>
      </c>
      <c r="T33" s="121">
        <f>T$21*shipping_manufacturing!$F$27/100</f>
        <v>0</v>
      </c>
      <c r="U33" s="121">
        <f>U$21*shipping_manufacturing!$F$27/100</f>
        <v>86.468141327713468</v>
      </c>
      <c r="V33" s="121">
        <f>V$21*shipping_manufacturing!$F$27/100</f>
        <v>46.887535743032231</v>
      </c>
      <c r="W33" s="121">
        <f>W$21*shipping_manufacturing!$F$27/100</f>
        <v>46.887535743032231</v>
      </c>
      <c r="X33" s="121">
        <f>X$21*shipping_manufacturing!$F$27/100</f>
        <v>46.887535743032231</v>
      </c>
      <c r="Y33" s="121">
        <f>Y$21*shipping_manufacturing!$F$27/100</f>
        <v>39.580605584681244</v>
      </c>
      <c r="Z33" s="121">
        <f>Z$21*shipping_manufacturing!$F$27/100</f>
        <v>39.580605584681244</v>
      </c>
      <c r="AA33" s="121">
        <f>AA$21*shipping_manufacturing!$F$27/100</f>
        <v>39.580605584681244</v>
      </c>
      <c r="AB33" s="121">
        <f>AB$21*shipping_manufacturing!$F$27/100</f>
        <v>39.580605584681244</v>
      </c>
      <c r="AC33" s="121">
        <f>AC$21*shipping_manufacturing!$F$27/100</f>
        <v>39.580605584681244</v>
      </c>
      <c r="AD33" s="121">
        <f>AD$21*shipping_manufacturing!$F$27/100</f>
        <v>39.580605584681244</v>
      </c>
      <c r="AE33" s="121">
        <f>AE$21*shipping_manufacturing!$F$27/100</f>
        <v>39.580605584681244</v>
      </c>
      <c r="AF33" s="121">
        <f>AF$21*shipping_manufacturing!$F$27/100</f>
        <v>39.580605584681244</v>
      </c>
      <c r="AG33" s="121">
        <f>AG$21*shipping_manufacturing!$F$27/100</f>
        <v>39.580605584681244</v>
      </c>
      <c r="AH33" s="121">
        <f>AH$21*shipping_manufacturing!$F$27/100</f>
        <v>39.580605584681244</v>
      </c>
      <c r="AI33" s="121">
        <f>AI$21*shipping_manufacturing!$F$27/100</f>
        <v>39.580605584681244</v>
      </c>
      <c r="AJ33" s="121">
        <f>AJ$21*shipping_manufacturing!$F$27/100</f>
        <v>39.580605584681244</v>
      </c>
      <c r="AK33" s="121">
        <f>AK$21*shipping_manufacturing!$F$27/100</f>
        <v>39.580605584681244</v>
      </c>
      <c r="AL33" s="121">
        <f>AL$21*shipping_manufacturing!$F$27/100</f>
        <v>39.580605584681244</v>
      </c>
      <c r="AM33" s="121">
        <f>AM$21*shipping_manufacturing!$F$27/100</f>
        <v>39.580605584681244</v>
      </c>
      <c r="AN33" s="121">
        <f>AN$21*shipping_manufacturing!$F$27/100</f>
        <v>39.580605584681244</v>
      </c>
      <c r="AO33" s="121">
        <f>AO$21*shipping_manufacturing!$F$27/100</f>
        <v>39.580605584681244</v>
      </c>
      <c r="AP33" s="121">
        <f>AP$21*shipping_manufacturing!$F$27/100</f>
        <v>39.580605584681244</v>
      </c>
      <c r="AQ33" s="121">
        <f>AQ$21*shipping_manufacturing!$F$27/100</f>
        <v>39.580605584681244</v>
      </c>
      <c r="AR33" s="121">
        <f>AR$21*shipping_manufacturing!$F$27/100</f>
        <v>39.580605584681244</v>
      </c>
      <c r="AS33" s="121">
        <f>AS$21*shipping_manufacturing!$F$27/100</f>
        <v>39.580605584681244</v>
      </c>
      <c r="AT33" s="121">
        <f>AT$21*shipping_manufacturing!$F$27/100</f>
        <v>39.580605584681244</v>
      </c>
      <c r="AU33" s="121">
        <f>AU$21*shipping_manufacturing!$F$27/100</f>
        <v>39.580605584681244</v>
      </c>
      <c r="AV33" s="121">
        <f>AV$21*shipping_manufacturing!$F$27/100</f>
        <v>39.580605584681244</v>
      </c>
      <c r="AW33" s="121">
        <f>AW$21*shipping_manufacturing!$F$27/100</f>
        <v>39.580605584681244</v>
      </c>
      <c r="AX33" s="121">
        <f>AX$21*shipping_manufacturing!$F$27/100</f>
        <v>39.580605584681244</v>
      </c>
      <c r="AY33" s="121">
        <f>AY$21*shipping_manufacturing!$F$27/100</f>
        <v>39.580605584681244</v>
      </c>
    </row>
    <row r="34" spans="1:52">
      <c r="A34" s="110" t="s">
        <v>341</v>
      </c>
      <c r="B34" s="162" t="s">
        <v>343</v>
      </c>
      <c r="C34" s="108"/>
      <c r="D34" s="108">
        <f>D$22*shipping_manufacturing!$G$27/100</f>
        <v>38.975894540576867</v>
      </c>
      <c r="E34" s="108">
        <f>E$22*shipping_manufacturing!$G$27/100</f>
        <v>33.729666676707105</v>
      </c>
      <c r="F34" s="108">
        <f>F$22*shipping_manufacturing!$G$27/100</f>
        <v>33.729666676707105</v>
      </c>
      <c r="G34" s="108">
        <f>G$22*shipping_manufacturing!$G$27/100</f>
        <v>33.729666676707105</v>
      </c>
      <c r="H34" s="108">
        <f>H$22*shipping_manufacturing!$G$27/100</f>
        <v>33.729666676707105</v>
      </c>
      <c r="I34" s="108">
        <f>I$22*shipping_manufacturing!$G$27/100</f>
        <v>0</v>
      </c>
      <c r="J34" s="108">
        <f>J$22*shipping_manufacturing!$G$27/100</f>
        <v>67.459333353414209</v>
      </c>
      <c r="K34" s="108">
        <f>K$22*shipping_manufacturing!$G$27/100</f>
        <v>33.729666676707105</v>
      </c>
      <c r="L34" s="108">
        <f>L$22*shipping_manufacturing!$G$27/100</f>
        <v>33.729666676707105</v>
      </c>
      <c r="M34" s="108">
        <f>M$22*shipping_manufacturing!$G$27/100</f>
        <v>33.729666676707105</v>
      </c>
      <c r="N34" s="108">
        <f>N$22*shipping_manufacturing!$G$27/100</f>
        <v>33.729666676707105</v>
      </c>
      <c r="O34" s="108">
        <f>O$22*shipping_manufacturing!$G$27/100</f>
        <v>33.729666676707105</v>
      </c>
      <c r="P34" s="108">
        <f>P$22*shipping_manufacturing!$G$27/100</f>
        <v>33.729666676707105</v>
      </c>
      <c r="Q34" s="108">
        <f>Q$22*shipping_manufacturing!$G$27/100</f>
        <v>33.729666676707105</v>
      </c>
      <c r="R34" s="108">
        <f>R$22*shipping_manufacturing!$G$27/100</f>
        <v>33.729666676707105</v>
      </c>
      <c r="S34" s="108">
        <f>S$22*shipping_manufacturing!$G$27/100</f>
        <v>33.729666676707105</v>
      </c>
      <c r="T34" s="108">
        <f>T$22*shipping_manufacturing!$G$27/100</f>
        <v>0</v>
      </c>
      <c r="U34" s="108">
        <f>U$22*shipping_manufacturing!$G$27/100</f>
        <v>73.686128396857015</v>
      </c>
      <c r="V34" s="108">
        <f>V$22*shipping_manufacturing!$G$27/100</f>
        <v>39.956461720149896</v>
      </c>
      <c r="W34" s="108">
        <f>W$22*shipping_manufacturing!$G$27/100</f>
        <v>39.956461720149896</v>
      </c>
      <c r="X34" s="108">
        <f>X$22*shipping_manufacturing!$G$27/100</f>
        <v>39.956461720149896</v>
      </c>
      <c r="Y34" s="108">
        <f>Y$22*shipping_manufacturing!$G$27/100</f>
        <v>33.729666676707105</v>
      </c>
      <c r="Z34" s="108">
        <f>Z$22*shipping_manufacturing!$G$27/100</f>
        <v>33.729666676707105</v>
      </c>
      <c r="AA34" s="108">
        <f>AA$22*shipping_manufacturing!$G$27/100</f>
        <v>33.729666676707105</v>
      </c>
      <c r="AB34" s="108">
        <f>AB$22*shipping_manufacturing!$G$27/100</f>
        <v>33.729666676707105</v>
      </c>
      <c r="AC34" s="108">
        <f>AC$22*shipping_manufacturing!$G$27/100</f>
        <v>33.729666676707105</v>
      </c>
      <c r="AD34" s="108">
        <f>AD$22*shipping_manufacturing!$G$27/100</f>
        <v>33.729666676707105</v>
      </c>
      <c r="AE34" s="108">
        <f>AE$22*shipping_manufacturing!$G$27/100</f>
        <v>33.729666676707105</v>
      </c>
      <c r="AF34" s="108">
        <f>AF$22*shipping_manufacturing!$G$27/100</f>
        <v>33.729666676707105</v>
      </c>
      <c r="AG34" s="108">
        <f>AG$22*shipping_manufacturing!$G$27/100</f>
        <v>33.729666676707105</v>
      </c>
      <c r="AH34" s="108">
        <f>AH$22*shipping_manufacturing!$G$27/100</f>
        <v>33.729666676707105</v>
      </c>
      <c r="AI34" s="108">
        <f>AI$22*shipping_manufacturing!$G$27/100</f>
        <v>33.729666676707105</v>
      </c>
      <c r="AJ34" s="108">
        <f>AJ$22*shipping_manufacturing!$G$27/100</f>
        <v>33.729666676707105</v>
      </c>
      <c r="AK34" s="108">
        <f>AK$22*shipping_manufacturing!$G$27/100</f>
        <v>33.729666676707105</v>
      </c>
      <c r="AL34" s="108">
        <f>AL$22*shipping_manufacturing!$G$27/100</f>
        <v>33.729666676707105</v>
      </c>
      <c r="AM34" s="108">
        <f>AM$22*shipping_manufacturing!$G$27/100</f>
        <v>33.729666676707105</v>
      </c>
      <c r="AN34" s="108">
        <f>AN$22*shipping_manufacturing!$G$27/100</f>
        <v>33.729666676707105</v>
      </c>
      <c r="AO34" s="108">
        <f>AO$22*shipping_manufacturing!$G$27/100</f>
        <v>33.729666676707105</v>
      </c>
      <c r="AP34" s="108">
        <f>AP$22*shipping_manufacturing!$G$27/100</f>
        <v>33.729666676707105</v>
      </c>
      <c r="AQ34" s="108">
        <f>AQ$22*shipping_manufacturing!$G$27/100</f>
        <v>33.729666676707105</v>
      </c>
      <c r="AR34" s="108">
        <f>AR$22*shipping_manufacturing!$G$27/100</f>
        <v>33.729666676707105</v>
      </c>
      <c r="AS34" s="108">
        <f>AS$22*shipping_manufacturing!$G$27/100</f>
        <v>33.729666676707105</v>
      </c>
      <c r="AT34" s="108">
        <f>AT$22*shipping_manufacturing!$G$27/100</f>
        <v>33.729666676707105</v>
      </c>
      <c r="AU34" s="108">
        <f>AU$22*shipping_manufacturing!$G$27/100</f>
        <v>33.729666676707105</v>
      </c>
      <c r="AV34" s="108">
        <f>AV$22*shipping_manufacturing!$G$27/100</f>
        <v>33.729666676707105</v>
      </c>
      <c r="AW34" s="108">
        <f>AW$22*shipping_manufacturing!$G$27/100</f>
        <v>33.729666676707105</v>
      </c>
      <c r="AX34" s="108">
        <f>AX$22*shipping_manufacturing!$G$27/100</f>
        <v>33.729666676707105</v>
      </c>
      <c r="AY34" s="108">
        <f>AY$22*shipping_manufacturing!$G$27/100</f>
        <v>33.729666676707105</v>
      </c>
    </row>
    <row r="35" spans="1:52">
      <c r="A35" s="108">
        <v>1245</v>
      </c>
      <c r="B35" s="162" t="s">
        <v>344</v>
      </c>
      <c r="C35" s="108"/>
      <c r="D35" s="108">
        <f>SUM(D33:D34)</f>
        <v>84.712768370582666</v>
      </c>
      <c r="E35" s="108">
        <f t="shared" ref="E35:AY35" si="11">SUM(E33:E34)</f>
        <v>73.310272261388349</v>
      </c>
      <c r="F35" s="108">
        <f t="shared" si="11"/>
        <v>73.310272261388349</v>
      </c>
      <c r="G35" s="108">
        <f t="shared" si="11"/>
        <v>73.310272261388349</v>
      </c>
      <c r="H35" s="108">
        <f t="shared" si="11"/>
        <v>73.310272261388349</v>
      </c>
      <c r="I35" s="108">
        <f t="shared" si="11"/>
        <v>0</v>
      </c>
      <c r="J35" s="108">
        <f t="shared" si="11"/>
        <v>146.6205445227767</v>
      </c>
      <c r="K35" s="108">
        <f t="shared" si="11"/>
        <v>73.310272261388349</v>
      </c>
      <c r="L35" s="108">
        <f t="shared" si="11"/>
        <v>73.310272261388349</v>
      </c>
      <c r="M35" s="108">
        <f t="shared" si="11"/>
        <v>73.310272261388349</v>
      </c>
      <c r="N35" s="108">
        <f t="shared" si="11"/>
        <v>73.310272261388349</v>
      </c>
      <c r="O35" s="108">
        <f t="shared" si="11"/>
        <v>73.310272261388349</v>
      </c>
      <c r="P35" s="108">
        <f t="shared" si="11"/>
        <v>73.310272261388349</v>
      </c>
      <c r="Q35" s="108">
        <f t="shared" si="11"/>
        <v>73.310272261388349</v>
      </c>
      <c r="R35" s="108">
        <f t="shared" si="11"/>
        <v>73.310272261388349</v>
      </c>
      <c r="S35" s="108">
        <f t="shared" si="11"/>
        <v>73.310272261388349</v>
      </c>
      <c r="T35" s="108">
        <f t="shared" si="11"/>
        <v>0</v>
      </c>
      <c r="U35" s="108">
        <f t="shared" si="11"/>
        <v>160.1542697245705</v>
      </c>
      <c r="V35" s="108">
        <f t="shared" si="11"/>
        <v>86.84399746318212</v>
      </c>
      <c r="W35" s="108">
        <f t="shared" si="11"/>
        <v>86.84399746318212</v>
      </c>
      <c r="X35" s="108">
        <f t="shared" si="11"/>
        <v>86.84399746318212</v>
      </c>
      <c r="Y35" s="108">
        <f t="shared" si="11"/>
        <v>73.310272261388349</v>
      </c>
      <c r="Z35" s="108">
        <f t="shared" si="11"/>
        <v>73.310272261388349</v>
      </c>
      <c r="AA35" s="108">
        <f t="shared" si="11"/>
        <v>73.310272261388349</v>
      </c>
      <c r="AB35" s="108">
        <f t="shared" si="11"/>
        <v>73.310272261388349</v>
      </c>
      <c r="AC35" s="108">
        <f t="shared" si="11"/>
        <v>73.310272261388349</v>
      </c>
      <c r="AD35" s="108">
        <f t="shared" si="11"/>
        <v>73.310272261388349</v>
      </c>
      <c r="AE35" s="108">
        <f t="shared" si="11"/>
        <v>73.310272261388349</v>
      </c>
      <c r="AF35" s="108">
        <f t="shared" si="11"/>
        <v>73.310272261388349</v>
      </c>
      <c r="AG35" s="108">
        <f t="shared" si="11"/>
        <v>73.310272261388349</v>
      </c>
      <c r="AH35" s="108">
        <f t="shared" si="11"/>
        <v>73.310272261388349</v>
      </c>
      <c r="AI35" s="108">
        <f t="shared" si="11"/>
        <v>73.310272261388349</v>
      </c>
      <c r="AJ35" s="108">
        <f t="shared" si="11"/>
        <v>73.310272261388349</v>
      </c>
      <c r="AK35" s="108">
        <f t="shared" si="11"/>
        <v>73.310272261388349</v>
      </c>
      <c r="AL35" s="108">
        <f t="shared" si="11"/>
        <v>73.310272261388349</v>
      </c>
      <c r="AM35" s="108">
        <f t="shared" si="11"/>
        <v>73.310272261388349</v>
      </c>
      <c r="AN35" s="108">
        <f t="shared" si="11"/>
        <v>73.310272261388349</v>
      </c>
      <c r="AO35" s="108">
        <f t="shared" si="11"/>
        <v>73.310272261388349</v>
      </c>
      <c r="AP35" s="108">
        <f t="shared" si="11"/>
        <v>73.310272261388349</v>
      </c>
      <c r="AQ35" s="108">
        <f t="shared" si="11"/>
        <v>73.310272261388349</v>
      </c>
      <c r="AR35" s="108">
        <f t="shared" si="11"/>
        <v>73.310272261388349</v>
      </c>
      <c r="AS35" s="108">
        <f t="shared" si="11"/>
        <v>73.310272261388349</v>
      </c>
      <c r="AT35" s="108">
        <f t="shared" si="11"/>
        <v>73.310272261388349</v>
      </c>
      <c r="AU35" s="108">
        <f t="shared" si="11"/>
        <v>73.310272261388349</v>
      </c>
      <c r="AV35" s="108">
        <f t="shared" si="11"/>
        <v>73.310272261388349</v>
      </c>
      <c r="AW35" s="108">
        <f t="shared" si="11"/>
        <v>73.310272261388349</v>
      </c>
      <c r="AX35" s="108">
        <f t="shared" si="11"/>
        <v>73.310272261388349</v>
      </c>
      <c r="AY35" s="108">
        <f t="shared" si="11"/>
        <v>73.310272261388349</v>
      </c>
    </row>
    <row r="36" spans="1:52">
      <c r="A36" s="108"/>
      <c r="B36" s="162" t="s">
        <v>345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</row>
    <row r="37" spans="1:52">
      <c r="A37" s="108"/>
      <c r="B37" s="162" t="s">
        <v>346</v>
      </c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</row>
    <row r="38" spans="1:52">
      <c r="A38" s="108"/>
      <c r="B38" s="162" t="s">
        <v>347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</row>
    <row r="39" spans="1:52">
      <c r="A39" s="108"/>
      <c r="B39" s="162" t="s">
        <v>348</v>
      </c>
      <c r="C39" s="108"/>
      <c r="D39" s="108">
        <f>D33-D36</f>
        <v>45.736873830005806</v>
      </c>
      <c r="E39" s="108">
        <f t="shared" ref="E39:AY39" si="12">E33-E36</f>
        <v>39.580605584681244</v>
      </c>
      <c r="F39" s="108">
        <f t="shared" si="12"/>
        <v>39.580605584681244</v>
      </c>
      <c r="G39" s="108">
        <f t="shared" si="12"/>
        <v>39.580605584681244</v>
      </c>
      <c r="H39" s="108">
        <f t="shared" si="12"/>
        <v>39.580605584681244</v>
      </c>
      <c r="I39" s="108">
        <f t="shared" si="12"/>
        <v>0</v>
      </c>
      <c r="J39" s="108">
        <f t="shared" si="12"/>
        <v>79.161211169362488</v>
      </c>
      <c r="K39" s="108">
        <f t="shared" si="12"/>
        <v>39.580605584681244</v>
      </c>
      <c r="L39" s="108">
        <f t="shared" si="12"/>
        <v>39.580605584681244</v>
      </c>
      <c r="M39" s="108">
        <f t="shared" si="12"/>
        <v>39.580605584681244</v>
      </c>
      <c r="N39" s="108">
        <f t="shared" si="12"/>
        <v>39.580605584681244</v>
      </c>
      <c r="O39" s="108">
        <f t="shared" si="12"/>
        <v>39.580605584681244</v>
      </c>
      <c r="P39" s="108">
        <f t="shared" si="12"/>
        <v>39.580605584681244</v>
      </c>
      <c r="Q39" s="108">
        <f t="shared" si="12"/>
        <v>39.580605584681244</v>
      </c>
      <c r="R39" s="108">
        <f t="shared" si="12"/>
        <v>39.580605584681244</v>
      </c>
      <c r="S39" s="108">
        <f t="shared" si="12"/>
        <v>39.580605584681244</v>
      </c>
      <c r="T39" s="108">
        <f t="shared" si="12"/>
        <v>0</v>
      </c>
      <c r="U39" s="108">
        <f t="shared" si="12"/>
        <v>86.468141327713468</v>
      </c>
      <c r="V39" s="108">
        <f t="shared" si="12"/>
        <v>46.887535743032231</v>
      </c>
      <c r="W39" s="108">
        <f t="shared" si="12"/>
        <v>46.887535743032231</v>
      </c>
      <c r="X39" s="108">
        <f t="shared" si="12"/>
        <v>46.887535743032231</v>
      </c>
      <c r="Y39" s="108">
        <f t="shared" si="12"/>
        <v>39.580605584681244</v>
      </c>
      <c r="Z39" s="108">
        <f t="shared" si="12"/>
        <v>39.580605584681244</v>
      </c>
      <c r="AA39" s="108">
        <f t="shared" si="12"/>
        <v>39.580605584681244</v>
      </c>
      <c r="AB39" s="108">
        <f t="shared" si="12"/>
        <v>39.580605584681244</v>
      </c>
      <c r="AC39" s="108">
        <f t="shared" si="12"/>
        <v>39.580605584681244</v>
      </c>
      <c r="AD39" s="108">
        <f t="shared" si="12"/>
        <v>39.580605584681244</v>
      </c>
      <c r="AE39" s="108">
        <f t="shared" si="12"/>
        <v>39.580605584681244</v>
      </c>
      <c r="AF39" s="108">
        <f t="shared" si="12"/>
        <v>39.580605584681244</v>
      </c>
      <c r="AG39" s="108">
        <f t="shared" si="12"/>
        <v>39.580605584681244</v>
      </c>
      <c r="AH39" s="108">
        <f t="shared" si="12"/>
        <v>39.580605584681244</v>
      </c>
      <c r="AI39" s="108">
        <f t="shared" si="12"/>
        <v>39.580605584681244</v>
      </c>
      <c r="AJ39" s="108">
        <f t="shared" si="12"/>
        <v>39.580605584681244</v>
      </c>
      <c r="AK39" s="108">
        <f t="shared" si="12"/>
        <v>39.580605584681244</v>
      </c>
      <c r="AL39" s="108">
        <f t="shared" si="12"/>
        <v>39.580605584681244</v>
      </c>
      <c r="AM39" s="108">
        <f t="shared" si="12"/>
        <v>39.580605584681244</v>
      </c>
      <c r="AN39" s="108">
        <f t="shared" si="12"/>
        <v>39.580605584681244</v>
      </c>
      <c r="AO39" s="108">
        <f t="shared" si="12"/>
        <v>39.580605584681244</v>
      </c>
      <c r="AP39" s="108">
        <f t="shared" si="12"/>
        <v>39.580605584681244</v>
      </c>
      <c r="AQ39" s="108">
        <f t="shared" si="12"/>
        <v>39.580605584681244</v>
      </c>
      <c r="AR39" s="108">
        <f t="shared" si="12"/>
        <v>39.580605584681244</v>
      </c>
      <c r="AS39" s="108">
        <f t="shared" si="12"/>
        <v>39.580605584681244</v>
      </c>
      <c r="AT39" s="108">
        <f t="shared" si="12"/>
        <v>39.580605584681244</v>
      </c>
      <c r="AU39" s="108">
        <f t="shared" si="12"/>
        <v>39.580605584681244</v>
      </c>
      <c r="AV39" s="108">
        <f t="shared" si="12"/>
        <v>39.580605584681244</v>
      </c>
      <c r="AW39" s="108">
        <f t="shared" si="12"/>
        <v>39.580605584681244</v>
      </c>
      <c r="AX39" s="108">
        <f t="shared" si="12"/>
        <v>39.580605584681244</v>
      </c>
      <c r="AY39" s="108">
        <f t="shared" si="12"/>
        <v>39.580605584681244</v>
      </c>
    </row>
    <row r="40" spans="1:52">
      <c r="A40" s="108"/>
      <c r="B40" s="162" t="s">
        <v>349</v>
      </c>
      <c r="C40" s="108"/>
      <c r="D40" s="108">
        <f>D34-D37</f>
        <v>38.975894540576867</v>
      </c>
      <c r="E40" s="108">
        <f t="shared" ref="E40:AY40" si="13">E34-E37</f>
        <v>33.729666676707105</v>
      </c>
      <c r="F40" s="108">
        <f t="shared" si="13"/>
        <v>33.729666676707105</v>
      </c>
      <c r="G40" s="108">
        <f t="shared" si="13"/>
        <v>33.729666676707105</v>
      </c>
      <c r="H40" s="108">
        <f t="shared" si="13"/>
        <v>33.729666676707105</v>
      </c>
      <c r="I40" s="108">
        <f t="shared" si="13"/>
        <v>0</v>
      </c>
      <c r="J40" s="108">
        <f t="shared" si="13"/>
        <v>67.459333353414209</v>
      </c>
      <c r="K40" s="108">
        <f t="shared" si="13"/>
        <v>33.729666676707105</v>
      </c>
      <c r="L40" s="108">
        <f t="shared" si="13"/>
        <v>33.729666676707105</v>
      </c>
      <c r="M40" s="108">
        <f t="shared" si="13"/>
        <v>33.729666676707105</v>
      </c>
      <c r="N40" s="108">
        <f t="shared" si="13"/>
        <v>33.729666676707105</v>
      </c>
      <c r="O40" s="108">
        <f t="shared" si="13"/>
        <v>33.729666676707105</v>
      </c>
      <c r="P40" s="108">
        <f t="shared" si="13"/>
        <v>33.729666676707105</v>
      </c>
      <c r="Q40" s="108">
        <f t="shared" si="13"/>
        <v>33.729666676707105</v>
      </c>
      <c r="R40" s="108">
        <f t="shared" si="13"/>
        <v>33.729666676707105</v>
      </c>
      <c r="S40" s="108">
        <f t="shared" si="13"/>
        <v>33.729666676707105</v>
      </c>
      <c r="T40" s="108">
        <f t="shared" si="13"/>
        <v>0</v>
      </c>
      <c r="U40" s="108">
        <f t="shared" si="13"/>
        <v>73.686128396857015</v>
      </c>
      <c r="V40" s="108">
        <f t="shared" si="13"/>
        <v>39.956461720149896</v>
      </c>
      <c r="W40" s="108">
        <f t="shared" si="13"/>
        <v>39.956461720149896</v>
      </c>
      <c r="X40" s="108">
        <f t="shared" si="13"/>
        <v>39.956461720149896</v>
      </c>
      <c r="Y40" s="108">
        <f t="shared" si="13"/>
        <v>33.729666676707105</v>
      </c>
      <c r="Z40" s="108">
        <f t="shared" si="13"/>
        <v>33.729666676707105</v>
      </c>
      <c r="AA40" s="108">
        <f t="shared" si="13"/>
        <v>33.729666676707105</v>
      </c>
      <c r="AB40" s="108">
        <f t="shared" si="13"/>
        <v>33.729666676707105</v>
      </c>
      <c r="AC40" s="108">
        <f t="shared" si="13"/>
        <v>33.729666676707105</v>
      </c>
      <c r="AD40" s="108">
        <f t="shared" si="13"/>
        <v>33.729666676707105</v>
      </c>
      <c r="AE40" s="108">
        <f t="shared" si="13"/>
        <v>33.729666676707105</v>
      </c>
      <c r="AF40" s="108">
        <f t="shared" si="13"/>
        <v>33.729666676707105</v>
      </c>
      <c r="AG40" s="108">
        <f t="shared" si="13"/>
        <v>33.729666676707105</v>
      </c>
      <c r="AH40" s="108">
        <f t="shared" si="13"/>
        <v>33.729666676707105</v>
      </c>
      <c r="AI40" s="108">
        <f t="shared" si="13"/>
        <v>33.729666676707105</v>
      </c>
      <c r="AJ40" s="108">
        <f t="shared" si="13"/>
        <v>33.729666676707105</v>
      </c>
      <c r="AK40" s="108">
        <f t="shared" si="13"/>
        <v>33.729666676707105</v>
      </c>
      <c r="AL40" s="108">
        <f t="shared" si="13"/>
        <v>33.729666676707105</v>
      </c>
      <c r="AM40" s="108">
        <f t="shared" si="13"/>
        <v>33.729666676707105</v>
      </c>
      <c r="AN40" s="108">
        <f t="shared" si="13"/>
        <v>33.729666676707105</v>
      </c>
      <c r="AO40" s="108">
        <f t="shared" si="13"/>
        <v>33.729666676707105</v>
      </c>
      <c r="AP40" s="108">
        <f t="shared" si="13"/>
        <v>33.729666676707105</v>
      </c>
      <c r="AQ40" s="108">
        <f t="shared" si="13"/>
        <v>33.729666676707105</v>
      </c>
      <c r="AR40" s="108">
        <f t="shared" si="13"/>
        <v>33.729666676707105</v>
      </c>
      <c r="AS40" s="108">
        <f t="shared" si="13"/>
        <v>33.729666676707105</v>
      </c>
      <c r="AT40" s="108">
        <f t="shared" si="13"/>
        <v>33.729666676707105</v>
      </c>
      <c r="AU40" s="108">
        <f t="shared" si="13"/>
        <v>33.729666676707105</v>
      </c>
      <c r="AV40" s="108">
        <f t="shared" si="13"/>
        <v>33.729666676707105</v>
      </c>
      <c r="AW40" s="108">
        <f t="shared" si="13"/>
        <v>33.729666676707105</v>
      </c>
      <c r="AX40" s="108">
        <f t="shared" si="13"/>
        <v>33.729666676707105</v>
      </c>
      <c r="AY40" s="108">
        <f t="shared" si="13"/>
        <v>33.729666676707105</v>
      </c>
    </row>
    <row r="41" spans="1:52">
      <c r="A41" s="108"/>
      <c r="B41" s="162" t="s">
        <v>350</v>
      </c>
      <c r="C41" s="108"/>
      <c r="D41" s="108">
        <v>3</v>
      </c>
      <c r="E41" s="108">
        <v>1</v>
      </c>
      <c r="F41" s="108">
        <v>1</v>
      </c>
      <c r="G41" s="108">
        <v>2</v>
      </c>
      <c r="H41" s="108">
        <v>1</v>
      </c>
      <c r="I41" s="108">
        <v>1</v>
      </c>
      <c r="J41" s="108">
        <v>2</v>
      </c>
      <c r="K41" s="108">
        <v>1</v>
      </c>
      <c r="L41" s="108">
        <v>1</v>
      </c>
      <c r="M41" s="108">
        <v>1</v>
      </c>
      <c r="N41" s="108">
        <v>1</v>
      </c>
      <c r="O41" s="108">
        <v>1</v>
      </c>
      <c r="P41" s="108">
        <v>2</v>
      </c>
      <c r="Q41" s="108">
        <v>3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1</v>
      </c>
      <c r="Z41" s="108">
        <v>1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2</v>
      </c>
      <c r="AG41" s="108">
        <v>1</v>
      </c>
      <c r="AH41" s="108">
        <v>2</v>
      </c>
      <c r="AI41" s="108">
        <v>1</v>
      </c>
      <c r="AJ41" s="108">
        <v>1</v>
      </c>
      <c r="AK41" s="108">
        <v>1</v>
      </c>
      <c r="AL41" s="108">
        <v>3</v>
      </c>
      <c r="AM41" s="108">
        <v>1</v>
      </c>
      <c r="AN41" s="108">
        <v>1</v>
      </c>
      <c r="AO41" s="108">
        <v>2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3" t="s">
        <v>351</v>
      </c>
      <c r="C42" s="108"/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0</v>
      </c>
      <c r="AX42" s="108">
        <v>0</v>
      </c>
      <c r="AY42" s="108">
        <v>0</v>
      </c>
      <c r="AZ42">
        <f>SUM($D$42:$AY$42)</f>
        <v>0</v>
      </c>
    </row>
    <row r="43" spans="1:52">
      <c r="A43" s="108"/>
      <c r="B43" s="173" t="s">
        <v>352</v>
      </c>
      <c r="C43" s="108"/>
      <c r="D43" s="108">
        <v>68553.807803894029</v>
      </c>
      <c r="E43" s="108">
        <v>59326.337827528521</v>
      </c>
      <c r="F43" s="108">
        <v>59326.337827528521</v>
      </c>
      <c r="G43" s="108">
        <v>59326.337827528521</v>
      </c>
      <c r="H43" s="108">
        <v>59326.337827528521</v>
      </c>
      <c r="I43" s="108">
        <v>0</v>
      </c>
      <c r="J43" s="108">
        <v>118652.67565505704</v>
      </c>
      <c r="K43" s="108">
        <v>59326.337827528521</v>
      </c>
      <c r="L43" s="108">
        <v>59326.337827528521</v>
      </c>
      <c r="M43" s="108">
        <v>59326.337827528521</v>
      </c>
      <c r="N43" s="108">
        <v>59326.337827528521</v>
      </c>
      <c r="O43" s="108">
        <v>59326.337827528521</v>
      </c>
      <c r="P43" s="108">
        <v>59326.337827528521</v>
      </c>
      <c r="Q43" s="108">
        <v>59326.337827528521</v>
      </c>
      <c r="R43" s="108">
        <v>59326.337827528521</v>
      </c>
      <c r="S43" s="108">
        <v>59326.337827528521</v>
      </c>
      <c r="T43" s="108">
        <v>0</v>
      </c>
      <c r="U43" s="108">
        <v>129604.84277460867</v>
      </c>
      <c r="V43" s="108">
        <v>70278.504947080131</v>
      </c>
      <c r="W43" s="108">
        <v>70278.504947080131</v>
      </c>
      <c r="X43" s="108">
        <v>70278.504947080131</v>
      </c>
      <c r="Y43" s="108">
        <v>59326.337827528521</v>
      </c>
      <c r="Z43" s="108">
        <v>59326.337827528521</v>
      </c>
      <c r="AA43" s="108">
        <v>59326.337827528521</v>
      </c>
      <c r="AB43" s="108">
        <v>59326.337827528521</v>
      </c>
      <c r="AC43" s="108">
        <v>59326.337827528521</v>
      </c>
      <c r="AD43" s="108">
        <v>59326.337827528521</v>
      </c>
      <c r="AE43" s="108">
        <v>59326.337827528521</v>
      </c>
      <c r="AF43" s="108">
        <v>59326.337827528521</v>
      </c>
      <c r="AG43" s="108">
        <v>59326.337827528521</v>
      </c>
      <c r="AH43" s="108">
        <v>59326.337827528521</v>
      </c>
      <c r="AI43" s="108">
        <v>59326.337827528521</v>
      </c>
      <c r="AJ43" s="108">
        <v>59326.337827528521</v>
      </c>
      <c r="AK43" s="108">
        <v>59326.337827528521</v>
      </c>
      <c r="AL43" s="108">
        <v>59326.337827528521</v>
      </c>
      <c r="AM43" s="108">
        <v>59326.337827528521</v>
      </c>
      <c r="AN43" s="108">
        <v>59326.337827528521</v>
      </c>
      <c r="AO43" s="108">
        <v>59326.337827528521</v>
      </c>
      <c r="AP43" s="108">
        <v>59326.337827528521</v>
      </c>
      <c r="AQ43" s="108">
        <v>59326.337827528521</v>
      </c>
      <c r="AR43" s="108">
        <v>59326.337827528521</v>
      </c>
      <c r="AS43" s="108">
        <v>59326.337827528521</v>
      </c>
      <c r="AT43" s="108">
        <v>59326.337827528521</v>
      </c>
      <c r="AU43" s="108">
        <v>59326.337827528521</v>
      </c>
      <c r="AV43" s="108">
        <v>59326.337827528521</v>
      </c>
      <c r="AW43" s="108">
        <v>59326.337827528521</v>
      </c>
      <c r="AX43" s="108">
        <v>59326.337827528521</v>
      </c>
      <c r="AY43" s="108">
        <v>59326.337827528521</v>
      </c>
      <c r="AZ43">
        <f>SUM($D$43:$AY$43)</f>
        <v>2900700.3541759392</v>
      </c>
    </row>
    <row r="44" spans="1:52">
      <c r="A44" s="132" t="s">
        <v>46</v>
      </c>
      <c r="B44" s="132" t="s">
        <v>342</v>
      </c>
      <c r="C44" s="121"/>
      <c r="D44" s="121">
        <f>D$21*shipping_manufacturing!$F$28/100</f>
        <v>0</v>
      </c>
      <c r="E44" s="121">
        <f>E$21*shipping_manufacturing!$F$28/100</f>
        <v>0</v>
      </c>
      <c r="F44" s="121">
        <f>F$21*shipping_manufacturing!$F$28/100</f>
        <v>0</v>
      </c>
      <c r="G44" s="121">
        <f>G$21*shipping_manufacturing!$F$28/100</f>
        <v>0</v>
      </c>
      <c r="H44" s="121">
        <f>H$21*shipping_manufacturing!$F$28/100</f>
        <v>0</v>
      </c>
      <c r="I44" s="121">
        <f>I$21*shipping_manufacturing!$F$28/100</f>
        <v>0</v>
      </c>
      <c r="J44" s="121">
        <f>J$21*shipping_manufacturing!$F$28/100</f>
        <v>0</v>
      </c>
      <c r="K44" s="121">
        <f>K$21*shipping_manufacturing!$F$28/100</f>
        <v>0</v>
      </c>
      <c r="L44" s="121">
        <f>L$21*shipping_manufacturing!$F$28/100</f>
        <v>0</v>
      </c>
      <c r="M44" s="121">
        <f>M$21*shipping_manufacturing!$F$28/100</f>
        <v>0</v>
      </c>
      <c r="N44" s="121">
        <f>N$21*shipping_manufacturing!$F$28/100</f>
        <v>0</v>
      </c>
      <c r="O44" s="121">
        <f>O$21*shipping_manufacturing!$F$28/100</f>
        <v>0</v>
      </c>
      <c r="P44" s="121">
        <f>P$21*shipping_manufacturing!$F$28/100</f>
        <v>0</v>
      </c>
      <c r="Q44" s="121">
        <f>Q$21*shipping_manufacturing!$F$28/100</f>
        <v>0</v>
      </c>
      <c r="R44" s="121">
        <f>R$21*shipping_manufacturing!$F$28/100</f>
        <v>0</v>
      </c>
      <c r="S44" s="121">
        <f>S$21*shipping_manufacturing!$F$28/100</f>
        <v>0</v>
      </c>
      <c r="T44" s="121">
        <f>T$21*shipping_manufacturing!$F$28/100</f>
        <v>0</v>
      </c>
      <c r="U44" s="121">
        <f>U$21*shipping_manufacturing!$F$28/100</f>
        <v>0</v>
      </c>
      <c r="V44" s="121">
        <f>V$21*shipping_manufacturing!$F$28/100</f>
        <v>0</v>
      </c>
      <c r="W44" s="121">
        <f>W$21*shipping_manufacturing!$F$28/100</f>
        <v>0</v>
      </c>
      <c r="X44" s="121">
        <f>X$21*shipping_manufacturing!$F$28/100</f>
        <v>0</v>
      </c>
      <c r="Y44" s="121">
        <f>Y$21*shipping_manufacturing!$F$28/100</f>
        <v>0</v>
      </c>
      <c r="Z44" s="121">
        <f>Z$21*shipping_manufacturing!$F$28/100</f>
        <v>0</v>
      </c>
      <c r="AA44" s="121">
        <f>AA$21*shipping_manufacturing!$F$28/100</f>
        <v>0</v>
      </c>
      <c r="AB44" s="121">
        <f>AB$21*shipping_manufacturing!$F$28/100</f>
        <v>0</v>
      </c>
      <c r="AC44" s="121">
        <f>AC$21*shipping_manufacturing!$F$28/100</f>
        <v>0</v>
      </c>
      <c r="AD44" s="121">
        <f>AD$21*shipping_manufacturing!$F$28/100</f>
        <v>0</v>
      </c>
      <c r="AE44" s="121">
        <f>AE$21*shipping_manufacturing!$F$28/100</f>
        <v>0</v>
      </c>
      <c r="AF44" s="121">
        <f>AF$21*shipping_manufacturing!$F$28/100</f>
        <v>0</v>
      </c>
      <c r="AG44" s="121">
        <f>AG$21*shipping_manufacturing!$F$28/100</f>
        <v>0</v>
      </c>
      <c r="AH44" s="121">
        <f>AH$21*shipping_manufacturing!$F$28/100</f>
        <v>0</v>
      </c>
      <c r="AI44" s="121">
        <f>AI$21*shipping_manufacturing!$F$28/100</f>
        <v>0</v>
      </c>
      <c r="AJ44" s="121">
        <f>AJ$21*shipping_manufacturing!$F$28/100</f>
        <v>0</v>
      </c>
      <c r="AK44" s="121">
        <f>AK$21*shipping_manufacturing!$F$28/100</f>
        <v>0</v>
      </c>
      <c r="AL44" s="121">
        <f>AL$21*shipping_manufacturing!$F$28/100</f>
        <v>0</v>
      </c>
      <c r="AM44" s="121">
        <f>AM$21*shipping_manufacturing!$F$28/100</f>
        <v>0</v>
      </c>
      <c r="AN44" s="121">
        <f>AN$21*shipping_manufacturing!$F$28/100</f>
        <v>0</v>
      </c>
      <c r="AO44" s="121">
        <f>AO$21*shipping_manufacturing!$F$28/100</f>
        <v>0</v>
      </c>
      <c r="AP44" s="121">
        <f>AP$21*shipping_manufacturing!$F$28/100</f>
        <v>0</v>
      </c>
      <c r="AQ44" s="121">
        <f>AQ$21*shipping_manufacturing!$F$28/100</f>
        <v>0</v>
      </c>
      <c r="AR44" s="121">
        <f>AR$21*shipping_manufacturing!$F$28/100</f>
        <v>0</v>
      </c>
      <c r="AS44" s="121">
        <f>AS$21*shipping_manufacturing!$F$28/100</f>
        <v>0</v>
      </c>
      <c r="AT44" s="121">
        <f>AT$21*shipping_manufacturing!$F$28/100</f>
        <v>0</v>
      </c>
      <c r="AU44" s="121">
        <f>AU$21*shipping_manufacturing!$F$28/100</f>
        <v>0</v>
      </c>
      <c r="AV44" s="121">
        <f>AV$21*shipping_manufacturing!$F$28/100</f>
        <v>0</v>
      </c>
      <c r="AW44" s="121">
        <f>AW$21*shipping_manufacturing!$F$28/100</f>
        <v>0</v>
      </c>
      <c r="AX44" s="121">
        <f>AX$21*shipping_manufacturing!$F$28/100</f>
        <v>0</v>
      </c>
      <c r="AY44" s="121">
        <f>AY$21*shipping_manufacturing!$F$28/100</f>
        <v>0</v>
      </c>
    </row>
    <row r="45" spans="1:52">
      <c r="A45" s="110" t="s">
        <v>341</v>
      </c>
      <c r="B45" s="162" t="s">
        <v>343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1893</v>
      </c>
      <c r="B46" s="162" t="s">
        <v>344</v>
      </c>
      <c r="C46" s="108"/>
      <c r="D46" s="108">
        <f>SUM(D44:D45)</f>
        <v>0</v>
      </c>
      <c r="E46" s="108">
        <f t="shared" ref="E46:AY46" si="14">SUM(E44:E45)</f>
        <v>0</v>
      </c>
      <c r="F46" s="108">
        <f t="shared" si="14"/>
        <v>0</v>
      </c>
      <c r="G46" s="108">
        <f t="shared" si="14"/>
        <v>0</v>
      </c>
      <c r="H46" s="108">
        <f t="shared" si="14"/>
        <v>0</v>
      </c>
      <c r="I46" s="108">
        <f t="shared" si="14"/>
        <v>0</v>
      </c>
      <c r="J46" s="108">
        <f t="shared" si="14"/>
        <v>0</v>
      </c>
      <c r="K46" s="108">
        <f t="shared" si="14"/>
        <v>0</v>
      </c>
      <c r="L46" s="108">
        <f t="shared" si="14"/>
        <v>0</v>
      </c>
      <c r="M46" s="108">
        <f t="shared" si="14"/>
        <v>0</v>
      </c>
      <c r="N46" s="108">
        <f t="shared" si="14"/>
        <v>0</v>
      </c>
      <c r="O46" s="108">
        <f t="shared" si="14"/>
        <v>0</v>
      </c>
      <c r="P46" s="108">
        <f t="shared" si="14"/>
        <v>0</v>
      </c>
      <c r="Q46" s="108">
        <f t="shared" si="14"/>
        <v>0</v>
      </c>
      <c r="R46" s="108">
        <f t="shared" si="14"/>
        <v>0</v>
      </c>
      <c r="S46" s="108">
        <f t="shared" si="14"/>
        <v>0</v>
      </c>
      <c r="T46" s="108">
        <f t="shared" si="14"/>
        <v>0</v>
      </c>
      <c r="U46" s="108">
        <f t="shared" si="14"/>
        <v>0</v>
      </c>
      <c r="V46" s="108">
        <f t="shared" si="14"/>
        <v>0</v>
      </c>
      <c r="W46" s="108">
        <f t="shared" si="14"/>
        <v>0</v>
      </c>
      <c r="X46" s="108">
        <f t="shared" si="14"/>
        <v>0</v>
      </c>
      <c r="Y46" s="108">
        <f t="shared" si="14"/>
        <v>0</v>
      </c>
      <c r="Z46" s="108">
        <f t="shared" si="14"/>
        <v>0</v>
      </c>
      <c r="AA46" s="108">
        <f t="shared" si="14"/>
        <v>0</v>
      </c>
      <c r="AB46" s="108">
        <f t="shared" si="14"/>
        <v>0</v>
      </c>
      <c r="AC46" s="108">
        <f t="shared" si="14"/>
        <v>0</v>
      </c>
      <c r="AD46" s="108">
        <f t="shared" si="14"/>
        <v>0</v>
      </c>
      <c r="AE46" s="108">
        <f t="shared" si="14"/>
        <v>0</v>
      </c>
      <c r="AF46" s="108">
        <f t="shared" si="14"/>
        <v>0</v>
      </c>
      <c r="AG46" s="108">
        <f t="shared" si="14"/>
        <v>0</v>
      </c>
      <c r="AH46" s="108">
        <f t="shared" si="14"/>
        <v>0</v>
      </c>
      <c r="AI46" s="108">
        <f t="shared" si="14"/>
        <v>0</v>
      </c>
      <c r="AJ46" s="108">
        <f t="shared" si="14"/>
        <v>0</v>
      </c>
      <c r="AK46" s="108">
        <f t="shared" si="14"/>
        <v>0</v>
      </c>
      <c r="AL46" s="108">
        <f t="shared" si="14"/>
        <v>0</v>
      </c>
      <c r="AM46" s="108">
        <f t="shared" si="14"/>
        <v>0</v>
      </c>
      <c r="AN46" s="108">
        <f t="shared" si="14"/>
        <v>0</v>
      </c>
      <c r="AO46" s="108">
        <f t="shared" si="14"/>
        <v>0</v>
      </c>
      <c r="AP46" s="108">
        <f t="shared" si="14"/>
        <v>0</v>
      </c>
      <c r="AQ46" s="108">
        <f t="shared" si="14"/>
        <v>0</v>
      </c>
      <c r="AR46" s="108">
        <f t="shared" si="14"/>
        <v>0</v>
      </c>
      <c r="AS46" s="108">
        <f t="shared" si="14"/>
        <v>0</v>
      </c>
      <c r="AT46" s="108">
        <f t="shared" si="14"/>
        <v>0</v>
      </c>
      <c r="AU46" s="108">
        <f t="shared" si="14"/>
        <v>0</v>
      </c>
      <c r="AV46" s="108">
        <f t="shared" si="14"/>
        <v>0</v>
      </c>
      <c r="AW46" s="108">
        <f t="shared" si="14"/>
        <v>0</v>
      </c>
      <c r="AX46" s="108">
        <f t="shared" si="14"/>
        <v>0</v>
      </c>
      <c r="AY46" s="108">
        <f t="shared" si="14"/>
        <v>0</v>
      </c>
    </row>
    <row r="47" spans="1:52">
      <c r="A47" s="108"/>
      <c r="B47" s="162" t="s">
        <v>345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2" t="s">
        <v>346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2" t="s">
        <v>347</v>
      </c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2" t="s">
        <v>348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2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2" t="s">
        <v>350</v>
      </c>
      <c r="C52" s="108"/>
      <c r="D52" s="108">
        <v>1</v>
      </c>
      <c r="E52" s="108">
        <v>1</v>
      </c>
      <c r="F52" s="108">
        <v>1</v>
      </c>
      <c r="G52" s="108">
        <v>1</v>
      </c>
      <c r="H52" s="108">
        <v>1</v>
      </c>
      <c r="I52" s="108">
        <v>2</v>
      </c>
      <c r="J52" s="108">
        <v>3</v>
      </c>
      <c r="K52" s="108">
        <v>1</v>
      </c>
      <c r="L52" s="108">
        <v>1</v>
      </c>
      <c r="M52" s="108">
        <v>1</v>
      </c>
      <c r="N52" s="108">
        <v>1</v>
      </c>
      <c r="O52" s="108">
        <v>1</v>
      </c>
      <c r="P52" s="108">
        <v>1</v>
      </c>
      <c r="Q52" s="108">
        <v>1</v>
      </c>
      <c r="R52" s="108">
        <v>2</v>
      </c>
      <c r="S52" s="108">
        <v>2</v>
      </c>
      <c r="T52" s="108">
        <v>2</v>
      </c>
      <c r="U52" s="108">
        <v>1</v>
      </c>
      <c r="V52" s="108">
        <v>1</v>
      </c>
      <c r="W52" s="108">
        <v>2</v>
      </c>
      <c r="X52" s="108">
        <v>1</v>
      </c>
      <c r="Y52" s="108">
        <v>2</v>
      </c>
      <c r="Z52" s="108">
        <v>1</v>
      </c>
      <c r="AA52" s="108">
        <v>2</v>
      </c>
      <c r="AB52" s="108">
        <v>1</v>
      </c>
      <c r="AC52" s="108">
        <v>1</v>
      </c>
      <c r="AD52" s="108">
        <v>3</v>
      </c>
      <c r="AE52" s="108">
        <v>1</v>
      </c>
      <c r="AF52" s="108">
        <v>1</v>
      </c>
      <c r="AG52" s="108">
        <v>2</v>
      </c>
      <c r="AH52" s="108">
        <v>1</v>
      </c>
      <c r="AI52" s="108">
        <v>1</v>
      </c>
      <c r="AJ52" s="108">
        <v>2</v>
      </c>
      <c r="AK52" s="108">
        <v>1</v>
      </c>
      <c r="AL52" s="108">
        <v>2</v>
      </c>
      <c r="AM52" s="108">
        <v>1</v>
      </c>
      <c r="AN52" s="108">
        <v>1</v>
      </c>
      <c r="AO52" s="108">
        <v>1</v>
      </c>
      <c r="AP52" s="108">
        <v>2</v>
      </c>
      <c r="AQ52" s="108">
        <v>1</v>
      </c>
      <c r="AR52" s="108">
        <v>1</v>
      </c>
      <c r="AS52" s="108">
        <v>1</v>
      </c>
      <c r="AT52" s="108">
        <v>2</v>
      </c>
      <c r="AU52" s="108">
        <v>1</v>
      </c>
      <c r="AV52" s="108">
        <v>2</v>
      </c>
      <c r="AW52" s="108">
        <v>2</v>
      </c>
      <c r="AX52" s="108">
        <v>1</v>
      </c>
      <c r="AY52" s="108">
        <v>3</v>
      </c>
    </row>
    <row r="53" spans="1:52">
      <c r="A53" s="108"/>
      <c r="B53" s="173" t="s">
        <v>351</v>
      </c>
      <c r="C53" s="108"/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>
        <f>SUM($D$53:$AY$53)</f>
        <v>0</v>
      </c>
    </row>
    <row r="54" spans="1:52">
      <c r="A54" s="108"/>
      <c r="B54" s="173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>
        <f>SUM($D$54:$AY$54)</f>
        <v>0</v>
      </c>
    </row>
    <row r="55" spans="1:52">
      <c r="A55" s="132" t="s">
        <v>59</v>
      </c>
      <c r="B55" s="132" t="s">
        <v>342</v>
      </c>
      <c r="C55" s="121"/>
      <c r="D55" s="121">
        <f>D$21*shipping_manufacturing!$F$29/100</f>
        <v>715.30342394277091</v>
      </c>
      <c r="E55" s="121">
        <f>E$21*shipping_manufacturing!$F$29/100</f>
        <v>619.02225328475754</v>
      </c>
      <c r="F55" s="121">
        <f>F$21*shipping_manufacturing!$F$29/100</f>
        <v>619.02225328475754</v>
      </c>
      <c r="G55" s="121">
        <f>G$21*shipping_manufacturing!$F$29/100</f>
        <v>619.02225328475754</v>
      </c>
      <c r="H55" s="121">
        <f>H$21*shipping_manufacturing!$F$29/100</f>
        <v>619.02225328475754</v>
      </c>
      <c r="I55" s="121">
        <f>I$21*shipping_manufacturing!$F$29/100</f>
        <v>0</v>
      </c>
      <c r="J55" s="121">
        <f>J$21*shipping_manufacturing!$F$29/100</f>
        <v>1238.0445065695151</v>
      </c>
      <c r="K55" s="121">
        <f>K$21*shipping_manufacturing!$F$29/100</f>
        <v>619.02225328475754</v>
      </c>
      <c r="L55" s="121">
        <f>L$21*shipping_manufacturing!$F$29/100</f>
        <v>619.02225328475754</v>
      </c>
      <c r="M55" s="121">
        <f>M$21*shipping_manufacturing!$F$29/100</f>
        <v>619.02225328475754</v>
      </c>
      <c r="N55" s="121">
        <f>N$21*shipping_manufacturing!$F$29/100</f>
        <v>619.02225328475754</v>
      </c>
      <c r="O55" s="121">
        <f>O$21*shipping_manufacturing!$F$29/100</f>
        <v>619.02225328475754</v>
      </c>
      <c r="P55" s="121">
        <f>P$21*shipping_manufacturing!$F$29/100</f>
        <v>619.02225328475754</v>
      </c>
      <c r="Q55" s="121">
        <f>Q$21*shipping_manufacturing!$F$29/100</f>
        <v>619.02225328475754</v>
      </c>
      <c r="R55" s="121">
        <f>R$21*shipping_manufacturing!$F$29/100</f>
        <v>619.02225328475754</v>
      </c>
      <c r="S55" s="121">
        <f>S$21*shipping_manufacturing!$F$29/100</f>
        <v>619.02225328475754</v>
      </c>
      <c r="T55" s="121">
        <f>T$21*shipping_manufacturing!$F$29/100</f>
        <v>0</v>
      </c>
      <c r="U55" s="121">
        <f>U$21*shipping_manufacturing!$F$29/100</f>
        <v>1352.3214941092751</v>
      </c>
      <c r="V55" s="121">
        <f>V$21*shipping_manufacturing!$F$29/100</f>
        <v>733.29924082451771</v>
      </c>
      <c r="W55" s="121">
        <f>W$21*shipping_manufacturing!$F$29/100</f>
        <v>733.29924082451771</v>
      </c>
      <c r="X55" s="121">
        <f>X$21*shipping_manufacturing!$F$29/100</f>
        <v>733.29924082451771</v>
      </c>
      <c r="Y55" s="121">
        <f>Y$21*shipping_manufacturing!$F$29/100</f>
        <v>619.02225328475754</v>
      </c>
      <c r="Z55" s="121">
        <f>Z$21*shipping_manufacturing!$F$29/100</f>
        <v>619.02225328475754</v>
      </c>
      <c r="AA55" s="121">
        <f>AA$21*shipping_manufacturing!$F$29/100</f>
        <v>619.02225328475754</v>
      </c>
      <c r="AB55" s="121">
        <f>AB$21*shipping_manufacturing!$F$29/100</f>
        <v>619.02225328475754</v>
      </c>
      <c r="AC55" s="121">
        <f>AC$21*shipping_manufacturing!$F$29/100</f>
        <v>619.02225328475754</v>
      </c>
      <c r="AD55" s="121">
        <f>AD$21*shipping_manufacturing!$F$29/100</f>
        <v>619.02225328475754</v>
      </c>
      <c r="AE55" s="121">
        <f>AE$21*shipping_manufacturing!$F$29/100</f>
        <v>619.02225328475754</v>
      </c>
      <c r="AF55" s="121">
        <f>AF$21*shipping_manufacturing!$F$29/100</f>
        <v>619.02225328475754</v>
      </c>
      <c r="AG55" s="121">
        <f>AG$21*shipping_manufacturing!$F$29/100</f>
        <v>619.02225328475754</v>
      </c>
      <c r="AH55" s="121">
        <f>AH$21*shipping_manufacturing!$F$29/100</f>
        <v>619.02225328475754</v>
      </c>
      <c r="AI55" s="121">
        <f>AI$21*shipping_manufacturing!$F$29/100</f>
        <v>619.02225328475754</v>
      </c>
      <c r="AJ55" s="121">
        <f>AJ$21*shipping_manufacturing!$F$29/100</f>
        <v>619.02225328475754</v>
      </c>
      <c r="AK55" s="121">
        <f>AK$21*shipping_manufacturing!$F$29/100</f>
        <v>619.02225328475754</v>
      </c>
      <c r="AL55" s="121">
        <f>AL$21*shipping_manufacturing!$F$29/100</f>
        <v>619.02225328475754</v>
      </c>
      <c r="AM55" s="121">
        <f>AM$21*shipping_manufacturing!$F$29/100</f>
        <v>619.02225328475754</v>
      </c>
      <c r="AN55" s="121">
        <f>AN$21*shipping_manufacturing!$F$29/100</f>
        <v>619.02225328475754</v>
      </c>
      <c r="AO55" s="121">
        <f>AO$21*shipping_manufacturing!$F$29/100</f>
        <v>619.02225328475754</v>
      </c>
      <c r="AP55" s="121">
        <f>AP$21*shipping_manufacturing!$F$29/100</f>
        <v>619.02225328475754</v>
      </c>
      <c r="AQ55" s="121">
        <f>AQ$21*shipping_manufacturing!$F$29/100</f>
        <v>619.02225328475754</v>
      </c>
      <c r="AR55" s="121">
        <f>AR$21*shipping_manufacturing!$F$29/100</f>
        <v>619.02225328475754</v>
      </c>
      <c r="AS55" s="121">
        <f>AS$21*shipping_manufacturing!$F$29/100</f>
        <v>619.02225328475754</v>
      </c>
      <c r="AT55" s="121">
        <f>AT$21*shipping_manufacturing!$F$29/100</f>
        <v>619.02225328475754</v>
      </c>
      <c r="AU55" s="121">
        <f>AU$21*shipping_manufacturing!$F$29/100</f>
        <v>619.02225328475754</v>
      </c>
      <c r="AV55" s="121">
        <f>AV$21*shipping_manufacturing!$F$29/100</f>
        <v>619.02225328475754</v>
      </c>
      <c r="AW55" s="121">
        <f>AW$21*shipping_manufacturing!$F$29/100</f>
        <v>619.02225328475754</v>
      </c>
      <c r="AX55" s="121">
        <f>AX$21*shipping_manufacturing!$F$29/100</f>
        <v>619.02225328475754</v>
      </c>
      <c r="AY55" s="121">
        <f>AY$21*shipping_manufacturing!$F$29/100</f>
        <v>619.02225328475754</v>
      </c>
    </row>
    <row r="56" spans="1:52">
      <c r="A56" s="110" t="s">
        <v>341</v>
      </c>
      <c r="B56" s="162" t="s">
        <v>343</v>
      </c>
      <c r="C56" s="108"/>
      <c r="D56" s="108">
        <f>D$22*shipping_manufacturing!$G$29/100</f>
        <v>825.52353051115074</v>
      </c>
      <c r="E56" s="108">
        <f>E$22*shipping_manufacturing!$G$29/100</f>
        <v>714.4065286027286</v>
      </c>
      <c r="F56" s="108">
        <f>F$22*shipping_manufacturing!$G$29/100</f>
        <v>714.4065286027286</v>
      </c>
      <c r="G56" s="108">
        <f>G$22*shipping_manufacturing!$G$29/100</f>
        <v>714.4065286027286</v>
      </c>
      <c r="H56" s="108">
        <f>H$22*shipping_manufacturing!$G$29/100</f>
        <v>714.4065286027286</v>
      </c>
      <c r="I56" s="108">
        <f>I$22*shipping_manufacturing!$G$29/100</f>
        <v>0</v>
      </c>
      <c r="J56" s="108">
        <f>J$22*shipping_manufacturing!$G$29/100</f>
        <v>1428.8130572054572</v>
      </c>
      <c r="K56" s="108">
        <f>K$22*shipping_manufacturing!$G$29/100</f>
        <v>714.4065286027286</v>
      </c>
      <c r="L56" s="108">
        <f>L$22*shipping_manufacturing!$G$29/100</f>
        <v>714.4065286027286</v>
      </c>
      <c r="M56" s="108">
        <f>M$22*shipping_manufacturing!$G$29/100</f>
        <v>714.4065286027286</v>
      </c>
      <c r="N56" s="108">
        <f>N$22*shipping_manufacturing!$G$29/100</f>
        <v>714.4065286027286</v>
      </c>
      <c r="O56" s="108">
        <f>O$22*shipping_manufacturing!$G$29/100</f>
        <v>714.4065286027286</v>
      </c>
      <c r="P56" s="108">
        <f>P$22*shipping_manufacturing!$G$29/100</f>
        <v>714.4065286027286</v>
      </c>
      <c r="Q56" s="108">
        <f>Q$22*shipping_manufacturing!$G$29/100</f>
        <v>714.4065286027286</v>
      </c>
      <c r="R56" s="108">
        <f>R$22*shipping_manufacturing!$G$29/100</f>
        <v>714.4065286027286</v>
      </c>
      <c r="S56" s="108">
        <f>S$22*shipping_manufacturing!$G$29/100</f>
        <v>714.4065286027286</v>
      </c>
      <c r="T56" s="108">
        <f>T$22*shipping_manufacturing!$G$29/100</f>
        <v>0</v>
      </c>
      <c r="U56" s="108">
        <f>U$22*shipping_manufacturing!$G$29/100</f>
        <v>1560.6988263102746</v>
      </c>
      <c r="V56" s="108">
        <f>V$22*shipping_manufacturing!$G$29/100</f>
        <v>846.29229770754591</v>
      </c>
      <c r="W56" s="108">
        <f>W$22*shipping_manufacturing!$G$29/100</f>
        <v>846.29229770754591</v>
      </c>
      <c r="X56" s="108">
        <f>X$22*shipping_manufacturing!$G$29/100</f>
        <v>846.29229770754591</v>
      </c>
      <c r="Y56" s="108">
        <f>Y$22*shipping_manufacturing!$G$29/100</f>
        <v>714.4065286027286</v>
      </c>
      <c r="Z56" s="108">
        <f>Z$22*shipping_manufacturing!$G$29/100</f>
        <v>714.4065286027286</v>
      </c>
      <c r="AA56" s="108">
        <f>AA$22*shipping_manufacturing!$G$29/100</f>
        <v>714.4065286027286</v>
      </c>
      <c r="AB56" s="108">
        <f>AB$22*shipping_manufacturing!$G$29/100</f>
        <v>714.4065286027286</v>
      </c>
      <c r="AC56" s="108">
        <f>AC$22*shipping_manufacturing!$G$29/100</f>
        <v>714.4065286027286</v>
      </c>
      <c r="AD56" s="108">
        <f>AD$22*shipping_manufacturing!$G$29/100</f>
        <v>714.4065286027286</v>
      </c>
      <c r="AE56" s="108">
        <f>AE$22*shipping_manufacturing!$G$29/100</f>
        <v>714.4065286027286</v>
      </c>
      <c r="AF56" s="108">
        <f>AF$22*shipping_manufacturing!$G$29/100</f>
        <v>714.4065286027286</v>
      </c>
      <c r="AG56" s="108">
        <f>AG$22*shipping_manufacturing!$G$29/100</f>
        <v>714.4065286027286</v>
      </c>
      <c r="AH56" s="108">
        <f>AH$22*shipping_manufacturing!$G$29/100</f>
        <v>714.4065286027286</v>
      </c>
      <c r="AI56" s="108">
        <f>AI$22*shipping_manufacturing!$G$29/100</f>
        <v>714.4065286027286</v>
      </c>
      <c r="AJ56" s="108">
        <f>AJ$22*shipping_manufacturing!$G$29/100</f>
        <v>714.4065286027286</v>
      </c>
      <c r="AK56" s="108">
        <f>AK$22*shipping_manufacturing!$G$29/100</f>
        <v>714.4065286027286</v>
      </c>
      <c r="AL56" s="108">
        <f>AL$22*shipping_manufacturing!$G$29/100</f>
        <v>714.4065286027286</v>
      </c>
      <c r="AM56" s="108">
        <f>AM$22*shipping_manufacturing!$G$29/100</f>
        <v>714.4065286027286</v>
      </c>
      <c r="AN56" s="108">
        <f>AN$22*shipping_manufacturing!$G$29/100</f>
        <v>714.4065286027286</v>
      </c>
      <c r="AO56" s="108">
        <f>AO$22*shipping_manufacturing!$G$29/100</f>
        <v>714.4065286027286</v>
      </c>
      <c r="AP56" s="108">
        <f>AP$22*shipping_manufacturing!$G$29/100</f>
        <v>714.4065286027286</v>
      </c>
      <c r="AQ56" s="108">
        <f>AQ$22*shipping_manufacturing!$G$29/100</f>
        <v>714.4065286027286</v>
      </c>
      <c r="AR56" s="108">
        <f>AR$22*shipping_manufacturing!$G$29/100</f>
        <v>714.4065286027286</v>
      </c>
      <c r="AS56" s="108">
        <f>AS$22*shipping_manufacturing!$G$29/100</f>
        <v>714.4065286027286</v>
      </c>
      <c r="AT56" s="108">
        <f>AT$22*shipping_manufacturing!$G$29/100</f>
        <v>714.4065286027286</v>
      </c>
      <c r="AU56" s="108">
        <f>AU$22*shipping_manufacturing!$G$29/100</f>
        <v>714.4065286027286</v>
      </c>
      <c r="AV56" s="108">
        <f>AV$22*shipping_manufacturing!$G$29/100</f>
        <v>714.4065286027286</v>
      </c>
      <c r="AW56" s="108">
        <f>AW$22*shipping_manufacturing!$G$29/100</f>
        <v>714.4065286027286</v>
      </c>
      <c r="AX56" s="108">
        <f>AX$22*shipping_manufacturing!$G$29/100</f>
        <v>714.4065286027286</v>
      </c>
      <c r="AY56" s="108">
        <f>AY$22*shipping_manufacturing!$G$29/100</f>
        <v>714.4065286027286</v>
      </c>
    </row>
    <row r="57" spans="1:52">
      <c r="A57" s="108">
        <v>495</v>
      </c>
      <c r="B57" s="162" t="s">
        <v>344</v>
      </c>
      <c r="C57" s="108"/>
      <c r="D57" s="108">
        <f>SUM(D55:D56)</f>
        <v>1540.8269544539216</v>
      </c>
      <c r="E57" s="108">
        <f t="shared" ref="E57:AY57" si="17">SUM(E55:E56)</f>
        <v>1333.4287818874861</v>
      </c>
      <c r="F57" s="108">
        <f t="shared" si="17"/>
        <v>1333.4287818874861</v>
      </c>
      <c r="G57" s="108">
        <f t="shared" si="17"/>
        <v>1333.4287818874861</v>
      </c>
      <c r="H57" s="108">
        <f t="shared" si="17"/>
        <v>1333.4287818874861</v>
      </c>
      <c r="I57" s="108">
        <f t="shared" si="17"/>
        <v>0</v>
      </c>
      <c r="J57" s="108">
        <f t="shared" si="17"/>
        <v>2666.8575637749723</v>
      </c>
      <c r="K57" s="108">
        <f t="shared" si="17"/>
        <v>1333.4287818874861</v>
      </c>
      <c r="L57" s="108">
        <f t="shared" si="17"/>
        <v>1333.4287818874861</v>
      </c>
      <c r="M57" s="108">
        <f t="shared" si="17"/>
        <v>1333.4287818874861</v>
      </c>
      <c r="N57" s="108">
        <f t="shared" si="17"/>
        <v>1333.4287818874861</v>
      </c>
      <c r="O57" s="108">
        <f t="shared" si="17"/>
        <v>1333.4287818874861</v>
      </c>
      <c r="P57" s="108">
        <f t="shared" si="17"/>
        <v>1333.4287818874861</v>
      </c>
      <c r="Q57" s="108">
        <f t="shared" si="17"/>
        <v>1333.4287818874861</v>
      </c>
      <c r="R57" s="108">
        <f t="shared" si="17"/>
        <v>1333.4287818874861</v>
      </c>
      <c r="S57" s="108">
        <f t="shared" si="17"/>
        <v>1333.4287818874861</v>
      </c>
      <c r="T57" s="108">
        <f t="shared" si="17"/>
        <v>0</v>
      </c>
      <c r="U57" s="108">
        <f t="shared" si="17"/>
        <v>2913.0203204195495</v>
      </c>
      <c r="V57" s="108">
        <f t="shared" si="17"/>
        <v>1579.5915385320636</v>
      </c>
      <c r="W57" s="108">
        <f t="shared" si="17"/>
        <v>1579.5915385320636</v>
      </c>
      <c r="X57" s="108">
        <f t="shared" si="17"/>
        <v>1579.5915385320636</v>
      </c>
      <c r="Y57" s="108">
        <f t="shared" si="17"/>
        <v>1333.4287818874861</v>
      </c>
      <c r="Z57" s="108">
        <f t="shared" si="17"/>
        <v>1333.4287818874861</v>
      </c>
      <c r="AA57" s="108">
        <f t="shared" si="17"/>
        <v>1333.4287818874861</v>
      </c>
      <c r="AB57" s="108">
        <f t="shared" si="17"/>
        <v>1333.4287818874861</v>
      </c>
      <c r="AC57" s="108">
        <f t="shared" si="17"/>
        <v>1333.4287818874861</v>
      </c>
      <c r="AD57" s="108">
        <f t="shared" si="17"/>
        <v>1333.4287818874861</v>
      </c>
      <c r="AE57" s="108">
        <f t="shared" si="17"/>
        <v>1333.4287818874861</v>
      </c>
      <c r="AF57" s="108">
        <f t="shared" si="17"/>
        <v>1333.4287818874861</v>
      </c>
      <c r="AG57" s="108">
        <f t="shared" si="17"/>
        <v>1333.4287818874861</v>
      </c>
      <c r="AH57" s="108">
        <f t="shared" si="17"/>
        <v>1333.4287818874861</v>
      </c>
      <c r="AI57" s="108">
        <f t="shared" si="17"/>
        <v>1333.4287818874861</v>
      </c>
      <c r="AJ57" s="108">
        <f t="shared" si="17"/>
        <v>1333.4287818874861</v>
      </c>
      <c r="AK57" s="108">
        <f t="shared" si="17"/>
        <v>1333.4287818874861</v>
      </c>
      <c r="AL57" s="108">
        <f t="shared" si="17"/>
        <v>1333.4287818874861</v>
      </c>
      <c r="AM57" s="108">
        <f t="shared" si="17"/>
        <v>1333.4287818874861</v>
      </c>
      <c r="AN57" s="108">
        <f t="shared" si="17"/>
        <v>1333.4287818874861</v>
      </c>
      <c r="AO57" s="108">
        <f t="shared" si="17"/>
        <v>1333.4287818874861</v>
      </c>
      <c r="AP57" s="108">
        <f t="shared" si="17"/>
        <v>1333.4287818874861</v>
      </c>
      <c r="AQ57" s="108">
        <f t="shared" si="17"/>
        <v>1333.4287818874861</v>
      </c>
      <c r="AR57" s="108">
        <f t="shared" si="17"/>
        <v>1333.4287818874861</v>
      </c>
      <c r="AS57" s="108">
        <f t="shared" si="17"/>
        <v>1333.4287818874861</v>
      </c>
      <c r="AT57" s="108">
        <f t="shared" si="17"/>
        <v>1333.4287818874861</v>
      </c>
      <c r="AU57" s="108">
        <f t="shared" si="17"/>
        <v>1333.4287818874861</v>
      </c>
      <c r="AV57" s="108">
        <f t="shared" si="17"/>
        <v>1333.4287818874861</v>
      </c>
      <c r="AW57" s="108">
        <f t="shared" si="17"/>
        <v>1333.4287818874861</v>
      </c>
      <c r="AX57" s="108">
        <f t="shared" si="17"/>
        <v>1333.4287818874861</v>
      </c>
      <c r="AY57" s="108">
        <f t="shared" si="17"/>
        <v>1333.4287818874861</v>
      </c>
    </row>
    <row r="58" spans="1:52">
      <c r="A58" s="108"/>
      <c r="B58" s="162" t="s">
        <v>345</v>
      </c>
      <c r="C58" s="108"/>
      <c r="D58" s="108">
        <v>208.90505571946304</v>
      </c>
      <c r="E58" s="108"/>
      <c r="F58" s="108">
        <v>208.90505571946304</v>
      </c>
      <c r="G58" s="108"/>
      <c r="H58" s="108">
        <v>208.90505571946304</v>
      </c>
      <c r="I58" s="108"/>
      <c r="J58" s="108">
        <v>208.90505571946278</v>
      </c>
      <c r="K58" s="108"/>
      <c r="L58" s="108">
        <v>208.90505571946304</v>
      </c>
      <c r="M58" s="108"/>
      <c r="N58" s="108">
        <v>208.90505571946304</v>
      </c>
      <c r="O58" s="108"/>
      <c r="P58" s="108">
        <v>208.90505571946304</v>
      </c>
      <c r="Q58" s="108"/>
      <c r="R58" s="108">
        <v>208.90505571946304</v>
      </c>
      <c r="S58" s="108"/>
      <c r="T58" s="108"/>
      <c r="U58" s="108">
        <v>208.90505571946284</v>
      </c>
      <c r="V58" s="108"/>
      <c r="W58" s="108">
        <v>208.90505571946304</v>
      </c>
      <c r="X58" s="108"/>
      <c r="Y58" s="108">
        <v>208.90505571946304</v>
      </c>
      <c r="Z58" s="108"/>
      <c r="AA58" s="108">
        <v>208.90505571946304</v>
      </c>
      <c r="AB58" s="108"/>
      <c r="AC58" s="108">
        <v>208.90505571946304</v>
      </c>
      <c r="AD58" s="108"/>
      <c r="AE58" s="108">
        <v>208.90505571946304</v>
      </c>
      <c r="AF58" s="108"/>
      <c r="AG58" s="108">
        <v>208.90505571946304</v>
      </c>
      <c r="AH58" s="108"/>
      <c r="AI58" s="108">
        <v>208.90505571946304</v>
      </c>
      <c r="AJ58" s="108"/>
      <c r="AK58" s="108">
        <v>208.90505571946304</v>
      </c>
      <c r="AL58" s="108"/>
      <c r="AM58" s="108">
        <v>208.90505571946304</v>
      </c>
      <c r="AN58" s="108"/>
      <c r="AO58" s="108">
        <v>208.90505571946304</v>
      </c>
      <c r="AP58" s="108"/>
      <c r="AQ58" s="108">
        <v>208.90505571946304</v>
      </c>
      <c r="AR58" s="108"/>
      <c r="AS58" s="108">
        <v>208.90505571946304</v>
      </c>
      <c r="AT58" s="108"/>
      <c r="AU58" s="108">
        <v>208.90505571946304</v>
      </c>
      <c r="AV58" s="108"/>
      <c r="AW58" s="108">
        <v>208.90505571946304</v>
      </c>
      <c r="AX58" s="108"/>
      <c r="AY58" s="108">
        <v>208.90505571946304</v>
      </c>
    </row>
    <row r="59" spans="1:52">
      <c r="A59" s="108"/>
      <c r="B59" s="162" t="s">
        <v>346</v>
      </c>
      <c r="C59" s="108"/>
      <c r="D59" s="108">
        <v>241.09494428053696</v>
      </c>
      <c r="E59" s="108"/>
      <c r="F59" s="108">
        <v>241.09494428053696</v>
      </c>
      <c r="G59" s="108"/>
      <c r="H59" s="108">
        <v>241.09494428053696</v>
      </c>
      <c r="I59" s="108"/>
      <c r="J59" s="108">
        <v>241.09494428053719</v>
      </c>
      <c r="K59" s="108"/>
      <c r="L59" s="108">
        <v>241.09494428053696</v>
      </c>
      <c r="M59" s="108"/>
      <c r="N59" s="108">
        <v>241.09494428053696</v>
      </c>
      <c r="O59" s="108"/>
      <c r="P59" s="108">
        <v>241.09494428053696</v>
      </c>
      <c r="Q59" s="108"/>
      <c r="R59" s="108">
        <v>241.09494428053696</v>
      </c>
      <c r="S59" s="108"/>
      <c r="T59" s="108"/>
      <c r="U59" s="108">
        <v>241.09494428053722</v>
      </c>
      <c r="V59" s="108"/>
      <c r="W59" s="108">
        <v>241.09494428053694</v>
      </c>
      <c r="X59" s="108"/>
      <c r="Y59" s="108">
        <v>241.09494428053696</v>
      </c>
      <c r="Z59" s="108"/>
      <c r="AA59" s="108">
        <v>241.09494428053696</v>
      </c>
      <c r="AB59" s="108"/>
      <c r="AC59" s="108">
        <v>241.09494428053696</v>
      </c>
      <c r="AD59" s="108"/>
      <c r="AE59" s="108">
        <v>241.09494428053696</v>
      </c>
      <c r="AF59" s="108"/>
      <c r="AG59" s="108">
        <v>241.09494428053696</v>
      </c>
      <c r="AH59" s="108"/>
      <c r="AI59" s="108">
        <v>241.09494428053696</v>
      </c>
      <c r="AJ59" s="108"/>
      <c r="AK59" s="108">
        <v>241.09494428053696</v>
      </c>
      <c r="AL59" s="108"/>
      <c r="AM59" s="108">
        <v>241.09494428053696</v>
      </c>
      <c r="AN59" s="108"/>
      <c r="AO59" s="108">
        <v>241.09494428053696</v>
      </c>
      <c r="AP59" s="108"/>
      <c r="AQ59" s="108">
        <v>241.09494428053696</v>
      </c>
      <c r="AR59" s="108"/>
      <c r="AS59" s="108">
        <v>241.09494428053696</v>
      </c>
      <c r="AT59" s="108"/>
      <c r="AU59" s="108">
        <v>241.09494428053696</v>
      </c>
      <c r="AV59" s="108"/>
      <c r="AW59" s="108">
        <v>241.09494428053696</v>
      </c>
      <c r="AX59" s="108"/>
      <c r="AY59" s="108">
        <v>241.09494428053696</v>
      </c>
    </row>
    <row r="60" spans="1:52">
      <c r="A60" s="108"/>
      <c r="B60" s="162" t="s">
        <v>347</v>
      </c>
      <c r="C60" s="108"/>
      <c r="D60" s="108">
        <v>15</v>
      </c>
      <c r="E60" s="108"/>
      <c r="F60" s="108">
        <v>15</v>
      </c>
      <c r="G60" s="108"/>
      <c r="H60" s="108">
        <v>15</v>
      </c>
      <c r="I60" s="108"/>
      <c r="J60" s="108">
        <v>15</v>
      </c>
      <c r="K60" s="108"/>
      <c r="L60" s="108">
        <v>15</v>
      </c>
      <c r="M60" s="108"/>
      <c r="N60" s="108">
        <v>15</v>
      </c>
      <c r="O60" s="108"/>
      <c r="P60" s="108">
        <v>15</v>
      </c>
      <c r="Q60" s="108"/>
      <c r="R60" s="108">
        <v>15</v>
      </c>
      <c r="S60" s="108"/>
      <c r="T60" s="108"/>
      <c r="U60" s="108">
        <v>15</v>
      </c>
      <c r="V60" s="108"/>
      <c r="W60" s="108">
        <v>15</v>
      </c>
      <c r="X60" s="108"/>
      <c r="Y60" s="108">
        <v>15</v>
      </c>
      <c r="Z60" s="108"/>
      <c r="AA60" s="108">
        <v>15</v>
      </c>
      <c r="AB60" s="108"/>
      <c r="AC60" s="108">
        <v>15</v>
      </c>
      <c r="AD60" s="108"/>
      <c r="AE60" s="108">
        <v>15</v>
      </c>
      <c r="AF60" s="108"/>
      <c r="AG60" s="108">
        <v>15</v>
      </c>
      <c r="AH60" s="108"/>
      <c r="AI60" s="108">
        <v>15</v>
      </c>
      <c r="AJ60" s="108"/>
      <c r="AK60" s="108">
        <v>15</v>
      </c>
      <c r="AL60" s="108"/>
      <c r="AM60" s="108">
        <v>15</v>
      </c>
      <c r="AN60" s="108"/>
      <c r="AO60" s="108">
        <v>15</v>
      </c>
      <c r="AP60" s="108"/>
      <c r="AQ60" s="108">
        <v>15</v>
      </c>
      <c r="AR60" s="108"/>
      <c r="AS60" s="108">
        <v>15</v>
      </c>
      <c r="AT60" s="108"/>
      <c r="AU60" s="108">
        <v>15</v>
      </c>
      <c r="AV60" s="108"/>
      <c r="AW60" s="108">
        <v>15</v>
      </c>
      <c r="AX60" s="108"/>
      <c r="AY60" s="108">
        <v>15</v>
      </c>
    </row>
    <row r="61" spans="1:52">
      <c r="A61" s="108"/>
      <c r="B61" s="162" t="s">
        <v>348</v>
      </c>
      <c r="C61" s="108"/>
      <c r="D61" s="108">
        <f>D55-D58</f>
        <v>506.3983682233079</v>
      </c>
      <c r="E61" s="108">
        <f t="shared" ref="E61:AY61" si="18">E55-E58</f>
        <v>619.02225328475754</v>
      </c>
      <c r="F61" s="108">
        <f t="shared" si="18"/>
        <v>410.11719756529453</v>
      </c>
      <c r="G61" s="108">
        <f t="shared" si="18"/>
        <v>619.02225328475754</v>
      </c>
      <c r="H61" s="108">
        <f t="shared" si="18"/>
        <v>410.11719756529453</v>
      </c>
      <c r="I61" s="108">
        <f t="shared" si="18"/>
        <v>0</v>
      </c>
      <c r="J61" s="108">
        <f t="shared" si="18"/>
        <v>1029.1394508500523</v>
      </c>
      <c r="K61" s="108">
        <f t="shared" si="18"/>
        <v>619.02225328475754</v>
      </c>
      <c r="L61" s="108">
        <f t="shared" si="18"/>
        <v>410.11719756529453</v>
      </c>
      <c r="M61" s="108">
        <f t="shared" si="18"/>
        <v>619.02225328475754</v>
      </c>
      <c r="N61" s="108">
        <f t="shared" si="18"/>
        <v>410.11719756529453</v>
      </c>
      <c r="O61" s="108">
        <f t="shared" si="18"/>
        <v>619.02225328475754</v>
      </c>
      <c r="P61" s="108">
        <f t="shared" si="18"/>
        <v>410.11719756529453</v>
      </c>
      <c r="Q61" s="108">
        <f t="shared" si="18"/>
        <v>619.02225328475754</v>
      </c>
      <c r="R61" s="108">
        <f t="shared" si="18"/>
        <v>410.11719756529453</v>
      </c>
      <c r="S61" s="108">
        <f t="shared" si="18"/>
        <v>619.02225328475754</v>
      </c>
      <c r="T61" s="108">
        <f t="shared" si="18"/>
        <v>0</v>
      </c>
      <c r="U61" s="108">
        <f t="shared" si="18"/>
        <v>1143.4164383898124</v>
      </c>
      <c r="V61" s="108">
        <f t="shared" si="18"/>
        <v>733.29924082451771</v>
      </c>
      <c r="W61" s="108">
        <f t="shared" si="18"/>
        <v>524.3941851050547</v>
      </c>
      <c r="X61" s="108">
        <f t="shared" si="18"/>
        <v>733.29924082451771</v>
      </c>
      <c r="Y61" s="108">
        <f t="shared" si="18"/>
        <v>410.11719756529453</v>
      </c>
      <c r="Z61" s="108">
        <f t="shared" si="18"/>
        <v>619.02225328475754</v>
      </c>
      <c r="AA61" s="108">
        <f t="shared" si="18"/>
        <v>410.11719756529453</v>
      </c>
      <c r="AB61" s="108">
        <f t="shared" si="18"/>
        <v>619.02225328475754</v>
      </c>
      <c r="AC61" s="108">
        <f t="shared" si="18"/>
        <v>410.11719756529453</v>
      </c>
      <c r="AD61" s="108">
        <f t="shared" si="18"/>
        <v>619.02225328475754</v>
      </c>
      <c r="AE61" s="108">
        <f t="shared" si="18"/>
        <v>410.11719756529453</v>
      </c>
      <c r="AF61" s="108">
        <f t="shared" si="18"/>
        <v>619.02225328475754</v>
      </c>
      <c r="AG61" s="108">
        <f t="shared" si="18"/>
        <v>410.11719756529453</v>
      </c>
      <c r="AH61" s="108">
        <f t="shared" si="18"/>
        <v>619.02225328475754</v>
      </c>
      <c r="AI61" s="108">
        <f t="shared" si="18"/>
        <v>410.11719756529453</v>
      </c>
      <c r="AJ61" s="108">
        <f t="shared" si="18"/>
        <v>619.02225328475754</v>
      </c>
      <c r="AK61" s="108">
        <f t="shared" si="18"/>
        <v>410.11719756529453</v>
      </c>
      <c r="AL61" s="108">
        <f t="shared" si="18"/>
        <v>619.02225328475754</v>
      </c>
      <c r="AM61" s="108">
        <f t="shared" si="18"/>
        <v>410.11719756529453</v>
      </c>
      <c r="AN61" s="108">
        <f t="shared" si="18"/>
        <v>619.02225328475754</v>
      </c>
      <c r="AO61" s="108">
        <f t="shared" si="18"/>
        <v>410.11719756529453</v>
      </c>
      <c r="AP61" s="108">
        <f t="shared" si="18"/>
        <v>619.02225328475754</v>
      </c>
      <c r="AQ61" s="108">
        <f t="shared" si="18"/>
        <v>410.11719756529453</v>
      </c>
      <c r="AR61" s="108">
        <f t="shared" si="18"/>
        <v>619.02225328475754</v>
      </c>
      <c r="AS61" s="108">
        <f t="shared" si="18"/>
        <v>410.11719756529453</v>
      </c>
      <c r="AT61" s="108">
        <f t="shared" si="18"/>
        <v>619.02225328475754</v>
      </c>
      <c r="AU61" s="108">
        <f t="shared" si="18"/>
        <v>410.11719756529453</v>
      </c>
      <c r="AV61" s="108">
        <f t="shared" si="18"/>
        <v>619.02225328475754</v>
      </c>
      <c r="AW61" s="108">
        <f t="shared" si="18"/>
        <v>410.11719756529453</v>
      </c>
      <c r="AX61" s="108">
        <f t="shared" si="18"/>
        <v>619.02225328475754</v>
      </c>
      <c r="AY61" s="108">
        <f t="shared" si="18"/>
        <v>410.11719756529453</v>
      </c>
    </row>
    <row r="62" spans="1:52">
      <c r="A62" s="108"/>
      <c r="B62" s="162" t="s">
        <v>349</v>
      </c>
      <c r="C62" s="108"/>
      <c r="D62" s="108">
        <f>D56-D59</f>
        <v>584.42858623061375</v>
      </c>
      <c r="E62" s="108">
        <f t="shared" ref="E62:AY62" si="19">E56-E59</f>
        <v>714.4065286027286</v>
      </c>
      <c r="F62" s="108">
        <f t="shared" si="19"/>
        <v>473.31158432219161</v>
      </c>
      <c r="G62" s="108">
        <f t="shared" si="19"/>
        <v>714.4065286027286</v>
      </c>
      <c r="H62" s="108">
        <f t="shared" si="19"/>
        <v>473.31158432219161</v>
      </c>
      <c r="I62" s="108">
        <f t="shared" si="19"/>
        <v>0</v>
      </c>
      <c r="J62" s="108">
        <f t="shared" si="19"/>
        <v>1187.71811292492</v>
      </c>
      <c r="K62" s="108">
        <f t="shared" si="19"/>
        <v>714.4065286027286</v>
      </c>
      <c r="L62" s="108">
        <f t="shared" si="19"/>
        <v>473.31158432219161</v>
      </c>
      <c r="M62" s="108">
        <f t="shared" si="19"/>
        <v>714.4065286027286</v>
      </c>
      <c r="N62" s="108">
        <f t="shared" si="19"/>
        <v>473.31158432219161</v>
      </c>
      <c r="O62" s="108">
        <f t="shared" si="19"/>
        <v>714.4065286027286</v>
      </c>
      <c r="P62" s="108">
        <f t="shared" si="19"/>
        <v>473.31158432219161</v>
      </c>
      <c r="Q62" s="108">
        <f t="shared" si="19"/>
        <v>714.4065286027286</v>
      </c>
      <c r="R62" s="108">
        <f t="shared" si="19"/>
        <v>473.31158432219161</v>
      </c>
      <c r="S62" s="108">
        <f t="shared" si="19"/>
        <v>714.4065286027286</v>
      </c>
      <c r="T62" s="108">
        <f t="shared" si="19"/>
        <v>0</v>
      </c>
      <c r="U62" s="108">
        <f t="shared" si="19"/>
        <v>1319.6038820297374</v>
      </c>
      <c r="V62" s="108">
        <f t="shared" si="19"/>
        <v>846.29229770754591</v>
      </c>
      <c r="W62" s="108">
        <f t="shared" si="19"/>
        <v>605.19735342700892</v>
      </c>
      <c r="X62" s="108">
        <f t="shared" si="19"/>
        <v>846.29229770754591</v>
      </c>
      <c r="Y62" s="108">
        <f t="shared" si="19"/>
        <v>473.31158432219161</v>
      </c>
      <c r="Z62" s="108">
        <f t="shared" si="19"/>
        <v>714.4065286027286</v>
      </c>
      <c r="AA62" s="108">
        <f t="shared" si="19"/>
        <v>473.31158432219161</v>
      </c>
      <c r="AB62" s="108">
        <f t="shared" si="19"/>
        <v>714.4065286027286</v>
      </c>
      <c r="AC62" s="108">
        <f t="shared" si="19"/>
        <v>473.31158432219161</v>
      </c>
      <c r="AD62" s="108">
        <f t="shared" si="19"/>
        <v>714.4065286027286</v>
      </c>
      <c r="AE62" s="108">
        <f t="shared" si="19"/>
        <v>473.31158432219161</v>
      </c>
      <c r="AF62" s="108">
        <f t="shared" si="19"/>
        <v>714.4065286027286</v>
      </c>
      <c r="AG62" s="108">
        <f t="shared" si="19"/>
        <v>473.31158432219161</v>
      </c>
      <c r="AH62" s="108">
        <f t="shared" si="19"/>
        <v>714.4065286027286</v>
      </c>
      <c r="AI62" s="108">
        <f t="shared" si="19"/>
        <v>473.31158432219161</v>
      </c>
      <c r="AJ62" s="108">
        <f t="shared" si="19"/>
        <v>714.4065286027286</v>
      </c>
      <c r="AK62" s="108">
        <f t="shared" si="19"/>
        <v>473.31158432219161</v>
      </c>
      <c r="AL62" s="108">
        <f t="shared" si="19"/>
        <v>714.4065286027286</v>
      </c>
      <c r="AM62" s="108">
        <f t="shared" si="19"/>
        <v>473.31158432219161</v>
      </c>
      <c r="AN62" s="108">
        <f t="shared" si="19"/>
        <v>714.4065286027286</v>
      </c>
      <c r="AO62" s="108">
        <f t="shared" si="19"/>
        <v>473.31158432219161</v>
      </c>
      <c r="AP62" s="108">
        <f t="shared" si="19"/>
        <v>714.4065286027286</v>
      </c>
      <c r="AQ62" s="108">
        <f t="shared" si="19"/>
        <v>473.31158432219161</v>
      </c>
      <c r="AR62" s="108">
        <f t="shared" si="19"/>
        <v>714.4065286027286</v>
      </c>
      <c r="AS62" s="108">
        <f t="shared" si="19"/>
        <v>473.31158432219161</v>
      </c>
      <c r="AT62" s="108">
        <f t="shared" si="19"/>
        <v>714.4065286027286</v>
      </c>
      <c r="AU62" s="108">
        <f t="shared" si="19"/>
        <v>473.31158432219161</v>
      </c>
      <c r="AV62" s="108">
        <f t="shared" si="19"/>
        <v>714.4065286027286</v>
      </c>
      <c r="AW62" s="108">
        <f t="shared" si="19"/>
        <v>473.31158432219161</v>
      </c>
      <c r="AX62" s="108">
        <f t="shared" si="19"/>
        <v>714.4065286027286</v>
      </c>
      <c r="AY62" s="108">
        <f t="shared" si="19"/>
        <v>473.31158432219161</v>
      </c>
    </row>
    <row r="63" spans="1:52">
      <c r="A63" s="108"/>
      <c r="B63" s="162" t="s">
        <v>350</v>
      </c>
      <c r="C63" s="108"/>
      <c r="D63" s="108">
        <v>2</v>
      </c>
      <c r="E63" s="108">
        <v>2</v>
      </c>
      <c r="F63" s="108">
        <v>1</v>
      </c>
      <c r="G63" s="108">
        <v>2</v>
      </c>
      <c r="H63" s="108">
        <v>1</v>
      </c>
      <c r="I63" s="108">
        <v>1</v>
      </c>
      <c r="J63" s="108">
        <v>1</v>
      </c>
      <c r="K63" s="108">
        <v>1</v>
      </c>
      <c r="L63" s="108">
        <v>1</v>
      </c>
      <c r="M63" s="108">
        <v>1</v>
      </c>
      <c r="N63" s="108">
        <v>1</v>
      </c>
      <c r="O63" s="108">
        <v>1</v>
      </c>
      <c r="P63" s="108">
        <v>2</v>
      </c>
      <c r="Q63" s="108">
        <v>2</v>
      </c>
      <c r="R63" s="108">
        <v>2</v>
      </c>
      <c r="S63" s="108">
        <v>3</v>
      </c>
      <c r="T63" s="108">
        <v>2</v>
      </c>
      <c r="U63" s="108">
        <v>1</v>
      </c>
      <c r="V63" s="108">
        <v>1</v>
      </c>
      <c r="W63" s="108">
        <v>2</v>
      </c>
      <c r="X63" s="108">
        <v>3</v>
      </c>
      <c r="Y63" s="108">
        <v>1</v>
      </c>
      <c r="Z63" s="108">
        <v>1</v>
      </c>
      <c r="AA63" s="108">
        <v>3</v>
      </c>
      <c r="AB63" s="108">
        <v>1</v>
      </c>
      <c r="AC63" s="108">
        <v>2</v>
      </c>
      <c r="AD63" s="108">
        <v>3</v>
      </c>
      <c r="AE63" s="108">
        <v>1</v>
      </c>
      <c r="AF63" s="108">
        <v>1</v>
      </c>
      <c r="AG63" s="108">
        <v>1</v>
      </c>
      <c r="AH63" s="108">
        <v>2</v>
      </c>
      <c r="AI63" s="108">
        <v>1</v>
      </c>
      <c r="AJ63" s="108">
        <v>2</v>
      </c>
      <c r="AK63" s="108">
        <v>1</v>
      </c>
      <c r="AL63" s="108">
        <v>1</v>
      </c>
      <c r="AM63" s="108">
        <v>2</v>
      </c>
      <c r="AN63" s="108">
        <v>2</v>
      </c>
      <c r="AO63" s="108">
        <v>1</v>
      </c>
      <c r="AP63" s="108">
        <v>2</v>
      </c>
      <c r="AQ63" s="108">
        <v>2</v>
      </c>
      <c r="AR63" s="108">
        <v>1</v>
      </c>
      <c r="AS63" s="108">
        <v>1</v>
      </c>
      <c r="AT63" s="108">
        <v>2</v>
      </c>
      <c r="AU63" s="108">
        <v>1</v>
      </c>
      <c r="AV63" s="108">
        <v>1</v>
      </c>
      <c r="AW63" s="108">
        <v>2</v>
      </c>
      <c r="AX63" s="108">
        <v>1</v>
      </c>
      <c r="AY63" s="108">
        <v>3</v>
      </c>
    </row>
    <row r="64" spans="1:52">
      <c r="A64" s="108"/>
      <c r="B64" s="173" t="s">
        <v>351</v>
      </c>
      <c r="C64" s="108"/>
      <c r="D64" s="108">
        <v>267300</v>
      </c>
      <c r="E64" s="108">
        <v>0</v>
      </c>
      <c r="F64" s="108">
        <v>267300</v>
      </c>
      <c r="G64" s="108">
        <v>0</v>
      </c>
      <c r="H64" s="108">
        <v>267300</v>
      </c>
      <c r="I64" s="108">
        <v>0</v>
      </c>
      <c r="J64" s="108">
        <v>267300</v>
      </c>
      <c r="K64" s="108">
        <v>0</v>
      </c>
      <c r="L64" s="108">
        <v>267300</v>
      </c>
      <c r="M64" s="108">
        <v>0</v>
      </c>
      <c r="N64" s="108">
        <v>267300</v>
      </c>
      <c r="O64" s="108">
        <v>0</v>
      </c>
      <c r="P64" s="108">
        <v>267300</v>
      </c>
      <c r="Q64" s="108">
        <v>0</v>
      </c>
      <c r="R64" s="108">
        <v>267300</v>
      </c>
      <c r="S64" s="108">
        <v>0</v>
      </c>
      <c r="T64" s="108">
        <v>0</v>
      </c>
      <c r="U64" s="108">
        <v>267300</v>
      </c>
      <c r="V64" s="108">
        <v>0</v>
      </c>
      <c r="W64" s="108">
        <v>267300</v>
      </c>
      <c r="X64" s="108">
        <v>0</v>
      </c>
      <c r="Y64" s="108">
        <v>267300</v>
      </c>
      <c r="Z64" s="108">
        <v>0</v>
      </c>
      <c r="AA64" s="108">
        <v>267300</v>
      </c>
      <c r="AB64" s="108">
        <v>0</v>
      </c>
      <c r="AC64" s="108">
        <v>267300</v>
      </c>
      <c r="AD64" s="108">
        <v>0</v>
      </c>
      <c r="AE64" s="108">
        <v>267300</v>
      </c>
      <c r="AF64" s="108">
        <v>0</v>
      </c>
      <c r="AG64" s="108">
        <v>267300</v>
      </c>
      <c r="AH64" s="108">
        <v>0</v>
      </c>
      <c r="AI64" s="108">
        <v>267300</v>
      </c>
      <c r="AJ64" s="108">
        <v>0</v>
      </c>
      <c r="AK64" s="108">
        <v>267300</v>
      </c>
      <c r="AL64" s="108">
        <v>0</v>
      </c>
      <c r="AM64" s="108">
        <v>267300</v>
      </c>
      <c r="AN64" s="108">
        <v>0</v>
      </c>
      <c r="AO64" s="108">
        <v>267300</v>
      </c>
      <c r="AP64" s="108">
        <v>0</v>
      </c>
      <c r="AQ64" s="108">
        <v>267300</v>
      </c>
      <c r="AR64" s="108">
        <v>0</v>
      </c>
      <c r="AS64" s="108">
        <v>267300</v>
      </c>
      <c r="AT64" s="108">
        <v>0</v>
      </c>
      <c r="AU64" s="108">
        <v>267300</v>
      </c>
      <c r="AV64" s="108">
        <v>0</v>
      </c>
      <c r="AW64" s="108">
        <v>267300</v>
      </c>
      <c r="AX64" s="108">
        <v>0</v>
      </c>
      <c r="AY64" s="108">
        <v>267300</v>
      </c>
      <c r="AZ64">
        <f>SUM($D$64:$AY$64)</f>
        <v>6415200</v>
      </c>
    </row>
    <row r="65" spans="1:52">
      <c r="A65" s="122"/>
      <c r="B65" s="137" t="s">
        <v>352</v>
      </c>
      <c r="C65" s="122"/>
      <c r="D65" s="122">
        <v>350973.57259554928</v>
      </c>
      <c r="E65" s="122">
        <v>429030.71057229867</v>
      </c>
      <c r="F65" s="122">
        <v>284243.21057229867</v>
      </c>
      <c r="G65" s="122">
        <v>429030.71057229867</v>
      </c>
      <c r="H65" s="122">
        <v>284243.21057229867</v>
      </c>
      <c r="I65" s="122">
        <v>0</v>
      </c>
      <c r="J65" s="122">
        <v>713273.92114459735</v>
      </c>
      <c r="K65" s="122">
        <v>429030.71057229867</v>
      </c>
      <c r="L65" s="122">
        <v>284243.21057229867</v>
      </c>
      <c r="M65" s="122">
        <v>429030.71057229867</v>
      </c>
      <c r="N65" s="122">
        <v>284243.21057229867</v>
      </c>
      <c r="O65" s="122">
        <v>429030.71057229867</v>
      </c>
      <c r="P65" s="122">
        <v>284243.21057229867</v>
      </c>
      <c r="Q65" s="122">
        <v>429030.71057229867</v>
      </c>
      <c r="R65" s="122">
        <v>284243.21057229867</v>
      </c>
      <c r="S65" s="122">
        <v>429030.71057229867</v>
      </c>
      <c r="T65" s="122">
        <v>0</v>
      </c>
      <c r="U65" s="122">
        <v>792476.78809499007</v>
      </c>
      <c r="V65" s="122">
        <v>508233.57752269151</v>
      </c>
      <c r="W65" s="122">
        <v>363446.07752269151</v>
      </c>
      <c r="X65" s="122">
        <v>508233.57752269151</v>
      </c>
      <c r="Y65" s="122">
        <v>284243.21057229867</v>
      </c>
      <c r="Z65" s="122">
        <v>429030.71057229867</v>
      </c>
      <c r="AA65" s="122">
        <v>284243.21057229867</v>
      </c>
      <c r="AB65" s="122">
        <v>429030.71057229867</v>
      </c>
      <c r="AC65" s="122">
        <v>284243.21057229867</v>
      </c>
      <c r="AD65" s="122">
        <v>429030.71057229867</v>
      </c>
      <c r="AE65" s="122">
        <v>284243.21057229867</v>
      </c>
      <c r="AF65" s="122">
        <v>429030.71057229867</v>
      </c>
      <c r="AG65" s="122">
        <v>284243.21057229867</v>
      </c>
      <c r="AH65" s="122">
        <v>429030.71057229867</v>
      </c>
      <c r="AI65" s="122">
        <v>284243.21057229867</v>
      </c>
      <c r="AJ65" s="122">
        <v>429030.71057229867</v>
      </c>
      <c r="AK65" s="122">
        <v>284243.21057229867</v>
      </c>
      <c r="AL65" s="122">
        <v>429030.71057229867</v>
      </c>
      <c r="AM65" s="122">
        <v>284243.21057229867</v>
      </c>
      <c r="AN65" s="122">
        <v>429030.71057229867</v>
      </c>
      <c r="AO65" s="122">
        <v>284243.21057229867</v>
      </c>
      <c r="AP65" s="122">
        <v>429030.71057229867</v>
      </c>
      <c r="AQ65" s="122">
        <v>284243.21057229867</v>
      </c>
      <c r="AR65" s="122">
        <v>429030.71057229867</v>
      </c>
      <c r="AS65" s="122">
        <v>284243.21057229867</v>
      </c>
      <c r="AT65" s="122">
        <v>429030.71057229867</v>
      </c>
      <c r="AU65" s="122">
        <v>284243.21057229867</v>
      </c>
      <c r="AV65" s="122">
        <v>429030.71057229867</v>
      </c>
      <c r="AW65" s="122">
        <v>284243.21057229867</v>
      </c>
      <c r="AX65" s="122">
        <v>429030.71057229867</v>
      </c>
      <c r="AY65" s="122">
        <v>284243.21057229867</v>
      </c>
      <c r="AZ65">
        <f>SUM($D$65:$AY$65)</f>
        <v>17502115.937295157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285</v>
      </c>
    </row>
    <row r="2" spans="1:53">
      <c r="A2" t="s">
        <v>286</v>
      </c>
      <c r="B2" s="105" t="s">
        <v>22</v>
      </c>
    </row>
    <row r="3" spans="1:53">
      <c r="A3" t="s">
        <v>287</v>
      </c>
      <c r="B3" s="106">
        <v>4000</v>
      </c>
      <c r="C3" s="107"/>
    </row>
    <row r="4" spans="1:53">
      <c r="B4" s="108"/>
      <c r="C4" s="108"/>
    </row>
    <row r="5" spans="1:53">
      <c r="C5" s="9" t="s">
        <v>288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3">
      <c r="A8" s="1" t="s">
        <v>293</v>
      </c>
      <c r="B8" s="111"/>
      <c r="AY8" s="108"/>
    </row>
    <row r="9" spans="1:53">
      <c r="A9" s="112" t="s">
        <v>125</v>
      </c>
      <c r="B9" s="113">
        <v>1</v>
      </c>
      <c r="C9" s="114" t="s">
        <v>294</v>
      </c>
      <c r="D9" s="114">
        <v>30</v>
      </c>
      <c r="E9" s="114">
        <v>30</v>
      </c>
      <c r="F9" s="114">
        <v>30</v>
      </c>
      <c r="G9" s="114">
        <v>30</v>
      </c>
      <c r="H9" s="114">
        <v>160</v>
      </c>
      <c r="I9" s="114">
        <v>160</v>
      </c>
      <c r="J9" s="114">
        <v>160</v>
      </c>
      <c r="K9" s="114">
        <v>160</v>
      </c>
      <c r="L9" s="114">
        <v>160</v>
      </c>
      <c r="M9" s="114">
        <v>160</v>
      </c>
      <c r="N9" s="114">
        <v>160</v>
      </c>
      <c r="O9" s="114">
        <v>160</v>
      </c>
      <c r="P9" s="114">
        <v>9.9000818255454819E-21</v>
      </c>
      <c r="Q9" s="114">
        <v>9.9000818255454819E-21</v>
      </c>
      <c r="R9" s="114">
        <v>9.9000818255454819E-21</v>
      </c>
      <c r="S9" s="114">
        <v>9.9000818255454819E-21</v>
      </c>
      <c r="T9" s="114">
        <v>128</v>
      </c>
      <c r="U9" s="114">
        <v>128</v>
      </c>
      <c r="V9" s="114">
        <v>128</v>
      </c>
      <c r="W9" s="114">
        <v>128</v>
      </c>
      <c r="X9" s="114">
        <v>160</v>
      </c>
      <c r="Y9" s="114">
        <v>160</v>
      </c>
      <c r="Z9" s="114">
        <v>160</v>
      </c>
      <c r="AA9" s="114">
        <v>160</v>
      </c>
      <c r="AB9" s="114">
        <v>160</v>
      </c>
      <c r="AC9" s="114">
        <v>160</v>
      </c>
      <c r="AD9" s="114">
        <v>160</v>
      </c>
      <c r="AE9" s="114">
        <v>160</v>
      </c>
      <c r="AF9" s="114">
        <v>160</v>
      </c>
      <c r="AG9" s="114">
        <v>160</v>
      </c>
      <c r="AH9" s="114">
        <v>160</v>
      </c>
      <c r="AI9" s="114">
        <v>160</v>
      </c>
      <c r="AJ9" s="114">
        <v>160</v>
      </c>
      <c r="AK9" s="114">
        <v>160</v>
      </c>
      <c r="AL9" s="114">
        <v>160</v>
      </c>
      <c r="AM9" s="114">
        <v>160</v>
      </c>
      <c r="AN9" s="114">
        <v>160</v>
      </c>
      <c r="AO9" s="114">
        <v>160</v>
      </c>
      <c r="AP9" s="114">
        <v>160</v>
      </c>
      <c r="AQ9" s="114">
        <v>160</v>
      </c>
      <c r="AR9" s="114">
        <v>192</v>
      </c>
      <c r="AS9" s="114">
        <v>192</v>
      </c>
      <c r="AT9" s="114">
        <v>192</v>
      </c>
      <c r="AU9" s="114">
        <v>192</v>
      </c>
      <c r="AV9" s="114">
        <v>160</v>
      </c>
      <c r="AW9" s="114">
        <v>160</v>
      </c>
      <c r="AX9" s="114">
        <v>160</v>
      </c>
      <c r="AY9" s="114">
        <v>160</v>
      </c>
    </row>
    <row r="10" spans="1:53">
      <c r="A10" s="115" t="s">
        <v>133</v>
      </c>
      <c r="B10" s="116">
        <v>1</v>
      </c>
      <c r="C10" s="104" t="s">
        <v>294</v>
      </c>
      <c r="D10">
        <v>0</v>
      </c>
      <c r="E10">
        <v>85.478437708564357</v>
      </c>
      <c r="F10">
        <v>169.46145592990553</v>
      </c>
      <c r="G10">
        <v>169.46145592990553</v>
      </c>
      <c r="H10">
        <v>129.88085034522427</v>
      </c>
      <c r="I10">
        <v>70.267668399790836</v>
      </c>
      <c r="J10">
        <v>3.9975862135886218E-20</v>
      </c>
      <c r="K10">
        <v>3.9975862135886218E-20</v>
      </c>
      <c r="L10">
        <v>39.580605584681244</v>
      </c>
      <c r="M10">
        <v>39.580605584681244</v>
      </c>
      <c r="N10">
        <v>162.32885684511965</v>
      </c>
      <c r="O10">
        <v>169.46145592990553</v>
      </c>
      <c r="P10">
        <v>169.46145592990553</v>
      </c>
      <c r="Q10">
        <v>129.88085034522427</v>
      </c>
      <c r="R10">
        <v>129.88085034522427</v>
      </c>
      <c r="S10">
        <v>169.46145592990553</v>
      </c>
      <c r="T10">
        <v>162.32885684511965</v>
      </c>
      <c r="U10">
        <v>129.88085034522427</v>
      </c>
      <c r="V10">
        <v>216.34899167293776</v>
      </c>
      <c r="W10">
        <v>46.887535743032231</v>
      </c>
      <c r="X10">
        <v>169.63578700347063</v>
      </c>
      <c r="Y10">
        <v>129.88085034522427</v>
      </c>
      <c r="Z10">
        <v>162.32885684511965</v>
      </c>
      <c r="AA10">
        <v>169.46145592990553</v>
      </c>
      <c r="AB10">
        <v>169.46145592990553</v>
      </c>
      <c r="AC10">
        <v>39.580605584681244</v>
      </c>
      <c r="AD10">
        <v>162.32885684511965</v>
      </c>
      <c r="AE10">
        <v>129.88085034522427</v>
      </c>
      <c r="AF10">
        <v>169.46145592990553</v>
      </c>
      <c r="AG10">
        <v>129.88085034522427</v>
      </c>
      <c r="AH10">
        <v>143.48528586086076</v>
      </c>
      <c r="AI10">
        <v>103.9046802761795</v>
      </c>
      <c r="AJ10">
        <v>143.48528586086076</v>
      </c>
      <c r="AK10">
        <v>54.924136992236043</v>
      </c>
      <c r="AL10">
        <v>169.46145592990553</v>
      </c>
      <c r="AM10">
        <v>15.343531407554796</v>
      </c>
      <c r="AN10">
        <v>146.98532543756485</v>
      </c>
      <c r="AO10">
        <v>169.46145592990553</v>
      </c>
      <c r="AP10">
        <v>129.88085034522427</v>
      </c>
      <c r="AQ10">
        <v>54.924136992236043</v>
      </c>
      <c r="AR10">
        <v>146.98532543756485</v>
      </c>
      <c r="AS10">
        <v>169.46145592990553</v>
      </c>
      <c r="AT10">
        <v>39.580605584681244</v>
      </c>
      <c r="AU10">
        <v>169.46145592990555</v>
      </c>
      <c r="AV10">
        <v>169.46145592990553</v>
      </c>
      <c r="AW10">
        <v>169.46145592990555</v>
      </c>
      <c r="AX10">
        <v>0</v>
      </c>
      <c r="AY10">
        <v>169.46145592990555</v>
      </c>
      <c r="AZ10">
        <v>169.46145592990553</v>
      </c>
    </row>
    <row r="11" spans="1:53">
      <c r="B11" s="116">
        <v>2</v>
      </c>
      <c r="C11" s="104" t="s">
        <v>294</v>
      </c>
      <c r="D11">
        <v>0</v>
      </c>
      <c r="E11">
        <v>180.96820894043285</v>
      </c>
      <c r="I11">
        <v>39.580605584681244</v>
      </c>
      <c r="L11">
        <v>79.161211169362488</v>
      </c>
      <c r="R11">
        <v>39.580605584681244</v>
      </c>
      <c r="U11">
        <v>7.1325990847858662</v>
      </c>
      <c r="X11">
        <v>129.88085034522427</v>
      </c>
      <c r="Y11">
        <v>7.1325990847858662</v>
      </c>
      <c r="Z11">
        <v>46.887535743032231</v>
      </c>
      <c r="AA11">
        <v>7.1325990847858662</v>
      </c>
      <c r="AD11">
        <v>129.88085034522427</v>
      </c>
      <c r="AE11">
        <v>7.1325990847858662</v>
      </c>
      <c r="AH11">
        <v>39.580605584681244</v>
      </c>
      <c r="AJ11">
        <v>39.580605584681244</v>
      </c>
      <c r="AL11">
        <v>88.561148868624713</v>
      </c>
      <c r="AN11">
        <v>114.53731893766948</v>
      </c>
      <c r="AO11">
        <v>22.476130492340673</v>
      </c>
      <c r="AQ11">
        <v>39.580605584681244</v>
      </c>
      <c r="AR11">
        <v>114.53731893766948</v>
      </c>
      <c r="AX11">
        <v>0</v>
      </c>
      <c r="AY11">
        <v>39.580605584681244</v>
      </c>
    </row>
    <row r="12" spans="1:53">
      <c r="B12" s="117">
        <v>3</v>
      </c>
      <c r="C12" s="104" t="s">
        <v>294</v>
      </c>
      <c r="G12">
        <v>45.736873830005806</v>
      </c>
      <c r="K12">
        <v>99.19378753011469</v>
      </c>
      <c r="L12">
        <v>0</v>
      </c>
      <c r="P12">
        <v>7.1325990847858662</v>
      </c>
      <c r="T12">
        <v>39.580605584681244</v>
      </c>
      <c r="AG12">
        <v>39.580605584681244</v>
      </c>
      <c r="AO12">
        <v>39.580605584681244</v>
      </c>
      <c r="AT12">
        <v>22.476130492340673</v>
      </c>
      <c r="AV12">
        <v>0</v>
      </c>
      <c r="AZ12">
        <v>129.88085034522427</v>
      </c>
    </row>
    <row r="13" spans="1:53">
      <c r="B13" s="117">
        <v>4</v>
      </c>
      <c r="C13" s="104" t="s">
        <v>294</v>
      </c>
    </row>
    <row r="14" spans="1:53">
      <c r="A14" s="112" t="s">
        <v>134</v>
      </c>
      <c r="B14" s="118">
        <v>1</v>
      </c>
      <c r="C14" s="114" t="s">
        <v>294</v>
      </c>
      <c r="D14" s="114">
        <v>102.84829412098009</v>
      </c>
      <c r="E14" s="114">
        <f t="shared" ref="E14:AZ14" si="0">D$172*SUM(D$122:D$169)</f>
        <v>75.077825965937535</v>
      </c>
      <c r="F14" s="114">
        <f t="shared" si="0"/>
        <v>115.09562760479844</v>
      </c>
      <c r="G14" s="114">
        <f t="shared" si="0"/>
        <v>110.5809325189326</v>
      </c>
      <c r="H14" s="114">
        <f t="shared" si="0"/>
        <v>115.89540081184576</v>
      </c>
      <c r="I14" s="114">
        <f t="shared" si="0"/>
        <v>75.315782991142285</v>
      </c>
      <c r="J14" s="114">
        <f t="shared" si="0"/>
        <v>56.054787598330634</v>
      </c>
      <c r="K14" s="114">
        <f t="shared" si="0"/>
        <v>13.724556225081455</v>
      </c>
      <c r="L14" s="114">
        <f t="shared" si="0"/>
        <v>50.260906392299958</v>
      </c>
      <c r="M14" s="114">
        <f t="shared" si="0"/>
        <v>52.743002954127739</v>
      </c>
      <c r="N14" s="114">
        <f t="shared" si="0"/>
        <v>26.730705134763543</v>
      </c>
      <c r="O14" s="114">
        <f t="shared" si="0"/>
        <v>71.942942736876915</v>
      </c>
      <c r="P14" s="114">
        <f t="shared" si="0"/>
        <v>74.570114702510395</v>
      </c>
      <c r="Q14" s="114">
        <f t="shared" si="0"/>
        <v>77.197286668143875</v>
      </c>
      <c r="R14" s="114">
        <f t="shared" si="0"/>
        <v>68.891635455130299</v>
      </c>
      <c r="S14" s="114">
        <f t="shared" si="0"/>
        <v>77.565989032807664</v>
      </c>
      <c r="T14" s="114">
        <f t="shared" si="0"/>
        <v>74.570114702510395</v>
      </c>
      <c r="U14" s="114">
        <f t="shared" si="0"/>
        <v>84.949091646558998</v>
      </c>
      <c r="V14" s="114">
        <f t="shared" si="0"/>
        <v>74.353520392129056</v>
      </c>
      <c r="W14" s="114">
        <f t="shared" si="0"/>
        <v>97.100171350831971</v>
      </c>
      <c r="X14" s="114">
        <f t="shared" si="0"/>
        <v>33.263776120999516</v>
      </c>
      <c r="Y14" s="114">
        <f t="shared" si="0"/>
        <v>122.18340252374779</v>
      </c>
      <c r="Z14" s="114">
        <f t="shared" si="0"/>
        <v>84.119903298742557</v>
      </c>
      <c r="AA14" s="114">
        <f t="shared" si="0"/>
        <v>95.075072484345043</v>
      </c>
      <c r="AB14" s="114">
        <f t="shared" si="0"/>
        <v>87.79707979556413</v>
      </c>
      <c r="AC14" s="114">
        <f t="shared" si="0"/>
        <v>77.999109034903341</v>
      </c>
      <c r="AD14" s="114">
        <f t="shared" si="0"/>
        <v>26.730705134763543</v>
      </c>
      <c r="AE14" s="114">
        <f t="shared" si="0"/>
        <v>119.78235230462377</v>
      </c>
      <c r="AF14" s="114">
        <f t="shared" si="0"/>
        <v>74.328906120681211</v>
      </c>
      <c r="AG14" s="114">
        <f t="shared" si="0"/>
        <v>74.570114702510395</v>
      </c>
      <c r="AH14" s="114">
        <f t="shared" si="0"/>
        <v>74.570114702510409</v>
      </c>
      <c r="AI14" s="114">
        <f t="shared" si="0"/>
        <v>78.008381698643163</v>
      </c>
      <c r="AJ14" s="114">
        <f t="shared" si="0"/>
        <v>51.99608387927897</v>
      </c>
      <c r="AK14" s="114">
        <f t="shared" si="0"/>
        <v>78.008381698643163</v>
      </c>
      <c r="AL14" s="114">
        <f t="shared" si="0"/>
        <v>32.382234835027717</v>
      </c>
      <c r="AM14" s="114">
        <f t="shared" si="0"/>
        <v>107.19011265644374</v>
      </c>
      <c r="AN14" s="114">
        <f t="shared" si="0"/>
        <v>19.376085925345627</v>
      </c>
      <c r="AO14" s="114">
        <f t="shared" si="0"/>
        <v>108.47929290409542</v>
      </c>
      <c r="AP14" s="114">
        <f t="shared" si="0"/>
        <v>100.18693866385949</v>
      </c>
      <c r="AQ14" s="114">
        <f t="shared" si="0"/>
        <v>73.376492666996796</v>
      </c>
      <c r="AR14" s="114">
        <f t="shared" si="0"/>
        <v>45.388383744709806</v>
      </c>
      <c r="AS14" s="114">
        <f t="shared" si="0"/>
        <v>108.47929290409542</v>
      </c>
      <c r="AT14" s="114">
        <f t="shared" si="0"/>
        <v>80.680675385120878</v>
      </c>
      <c r="AU14" s="114">
        <f t="shared" si="0"/>
        <v>44.705594858500731</v>
      </c>
      <c r="AV14" s="114">
        <f t="shared" si="0"/>
        <v>74.570114702510381</v>
      </c>
      <c r="AW14" s="114">
        <f t="shared" si="0"/>
        <v>74.570114702510395</v>
      </c>
      <c r="AX14" s="114">
        <f t="shared" si="0"/>
        <v>74.570114702510381</v>
      </c>
      <c r="AY14" s="114">
        <f t="shared" si="0"/>
        <v>13.724556225081452</v>
      </c>
      <c r="AZ14" s="108">
        <f t="shared" si="0"/>
        <v>87.576263612192463</v>
      </c>
      <c r="BA14" s="105">
        <f>SUM($E14:$AZ14)</f>
        <v>3516.3100468737171</v>
      </c>
    </row>
    <row r="15" spans="1:53">
      <c r="A15" s="119" t="s">
        <v>123</v>
      </c>
      <c r="B15" s="120">
        <v>1</v>
      </c>
      <c r="C15" s="121" t="s">
        <v>294</v>
      </c>
      <c r="D15" s="121">
        <v>36.147717777499018</v>
      </c>
      <c r="E15" s="121">
        <v>117.24358529215662</v>
      </c>
      <c r="F15" s="121">
        <v>193.38738395399247</v>
      </c>
      <c r="G15" s="121">
        <v>193.3873839539925</v>
      </c>
      <c r="H15" s="121">
        <v>159.65771727728537</v>
      </c>
      <c r="I15" s="121">
        <v>98.635361562004164</v>
      </c>
      <c r="J15" s="121">
        <v>35.592757700406658</v>
      </c>
      <c r="K15" s="121">
        <v>35.592757700406658</v>
      </c>
      <c r="L15" s="121">
        <v>69.322424377113762</v>
      </c>
      <c r="M15" s="121">
        <v>69.322424377113762</v>
      </c>
      <c r="N15" s="121">
        <v>186.57417311667533</v>
      </c>
      <c r="O15" s="121">
        <v>193.3873839539925</v>
      </c>
      <c r="P15" s="121">
        <v>193.38738395399247</v>
      </c>
      <c r="Q15" s="121">
        <v>159.6577172772854</v>
      </c>
      <c r="R15" s="121">
        <v>159.65771727728537</v>
      </c>
      <c r="S15" s="121">
        <v>193.3873839539925</v>
      </c>
      <c r="T15" s="121">
        <v>186.57417311667533</v>
      </c>
      <c r="U15" s="121">
        <v>159.6577172772854</v>
      </c>
      <c r="V15" s="121">
        <v>233.34384567414239</v>
      </c>
      <c r="W15" s="121">
        <v>75.549219420556554</v>
      </c>
      <c r="X15" s="121">
        <v>192.80096816011812</v>
      </c>
      <c r="Y15" s="121">
        <v>159.6577172772854</v>
      </c>
      <c r="Z15" s="121">
        <v>186.57417311667533</v>
      </c>
      <c r="AA15" s="121">
        <v>193.3873839539925</v>
      </c>
      <c r="AB15" s="121">
        <v>193.38738395399247</v>
      </c>
      <c r="AC15" s="121">
        <v>69.322424377113762</v>
      </c>
      <c r="AD15" s="121">
        <v>186.57417311667533</v>
      </c>
      <c r="AE15" s="121">
        <v>159.6577172772854</v>
      </c>
      <c r="AF15" s="121">
        <v>193.38738395399247</v>
      </c>
      <c r="AG15" s="121">
        <v>159.6577172772854</v>
      </c>
      <c r="AH15" s="121">
        <v>168.57439203861682</v>
      </c>
      <c r="AI15" s="121">
        <v>134.84472536190972</v>
      </c>
      <c r="AJ15" s="121">
        <v>168.57439203861682</v>
      </c>
      <c r="AK15" s="121">
        <v>83.978892969558956</v>
      </c>
      <c r="AL15" s="121">
        <v>193.3873839539925</v>
      </c>
      <c r="AM15" s="121">
        <v>50.249226292851858</v>
      </c>
      <c r="AN15" s="121">
        <v>171.91770452423015</v>
      </c>
      <c r="AO15" s="121">
        <v>193.38738395399247</v>
      </c>
      <c r="AP15" s="121">
        <v>159.6577172772854</v>
      </c>
      <c r="AQ15" s="121">
        <v>83.978892969558956</v>
      </c>
      <c r="AR15" s="121">
        <v>171.91770452423015</v>
      </c>
      <c r="AS15" s="121">
        <v>193.38738395399247</v>
      </c>
      <c r="AT15" s="121">
        <v>69.322424377113762</v>
      </c>
      <c r="AU15" s="121">
        <v>193.38738395399244</v>
      </c>
      <c r="AV15" s="121">
        <v>193.3873839539925</v>
      </c>
      <c r="AW15" s="121">
        <v>193.38738395399244</v>
      </c>
      <c r="AX15" s="121">
        <v>35.592757700406658</v>
      </c>
      <c r="AY15" s="121">
        <v>193.38738395399244</v>
      </c>
      <c r="AZ15">
        <v>157.79462625358585</v>
      </c>
    </row>
    <row r="16" spans="1:53">
      <c r="A16" s="108"/>
      <c r="B16" s="116">
        <v>2</v>
      </c>
      <c r="C16" s="107" t="s">
        <v>294</v>
      </c>
      <c r="D16" s="104">
        <v>0</v>
      </c>
      <c r="E16" s="108">
        <v>181.24116849736086</v>
      </c>
      <c r="F16" s="108"/>
      <c r="G16" s="108"/>
      <c r="H16" s="108"/>
      <c r="I16" s="108">
        <v>33.729666676707105</v>
      </c>
      <c r="J16" s="108"/>
      <c r="K16" s="108"/>
      <c r="L16" s="108">
        <v>67.459333353414209</v>
      </c>
      <c r="M16" s="108"/>
      <c r="N16" s="108"/>
      <c r="O16" s="108"/>
      <c r="P16" s="108"/>
      <c r="Q16" s="108"/>
      <c r="R16" s="108">
        <v>33.729666676707105</v>
      </c>
      <c r="S16" s="108"/>
      <c r="T16" s="108"/>
      <c r="U16" s="108">
        <v>6.8132108373171576</v>
      </c>
      <c r="V16" s="108"/>
      <c r="W16" s="108"/>
      <c r="X16" s="108">
        <v>124.06495957687873</v>
      </c>
      <c r="Y16" s="108">
        <v>6.8132108373171576</v>
      </c>
      <c r="Z16" s="108">
        <v>39.956461720149896</v>
      </c>
      <c r="AA16" s="108">
        <v>6.8132108373171576</v>
      </c>
      <c r="AB16" s="108"/>
      <c r="AC16" s="108"/>
      <c r="AD16" s="108">
        <v>124.06495957687873</v>
      </c>
      <c r="AE16" s="108">
        <v>6.8132108373171576</v>
      </c>
      <c r="AF16" s="108"/>
      <c r="AG16" s="108"/>
      <c r="AH16" s="108">
        <v>33.729666676707105</v>
      </c>
      <c r="AI16" s="108"/>
      <c r="AJ16" s="108">
        <v>33.729666676707105</v>
      </c>
      <c r="AK16" s="108"/>
      <c r="AL16" s="108">
        <v>84.595499069057865</v>
      </c>
      <c r="AM16" s="108"/>
      <c r="AN16" s="108">
        <v>109.40849098443353</v>
      </c>
      <c r="AO16" s="108">
        <v>21.469679429762351</v>
      </c>
      <c r="AP16" s="108"/>
      <c r="AQ16" s="108">
        <v>33.729666676707105</v>
      </c>
      <c r="AR16" s="108">
        <v>109.40849098443353</v>
      </c>
      <c r="AS16" s="108"/>
      <c r="AT16" s="108"/>
      <c r="AU16" s="108"/>
      <c r="AV16" s="108"/>
      <c r="AW16" s="108"/>
      <c r="AX16" s="108">
        <v>0</v>
      </c>
      <c r="AY16" s="108">
        <v>33.729666676707105</v>
      </c>
    </row>
    <row r="17" spans="1:52">
      <c r="A17" s="108"/>
      <c r="B17" s="116">
        <v>3</v>
      </c>
      <c r="C17" s="107" t="s">
        <v>294</v>
      </c>
      <c r="D17" s="104"/>
      <c r="E17" s="108"/>
      <c r="F17" s="108"/>
      <c r="G17" s="108">
        <v>38.975894540576867</v>
      </c>
      <c r="H17" s="108"/>
      <c r="I17" s="108"/>
      <c r="J17" s="108"/>
      <c r="K17" s="108">
        <v>94.752022391988334</v>
      </c>
      <c r="L17" s="108">
        <v>0</v>
      </c>
      <c r="M17" s="108"/>
      <c r="N17" s="108"/>
      <c r="O17" s="108"/>
      <c r="P17" s="108">
        <v>6.8132108373171576</v>
      </c>
      <c r="Q17" s="108"/>
      <c r="R17" s="108"/>
      <c r="S17" s="108"/>
      <c r="T17" s="108">
        <v>33.729666676707105</v>
      </c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>
        <v>33.729666676707105</v>
      </c>
      <c r="AH17" s="108"/>
      <c r="AI17" s="108"/>
      <c r="AJ17" s="108"/>
      <c r="AK17" s="108"/>
      <c r="AL17" s="108"/>
      <c r="AM17" s="108"/>
      <c r="AN17" s="108"/>
      <c r="AO17" s="108">
        <v>33.729666676707105</v>
      </c>
      <c r="AP17" s="108"/>
      <c r="AQ17" s="108"/>
      <c r="AR17" s="108"/>
      <c r="AS17" s="108"/>
      <c r="AT17" s="108">
        <v>21.469679429762351</v>
      </c>
      <c r="AU17" s="108"/>
      <c r="AV17" s="108">
        <v>0</v>
      </c>
      <c r="AW17" s="108"/>
      <c r="AX17" s="108"/>
      <c r="AY17" s="108"/>
      <c r="AZ17">
        <v>124.06495957687873</v>
      </c>
    </row>
    <row r="18" spans="1:52">
      <c r="A18" s="122"/>
      <c r="B18" s="113">
        <v>4</v>
      </c>
      <c r="C18" s="122" t="s">
        <v>294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2">
      <c r="A20" s="1" t="s">
        <v>295</v>
      </c>
    </row>
    <row r="21" spans="1:52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2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2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2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2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2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2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2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2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2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2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2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189.91333763612755</v>
      </c>
      <c r="D95" s="108">
        <v>30</v>
      </c>
      <c r="E95" s="108">
        <v>30</v>
      </c>
      <c r="F95" s="108">
        <v>30</v>
      </c>
      <c r="G95" s="108">
        <v>30</v>
      </c>
      <c r="H95" s="108">
        <v>160</v>
      </c>
      <c r="I95" s="108">
        <v>160</v>
      </c>
      <c r="J95" s="108">
        <v>160</v>
      </c>
      <c r="K95" s="108">
        <v>160</v>
      </c>
      <c r="L95" s="108">
        <v>160</v>
      </c>
      <c r="M95" s="108">
        <v>160</v>
      </c>
      <c r="N95" s="108">
        <v>160</v>
      </c>
      <c r="O95" s="108">
        <v>160</v>
      </c>
      <c r="P95" s="108">
        <v>9.9000818255454819E-21</v>
      </c>
      <c r="Q95" s="108">
        <v>9.9000818255454819E-21</v>
      </c>
      <c r="R95" s="108">
        <v>9.9000818255454819E-21</v>
      </c>
      <c r="S95" s="108">
        <v>9.9000818255454819E-21</v>
      </c>
      <c r="T95" s="108">
        <v>128</v>
      </c>
      <c r="U95" s="108">
        <v>128</v>
      </c>
      <c r="V95" s="108">
        <v>128</v>
      </c>
      <c r="W95" s="108">
        <v>128</v>
      </c>
      <c r="X95" s="108">
        <v>160</v>
      </c>
      <c r="Y95" s="108">
        <v>160</v>
      </c>
      <c r="Z95" s="108">
        <v>160</v>
      </c>
      <c r="AA95" s="108">
        <v>160</v>
      </c>
      <c r="AB95" s="108">
        <v>160</v>
      </c>
      <c r="AC95" s="108">
        <v>160</v>
      </c>
      <c r="AD95" s="108">
        <v>160</v>
      </c>
      <c r="AE95" s="108">
        <v>160</v>
      </c>
      <c r="AF95" s="108">
        <v>160</v>
      </c>
      <c r="AG95" s="108">
        <v>160</v>
      </c>
      <c r="AH95" s="108">
        <v>160</v>
      </c>
      <c r="AI95" s="108">
        <v>160</v>
      </c>
      <c r="AJ95" s="108">
        <v>160</v>
      </c>
      <c r="AK95" s="108">
        <v>160</v>
      </c>
      <c r="AL95" s="108">
        <v>160</v>
      </c>
      <c r="AM95" s="108">
        <v>160</v>
      </c>
      <c r="AN95" s="108">
        <v>160</v>
      </c>
      <c r="AO95" s="108">
        <v>160</v>
      </c>
      <c r="AP95" s="108">
        <v>160</v>
      </c>
      <c r="AQ95" s="108">
        <v>160</v>
      </c>
      <c r="AR95" s="108">
        <v>192</v>
      </c>
      <c r="AS95" s="108">
        <v>192</v>
      </c>
      <c r="AT95" s="108">
        <v>192</v>
      </c>
      <c r="AU95" s="108">
        <v>192</v>
      </c>
      <c r="AV95" s="108">
        <v>160</v>
      </c>
      <c r="AW95" s="108">
        <v>160</v>
      </c>
      <c r="AX95" s="108">
        <v>160</v>
      </c>
      <c r="AY95" s="108">
        <v>160</v>
      </c>
    </row>
    <row r="96" spans="1:52">
      <c r="A96" s="107"/>
      <c r="B96" s="117">
        <v>2</v>
      </c>
      <c r="C96" s="108">
        <v>189.91333763612755</v>
      </c>
      <c r="D96" s="108">
        <v>189.91333763612755</v>
      </c>
      <c r="E96" s="108">
        <v>30</v>
      </c>
      <c r="F96" s="108">
        <v>30</v>
      </c>
      <c r="G96" s="108">
        <v>30</v>
      </c>
      <c r="H96" s="108">
        <v>0</v>
      </c>
      <c r="I96" s="108">
        <v>7</v>
      </c>
      <c r="J96" s="108">
        <v>5</v>
      </c>
      <c r="K96" s="108">
        <v>0</v>
      </c>
      <c r="L96" s="108">
        <v>34</v>
      </c>
      <c r="M96" s="108">
        <v>27</v>
      </c>
      <c r="N96" s="108">
        <v>56</v>
      </c>
      <c r="O96" s="108">
        <v>59</v>
      </c>
      <c r="P96" s="108">
        <v>81</v>
      </c>
      <c r="Q96" s="108">
        <v>9.9000818255454819E-21</v>
      </c>
      <c r="R96" s="108">
        <v>0</v>
      </c>
      <c r="S96" s="108">
        <v>0</v>
      </c>
      <c r="T96" s="108">
        <v>0</v>
      </c>
      <c r="U96" s="108">
        <v>0</v>
      </c>
      <c r="V96" s="108">
        <v>0</v>
      </c>
      <c r="W96" s="108">
        <v>0</v>
      </c>
      <c r="X96" s="108">
        <v>0</v>
      </c>
      <c r="Y96" s="108">
        <v>0</v>
      </c>
      <c r="Z96" s="108">
        <v>0</v>
      </c>
      <c r="AA96" s="108">
        <v>47</v>
      </c>
      <c r="AB96" s="108">
        <v>20</v>
      </c>
      <c r="AC96" s="108">
        <v>27</v>
      </c>
      <c r="AD96" s="108">
        <v>60</v>
      </c>
      <c r="AE96" s="108">
        <v>58</v>
      </c>
      <c r="AF96" s="108">
        <v>62</v>
      </c>
      <c r="AG96" s="108">
        <v>56</v>
      </c>
      <c r="AH96" s="108">
        <v>109</v>
      </c>
      <c r="AI96" s="108">
        <v>123</v>
      </c>
      <c r="AJ96" s="108">
        <v>114</v>
      </c>
      <c r="AK96" s="108">
        <v>138</v>
      </c>
      <c r="AL96" s="108">
        <v>129</v>
      </c>
      <c r="AM96" s="108">
        <v>130</v>
      </c>
      <c r="AN96" s="108">
        <v>153</v>
      </c>
      <c r="AO96" s="108">
        <v>160</v>
      </c>
      <c r="AP96" s="108">
        <v>160</v>
      </c>
      <c r="AQ96" s="108">
        <v>132</v>
      </c>
      <c r="AR96" s="108">
        <v>139</v>
      </c>
      <c r="AS96" s="108">
        <v>192</v>
      </c>
      <c r="AT96" s="108">
        <v>192</v>
      </c>
      <c r="AU96" s="108">
        <v>192</v>
      </c>
      <c r="AV96" s="108">
        <v>192</v>
      </c>
      <c r="AW96" s="108">
        <v>160</v>
      </c>
      <c r="AX96" s="108">
        <v>160</v>
      </c>
      <c r="AY96" s="108">
        <v>160</v>
      </c>
    </row>
    <row r="97" spans="1:52">
      <c r="A97" s="107"/>
      <c r="B97" s="124">
        <v>3</v>
      </c>
      <c r="C97" s="108">
        <v>189.91333763612755</v>
      </c>
      <c r="D97" s="108">
        <v>189.91333763612755</v>
      </c>
      <c r="E97" s="108">
        <v>189.91333763612755</v>
      </c>
      <c r="F97" s="108">
        <v>30</v>
      </c>
      <c r="G97" s="108">
        <v>30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0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0</v>
      </c>
      <c r="AK97" s="108">
        <v>0</v>
      </c>
      <c r="AL97" s="108">
        <v>0</v>
      </c>
      <c r="AM97" s="108">
        <v>0</v>
      </c>
      <c r="AN97" s="108">
        <v>0</v>
      </c>
      <c r="AO97" s="108">
        <v>29</v>
      </c>
      <c r="AP97" s="108">
        <v>2</v>
      </c>
      <c r="AQ97" s="108">
        <v>0</v>
      </c>
      <c r="AR97" s="108">
        <v>0</v>
      </c>
      <c r="AS97" s="108">
        <v>1</v>
      </c>
      <c r="AT97" s="108">
        <v>69</v>
      </c>
      <c r="AU97" s="108">
        <v>93</v>
      </c>
      <c r="AV97" s="108">
        <v>157</v>
      </c>
      <c r="AW97" s="108">
        <v>192</v>
      </c>
      <c r="AX97" s="108">
        <v>160</v>
      </c>
      <c r="AY97" s="108">
        <v>160</v>
      </c>
    </row>
    <row r="98" spans="1:52">
      <c r="A98" s="107"/>
      <c r="B98" s="127">
        <v>4</v>
      </c>
      <c r="C98" s="104">
        <v>189.91333763612755</v>
      </c>
      <c r="D98" s="108">
        <v>189.91333763612755</v>
      </c>
      <c r="E98" s="108">
        <v>189.91333763612755</v>
      </c>
      <c r="F98" s="108">
        <v>189.91333763612755</v>
      </c>
      <c r="G98" s="108">
        <v>30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6</v>
      </c>
      <c r="AX98" s="108">
        <v>23</v>
      </c>
      <c r="AY98" s="108">
        <v>15</v>
      </c>
    </row>
    <row r="99" spans="1:52">
      <c r="A99" s="125"/>
      <c r="B99" s="129" t="s">
        <v>297</v>
      </c>
      <c r="C99" s="122">
        <v>65.913337636127551</v>
      </c>
      <c r="D99" s="122">
        <v>14.913337636127551</v>
      </c>
      <c r="E99" s="122">
        <v>74.913337636127551</v>
      </c>
      <c r="F99" s="122">
        <v>79.913337636127551</v>
      </c>
      <c r="G99" s="122">
        <v>40.913337636127551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210.6533505445102</v>
      </c>
    </row>
    <row r="100" spans="1:52">
      <c r="A100" s="128" t="s">
        <v>133</v>
      </c>
      <c r="B100" s="116">
        <v>1</v>
      </c>
      <c r="C100" s="104">
        <v>180.96820894043285</v>
      </c>
      <c r="D100" s="104">
        <v>0</v>
      </c>
      <c r="E100" s="104">
        <v>85.478437708564357</v>
      </c>
      <c r="F100" s="104">
        <v>169.46145592990553</v>
      </c>
      <c r="G100" s="104">
        <v>169.46145592990553</v>
      </c>
      <c r="H100" s="104">
        <v>129.88085034522427</v>
      </c>
      <c r="I100" s="104">
        <v>70.267668399790836</v>
      </c>
      <c r="J100" s="104">
        <v>3.9975862135886218E-20</v>
      </c>
      <c r="K100" s="104">
        <v>3.9975862135886218E-20</v>
      </c>
      <c r="L100" s="104">
        <v>39.580605584681244</v>
      </c>
      <c r="M100" s="104">
        <v>39.580605584681244</v>
      </c>
      <c r="N100" s="104">
        <v>162.32885684511965</v>
      </c>
      <c r="O100" s="104">
        <v>169.46145592990553</v>
      </c>
      <c r="P100" s="104">
        <v>169.46145592990553</v>
      </c>
      <c r="Q100" s="104">
        <v>129.88085034522427</v>
      </c>
      <c r="R100" s="104">
        <v>129.88085034522427</v>
      </c>
      <c r="S100" s="104">
        <v>169.46145592990553</v>
      </c>
      <c r="T100" s="104">
        <v>162.32885684511965</v>
      </c>
      <c r="U100" s="104">
        <v>129.88085034522427</v>
      </c>
      <c r="V100" s="104">
        <v>216.34899167293776</v>
      </c>
      <c r="W100" s="104">
        <v>46.887535743032231</v>
      </c>
      <c r="X100" s="104">
        <v>169.63578700347063</v>
      </c>
      <c r="Y100" s="104">
        <v>129.88085034522427</v>
      </c>
      <c r="Z100" s="104">
        <v>162.32885684511965</v>
      </c>
      <c r="AA100" s="104">
        <v>169.46145592990553</v>
      </c>
      <c r="AB100" s="104">
        <v>169.46145592990553</v>
      </c>
      <c r="AC100" s="104">
        <v>39.580605584681244</v>
      </c>
      <c r="AD100" s="104">
        <v>162.32885684511965</v>
      </c>
      <c r="AE100" s="104">
        <v>129.88085034522427</v>
      </c>
      <c r="AF100" s="104">
        <v>169.46145592990553</v>
      </c>
      <c r="AG100" s="104">
        <v>129.88085034522427</v>
      </c>
      <c r="AH100" s="104">
        <v>143.48528586086076</v>
      </c>
      <c r="AI100" s="104">
        <v>103.9046802761795</v>
      </c>
      <c r="AJ100" s="104">
        <v>143.48528586086076</v>
      </c>
      <c r="AK100" s="104">
        <v>54.924136992236043</v>
      </c>
      <c r="AL100" s="104">
        <v>169.46145592990553</v>
      </c>
      <c r="AM100" s="104">
        <v>15.343531407554796</v>
      </c>
      <c r="AN100" s="104">
        <v>146.98532543756485</v>
      </c>
      <c r="AO100" s="104">
        <v>169.46145592990553</v>
      </c>
      <c r="AP100" s="104">
        <v>129.88085034522427</v>
      </c>
      <c r="AQ100" s="104">
        <v>54.924136992236043</v>
      </c>
      <c r="AR100" s="104">
        <v>146.98532543756485</v>
      </c>
      <c r="AS100" s="104">
        <v>169.46145592990553</v>
      </c>
      <c r="AT100" s="104">
        <v>39.580605584681244</v>
      </c>
      <c r="AU100" s="104">
        <v>169.46145592990555</v>
      </c>
      <c r="AV100" s="104">
        <v>169.46145592990553</v>
      </c>
      <c r="AW100" s="104">
        <v>169.46145592990555</v>
      </c>
      <c r="AX100" s="104">
        <v>0</v>
      </c>
      <c r="AY100" s="104">
        <v>169.46145592990555</v>
      </c>
    </row>
    <row r="101" spans="1:52">
      <c r="A101" s="107"/>
      <c r="B101" s="116">
        <v>2</v>
      </c>
      <c r="C101" s="104">
        <v>22.745671523462761</v>
      </c>
      <c r="D101" s="104">
        <v>175.68208940432845</v>
      </c>
      <c r="E101" s="104">
        <v>180.96820894043285</v>
      </c>
      <c r="F101" s="104">
        <v>85.478437708564357</v>
      </c>
      <c r="G101" s="104">
        <v>60.908102578902728</v>
      </c>
      <c r="H101" s="104">
        <v>133.10643233881407</v>
      </c>
      <c r="I101" s="104">
        <v>62.567888268719599</v>
      </c>
      <c r="J101" s="104">
        <v>0</v>
      </c>
      <c r="K101" s="104">
        <v>0</v>
      </c>
      <c r="L101" s="104">
        <v>79.161211169362488</v>
      </c>
      <c r="M101" s="104">
        <v>7.1054273576010019E-15</v>
      </c>
      <c r="N101" s="104">
        <v>0</v>
      </c>
      <c r="O101" s="104">
        <v>31.328856845119645</v>
      </c>
      <c r="P101" s="104">
        <v>48.790312775025171</v>
      </c>
      <c r="Q101" s="104">
        <v>57.384367789716549</v>
      </c>
      <c r="R101" s="104">
        <v>77.845823719622075</v>
      </c>
      <c r="S101" s="104">
        <v>53.72667406484635</v>
      </c>
      <c r="T101" s="104">
        <v>85.188129994751876</v>
      </c>
      <c r="U101" s="104">
        <v>85.230191509338653</v>
      </c>
      <c r="V101" s="104">
        <v>46.111041854562927</v>
      </c>
      <c r="W101" s="104">
        <v>99.460033527500684</v>
      </c>
      <c r="X101" s="104">
        <v>129.88085034522427</v>
      </c>
      <c r="Y101" s="104">
        <v>151.64923643348075</v>
      </c>
      <c r="Z101" s="104">
        <v>126.41762252173726</v>
      </c>
      <c r="AA101" s="104">
        <v>53.879078451642783</v>
      </c>
      <c r="AB101" s="104">
        <v>53.340534381548309</v>
      </c>
      <c r="AC101" s="104">
        <v>27.801990311453835</v>
      </c>
      <c r="AD101" s="104">
        <v>129.88085034522427</v>
      </c>
      <c r="AE101" s="104">
        <v>105.3423062751298</v>
      </c>
      <c r="AF101" s="104">
        <v>0</v>
      </c>
      <c r="AG101" s="104">
        <v>5.4614559299055259</v>
      </c>
      <c r="AH101" s="104">
        <v>39.580605584681251</v>
      </c>
      <c r="AI101" s="104">
        <v>0</v>
      </c>
      <c r="AJ101" s="104">
        <v>39.580605584681251</v>
      </c>
      <c r="AK101" s="104">
        <v>19.065891445542007</v>
      </c>
      <c r="AL101" s="104">
        <v>88.561148868624713</v>
      </c>
      <c r="AM101" s="104">
        <v>76.022604798530239</v>
      </c>
      <c r="AN101" s="104">
        <v>114.53731893766948</v>
      </c>
      <c r="AO101" s="104">
        <v>69.998774867575008</v>
      </c>
      <c r="AP101" s="104">
        <v>54.040836382161785</v>
      </c>
      <c r="AQ101" s="104">
        <v>39.580605584681251</v>
      </c>
      <c r="AR101" s="104">
        <v>114.53731893766948</v>
      </c>
      <c r="AS101" s="104">
        <v>8.5226443752343357</v>
      </c>
      <c r="AT101" s="104">
        <v>0</v>
      </c>
      <c r="AU101" s="104">
        <v>0</v>
      </c>
      <c r="AV101" s="104">
        <v>0</v>
      </c>
      <c r="AW101" s="104">
        <v>0</v>
      </c>
      <c r="AX101" s="104">
        <v>17.461455929905554</v>
      </c>
      <c r="AY101" s="104">
        <v>39.580605584681244</v>
      </c>
    </row>
    <row r="102" spans="1:52">
      <c r="A102" s="107"/>
      <c r="B102" s="117">
        <v>3</v>
      </c>
      <c r="C102" s="104">
        <v>180.96820894043285</v>
      </c>
      <c r="D102" s="104">
        <v>0</v>
      </c>
      <c r="E102" s="104">
        <v>0</v>
      </c>
      <c r="F102" s="104">
        <v>27.968208940432845</v>
      </c>
      <c r="G102" s="104">
        <v>45.73687383000582</v>
      </c>
      <c r="H102" s="104">
        <v>0</v>
      </c>
      <c r="I102" s="104">
        <v>0</v>
      </c>
      <c r="J102" s="104">
        <v>0</v>
      </c>
      <c r="K102" s="104">
        <v>99.19378753011469</v>
      </c>
      <c r="L102" s="104">
        <v>0</v>
      </c>
      <c r="M102" s="104">
        <v>0</v>
      </c>
      <c r="N102" s="104">
        <v>0</v>
      </c>
      <c r="O102" s="104">
        <v>0</v>
      </c>
      <c r="P102" s="104">
        <v>7.1325990847858662</v>
      </c>
      <c r="Q102" s="104">
        <v>0</v>
      </c>
      <c r="R102" s="104">
        <v>0</v>
      </c>
      <c r="S102" s="104">
        <v>0</v>
      </c>
      <c r="T102" s="104">
        <v>39.580605584681251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39.580605584681244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39.580605584681251</v>
      </c>
      <c r="AP102" s="104">
        <v>0</v>
      </c>
      <c r="AQ102" s="104">
        <v>0</v>
      </c>
      <c r="AR102" s="104">
        <v>0</v>
      </c>
      <c r="AS102" s="104">
        <v>0</v>
      </c>
      <c r="AT102" s="104">
        <v>22.476130492340673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47.267526733387129</v>
      </c>
      <c r="D109" s="104">
        <v>102.84829412098009</v>
      </c>
      <c r="E109" s="104">
        <v>75.077825965937535</v>
      </c>
      <c r="F109" s="104">
        <v>115.09562760479844</v>
      </c>
      <c r="G109" s="104">
        <v>110.5809325189326</v>
      </c>
      <c r="H109" s="104">
        <v>115.89540081184576</v>
      </c>
      <c r="I109" s="104">
        <v>75.315782991142285</v>
      </c>
      <c r="J109" s="104">
        <v>56.054787598330634</v>
      </c>
      <c r="K109" s="104">
        <v>13.724556225081455</v>
      </c>
      <c r="L109" s="104">
        <v>50.260906392299958</v>
      </c>
      <c r="M109" s="104">
        <v>52.743002954127739</v>
      </c>
      <c r="N109" s="104">
        <v>26.730705134763543</v>
      </c>
      <c r="O109" s="104">
        <v>71.942942736876915</v>
      </c>
      <c r="P109" s="104">
        <v>74.570114702510395</v>
      </c>
      <c r="Q109" s="104">
        <v>77.197286668143875</v>
      </c>
      <c r="R109" s="104">
        <v>68.891635455130299</v>
      </c>
      <c r="S109" s="104">
        <v>77.565989032807664</v>
      </c>
      <c r="T109" s="104">
        <v>74.570114702510395</v>
      </c>
      <c r="U109" s="104">
        <v>84.949091646558998</v>
      </c>
      <c r="V109" s="104">
        <v>74.353520392129056</v>
      </c>
      <c r="W109" s="104">
        <v>97.100171350831971</v>
      </c>
      <c r="X109" s="104">
        <v>33.263776120999516</v>
      </c>
      <c r="Y109" s="104">
        <v>122.18340252374779</v>
      </c>
      <c r="Z109" s="104">
        <v>84.119903298742557</v>
      </c>
      <c r="AA109" s="104">
        <v>95.075072484345043</v>
      </c>
      <c r="AB109" s="104">
        <v>87.79707979556413</v>
      </c>
      <c r="AC109" s="104">
        <v>77.999109034903341</v>
      </c>
      <c r="AD109" s="104">
        <v>26.730705134763543</v>
      </c>
      <c r="AE109" s="104">
        <v>119.78235230462377</v>
      </c>
      <c r="AF109" s="104">
        <v>74.328906120681211</v>
      </c>
      <c r="AG109" s="104">
        <v>74.570114702510395</v>
      </c>
      <c r="AH109" s="104">
        <v>74.570114702510409</v>
      </c>
      <c r="AI109" s="104">
        <v>78.008381698643163</v>
      </c>
      <c r="AJ109" s="104">
        <v>51.99608387927897</v>
      </c>
      <c r="AK109" s="104">
        <v>78.008381698643163</v>
      </c>
      <c r="AL109" s="104">
        <v>32.382234835027717</v>
      </c>
      <c r="AM109" s="104">
        <v>107.19011265644374</v>
      </c>
      <c r="AN109" s="104">
        <v>19.376085925345627</v>
      </c>
      <c r="AO109" s="104">
        <v>108.47929290409542</v>
      </c>
      <c r="AP109" s="104">
        <v>100.18693866385949</v>
      </c>
      <c r="AQ109" s="104">
        <v>73.376492666996796</v>
      </c>
      <c r="AR109" s="104">
        <v>45.388383744709806</v>
      </c>
      <c r="AS109" s="104">
        <v>108.47929290409542</v>
      </c>
      <c r="AT109" s="104">
        <v>80.680675385120878</v>
      </c>
      <c r="AU109" s="104">
        <v>44.705594858500731</v>
      </c>
      <c r="AV109" s="104">
        <v>74.570114702510381</v>
      </c>
      <c r="AW109" s="104">
        <v>74.570114702510395</v>
      </c>
      <c r="AX109" s="104">
        <v>74.570114702510381</v>
      </c>
      <c r="AY109" s="104">
        <v>13.724556225081452</v>
      </c>
    </row>
    <row r="110" spans="1:52">
      <c r="A110" s="107"/>
      <c r="B110" s="116">
        <v>2</v>
      </c>
      <c r="C110" s="104">
        <v>25.980298980944809</v>
      </c>
      <c r="D110" s="104">
        <v>0</v>
      </c>
      <c r="E110" s="104">
        <v>20.734364381335155</v>
      </c>
      <c r="F110" s="104">
        <v>10.81219034727269</v>
      </c>
      <c r="G110" s="104">
        <v>48.907817952071127</v>
      </c>
      <c r="H110" s="104">
        <v>94.488750471003726</v>
      </c>
      <c r="I110" s="104">
        <v>115.89540081184576</v>
      </c>
      <c r="J110" s="104">
        <v>75.315782991142285</v>
      </c>
      <c r="K110" s="104">
        <v>56.054787598330634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8.570114702510395</v>
      </c>
      <c r="R110" s="104">
        <v>20.767401370654269</v>
      </c>
      <c r="S110" s="104">
        <v>20.659036825784568</v>
      </c>
      <c r="T110" s="104">
        <v>26.225025858592232</v>
      </c>
      <c r="U110" s="104">
        <v>28.795140561102627</v>
      </c>
      <c r="V110" s="104">
        <v>40.744232207661625</v>
      </c>
      <c r="W110" s="104">
        <v>55.097752599790681</v>
      </c>
      <c r="X110" s="104">
        <v>81.623017755374121</v>
      </c>
      <c r="Y110" s="104">
        <v>18.886793876373638</v>
      </c>
      <c r="Z110" s="104">
        <v>60.070196400121425</v>
      </c>
      <c r="AA110" s="104">
        <v>72.190099698863975</v>
      </c>
      <c r="AB110" s="104">
        <v>61.265172183209017</v>
      </c>
      <c r="AC110" s="104">
        <v>47.062251978773148</v>
      </c>
      <c r="AD110" s="104">
        <v>23.260359621576768</v>
      </c>
      <c r="AE110" s="104">
        <v>3.5527136788005009E-15</v>
      </c>
      <c r="AF110" s="104">
        <v>14.558639036036155</v>
      </c>
      <c r="AG110" s="104">
        <v>15.887545156717366</v>
      </c>
      <c r="AH110" s="104">
        <v>13.443062178922119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39.84601447623379</v>
      </c>
      <c r="AO110" s="104">
        <v>0</v>
      </c>
      <c r="AP110" s="104">
        <v>38.479292904095416</v>
      </c>
      <c r="AQ110" s="104">
        <v>76.181455336721982</v>
      </c>
      <c r="AR110" s="104">
        <v>33.864023910654637</v>
      </c>
      <c r="AS110" s="104">
        <v>7.2524076553644434</v>
      </c>
      <c r="AT110" s="104">
        <v>48.323825721710612</v>
      </c>
      <c r="AU110" s="104">
        <v>31.927386352494771</v>
      </c>
      <c r="AV110" s="104">
        <v>7.1054273576010019E-15</v>
      </c>
      <c r="AW110" s="104">
        <v>1.0483663121039228</v>
      </c>
      <c r="AX110" s="104">
        <v>0.61848101461431781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0.48875047100372626</v>
      </c>
      <c r="J111" s="104">
        <v>34.365634716117697</v>
      </c>
      <c r="K111" s="104">
        <v>8.6814177072599819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181.79612857445323</v>
      </c>
      <c r="D122" s="104">
        <v>36.147717777499018</v>
      </c>
      <c r="E122" s="104">
        <v>117.24358529215662</v>
      </c>
      <c r="F122" s="104">
        <v>193.38738395399247</v>
      </c>
      <c r="G122" s="104">
        <v>193.3873839539925</v>
      </c>
      <c r="H122" s="104">
        <v>159.65771727728537</v>
      </c>
      <c r="I122" s="104">
        <v>98.635361562004164</v>
      </c>
      <c r="J122" s="104">
        <v>35.592757700406658</v>
      </c>
      <c r="K122" s="104">
        <v>35.592757700406658</v>
      </c>
      <c r="L122" s="104">
        <v>69.322424377113762</v>
      </c>
      <c r="M122" s="104">
        <v>69.322424377113762</v>
      </c>
      <c r="N122" s="104">
        <v>186.57417311667533</v>
      </c>
      <c r="O122" s="104">
        <v>193.3873839539925</v>
      </c>
      <c r="P122" s="104">
        <v>193.38738395399247</v>
      </c>
      <c r="Q122" s="104">
        <v>159.6577172772854</v>
      </c>
      <c r="R122" s="104">
        <v>159.65771727728537</v>
      </c>
      <c r="S122" s="104">
        <v>193.3873839539925</v>
      </c>
      <c r="T122" s="104">
        <v>186.57417311667533</v>
      </c>
      <c r="U122" s="104">
        <v>159.6577172772854</v>
      </c>
      <c r="V122" s="104">
        <v>233.34384567414239</v>
      </c>
      <c r="W122" s="104">
        <v>75.549219420556554</v>
      </c>
      <c r="X122" s="104">
        <v>192.80096816011812</v>
      </c>
      <c r="Y122" s="104">
        <v>159.6577172772854</v>
      </c>
      <c r="Z122" s="104">
        <v>186.57417311667533</v>
      </c>
      <c r="AA122" s="104">
        <v>193.3873839539925</v>
      </c>
      <c r="AB122" s="104">
        <v>193.38738395399247</v>
      </c>
      <c r="AC122" s="104">
        <v>69.322424377113762</v>
      </c>
      <c r="AD122" s="104">
        <v>186.57417311667533</v>
      </c>
      <c r="AE122" s="104">
        <v>159.6577172772854</v>
      </c>
      <c r="AF122" s="104">
        <v>193.38738395399247</v>
      </c>
      <c r="AG122" s="104">
        <v>159.6577172772854</v>
      </c>
      <c r="AH122" s="104">
        <v>168.57439203861682</v>
      </c>
      <c r="AI122" s="104">
        <v>134.84472536190972</v>
      </c>
      <c r="AJ122" s="104">
        <v>168.57439203861682</v>
      </c>
      <c r="AK122" s="104">
        <v>83.978892969558956</v>
      </c>
      <c r="AL122" s="104">
        <v>193.3873839539925</v>
      </c>
      <c r="AM122" s="104">
        <v>50.249226292851858</v>
      </c>
      <c r="AN122" s="104">
        <v>171.91770452423015</v>
      </c>
      <c r="AO122" s="104">
        <v>193.38738395399247</v>
      </c>
      <c r="AP122" s="104">
        <v>159.6577172772854</v>
      </c>
      <c r="AQ122" s="104">
        <v>83.978892969558956</v>
      </c>
      <c r="AR122" s="104">
        <v>171.91770452423015</v>
      </c>
      <c r="AS122" s="104">
        <v>193.38738395399247</v>
      </c>
      <c r="AT122" s="104">
        <v>69.322424377113762</v>
      </c>
      <c r="AU122" s="104">
        <v>193.38738395399244</v>
      </c>
      <c r="AV122" s="104">
        <v>193.3873839539925</v>
      </c>
      <c r="AW122" s="104">
        <v>193.38738395399244</v>
      </c>
      <c r="AX122" s="104">
        <v>35.592757700406658</v>
      </c>
      <c r="AY122" s="104">
        <v>193.38738395399244</v>
      </c>
    </row>
    <row r="123" spans="1:52">
      <c r="A123" s="107"/>
      <c r="B123" s="116">
        <v>2</v>
      </c>
      <c r="C123" s="104">
        <v>32.52860184106612</v>
      </c>
      <c r="D123" s="104">
        <v>134.52860184106612</v>
      </c>
      <c r="E123" s="104">
        <v>181.24116849736086</v>
      </c>
      <c r="F123" s="104">
        <v>72.0344955128066</v>
      </c>
      <c r="G123" s="104">
        <v>68.195577619778902</v>
      </c>
      <c r="H123" s="104">
        <v>35.663455302502499</v>
      </c>
      <c r="I123" s="104">
        <v>46.735056265352682</v>
      </c>
      <c r="J123" s="104">
        <v>7.1054273576010019E-15</v>
      </c>
      <c r="K123" s="104">
        <v>0</v>
      </c>
      <c r="L123" s="104">
        <v>67.459333353414223</v>
      </c>
      <c r="M123" s="104">
        <v>0</v>
      </c>
      <c r="N123" s="104">
        <v>0</v>
      </c>
      <c r="O123" s="104">
        <v>0</v>
      </c>
      <c r="P123" s="104">
        <v>0</v>
      </c>
      <c r="Q123" s="104">
        <v>19.003308123165752</v>
      </c>
      <c r="R123" s="104">
        <v>41.499056622027965</v>
      </c>
      <c r="S123" s="104">
        <v>0</v>
      </c>
      <c r="T123" s="104">
        <v>0</v>
      </c>
      <c r="U123" s="104">
        <v>33.167958984140583</v>
      </c>
      <c r="V123" s="104">
        <v>18.472155869296927</v>
      </c>
      <c r="W123" s="104">
        <v>10.715830192607314</v>
      </c>
      <c r="X123" s="104">
        <v>124.06495957687875</v>
      </c>
      <c r="Y123" s="104">
        <v>58.495736050566251</v>
      </c>
      <c r="Z123" s="104">
        <v>59.990011749258997</v>
      </c>
      <c r="AA123" s="104">
        <v>34.302323218906437</v>
      </c>
      <c r="AB123" s="104">
        <v>8.8926273773348044</v>
      </c>
      <c r="AC123" s="104">
        <v>0</v>
      </c>
      <c r="AD123" s="104">
        <v>124.06495957687872</v>
      </c>
      <c r="AE123" s="104">
        <v>33.104125240794176</v>
      </c>
      <c r="AF123" s="104">
        <v>1.4210854715202004E-14</v>
      </c>
      <c r="AG123" s="104">
        <v>1.4210854715202004E-14</v>
      </c>
      <c r="AH123" s="104">
        <v>33.729666676707112</v>
      </c>
      <c r="AI123" s="104">
        <v>0</v>
      </c>
      <c r="AJ123" s="104">
        <v>33.729666676707112</v>
      </c>
      <c r="AK123" s="104">
        <v>0</v>
      </c>
      <c r="AL123" s="104">
        <v>84.595499069057851</v>
      </c>
      <c r="AM123" s="104">
        <v>0</v>
      </c>
      <c r="AN123" s="104">
        <v>109.40849098443351</v>
      </c>
      <c r="AO123" s="104">
        <v>32.704059365670545</v>
      </c>
      <c r="AP123" s="104">
        <v>30.634171332510633</v>
      </c>
      <c r="AQ123" s="104">
        <v>33.729666676707112</v>
      </c>
      <c r="AR123" s="104">
        <v>109.40849098443353</v>
      </c>
      <c r="AS123" s="104">
        <v>15.846902604568243</v>
      </c>
      <c r="AT123" s="104">
        <v>25.145736335690586</v>
      </c>
      <c r="AU123" s="104">
        <v>0</v>
      </c>
      <c r="AV123" s="104">
        <v>0</v>
      </c>
      <c r="AW123" s="104">
        <v>0</v>
      </c>
      <c r="AX123" s="104">
        <v>0</v>
      </c>
      <c r="AY123" s="104">
        <v>33.729666676707097</v>
      </c>
    </row>
    <row r="124" spans="1:52">
      <c r="A124" s="107"/>
      <c r="B124" s="116">
        <v>3</v>
      </c>
      <c r="C124" s="104">
        <v>181.24116849736086</v>
      </c>
      <c r="D124" s="104">
        <v>24.027743992282481</v>
      </c>
      <c r="E124" s="104">
        <v>0</v>
      </c>
      <c r="F124" s="104">
        <v>21.354630671912432</v>
      </c>
      <c r="G124" s="104">
        <v>38.975894540576867</v>
      </c>
      <c r="H124" s="104">
        <v>0</v>
      </c>
      <c r="I124" s="104">
        <v>0</v>
      </c>
      <c r="J124" s="104">
        <v>0</v>
      </c>
      <c r="K124" s="104">
        <v>94.752022391988334</v>
      </c>
      <c r="L124" s="104">
        <v>0</v>
      </c>
      <c r="M124" s="104">
        <v>0</v>
      </c>
      <c r="N124" s="104">
        <v>0</v>
      </c>
      <c r="O124" s="104">
        <v>0</v>
      </c>
      <c r="P124" s="104">
        <v>6.8132108373171576</v>
      </c>
      <c r="Q124" s="104">
        <v>0</v>
      </c>
      <c r="R124" s="104">
        <v>0</v>
      </c>
      <c r="S124" s="104">
        <v>0</v>
      </c>
      <c r="T124" s="104">
        <v>33.729666676707105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33.729666676707105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33.729666676707097</v>
      </c>
      <c r="AP124" s="104">
        <v>0</v>
      </c>
      <c r="AQ124" s="104">
        <v>0</v>
      </c>
      <c r="AR124" s="104">
        <v>0</v>
      </c>
      <c r="AS124" s="104">
        <v>0</v>
      </c>
      <c r="AT124" s="104">
        <v>21.469679429762351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0.26000293352797704</v>
      </c>
      <c r="D172" s="131">
        <v>0.38559968689710844</v>
      </c>
      <c r="E172" s="131">
        <v>0.38559968689710844</v>
      </c>
      <c r="F172" s="131">
        <v>0.38559968689710844</v>
      </c>
      <c r="G172" s="131">
        <v>0.38559968689710844</v>
      </c>
      <c r="H172" s="131">
        <v>0.38559968689710844</v>
      </c>
      <c r="I172" s="131">
        <v>0.38559968689710844</v>
      </c>
      <c r="J172" s="131">
        <v>0.38559968689710844</v>
      </c>
      <c r="K172" s="131">
        <v>0.38559968689710844</v>
      </c>
      <c r="L172" s="131">
        <v>0.38559968689710844</v>
      </c>
      <c r="M172" s="131">
        <v>0.38559968689710844</v>
      </c>
      <c r="N172" s="131">
        <v>0.38559968689710844</v>
      </c>
      <c r="O172" s="131">
        <v>0.38559968689710844</v>
      </c>
      <c r="P172" s="131">
        <v>0.38559968689710844</v>
      </c>
      <c r="Q172" s="131">
        <v>0.38559968689710844</v>
      </c>
      <c r="R172" s="131">
        <v>0.38559968689710844</v>
      </c>
      <c r="S172" s="131">
        <v>0.38559968689710844</v>
      </c>
      <c r="T172" s="131">
        <v>0.38559968689710844</v>
      </c>
      <c r="U172" s="131">
        <v>0.38559968689710844</v>
      </c>
      <c r="V172" s="131">
        <v>0.38559968689710844</v>
      </c>
      <c r="W172" s="131">
        <v>0.38559968689710844</v>
      </c>
      <c r="X172" s="131">
        <v>0.38559968689710844</v>
      </c>
      <c r="Y172" s="131">
        <v>0.38559968689710844</v>
      </c>
      <c r="Z172" s="131">
        <v>0.38559968689710844</v>
      </c>
      <c r="AA172" s="131">
        <v>0.38559968689710844</v>
      </c>
      <c r="AB172" s="131">
        <v>0.38559968689710844</v>
      </c>
      <c r="AC172" s="131">
        <v>0.38559968689710844</v>
      </c>
      <c r="AD172" s="131">
        <v>0.38559968689710844</v>
      </c>
      <c r="AE172" s="131">
        <v>0.38559968689710844</v>
      </c>
      <c r="AF172" s="131">
        <v>0.38559968689710844</v>
      </c>
      <c r="AG172" s="131">
        <v>0.38559968689710844</v>
      </c>
      <c r="AH172" s="131">
        <v>0.38559968689710844</v>
      </c>
      <c r="AI172" s="131">
        <v>0.38559968689710844</v>
      </c>
      <c r="AJ172" s="131">
        <v>0.38559968689710844</v>
      </c>
      <c r="AK172" s="131">
        <v>0.38559968689710844</v>
      </c>
      <c r="AL172" s="131">
        <v>0.38559968689710844</v>
      </c>
      <c r="AM172" s="131">
        <v>0.38559968689710844</v>
      </c>
      <c r="AN172" s="131">
        <v>0.38559968689710844</v>
      </c>
      <c r="AO172" s="131">
        <v>0.38559968689710844</v>
      </c>
      <c r="AP172" s="131">
        <v>0.38559968689710844</v>
      </c>
      <c r="AQ172" s="131">
        <v>0.38559968689710844</v>
      </c>
      <c r="AR172" s="131">
        <v>0.38559968689710844</v>
      </c>
      <c r="AS172" s="131">
        <v>0.38559968689710844</v>
      </c>
      <c r="AT172" s="131">
        <v>0.38559968689710844</v>
      </c>
      <c r="AU172" s="131">
        <v>0.38559968689710844</v>
      </c>
      <c r="AV172" s="131">
        <v>0.38559968689710844</v>
      </c>
      <c r="AW172" s="131">
        <v>0.38559968689710844</v>
      </c>
      <c r="AX172" s="131">
        <v>0.38559968689710844</v>
      </c>
      <c r="AY172" s="131">
        <v>0.38559968689710844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599.7400129083826</v>
      </c>
      <c r="E175" s="121">
        <f t="shared" si="1"/>
        <v>439.8266752722551</v>
      </c>
      <c r="F175" s="121">
        <f t="shared" si="1"/>
        <v>279.91333763612755</v>
      </c>
      <c r="G175" s="121">
        <f t="shared" si="1"/>
        <v>120</v>
      </c>
      <c r="H175" s="121">
        <f t="shared" si="1"/>
        <v>160</v>
      </c>
      <c r="I175" s="121">
        <f t="shared" si="1"/>
        <v>167</v>
      </c>
      <c r="J175" s="121">
        <f t="shared" si="1"/>
        <v>165</v>
      </c>
      <c r="K175" s="121">
        <f t="shared" si="1"/>
        <v>160</v>
      </c>
      <c r="L175" s="121">
        <f t="shared" si="1"/>
        <v>194</v>
      </c>
      <c r="M175" s="121">
        <f t="shared" si="1"/>
        <v>187</v>
      </c>
      <c r="N175" s="121">
        <f t="shared" si="1"/>
        <v>216</v>
      </c>
      <c r="O175" s="121">
        <f t="shared" si="1"/>
        <v>219</v>
      </c>
      <c r="P175" s="121">
        <f t="shared" si="1"/>
        <v>81</v>
      </c>
      <c r="Q175" s="121">
        <f t="shared" si="1"/>
        <v>1.9800163651090964E-20</v>
      </c>
      <c r="R175" s="121">
        <f t="shared" si="1"/>
        <v>9.9000818255454819E-21</v>
      </c>
      <c r="S175" s="121">
        <f t="shared" si="1"/>
        <v>9.9000818255454819E-21</v>
      </c>
      <c r="T175" s="121">
        <f t="shared" si="1"/>
        <v>128</v>
      </c>
      <c r="U175" s="121">
        <f t="shared" si="1"/>
        <v>128</v>
      </c>
      <c r="V175" s="121">
        <f t="shared" si="1"/>
        <v>128</v>
      </c>
      <c r="W175" s="121">
        <f t="shared" si="1"/>
        <v>128</v>
      </c>
      <c r="X175" s="121">
        <f t="shared" si="1"/>
        <v>160</v>
      </c>
      <c r="Y175" s="121">
        <f t="shared" si="1"/>
        <v>160</v>
      </c>
      <c r="Z175" s="121">
        <f t="shared" si="1"/>
        <v>160</v>
      </c>
      <c r="AA175" s="121">
        <f t="shared" si="1"/>
        <v>207</v>
      </c>
      <c r="AB175" s="121">
        <f t="shared" si="1"/>
        <v>180</v>
      </c>
      <c r="AC175" s="121">
        <f t="shared" si="1"/>
        <v>187</v>
      </c>
      <c r="AD175" s="121">
        <f t="shared" si="1"/>
        <v>220</v>
      </c>
      <c r="AE175" s="121">
        <f t="shared" si="1"/>
        <v>218</v>
      </c>
      <c r="AF175" s="121">
        <f t="shared" si="1"/>
        <v>222</v>
      </c>
      <c r="AG175" s="121">
        <f t="shared" si="1"/>
        <v>216</v>
      </c>
      <c r="AH175" s="121">
        <f t="shared" si="1"/>
        <v>269</v>
      </c>
      <c r="AI175" s="121">
        <f t="shared" si="1"/>
        <v>283</v>
      </c>
      <c r="AJ175" s="121">
        <f t="shared" si="1"/>
        <v>274</v>
      </c>
      <c r="AK175" s="121">
        <f t="shared" si="1"/>
        <v>298</v>
      </c>
      <c r="AL175" s="121">
        <f t="shared" si="1"/>
        <v>289</v>
      </c>
      <c r="AM175" s="121">
        <f t="shared" si="1"/>
        <v>290</v>
      </c>
      <c r="AN175" s="121">
        <f t="shared" si="1"/>
        <v>313</v>
      </c>
      <c r="AO175" s="121">
        <f t="shared" si="1"/>
        <v>349</v>
      </c>
      <c r="AP175" s="121">
        <f t="shared" si="1"/>
        <v>322</v>
      </c>
      <c r="AQ175" s="121">
        <f t="shared" si="1"/>
        <v>292</v>
      </c>
      <c r="AR175" s="121">
        <f t="shared" si="1"/>
        <v>331</v>
      </c>
      <c r="AS175" s="121">
        <f t="shared" si="1"/>
        <v>385</v>
      </c>
      <c r="AT175" s="121">
        <f t="shared" si="1"/>
        <v>453</v>
      </c>
      <c r="AU175" s="121">
        <f t="shared" si="1"/>
        <v>477</v>
      </c>
      <c r="AV175" s="121">
        <f t="shared" si="1"/>
        <v>509</v>
      </c>
      <c r="AW175" s="121">
        <f t="shared" si="1"/>
        <v>518</v>
      </c>
      <c r="AX175" s="121">
        <f t="shared" si="1"/>
        <v>503</v>
      </c>
      <c r="AY175" s="121">
        <f t="shared" si="1"/>
        <v>495</v>
      </c>
    </row>
    <row r="176" spans="1:52">
      <c r="A176" s="122"/>
      <c r="B176" s="133" t="s">
        <v>300</v>
      </c>
      <c r="C176" s="122" t="s">
        <v>294</v>
      </c>
      <c r="D176" s="122">
        <v>115</v>
      </c>
      <c r="E176" s="122">
        <v>110</v>
      </c>
      <c r="F176" s="122">
        <v>149</v>
      </c>
      <c r="G176" s="122">
        <v>120</v>
      </c>
      <c r="H176" s="122">
        <v>153</v>
      </c>
      <c r="I176" s="122">
        <v>162</v>
      </c>
      <c r="J176" s="122">
        <v>165</v>
      </c>
      <c r="K176" s="122">
        <v>126</v>
      </c>
      <c r="L176" s="122">
        <v>167</v>
      </c>
      <c r="M176" s="122">
        <v>131</v>
      </c>
      <c r="N176" s="122">
        <v>157</v>
      </c>
      <c r="O176" s="122">
        <v>138</v>
      </c>
      <c r="P176" s="122">
        <v>81</v>
      </c>
      <c r="Q176" s="122">
        <v>1.9800163651090964E-20</v>
      </c>
      <c r="R176" s="122">
        <v>9.9000818255454819E-21</v>
      </c>
      <c r="S176" s="122">
        <v>9.9000818255454819E-21</v>
      </c>
      <c r="T176" s="122">
        <v>128</v>
      </c>
      <c r="U176" s="122">
        <v>128</v>
      </c>
      <c r="V176" s="122">
        <v>128</v>
      </c>
      <c r="W176" s="122">
        <v>128</v>
      </c>
      <c r="X176" s="122">
        <v>160</v>
      </c>
      <c r="Y176" s="122">
        <v>160</v>
      </c>
      <c r="Z176" s="122">
        <v>113</v>
      </c>
      <c r="AA176" s="122">
        <v>187</v>
      </c>
      <c r="AB176" s="122">
        <v>153</v>
      </c>
      <c r="AC176" s="122">
        <v>127</v>
      </c>
      <c r="AD176" s="122">
        <v>162</v>
      </c>
      <c r="AE176" s="122">
        <v>156</v>
      </c>
      <c r="AF176" s="122">
        <v>166</v>
      </c>
      <c r="AG176" s="122">
        <v>107</v>
      </c>
      <c r="AH176" s="122">
        <v>146</v>
      </c>
      <c r="AI176" s="122">
        <v>169</v>
      </c>
      <c r="AJ176" s="122">
        <v>136</v>
      </c>
      <c r="AK176" s="122">
        <v>169</v>
      </c>
      <c r="AL176" s="122">
        <v>159</v>
      </c>
      <c r="AM176" s="122">
        <v>137</v>
      </c>
      <c r="AN176" s="122">
        <v>124</v>
      </c>
      <c r="AO176" s="122">
        <v>187</v>
      </c>
      <c r="AP176" s="122">
        <v>190</v>
      </c>
      <c r="AQ176" s="122">
        <v>153</v>
      </c>
      <c r="AR176" s="122">
        <v>138</v>
      </c>
      <c r="AS176" s="122">
        <v>124</v>
      </c>
      <c r="AT176" s="122">
        <v>168</v>
      </c>
      <c r="AU176" s="122">
        <v>128</v>
      </c>
      <c r="AV176" s="122">
        <v>151</v>
      </c>
      <c r="AW176" s="122">
        <v>175</v>
      </c>
      <c r="AX176" s="122">
        <v>168</v>
      </c>
      <c r="AY176" s="122">
        <v>164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175.68208940432845</v>
      </c>
      <c r="E177" s="121">
        <f t="shared" si="2"/>
        <v>266.44664664899722</v>
      </c>
      <c r="F177" s="121">
        <f t="shared" si="2"/>
        <v>282.90810257890269</v>
      </c>
      <c r="G177" s="121">
        <f t="shared" si="2"/>
        <v>276.1064323388141</v>
      </c>
      <c r="H177" s="121">
        <f t="shared" si="2"/>
        <v>262.98728268403835</v>
      </c>
      <c r="I177" s="121">
        <f t="shared" si="2"/>
        <v>132.83555666851043</v>
      </c>
      <c r="J177" s="121">
        <f t="shared" si="2"/>
        <v>3.9975862135886218E-20</v>
      </c>
      <c r="K177" s="121">
        <f t="shared" si="2"/>
        <v>99.19378753011469</v>
      </c>
      <c r="L177" s="121">
        <f t="shared" si="2"/>
        <v>118.74181675404373</v>
      </c>
      <c r="M177" s="121">
        <f t="shared" si="2"/>
        <v>39.580605584681251</v>
      </c>
      <c r="N177" s="121">
        <f t="shared" si="2"/>
        <v>162.32885684511965</v>
      </c>
      <c r="O177" s="121">
        <f t="shared" si="2"/>
        <v>200.79031277502517</v>
      </c>
      <c r="P177" s="121">
        <f t="shared" si="2"/>
        <v>225.38436778971658</v>
      </c>
      <c r="Q177" s="121">
        <f t="shared" si="2"/>
        <v>187.26521813494082</v>
      </c>
      <c r="R177" s="121">
        <f t="shared" si="2"/>
        <v>207.72667406484635</v>
      </c>
      <c r="S177" s="121">
        <f t="shared" si="2"/>
        <v>223.18812999475188</v>
      </c>
      <c r="T177" s="121">
        <f t="shared" si="2"/>
        <v>287.09759242455277</v>
      </c>
      <c r="U177" s="121">
        <f t="shared" si="2"/>
        <v>215.11104185456293</v>
      </c>
      <c r="V177" s="121">
        <f t="shared" si="2"/>
        <v>262.46003352750068</v>
      </c>
      <c r="W177" s="121">
        <f t="shared" si="2"/>
        <v>146.34756927053292</v>
      </c>
      <c r="X177" s="121">
        <f t="shared" si="2"/>
        <v>299.51663734869487</v>
      </c>
      <c r="Y177" s="121">
        <f t="shared" si="2"/>
        <v>281.53008677870503</v>
      </c>
      <c r="Z177" s="121">
        <f t="shared" si="2"/>
        <v>288.74647936685687</v>
      </c>
      <c r="AA177" s="121">
        <f t="shared" si="2"/>
        <v>223.34053438154831</v>
      </c>
      <c r="AB177" s="121">
        <f t="shared" si="2"/>
        <v>222.80199031145384</v>
      </c>
      <c r="AC177" s="121">
        <f t="shared" si="2"/>
        <v>67.382595896135086</v>
      </c>
      <c r="AD177" s="121">
        <f t="shared" si="2"/>
        <v>292.20970719034392</v>
      </c>
      <c r="AE177" s="121">
        <f t="shared" si="2"/>
        <v>235.22315662035408</v>
      </c>
      <c r="AF177" s="121">
        <f t="shared" si="2"/>
        <v>169.46145592990553</v>
      </c>
      <c r="AG177" s="121">
        <f t="shared" si="2"/>
        <v>174.92291185981105</v>
      </c>
      <c r="AH177" s="121">
        <f t="shared" si="2"/>
        <v>183.06589144554201</v>
      </c>
      <c r="AI177" s="121">
        <f t="shared" si="2"/>
        <v>103.9046802761795</v>
      </c>
      <c r="AJ177" s="121">
        <f t="shared" si="2"/>
        <v>183.06589144554201</v>
      </c>
      <c r="AK177" s="121">
        <f t="shared" si="2"/>
        <v>73.990028437778051</v>
      </c>
      <c r="AL177" s="121">
        <f t="shared" si="2"/>
        <v>258.02260479853021</v>
      </c>
      <c r="AM177" s="121">
        <f t="shared" si="2"/>
        <v>91.366136206085031</v>
      </c>
      <c r="AN177" s="121">
        <f t="shared" si="2"/>
        <v>261.52264437523434</v>
      </c>
      <c r="AO177" s="121">
        <f t="shared" si="2"/>
        <v>279.04083638216179</v>
      </c>
      <c r="AP177" s="121">
        <f t="shared" si="2"/>
        <v>183.92168672738606</v>
      </c>
      <c r="AQ177" s="121">
        <f t="shared" si="2"/>
        <v>94.504742576917295</v>
      </c>
      <c r="AR177" s="121">
        <f t="shared" si="2"/>
        <v>261.52264437523434</v>
      </c>
      <c r="AS177" s="121">
        <f t="shared" si="2"/>
        <v>177.98410030513986</v>
      </c>
      <c r="AT177" s="121">
        <f t="shared" si="2"/>
        <v>62.056736077021917</v>
      </c>
      <c r="AU177" s="121">
        <f t="shared" si="2"/>
        <v>169.46145592990555</v>
      </c>
      <c r="AV177" s="121">
        <f t="shared" si="2"/>
        <v>169.46145592990553</v>
      </c>
      <c r="AW177" s="121">
        <f t="shared" si="2"/>
        <v>169.46145592990555</v>
      </c>
      <c r="AX177" s="121">
        <f t="shared" si="2"/>
        <v>17.461455929905554</v>
      </c>
      <c r="AY177" s="121">
        <f t="shared" si="2"/>
        <v>209.04206151458681</v>
      </c>
    </row>
    <row r="178" spans="1:51">
      <c r="A178" s="122"/>
      <c r="B178" s="133" t="s">
        <v>300</v>
      </c>
      <c r="C178" s="122" t="s">
        <v>294</v>
      </c>
      <c r="D178" s="122">
        <v>175.68208940432845</v>
      </c>
      <c r="E178" s="122">
        <v>153</v>
      </c>
      <c r="F178" s="122">
        <v>222</v>
      </c>
      <c r="G178" s="122">
        <v>143</v>
      </c>
      <c r="H178" s="122">
        <v>240</v>
      </c>
      <c r="I178" s="122">
        <v>132.83555666851043</v>
      </c>
      <c r="J178" s="122">
        <v>3.9975862135886218E-20</v>
      </c>
      <c r="K178" s="122">
        <v>99.19378753011469</v>
      </c>
      <c r="L178" s="122">
        <v>118.74181675404373</v>
      </c>
      <c r="M178" s="122">
        <v>39.580605584681251</v>
      </c>
      <c r="N178" s="122">
        <v>131</v>
      </c>
      <c r="O178" s="122">
        <v>152</v>
      </c>
      <c r="P178" s="122">
        <v>168</v>
      </c>
      <c r="Q178" s="122">
        <v>149</v>
      </c>
      <c r="R178" s="122">
        <v>154</v>
      </c>
      <c r="S178" s="122">
        <v>138</v>
      </c>
      <c r="T178" s="122">
        <v>209</v>
      </c>
      <c r="U178" s="122">
        <v>169</v>
      </c>
      <c r="V178" s="122">
        <v>163</v>
      </c>
      <c r="W178" s="122">
        <v>146.34756927053292</v>
      </c>
      <c r="X178" s="122">
        <v>155</v>
      </c>
      <c r="Y178" s="122">
        <v>202</v>
      </c>
      <c r="Z178" s="122">
        <v>242</v>
      </c>
      <c r="AA178" s="122">
        <v>170</v>
      </c>
      <c r="AB178" s="122">
        <v>195</v>
      </c>
      <c r="AC178" s="122">
        <v>67.382595896135086</v>
      </c>
      <c r="AD178" s="122">
        <v>194</v>
      </c>
      <c r="AE178" s="122">
        <v>235.22315662035408</v>
      </c>
      <c r="AF178" s="122">
        <v>164</v>
      </c>
      <c r="AG178" s="122">
        <v>174.92291185981105</v>
      </c>
      <c r="AH178" s="122">
        <v>183.06589144554201</v>
      </c>
      <c r="AI178" s="122">
        <v>103.9046802761795</v>
      </c>
      <c r="AJ178" s="122">
        <v>164</v>
      </c>
      <c r="AK178" s="122">
        <v>73.990028437778051</v>
      </c>
      <c r="AL178" s="122">
        <v>182</v>
      </c>
      <c r="AM178" s="122">
        <v>91.366136206085031</v>
      </c>
      <c r="AN178" s="122">
        <v>214</v>
      </c>
      <c r="AO178" s="122">
        <v>225</v>
      </c>
      <c r="AP178" s="122">
        <v>183.92168672738606</v>
      </c>
      <c r="AQ178" s="122">
        <v>94.504742576917295</v>
      </c>
      <c r="AR178" s="122">
        <v>253</v>
      </c>
      <c r="AS178" s="122">
        <v>177.98410030513986</v>
      </c>
      <c r="AT178" s="122">
        <v>62.056736077021917</v>
      </c>
      <c r="AU178" s="122">
        <v>169.46145592990555</v>
      </c>
      <c r="AV178" s="122">
        <v>169.46145592990553</v>
      </c>
      <c r="AW178" s="122">
        <v>152</v>
      </c>
      <c r="AX178" s="122">
        <v>17.461455929905554</v>
      </c>
      <c r="AY178" s="122">
        <v>148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102.84829412098009</v>
      </c>
      <c r="E179" s="121">
        <f t="shared" si="3"/>
        <v>95.81219034727269</v>
      </c>
      <c r="F179" s="121">
        <f t="shared" si="3"/>
        <v>125.90781795207113</v>
      </c>
      <c r="G179" s="121">
        <f t="shared" si="3"/>
        <v>159.48875047100373</v>
      </c>
      <c r="H179" s="121">
        <f t="shared" si="3"/>
        <v>210.38415128284947</v>
      </c>
      <c r="I179" s="121">
        <f t="shared" si="3"/>
        <v>191.69993427399177</v>
      </c>
      <c r="J179" s="121">
        <f t="shared" si="3"/>
        <v>165.7362053055906</v>
      </c>
      <c r="K179" s="121">
        <f t="shared" si="3"/>
        <v>78.460761530672073</v>
      </c>
      <c r="L179" s="121">
        <f t="shared" si="3"/>
        <v>50.260906392299958</v>
      </c>
      <c r="M179" s="121">
        <f t="shared" si="3"/>
        <v>52.743002954127739</v>
      </c>
      <c r="N179" s="121">
        <f t="shared" si="3"/>
        <v>26.730705134763543</v>
      </c>
      <c r="O179" s="121">
        <f t="shared" si="3"/>
        <v>71.942942736876915</v>
      </c>
      <c r="P179" s="121">
        <f t="shared" si="3"/>
        <v>74.570114702510395</v>
      </c>
      <c r="Q179" s="121">
        <f t="shared" si="3"/>
        <v>85.767401370654269</v>
      </c>
      <c r="R179" s="121">
        <f t="shared" si="3"/>
        <v>89.659036825784568</v>
      </c>
      <c r="S179" s="121">
        <f t="shared" si="3"/>
        <v>98.225025858592232</v>
      </c>
      <c r="T179" s="121">
        <f t="shared" si="3"/>
        <v>100.79514056110263</v>
      </c>
      <c r="U179" s="121">
        <f t="shared" si="3"/>
        <v>113.74423220766163</v>
      </c>
      <c r="V179" s="121">
        <f t="shared" si="3"/>
        <v>115.09775259979068</v>
      </c>
      <c r="W179" s="121">
        <f t="shared" si="3"/>
        <v>152.19792395062265</v>
      </c>
      <c r="X179" s="121">
        <f t="shared" si="3"/>
        <v>114.88679387637364</v>
      </c>
      <c r="Y179" s="121">
        <f t="shared" si="3"/>
        <v>141.07019640012143</v>
      </c>
      <c r="Z179" s="121">
        <f t="shared" si="3"/>
        <v>144.19009969886397</v>
      </c>
      <c r="AA179" s="121">
        <f t="shared" si="3"/>
        <v>167.26517218320902</v>
      </c>
      <c r="AB179" s="121">
        <f t="shared" si="3"/>
        <v>149.06225197877313</v>
      </c>
      <c r="AC179" s="121">
        <f t="shared" si="3"/>
        <v>125.06136101367649</v>
      </c>
      <c r="AD179" s="121">
        <f t="shared" si="3"/>
        <v>49.991064756340307</v>
      </c>
      <c r="AE179" s="121">
        <f t="shared" si="3"/>
        <v>119.78235230462377</v>
      </c>
      <c r="AF179" s="121">
        <f t="shared" si="3"/>
        <v>88.887545156717366</v>
      </c>
      <c r="AG179" s="121">
        <f t="shared" si="3"/>
        <v>90.457659859227761</v>
      </c>
      <c r="AH179" s="121">
        <f t="shared" si="3"/>
        <v>88.013176881432528</v>
      </c>
      <c r="AI179" s="121">
        <f t="shared" si="3"/>
        <v>78.008381698643163</v>
      </c>
      <c r="AJ179" s="121">
        <f t="shared" si="3"/>
        <v>51.99608387927897</v>
      </c>
      <c r="AK179" s="121">
        <f t="shared" si="3"/>
        <v>78.008381698643163</v>
      </c>
      <c r="AL179" s="121">
        <f t="shared" si="3"/>
        <v>32.382234835027717</v>
      </c>
      <c r="AM179" s="121">
        <f t="shared" si="3"/>
        <v>107.19011265644374</v>
      </c>
      <c r="AN179" s="121">
        <f t="shared" si="3"/>
        <v>59.222100401579418</v>
      </c>
      <c r="AO179" s="121">
        <f t="shared" si="3"/>
        <v>108.47929290409542</v>
      </c>
      <c r="AP179" s="121">
        <f t="shared" si="3"/>
        <v>138.66623156795492</v>
      </c>
      <c r="AQ179" s="121">
        <f t="shared" si="3"/>
        <v>149.55794800371876</v>
      </c>
      <c r="AR179" s="121">
        <f t="shared" si="3"/>
        <v>79.252407655364436</v>
      </c>
      <c r="AS179" s="121">
        <f t="shared" si="3"/>
        <v>115.73170055945985</v>
      </c>
      <c r="AT179" s="121">
        <f t="shared" si="3"/>
        <v>129.0045011068315</v>
      </c>
      <c r="AU179" s="121">
        <f t="shared" si="3"/>
        <v>76.632981210995496</v>
      </c>
      <c r="AV179" s="121">
        <f t="shared" si="3"/>
        <v>74.570114702510381</v>
      </c>
      <c r="AW179" s="121">
        <f t="shared" si="3"/>
        <v>75.618481014614318</v>
      </c>
      <c r="AX179" s="121">
        <f t="shared" si="3"/>
        <v>75.188595717124699</v>
      </c>
      <c r="AY179" s="121">
        <f t="shared" si="3"/>
        <v>13.724556225081452</v>
      </c>
    </row>
    <row r="180" spans="1:51">
      <c r="A180" s="122"/>
      <c r="B180" s="133" t="s">
        <v>300</v>
      </c>
      <c r="C180" s="122" t="s">
        <v>294</v>
      </c>
      <c r="D180" s="122">
        <v>82.113929739644931</v>
      </c>
      <c r="E180" s="122">
        <v>85</v>
      </c>
      <c r="F180" s="122">
        <v>77</v>
      </c>
      <c r="G180" s="122">
        <v>65</v>
      </c>
      <c r="H180" s="122">
        <v>94</v>
      </c>
      <c r="I180" s="122">
        <v>82.01851656673179</v>
      </c>
      <c r="J180" s="122">
        <v>101</v>
      </c>
      <c r="K180" s="122">
        <v>78.460761530672073</v>
      </c>
      <c r="L180" s="122">
        <v>50.260906392299958</v>
      </c>
      <c r="M180" s="122">
        <v>52.743002954127739</v>
      </c>
      <c r="N180" s="122">
        <v>26.730705134763543</v>
      </c>
      <c r="O180" s="122">
        <v>71.942942736876915</v>
      </c>
      <c r="P180" s="122">
        <v>66</v>
      </c>
      <c r="Q180" s="122">
        <v>65</v>
      </c>
      <c r="R180" s="122">
        <v>69</v>
      </c>
      <c r="S180" s="122">
        <v>72</v>
      </c>
      <c r="T180" s="122">
        <v>72</v>
      </c>
      <c r="U180" s="122">
        <v>73</v>
      </c>
      <c r="V180" s="122">
        <v>60</v>
      </c>
      <c r="W180" s="122">
        <v>70.574906195248531</v>
      </c>
      <c r="X180" s="122">
        <v>96</v>
      </c>
      <c r="Y180" s="122">
        <v>81</v>
      </c>
      <c r="Z180" s="122">
        <v>72</v>
      </c>
      <c r="AA180" s="122">
        <v>106</v>
      </c>
      <c r="AB180" s="122">
        <v>102</v>
      </c>
      <c r="AC180" s="122">
        <v>101.80100139209972</v>
      </c>
      <c r="AD180" s="122">
        <v>49.991064756340307</v>
      </c>
      <c r="AE180" s="122">
        <v>105.22371326858762</v>
      </c>
      <c r="AF180" s="122">
        <v>73</v>
      </c>
      <c r="AG180" s="122">
        <v>77.014597680305641</v>
      </c>
      <c r="AH180" s="122">
        <v>88.013176881432528</v>
      </c>
      <c r="AI180" s="122">
        <v>78.008381698643163</v>
      </c>
      <c r="AJ180" s="122">
        <v>51.99608387927897</v>
      </c>
      <c r="AK180" s="122">
        <v>78.008381698643163</v>
      </c>
      <c r="AL180" s="122">
        <v>32.382234835027717</v>
      </c>
      <c r="AM180" s="122">
        <v>67.344098180209954</v>
      </c>
      <c r="AN180" s="122">
        <v>59.222100401579418</v>
      </c>
      <c r="AO180" s="122">
        <v>70</v>
      </c>
      <c r="AP180" s="122">
        <v>62.484776231232928</v>
      </c>
      <c r="AQ180" s="122">
        <v>115.69392409306414</v>
      </c>
      <c r="AR180" s="122">
        <v>72</v>
      </c>
      <c r="AS180" s="122">
        <v>67.407874837749247</v>
      </c>
      <c r="AT180" s="122">
        <v>97.077114754336719</v>
      </c>
      <c r="AU180" s="122">
        <v>76.632981210995496</v>
      </c>
      <c r="AV180" s="122">
        <v>73.521748390406472</v>
      </c>
      <c r="AW180" s="122">
        <v>75</v>
      </c>
      <c r="AX180" s="122">
        <v>75.188595717124699</v>
      </c>
      <c r="AY180" s="122">
        <v>13.724556225081452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119.62623764491011</v>
      </c>
      <c r="E181" s="121">
        <f t="shared" si="4"/>
        <v>183.38912618471903</v>
      </c>
      <c r="F181" s="121">
        <f t="shared" si="4"/>
        <v>176.1955776197789</v>
      </c>
      <c r="G181" s="121">
        <f t="shared" si="4"/>
        <v>184.66345530250251</v>
      </c>
      <c r="H181" s="121">
        <f t="shared" si="4"/>
        <v>120.00538958864557</v>
      </c>
      <c r="I181" s="121">
        <f t="shared" si="4"/>
        <v>89.315630229026212</v>
      </c>
      <c r="J181" s="121">
        <f t="shared" si="4"/>
        <v>21.868201475325211</v>
      </c>
      <c r="K181" s="121">
        <f t="shared" si="4"/>
        <v>80.083873700095026</v>
      </c>
      <c r="L181" s="121">
        <f t="shared" si="4"/>
        <v>84.038754776400268</v>
      </c>
      <c r="M181" s="121">
        <f t="shared" si="4"/>
        <v>42.591719242350216</v>
      </c>
      <c r="N181" s="121">
        <f t="shared" si="4"/>
        <v>114.63123037979841</v>
      </c>
      <c r="O181" s="121">
        <f t="shared" si="4"/>
        <v>118.8172692514821</v>
      </c>
      <c r="P181" s="121">
        <f t="shared" si="4"/>
        <v>123.00330812316577</v>
      </c>
      <c r="Q181" s="121">
        <f t="shared" si="4"/>
        <v>109.76938994532084</v>
      </c>
      <c r="R181" s="121">
        <f t="shared" si="4"/>
        <v>123.59078486650569</v>
      </c>
      <c r="S181" s="121">
        <f t="shared" si="4"/>
        <v>118.8172692514821</v>
      </c>
      <c r="T181" s="121">
        <f t="shared" si="4"/>
        <v>135.35474814682343</v>
      </c>
      <c r="U181" s="121">
        <f t="shared" si="4"/>
        <v>118.47215586929694</v>
      </c>
      <c r="V181" s="121">
        <f t="shared" si="4"/>
        <v>154.71583019260734</v>
      </c>
      <c r="W181" s="121">
        <f t="shared" si="4"/>
        <v>53.001273492164351</v>
      </c>
      <c r="X181" s="121">
        <f t="shared" si="4"/>
        <v>194.68252521324908</v>
      </c>
      <c r="Y181" s="121">
        <f t="shared" si="4"/>
        <v>134.03355002910911</v>
      </c>
      <c r="Z181" s="121">
        <f t="shared" si="4"/>
        <v>151.48911238158928</v>
      </c>
      <c r="AA181" s="121">
        <f t="shared" si="4"/>
        <v>139.8926273773348</v>
      </c>
      <c r="AB181" s="121">
        <f t="shared" si="4"/>
        <v>124.28090229642393</v>
      </c>
      <c r="AC181" s="121">
        <f t="shared" si="4"/>
        <v>42.591719242350216</v>
      </c>
      <c r="AD181" s="121">
        <f t="shared" si="4"/>
        <v>190.8567803889303</v>
      </c>
      <c r="AE181" s="121">
        <f t="shared" si="4"/>
        <v>118.43293639739835</v>
      </c>
      <c r="AF181" s="121">
        <f t="shared" si="4"/>
        <v>118.81726925148207</v>
      </c>
      <c r="AG181" s="121">
        <f t="shared" si="4"/>
        <v>118.81726925148212</v>
      </c>
      <c r="AH181" s="121">
        <f t="shared" si="4"/>
        <v>124.29567701668078</v>
      </c>
      <c r="AI181" s="121">
        <f t="shared" si="4"/>
        <v>82.848641482630754</v>
      </c>
      <c r="AJ181" s="121">
        <f t="shared" si="4"/>
        <v>124.29567701668078</v>
      </c>
      <c r="AK181" s="121">
        <f t="shared" si="4"/>
        <v>51.596658134531239</v>
      </c>
      <c r="AL181" s="121">
        <f t="shared" si="4"/>
        <v>170.79277036660662</v>
      </c>
      <c r="AM181" s="121">
        <f t="shared" si="4"/>
        <v>30.873140367506231</v>
      </c>
      <c r="AN181" s="121">
        <f t="shared" si="4"/>
        <v>172.84690260456824</v>
      </c>
      <c r="AO181" s="121">
        <f t="shared" si="4"/>
        <v>159.63417133251065</v>
      </c>
      <c r="AP181" s="121">
        <f t="shared" si="4"/>
        <v>116.91539594279925</v>
      </c>
      <c r="AQ181" s="121">
        <f t="shared" si="4"/>
        <v>72.320175901556254</v>
      </c>
      <c r="AR181" s="121">
        <f t="shared" si="4"/>
        <v>172.84690260456824</v>
      </c>
      <c r="AS181" s="121">
        <f t="shared" si="4"/>
        <v>128.55361117343983</v>
      </c>
      <c r="AT181" s="121">
        <f t="shared" si="4"/>
        <v>71.232245284065968</v>
      </c>
      <c r="AU181" s="121">
        <f t="shared" si="4"/>
        <v>118.81726925148206</v>
      </c>
      <c r="AV181" s="121">
        <f t="shared" si="4"/>
        <v>118.8172692514821</v>
      </c>
      <c r="AW181" s="121">
        <f t="shared" si="4"/>
        <v>118.81726925148206</v>
      </c>
      <c r="AX181" s="121">
        <f t="shared" si="4"/>
        <v>21.868201475325204</v>
      </c>
      <c r="AY181" s="121">
        <f t="shared" si="4"/>
        <v>139.54078701850707</v>
      </c>
    </row>
    <row r="182" spans="1:51">
      <c r="A182" s="122"/>
      <c r="B182" s="133" t="s">
        <v>300</v>
      </c>
      <c r="C182" s="122" t="s">
        <v>294</v>
      </c>
      <c r="D182" s="122">
        <v>119.62623764491011</v>
      </c>
      <c r="E182" s="122">
        <v>90</v>
      </c>
      <c r="F182" s="122">
        <v>108</v>
      </c>
      <c r="G182" s="122">
        <v>149</v>
      </c>
      <c r="H182" s="122">
        <v>107</v>
      </c>
      <c r="I182" s="122">
        <v>89.315630229026212</v>
      </c>
      <c r="J182" s="122">
        <v>21.868201475325211</v>
      </c>
      <c r="K182" s="122">
        <v>80.083873700095026</v>
      </c>
      <c r="L182" s="122">
        <v>84.038754776400268</v>
      </c>
      <c r="M182" s="122">
        <v>42.591719242350216</v>
      </c>
      <c r="N182" s="122">
        <v>114.63123037979841</v>
      </c>
      <c r="O182" s="122">
        <v>118.8172692514821</v>
      </c>
      <c r="P182" s="122">
        <v>104</v>
      </c>
      <c r="Q182" s="122">
        <v>102</v>
      </c>
      <c r="R182" s="122">
        <v>123.59078486650569</v>
      </c>
      <c r="S182" s="122">
        <v>118.8172692514821</v>
      </c>
      <c r="T182" s="122">
        <v>109</v>
      </c>
      <c r="U182" s="122">
        <v>100</v>
      </c>
      <c r="V182" s="122">
        <v>144</v>
      </c>
      <c r="W182" s="122">
        <v>53.001273492164351</v>
      </c>
      <c r="X182" s="122">
        <v>143</v>
      </c>
      <c r="Y182" s="122">
        <v>114</v>
      </c>
      <c r="Z182" s="122">
        <v>124</v>
      </c>
      <c r="AA182" s="122">
        <v>131</v>
      </c>
      <c r="AB182" s="122">
        <v>124.28090229642393</v>
      </c>
      <c r="AC182" s="122">
        <v>42.591719242350216</v>
      </c>
      <c r="AD182" s="122">
        <v>164.56586598545326</v>
      </c>
      <c r="AE182" s="122">
        <v>118.43293639739835</v>
      </c>
      <c r="AF182" s="122">
        <v>118.81726925148207</v>
      </c>
      <c r="AG182" s="122">
        <v>118.81726925148212</v>
      </c>
      <c r="AH182" s="122">
        <v>124.29567701668078</v>
      </c>
      <c r="AI182" s="122">
        <v>82.848641482630754</v>
      </c>
      <c r="AJ182" s="122">
        <v>124.29567701668078</v>
      </c>
      <c r="AK182" s="122">
        <v>51.596658134531239</v>
      </c>
      <c r="AL182" s="122">
        <v>170.79277036660662</v>
      </c>
      <c r="AM182" s="122">
        <v>30.873140367506231</v>
      </c>
      <c r="AN182" s="122">
        <v>161.61252266866003</v>
      </c>
      <c r="AO182" s="122">
        <v>129</v>
      </c>
      <c r="AP182" s="122">
        <v>116.91539594279925</v>
      </c>
      <c r="AQ182" s="122">
        <v>72.320175901556254</v>
      </c>
      <c r="AR182" s="122">
        <v>157</v>
      </c>
      <c r="AS182" s="122">
        <v>103.40787483774925</v>
      </c>
      <c r="AT182" s="122">
        <v>71.232245284065968</v>
      </c>
      <c r="AU182" s="122">
        <v>118.81726925148206</v>
      </c>
      <c r="AV182" s="122">
        <v>118.8172692514821</v>
      </c>
      <c r="AW182" s="122">
        <v>118.81726925148206</v>
      </c>
      <c r="AX182" s="122">
        <v>21.868201475325204</v>
      </c>
      <c r="AY182" s="122">
        <v>121.2192481943697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30</v>
      </c>
      <c r="H185" s="121">
        <v>153</v>
      </c>
      <c r="I185" s="121">
        <v>155</v>
      </c>
      <c r="J185" s="121">
        <v>160</v>
      </c>
      <c r="K185" s="121">
        <v>126</v>
      </c>
      <c r="L185" s="121">
        <v>133</v>
      </c>
      <c r="M185" s="121">
        <v>104</v>
      </c>
      <c r="N185" s="121">
        <v>101</v>
      </c>
      <c r="O185" s="121">
        <v>79</v>
      </c>
      <c r="P185" s="121">
        <v>0</v>
      </c>
      <c r="Q185" s="121">
        <v>9.9000818255454819E-21</v>
      </c>
      <c r="R185" s="121">
        <v>9.9000818255454819E-21</v>
      </c>
      <c r="S185" s="121">
        <v>9.9000818255454819E-21</v>
      </c>
      <c r="T185" s="121">
        <v>128</v>
      </c>
      <c r="U185" s="121">
        <v>128</v>
      </c>
      <c r="V185" s="121">
        <v>128</v>
      </c>
      <c r="W185" s="121">
        <v>128</v>
      </c>
      <c r="X185" s="121">
        <v>160</v>
      </c>
      <c r="Y185" s="121">
        <v>160</v>
      </c>
      <c r="Z185" s="121">
        <v>113</v>
      </c>
      <c r="AA185" s="121">
        <v>140</v>
      </c>
      <c r="AB185" s="121">
        <v>133</v>
      </c>
      <c r="AC185" s="121">
        <v>100</v>
      </c>
      <c r="AD185" s="121">
        <v>102</v>
      </c>
      <c r="AE185" s="121">
        <v>98</v>
      </c>
      <c r="AF185" s="121">
        <v>104</v>
      </c>
      <c r="AG185" s="121">
        <v>51</v>
      </c>
      <c r="AH185" s="121">
        <v>37</v>
      </c>
      <c r="AI185" s="121">
        <v>46</v>
      </c>
      <c r="AJ185" s="121">
        <v>22</v>
      </c>
      <c r="AK185" s="121">
        <v>31</v>
      </c>
      <c r="AL185" s="121">
        <v>30</v>
      </c>
      <c r="AM185" s="121">
        <v>7</v>
      </c>
      <c r="AN185" s="121">
        <v>0</v>
      </c>
      <c r="AO185" s="121">
        <v>0</v>
      </c>
      <c r="AP185" s="121">
        <v>28</v>
      </c>
      <c r="AQ185" s="121">
        <v>21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30</v>
      </c>
      <c r="H186" s="104">
        <v>0</v>
      </c>
      <c r="I186" s="104">
        <v>7</v>
      </c>
      <c r="J186" s="104">
        <v>5</v>
      </c>
      <c r="K186" s="104">
        <v>0</v>
      </c>
      <c r="L186" s="104">
        <v>34</v>
      </c>
      <c r="M186" s="104">
        <v>27</v>
      </c>
      <c r="N186" s="104">
        <v>56</v>
      </c>
      <c r="O186" s="104">
        <v>59</v>
      </c>
      <c r="P186" s="104">
        <v>81</v>
      </c>
      <c r="Q186" s="104">
        <v>9.9000818255454819E-21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47</v>
      </c>
      <c r="AB186" s="104">
        <v>20</v>
      </c>
      <c r="AC186" s="104">
        <v>27</v>
      </c>
      <c r="AD186" s="104">
        <v>60</v>
      </c>
      <c r="AE186" s="104">
        <v>58</v>
      </c>
      <c r="AF186" s="104">
        <v>62</v>
      </c>
      <c r="AG186" s="104">
        <v>56</v>
      </c>
      <c r="AH186" s="104">
        <v>109</v>
      </c>
      <c r="AI186" s="104">
        <v>123</v>
      </c>
      <c r="AJ186" s="104">
        <v>114</v>
      </c>
      <c r="AK186" s="104">
        <v>138</v>
      </c>
      <c r="AL186" s="104">
        <v>129</v>
      </c>
      <c r="AM186" s="104">
        <v>130</v>
      </c>
      <c r="AN186" s="104">
        <v>124</v>
      </c>
      <c r="AO186" s="104">
        <v>158</v>
      </c>
      <c r="AP186" s="104">
        <v>160</v>
      </c>
      <c r="AQ186" s="104">
        <v>132</v>
      </c>
      <c r="AR186" s="104">
        <v>138</v>
      </c>
      <c r="AS186" s="104">
        <v>123</v>
      </c>
      <c r="AT186" s="104">
        <v>99</v>
      </c>
      <c r="AU186" s="104">
        <v>35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30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29</v>
      </c>
      <c r="AP187" s="104">
        <v>2</v>
      </c>
      <c r="AQ187" s="104">
        <v>0</v>
      </c>
      <c r="AR187" s="104">
        <v>0</v>
      </c>
      <c r="AS187" s="104">
        <v>1</v>
      </c>
      <c r="AT187" s="104">
        <v>69</v>
      </c>
      <c r="AU187" s="104">
        <v>93</v>
      </c>
      <c r="AV187" s="104">
        <v>151</v>
      </c>
      <c r="AW187" s="104">
        <v>169</v>
      </c>
      <c r="AX187" s="104">
        <v>145</v>
      </c>
      <c r="AY187" s="104">
        <v>149</v>
      </c>
    </row>
    <row r="188" spans="1:51">
      <c r="A188" s="125"/>
      <c r="B188" s="126">
        <v>4</v>
      </c>
      <c r="C188" s="104">
        <v>175</v>
      </c>
      <c r="D188" s="104">
        <v>115</v>
      </c>
      <c r="E188" s="104">
        <v>110</v>
      </c>
      <c r="F188" s="104">
        <v>149</v>
      </c>
      <c r="G188" s="104">
        <v>30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6</v>
      </c>
      <c r="AX188" s="104">
        <v>23</v>
      </c>
      <c r="AY188" s="104">
        <v>15</v>
      </c>
    </row>
    <row r="189" spans="1:51">
      <c r="A189" s="123" t="s">
        <v>133</v>
      </c>
      <c r="B189" s="120">
        <v>1</v>
      </c>
      <c r="C189" s="121">
        <v>5.286119536104394</v>
      </c>
      <c r="D189" s="121">
        <v>0</v>
      </c>
      <c r="E189" s="121">
        <v>0</v>
      </c>
      <c r="F189" s="121">
        <v>108.5533533510028</v>
      </c>
      <c r="G189" s="121">
        <v>36.355023591091452</v>
      </c>
      <c r="H189" s="121">
        <v>106.89356766118593</v>
      </c>
      <c r="I189" s="121">
        <v>70.267668399790836</v>
      </c>
      <c r="J189" s="121">
        <v>3.9975862135886218E-20</v>
      </c>
      <c r="K189" s="121">
        <v>0</v>
      </c>
      <c r="L189" s="121">
        <v>39.580605584681237</v>
      </c>
      <c r="M189" s="121">
        <v>39.580605584681244</v>
      </c>
      <c r="N189" s="121">
        <v>131</v>
      </c>
      <c r="O189" s="121">
        <v>120.67114315488035</v>
      </c>
      <c r="P189" s="121">
        <v>112.07708814018898</v>
      </c>
      <c r="Q189" s="121">
        <v>91.615632210283451</v>
      </c>
      <c r="R189" s="121">
        <v>76.154176280377925</v>
      </c>
      <c r="S189" s="121">
        <v>84.27332593515365</v>
      </c>
      <c r="T189" s="121">
        <v>84.231264420566873</v>
      </c>
      <c r="U189" s="121">
        <v>83.769808490661347</v>
      </c>
      <c r="V189" s="121">
        <v>116.88895814543707</v>
      </c>
      <c r="W189" s="121">
        <v>46.887535743032231</v>
      </c>
      <c r="X189" s="121">
        <v>25.119149654775725</v>
      </c>
      <c r="Y189" s="121">
        <v>50.350763566519248</v>
      </c>
      <c r="Z189" s="121">
        <v>115.58237747826274</v>
      </c>
      <c r="AA189" s="121">
        <v>116.12092154835722</v>
      </c>
      <c r="AB189" s="121">
        <v>141.65946561845169</v>
      </c>
      <c r="AC189" s="121">
        <v>39.580605584681244</v>
      </c>
      <c r="AD189" s="121">
        <v>64.119149654775725</v>
      </c>
      <c r="AE189" s="121">
        <v>129.88085034522427</v>
      </c>
      <c r="AF189" s="121">
        <v>164</v>
      </c>
      <c r="AG189" s="121">
        <v>129.88085034522427</v>
      </c>
      <c r="AH189" s="121">
        <v>143.48528586086076</v>
      </c>
      <c r="AI189" s="121">
        <v>103.9046802761795</v>
      </c>
      <c r="AJ189" s="121">
        <v>124.41939441531875</v>
      </c>
      <c r="AK189" s="121">
        <v>54.924136992236043</v>
      </c>
      <c r="AL189" s="121">
        <v>93.438851131375287</v>
      </c>
      <c r="AM189" s="121">
        <v>15.343531407554792</v>
      </c>
      <c r="AN189" s="121">
        <v>99.462681062330518</v>
      </c>
      <c r="AO189" s="121">
        <v>115.42061954774374</v>
      </c>
      <c r="AP189" s="121">
        <v>129.88085034522427</v>
      </c>
      <c r="AQ189" s="121">
        <v>54.924136992236043</v>
      </c>
      <c r="AR189" s="121">
        <v>138.46268106233052</v>
      </c>
      <c r="AS189" s="121">
        <v>169.46145592990553</v>
      </c>
      <c r="AT189" s="121">
        <v>39.580605584681244</v>
      </c>
      <c r="AU189" s="121">
        <v>169.46145592990555</v>
      </c>
      <c r="AV189" s="121">
        <v>169.46145592990553</v>
      </c>
      <c r="AW189" s="121">
        <v>152</v>
      </c>
      <c r="AX189" s="121">
        <v>0</v>
      </c>
      <c r="AY189" s="121">
        <v>108.41939441531875</v>
      </c>
    </row>
    <row r="190" spans="1:51">
      <c r="A190" s="107"/>
      <c r="B190" s="116">
        <v>2</v>
      </c>
      <c r="C190" s="104">
        <v>22.745671523462761</v>
      </c>
      <c r="D190" s="104">
        <v>175.68208940432845</v>
      </c>
      <c r="E190" s="104">
        <v>153</v>
      </c>
      <c r="F190" s="104">
        <v>85.478437708564357</v>
      </c>
      <c r="G190" s="104">
        <v>60.908102578902728</v>
      </c>
      <c r="H190" s="104">
        <v>133.10643233881407</v>
      </c>
      <c r="I190" s="104">
        <v>62.567888268719599</v>
      </c>
      <c r="J190" s="104">
        <v>0</v>
      </c>
      <c r="K190" s="104">
        <v>0</v>
      </c>
      <c r="L190" s="104">
        <v>79.161211169362488</v>
      </c>
      <c r="M190" s="104">
        <v>7.1054273576010019E-15</v>
      </c>
      <c r="N190" s="104">
        <v>0</v>
      </c>
      <c r="O190" s="104">
        <v>31.328856845119645</v>
      </c>
      <c r="P190" s="104">
        <v>48.790312775025171</v>
      </c>
      <c r="Q190" s="104">
        <v>57.384367789716549</v>
      </c>
      <c r="R190" s="104">
        <v>77.845823719622075</v>
      </c>
      <c r="S190" s="104">
        <v>53.72667406484635</v>
      </c>
      <c r="T190" s="104">
        <v>85.188129994751876</v>
      </c>
      <c r="U190" s="104">
        <v>85.230191509338653</v>
      </c>
      <c r="V190" s="104">
        <v>46.111041854562927</v>
      </c>
      <c r="W190" s="104">
        <v>99.460033527500684</v>
      </c>
      <c r="X190" s="104">
        <v>129.88085034522427</v>
      </c>
      <c r="Y190" s="104">
        <v>151.64923643348075</v>
      </c>
      <c r="Z190" s="104">
        <v>126.41762252173726</v>
      </c>
      <c r="AA190" s="104">
        <v>53.879078451642783</v>
      </c>
      <c r="AB190" s="104">
        <v>53.340534381548309</v>
      </c>
      <c r="AC190" s="104">
        <v>27.801990311453835</v>
      </c>
      <c r="AD190" s="104">
        <v>129.88085034522427</v>
      </c>
      <c r="AE190" s="104">
        <v>105.3423062751298</v>
      </c>
      <c r="AF190" s="104">
        <v>0</v>
      </c>
      <c r="AG190" s="104">
        <v>5.4614559299055259</v>
      </c>
      <c r="AH190" s="104">
        <v>39.580605584681251</v>
      </c>
      <c r="AI190" s="104">
        <v>0</v>
      </c>
      <c r="AJ190" s="104">
        <v>39.580605584681251</v>
      </c>
      <c r="AK190" s="104">
        <v>19.065891445542007</v>
      </c>
      <c r="AL190" s="104">
        <v>88.561148868624713</v>
      </c>
      <c r="AM190" s="104">
        <v>76.022604798530239</v>
      </c>
      <c r="AN190" s="104">
        <v>114.53731893766948</v>
      </c>
      <c r="AO190" s="104">
        <v>69.998774867575008</v>
      </c>
      <c r="AP190" s="104">
        <v>54.040836382161785</v>
      </c>
      <c r="AQ190" s="104">
        <v>39.580605584681251</v>
      </c>
      <c r="AR190" s="104">
        <v>114.53731893766948</v>
      </c>
      <c r="AS190" s="104">
        <v>8.5226443752343357</v>
      </c>
      <c r="AT190" s="104">
        <v>0</v>
      </c>
      <c r="AU190" s="104">
        <v>0</v>
      </c>
      <c r="AV190" s="104">
        <v>0</v>
      </c>
      <c r="AW190" s="104">
        <v>0</v>
      </c>
      <c r="AX190" s="104">
        <v>17.461455929905554</v>
      </c>
      <c r="AY190" s="104">
        <v>39.580605584681244</v>
      </c>
    </row>
    <row r="191" spans="1:51">
      <c r="A191" s="107"/>
      <c r="B191" s="117">
        <v>3</v>
      </c>
      <c r="C191" s="104">
        <v>180.96820894043285</v>
      </c>
      <c r="D191" s="104">
        <v>0</v>
      </c>
      <c r="E191" s="104">
        <v>0</v>
      </c>
      <c r="F191" s="104">
        <v>27.968208940432845</v>
      </c>
      <c r="G191" s="104">
        <v>45.73687383000582</v>
      </c>
      <c r="H191" s="104">
        <v>0</v>
      </c>
      <c r="I191" s="104">
        <v>0</v>
      </c>
      <c r="J191" s="104">
        <v>0</v>
      </c>
      <c r="K191" s="104">
        <v>99.19378753011469</v>
      </c>
      <c r="L191" s="104">
        <v>0</v>
      </c>
      <c r="M191" s="104">
        <v>0</v>
      </c>
      <c r="N191" s="104">
        <v>0</v>
      </c>
      <c r="O191" s="104">
        <v>0</v>
      </c>
      <c r="P191" s="104">
        <v>7.1325990847858662</v>
      </c>
      <c r="Q191" s="104">
        <v>0</v>
      </c>
      <c r="R191" s="104">
        <v>0</v>
      </c>
      <c r="S191" s="104">
        <v>0</v>
      </c>
      <c r="T191" s="104">
        <v>39.580605584681251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39.580605584681244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39.580605584681251</v>
      </c>
      <c r="AP191" s="104">
        <v>0</v>
      </c>
      <c r="AQ191" s="104">
        <v>0</v>
      </c>
      <c r="AR191" s="104">
        <v>0</v>
      </c>
      <c r="AS191" s="104">
        <v>0</v>
      </c>
      <c r="AT191" s="104">
        <v>22.476130492340673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47.267526733387129</v>
      </c>
      <c r="D197" s="104">
        <v>82.113929739644931</v>
      </c>
      <c r="E197" s="104">
        <v>64.265635618664845</v>
      </c>
      <c r="F197" s="104">
        <v>66.18780965272731</v>
      </c>
      <c r="G197" s="104">
        <v>16.092182047928873</v>
      </c>
      <c r="H197" s="104">
        <v>0</v>
      </c>
      <c r="I197" s="104">
        <v>0</v>
      </c>
      <c r="J197" s="104">
        <v>0</v>
      </c>
      <c r="K197" s="104">
        <v>13.724556225081455</v>
      </c>
      <c r="L197" s="104">
        <v>50.260906392299958</v>
      </c>
      <c r="M197" s="104">
        <v>52.743002954127739</v>
      </c>
      <c r="N197" s="104">
        <v>26.730705134763543</v>
      </c>
      <c r="O197" s="104">
        <v>71.942942736876915</v>
      </c>
      <c r="P197" s="104">
        <v>66</v>
      </c>
      <c r="Q197" s="104">
        <v>56.429885297489605</v>
      </c>
      <c r="R197" s="104">
        <v>48.232598629345731</v>
      </c>
      <c r="S197" s="104">
        <v>51.340963174215432</v>
      </c>
      <c r="T197" s="104">
        <v>45.774974141407768</v>
      </c>
      <c r="U197" s="104">
        <v>44.204859438897373</v>
      </c>
      <c r="V197" s="104">
        <v>19.255767792338375</v>
      </c>
      <c r="W197" s="104">
        <v>15.47715359545785</v>
      </c>
      <c r="X197" s="104">
        <v>14.376982244625879</v>
      </c>
      <c r="Y197" s="104">
        <v>62.113206123626362</v>
      </c>
      <c r="Z197" s="104">
        <v>11.929803599878575</v>
      </c>
      <c r="AA197" s="104">
        <v>33.809900301136025</v>
      </c>
      <c r="AB197" s="104">
        <v>40.734827816790983</v>
      </c>
      <c r="AC197" s="104">
        <v>54.738749413326573</v>
      </c>
      <c r="AD197" s="104">
        <v>26.730705134763539</v>
      </c>
      <c r="AE197" s="104">
        <v>105.22371326858762</v>
      </c>
      <c r="AF197" s="104">
        <v>58.441360963963845</v>
      </c>
      <c r="AG197" s="104">
        <v>61.127052523588276</v>
      </c>
      <c r="AH197" s="104">
        <v>74.570114702510409</v>
      </c>
      <c r="AI197" s="104">
        <v>78.008381698643163</v>
      </c>
      <c r="AJ197" s="104">
        <v>51.99608387927897</v>
      </c>
      <c r="AK197" s="104">
        <v>78.008381698643163</v>
      </c>
      <c r="AL197" s="104">
        <v>32.382234835027717</v>
      </c>
      <c r="AM197" s="104">
        <v>67.344098180209954</v>
      </c>
      <c r="AN197" s="104">
        <v>19.376085925345627</v>
      </c>
      <c r="AO197" s="104">
        <v>70</v>
      </c>
      <c r="AP197" s="104">
        <v>24.005483327137512</v>
      </c>
      <c r="AQ197" s="104">
        <v>39.512468756342159</v>
      </c>
      <c r="AR197" s="104">
        <v>38.135976089345363</v>
      </c>
      <c r="AS197" s="104">
        <v>60.155467182384804</v>
      </c>
      <c r="AT197" s="104">
        <v>48.753289032626107</v>
      </c>
      <c r="AU197" s="104">
        <v>44.705594858500724</v>
      </c>
      <c r="AV197" s="104">
        <v>73.521748390406458</v>
      </c>
      <c r="AW197" s="104">
        <v>73.951633687896077</v>
      </c>
      <c r="AX197" s="104">
        <v>74.570114702510381</v>
      </c>
      <c r="AY197" s="104">
        <v>13.724556225081452</v>
      </c>
    </row>
    <row r="198" spans="1:51">
      <c r="A198" s="107"/>
      <c r="B198" s="116">
        <v>2</v>
      </c>
      <c r="C198" s="104">
        <v>25.980298980944809</v>
      </c>
      <c r="D198" s="104">
        <v>0</v>
      </c>
      <c r="E198" s="104">
        <v>20.734364381335155</v>
      </c>
      <c r="F198" s="104">
        <v>10.81219034727269</v>
      </c>
      <c r="G198" s="104">
        <v>48.907817952071127</v>
      </c>
      <c r="H198" s="104">
        <v>94</v>
      </c>
      <c r="I198" s="104">
        <v>81.529766095728064</v>
      </c>
      <c r="J198" s="104">
        <v>66.634365283882303</v>
      </c>
      <c r="K198" s="104">
        <v>56.054787598330634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8.570114702510395</v>
      </c>
      <c r="R198" s="104">
        <v>20.767401370654269</v>
      </c>
      <c r="S198" s="104">
        <v>20.659036825784568</v>
      </c>
      <c r="T198" s="104">
        <v>26.225025858592232</v>
      </c>
      <c r="U198" s="104">
        <v>28.795140561102627</v>
      </c>
      <c r="V198" s="104">
        <v>40.744232207661625</v>
      </c>
      <c r="W198" s="104">
        <v>55.097752599790681</v>
      </c>
      <c r="X198" s="104">
        <v>81.623017755374121</v>
      </c>
      <c r="Y198" s="104">
        <v>18.886793876373638</v>
      </c>
      <c r="Z198" s="104">
        <v>60.070196400121425</v>
      </c>
      <c r="AA198" s="104">
        <v>72.190099698863975</v>
      </c>
      <c r="AB198" s="104">
        <v>61.265172183209017</v>
      </c>
      <c r="AC198" s="104">
        <v>47.062251978773148</v>
      </c>
      <c r="AD198" s="104">
        <v>23.260359621576768</v>
      </c>
      <c r="AE198" s="104">
        <v>3.5527136788005009E-15</v>
      </c>
      <c r="AF198" s="104">
        <v>14.558639036036155</v>
      </c>
      <c r="AG198" s="104">
        <v>15.887545156717366</v>
      </c>
      <c r="AH198" s="104">
        <v>13.443062178922119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39.84601447623379</v>
      </c>
      <c r="AO198" s="104">
        <v>0</v>
      </c>
      <c r="AP198" s="104">
        <v>38.479292904095416</v>
      </c>
      <c r="AQ198" s="104">
        <v>76.181455336721982</v>
      </c>
      <c r="AR198" s="104">
        <v>33.864023910654637</v>
      </c>
      <c r="AS198" s="104">
        <v>7.2524076553644434</v>
      </c>
      <c r="AT198" s="104">
        <v>48.323825721710612</v>
      </c>
      <c r="AU198" s="104">
        <v>31.927386352494771</v>
      </c>
      <c r="AV198" s="104">
        <v>7.1054273576010019E-15</v>
      </c>
      <c r="AW198" s="104">
        <v>1.0483663121039228</v>
      </c>
      <c r="AX198" s="104">
        <v>0.61848101461431781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0.48875047100372626</v>
      </c>
      <c r="J199" s="104">
        <v>34.365634716117697</v>
      </c>
      <c r="K199" s="104">
        <v>8.6814177072599819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0</v>
      </c>
      <c r="D209" s="121">
        <v>22.209169120450355</v>
      </c>
      <c r="E209" s="121">
        <v>0</v>
      </c>
      <c r="F209" s="121">
        <v>50.621691631703179</v>
      </c>
      <c r="G209" s="121">
        <v>83.153813948979604</v>
      </c>
      <c r="H209" s="121">
        <v>85.088361895811488</v>
      </c>
      <c r="I209" s="121">
        <v>60.60159702671227</v>
      </c>
      <c r="J209" s="121">
        <v>21.868201475325204</v>
      </c>
      <c r="K209" s="121">
        <v>21.868201475325201</v>
      </c>
      <c r="L209" s="121">
        <v>42.591719242350216</v>
      </c>
      <c r="M209" s="121">
        <v>42.591719242350216</v>
      </c>
      <c r="N209" s="121">
        <v>114.63123037979841</v>
      </c>
      <c r="O209" s="121">
        <v>118.8172692514821</v>
      </c>
      <c r="P209" s="121">
        <v>99.813961128316322</v>
      </c>
      <c r="Q209" s="121">
        <v>90.324361539136234</v>
      </c>
      <c r="R209" s="121">
        <v>98.093751484457073</v>
      </c>
      <c r="S209" s="121">
        <v>118.8172692514821</v>
      </c>
      <c r="T209" s="121">
        <v>88.276482232974985</v>
      </c>
      <c r="U209" s="121">
        <v>79.62159561516016</v>
      </c>
      <c r="V209" s="121">
        <v>132.65070165021856</v>
      </c>
      <c r="W209" s="121">
        <v>46.417464066668998</v>
      </c>
      <c r="X209" s="121">
        <v>66.774449990868106</v>
      </c>
      <c r="Y209" s="121">
        <v>78.060201455347993</v>
      </c>
      <c r="Z209" s="121">
        <v>87.14211799820913</v>
      </c>
      <c r="AA209" s="121">
        <v>109.9246418741473</v>
      </c>
      <c r="AB209" s="121">
        <v>118.81726925148207</v>
      </c>
      <c r="AC209" s="121">
        <v>42.591719242350216</v>
      </c>
      <c r="AD209" s="121">
        <v>88.340315976321392</v>
      </c>
      <c r="AE209" s="121">
        <v>98.093751484457073</v>
      </c>
      <c r="AF209" s="121">
        <v>118.81726925148206</v>
      </c>
      <c r="AG209" s="121">
        <v>98.093751484457087</v>
      </c>
      <c r="AH209" s="121">
        <v>103.57215924965577</v>
      </c>
      <c r="AI209" s="121">
        <v>82.848641482630754</v>
      </c>
      <c r="AJ209" s="121">
        <v>103.57215924965577</v>
      </c>
      <c r="AK209" s="121">
        <v>51.596658134531239</v>
      </c>
      <c r="AL209" s="121">
        <v>118.8172692514821</v>
      </c>
      <c r="AM209" s="121">
        <v>30.873140367506231</v>
      </c>
      <c r="AN209" s="121">
        <v>94.3919115517092</v>
      </c>
      <c r="AO209" s="121">
        <v>88.183097918971441</v>
      </c>
      <c r="AP209" s="121">
        <v>98.093751484457087</v>
      </c>
      <c r="AQ209" s="121">
        <v>51.596658134531239</v>
      </c>
      <c r="AR209" s="121">
        <v>89.779388883049151</v>
      </c>
      <c r="AS209" s="121">
        <v>93.671532915791488</v>
      </c>
      <c r="AT209" s="121">
        <v>42.591719242350216</v>
      </c>
      <c r="AU209" s="121">
        <v>118.81726925148206</v>
      </c>
      <c r="AV209" s="121">
        <v>118.8172692514821</v>
      </c>
      <c r="AW209" s="121">
        <v>118.81726925148206</v>
      </c>
      <c r="AX209" s="121">
        <v>21.868201475325204</v>
      </c>
      <c r="AY209" s="121">
        <v>100.49573042734468</v>
      </c>
    </row>
    <row r="210" spans="1:51">
      <c r="A210" s="107"/>
      <c r="B210" s="116">
        <v>2</v>
      </c>
      <c r="C210" s="104">
        <v>4.3325946542893234E-2</v>
      </c>
      <c r="D210" s="108">
        <v>82.654415092445262</v>
      </c>
      <c r="E210" s="108">
        <v>90</v>
      </c>
      <c r="F210" s="108">
        <v>44.258016597277212</v>
      </c>
      <c r="G210" s="108">
        <v>41.899384241824698</v>
      </c>
      <c r="H210" s="108">
        <v>21.911638104188512</v>
      </c>
      <c r="I210" s="108">
        <v>28.714033202313942</v>
      </c>
      <c r="J210" s="108">
        <v>4.365576793239907E-15</v>
      </c>
      <c r="K210" s="108">
        <v>0</v>
      </c>
      <c r="L210" s="108">
        <v>41.447035534050038</v>
      </c>
      <c r="M210" s="108">
        <v>0</v>
      </c>
      <c r="N210" s="108">
        <v>0</v>
      </c>
      <c r="O210" s="108">
        <v>0</v>
      </c>
      <c r="P210" s="108">
        <v>0</v>
      </c>
      <c r="Q210" s="108">
        <v>11.675638460863761</v>
      </c>
      <c r="R210" s="108">
        <v>25.497033382048606</v>
      </c>
      <c r="S210" s="108">
        <v>0</v>
      </c>
      <c r="T210" s="108">
        <v>0</v>
      </c>
      <c r="U210" s="108">
        <v>20.37840438483984</v>
      </c>
      <c r="V210" s="108">
        <v>11.349298349781447</v>
      </c>
      <c r="W210" s="108">
        <v>6.5838094254953523</v>
      </c>
      <c r="X210" s="108">
        <v>76.225550009131894</v>
      </c>
      <c r="Y210" s="108">
        <v>35.939798544652007</v>
      </c>
      <c r="Z210" s="108">
        <v>36.85788200179087</v>
      </c>
      <c r="AA210" s="108">
        <v>21.075358125852702</v>
      </c>
      <c r="AB210" s="108">
        <v>5.4636330449418491</v>
      </c>
      <c r="AC210" s="108">
        <v>0</v>
      </c>
      <c r="AD210" s="108">
        <v>76.225550009131865</v>
      </c>
      <c r="AE210" s="108">
        <v>20.339184912941278</v>
      </c>
      <c r="AF210" s="108">
        <v>8.731153586479814E-15</v>
      </c>
      <c r="AG210" s="108">
        <v>8.731153586479814E-15</v>
      </c>
      <c r="AH210" s="108">
        <v>20.723517767025019</v>
      </c>
      <c r="AI210" s="108">
        <v>0</v>
      </c>
      <c r="AJ210" s="108">
        <v>20.723517767025019</v>
      </c>
      <c r="AK210" s="108">
        <v>0</v>
      </c>
      <c r="AL210" s="108">
        <v>51.975501115124516</v>
      </c>
      <c r="AM210" s="108">
        <v>0</v>
      </c>
      <c r="AN210" s="108">
        <v>67.220611116950835</v>
      </c>
      <c r="AO210" s="108">
        <v>20.093384314003536</v>
      </c>
      <c r="AP210" s="108">
        <v>18.821644458342156</v>
      </c>
      <c r="AQ210" s="108">
        <v>20.723517767025019</v>
      </c>
      <c r="AR210" s="108">
        <v>67.220611116950849</v>
      </c>
      <c r="AS210" s="108">
        <v>9.7363419219577558</v>
      </c>
      <c r="AT210" s="108">
        <v>15.449548277851052</v>
      </c>
      <c r="AU210" s="108">
        <v>0</v>
      </c>
      <c r="AV210" s="108">
        <v>0</v>
      </c>
      <c r="AW210" s="108">
        <v>0</v>
      </c>
      <c r="AX210" s="108">
        <v>0</v>
      </c>
      <c r="AY210" s="108">
        <v>20.723517767025008</v>
      </c>
    </row>
    <row r="211" spans="1:51">
      <c r="A211" s="107"/>
      <c r="B211" s="116">
        <v>3</v>
      </c>
      <c r="C211" s="104">
        <v>134.11793301200868</v>
      </c>
      <c r="D211" s="108">
        <v>14.762653432014478</v>
      </c>
      <c r="E211" s="108">
        <v>0</v>
      </c>
      <c r="F211" s="108">
        <v>13.120291771019609</v>
      </c>
      <c r="G211" s="108">
        <v>23.946801809195708</v>
      </c>
      <c r="H211" s="108">
        <v>0</v>
      </c>
      <c r="I211" s="108">
        <v>0</v>
      </c>
      <c r="J211" s="108">
        <v>0</v>
      </c>
      <c r="K211" s="108">
        <v>58.215672224769826</v>
      </c>
      <c r="L211" s="108">
        <v>0</v>
      </c>
      <c r="M211" s="108">
        <v>0</v>
      </c>
      <c r="N211" s="108">
        <v>0</v>
      </c>
      <c r="O211" s="108">
        <v>0</v>
      </c>
      <c r="P211" s="108">
        <v>4.1860388716836754</v>
      </c>
      <c r="Q211" s="108">
        <v>0</v>
      </c>
      <c r="R211" s="108">
        <v>0</v>
      </c>
      <c r="S211" s="108">
        <v>0</v>
      </c>
      <c r="T211" s="108">
        <v>20.723517767025012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20.723517767025012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20.723517767025008</v>
      </c>
      <c r="AP211" s="108">
        <v>0</v>
      </c>
      <c r="AQ211" s="108">
        <v>0</v>
      </c>
      <c r="AR211" s="108">
        <v>0</v>
      </c>
      <c r="AS211" s="108">
        <v>0</v>
      </c>
      <c r="AT211" s="108">
        <v>13.1909777638647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48800.586877859401</v>
      </c>
      <c r="E259" s="121">
        <f t="shared" ref="E259:AX259" si="5">F$14*$B$259</f>
        <v>74812.157943118989</v>
      </c>
      <c r="F259" s="121">
        <f t="shared" si="5"/>
        <v>71877.606137306182</v>
      </c>
      <c r="G259" s="121">
        <f t="shared" si="5"/>
        <v>75332.010527699749</v>
      </c>
      <c r="H259" s="121">
        <f t="shared" si="5"/>
        <v>48955.258944242487</v>
      </c>
      <c r="I259" s="121">
        <f t="shared" si="5"/>
        <v>36435.61193891491</v>
      </c>
      <c r="J259" s="121">
        <f t="shared" si="5"/>
        <v>8920.9615463029459</v>
      </c>
      <c r="K259" s="121">
        <f t="shared" si="5"/>
        <v>32669.589154994974</v>
      </c>
      <c r="L259" s="121">
        <f t="shared" si="5"/>
        <v>34282.951920183034</v>
      </c>
      <c r="M259" s="121">
        <f t="shared" si="5"/>
        <v>17374.958337596301</v>
      </c>
      <c r="N259" s="121">
        <f t="shared" si="5"/>
        <v>46762.912778969992</v>
      </c>
      <c r="O259" s="121">
        <f t="shared" si="5"/>
        <v>48470.574556631756</v>
      </c>
      <c r="P259" s="121">
        <f t="shared" si="5"/>
        <v>50178.23633429352</v>
      </c>
      <c r="Q259" s="121">
        <f t="shared" si="5"/>
        <v>44779.563045834693</v>
      </c>
      <c r="R259" s="121">
        <f t="shared" si="5"/>
        <v>50417.892871324984</v>
      </c>
      <c r="S259" s="121">
        <f t="shared" si="5"/>
        <v>48470.574556631756</v>
      </c>
      <c r="T259" s="121">
        <f t="shared" si="5"/>
        <v>55216.909570263349</v>
      </c>
      <c r="U259" s="121">
        <f t="shared" si="5"/>
        <v>48329.78825488389</v>
      </c>
      <c r="V259" s="121">
        <f t="shared" si="5"/>
        <v>63115.111378040783</v>
      </c>
      <c r="W259" s="121">
        <f t="shared" si="5"/>
        <v>21621.454478649684</v>
      </c>
      <c r="X259" s="121">
        <f t="shared" si="5"/>
        <v>79419.211640436057</v>
      </c>
      <c r="Y259" s="121">
        <f t="shared" si="5"/>
        <v>54677.937144182659</v>
      </c>
      <c r="Z259" s="121">
        <f t="shared" si="5"/>
        <v>61798.79711482428</v>
      </c>
      <c r="AA259" s="121">
        <f t="shared" si="5"/>
        <v>57068.101867116682</v>
      </c>
      <c r="AB259" s="121">
        <f t="shared" si="5"/>
        <v>50699.420872687173</v>
      </c>
      <c r="AC259" s="121">
        <f t="shared" si="5"/>
        <v>17374.958337596301</v>
      </c>
      <c r="AD259" s="121">
        <f t="shared" si="5"/>
        <v>77858.528998005451</v>
      </c>
      <c r="AE259" s="121">
        <f t="shared" si="5"/>
        <v>48313.78897844279</v>
      </c>
      <c r="AF259" s="121">
        <f t="shared" si="5"/>
        <v>48470.574556631756</v>
      </c>
      <c r="AG259" s="121">
        <f t="shared" si="5"/>
        <v>48470.574556631764</v>
      </c>
      <c r="AH259" s="121">
        <f t="shared" si="5"/>
        <v>50705.448104118055</v>
      </c>
      <c r="AI259" s="121">
        <f t="shared" si="5"/>
        <v>33797.454521531334</v>
      </c>
      <c r="AJ259" s="121">
        <f t="shared" si="5"/>
        <v>50705.448104118055</v>
      </c>
      <c r="AK259" s="121">
        <f t="shared" si="5"/>
        <v>21048.452642768018</v>
      </c>
      <c r="AL259" s="121">
        <f t="shared" si="5"/>
        <v>69673.57322668843</v>
      </c>
      <c r="AM259" s="121">
        <f t="shared" si="5"/>
        <v>12594.455851474659</v>
      </c>
      <c r="AN259" s="121">
        <f t="shared" si="5"/>
        <v>70511.540387662026</v>
      </c>
      <c r="AO259" s="121">
        <f t="shared" si="5"/>
        <v>65121.510131508672</v>
      </c>
      <c r="AP259" s="121">
        <f t="shared" si="5"/>
        <v>47694.720233547916</v>
      </c>
      <c r="AQ259" s="121">
        <f t="shared" si="5"/>
        <v>29502.449434061375</v>
      </c>
      <c r="AR259" s="121">
        <f t="shared" si="5"/>
        <v>70511.540387662026</v>
      </c>
      <c r="AS259" s="121">
        <f t="shared" si="5"/>
        <v>52442.439000328573</v>
      </c>
      <c r="AT259" s="121">
        <f t="shared" si="5"/>
        <v>29058.636658025476</v>
      </c>
      <c r="AU259" s="121">
        <f t="shared" si="5"/>
        <v>48470.574556631749</v>
      </c>
      <c r="AV259" s="121">
        <f t="shared" si="5"/>
        <v>48470.574556631756</v>
      </c>
      <c r="AW259" s="121">
        <f t="shared" si="5"/>
        <v>48470.574556631749</v>
      </c>
      <c r="AX259" s="121">
        <f t="shared" si="5"/>
        <v>8920.961546302944</v>
      </c>
      <c r="AY259" s="121">
        <f>AZ$14*$B$259</f>
        <v>56924.571347925099</v>
      </c>
      <c r="AZ259" s="136">
        <f>SUM($D259:$AY259)</f>
        <v>2285601.5304679158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30328.462637383069</v>
      </c>
      <c r="E260" s="122">
        <f t="shared" ref="E260:AY260" si="6">(E$175-E$176+E$177-E$178+E$179-E$180+E$181-E$182)*$B$260</f>
        <v>32848.478307194644</v>
      </c>
      <c r="F260" s="122">
        <f t="shared" si="6"/>
        <v>18535.490147212819</v>
      </c>
      <c r="G260" s="122">
        <f t="shared" si="6"/>
        <v>15795.518286739221</v>
      </c>
      <c r="H260" s="122">
        <f t="shared" si="6"/>
        <v>9562.6094133320039</v>
      </c>
      <c r="I260" s="122">
        <f t="shared" si="6"/>
        <v>6880.8850624356</v>
      </c>
      <c r="J260" s="122">
        <f t="shared" si="6"/>
        <v>3884.1723183354361</v>
      </c>
      <c r="K260" s="122">
        <f t="shared" si="6"/>
        <v>2040</v>
      </c>
      <c r="L260" s="122">
        <f t="shared" si="6"/>
        <v>1620</v>
      </c>
      <c r="M260" s="122">
        <f t="shared" si="6"/>
        <v>3360.0000000000005</v>
      </c>
      <c r="N260" s="122">
        <f t="shared" si="6"/>
        <v>5419.7314107071788</v>
      </c>
      <c r="O260" s="122">
        <f t="shared" si="6"/>
        <v>7787.4187665015124</v>
      </c>
      <c r="P260" s="122">
        <f t="shared" si="6"/>
        <v>5097.4674369235654</v>
      </c>
      <c r="Q260" s="122">
        <f t="shared" si="6"/>
        <v>4008.1205670549562</v>
      </c>
      <c r="R260" s="122">
        <f t="shared" si="6"/>
        <v>4463.1426534378552</v>
      </c>
      <c r="S260" s="122">
        <f t="shared" si="6"/>
        <v>6684.7893512006476</v>
      </c>
      <c r="T260" s="122">
        <f t="shared" si="6"/>
        <v>7994.84886794873</v>
      </c>
      <c r="U260" s="122">
        <f t="shared" si="6"/>
        <v>6319.6457958912915</v>
      </c>
      <c r="V260" s="122">
        <f t="shared" si="6"/>
        <v>9916.4169791939203</v>
      </c>
      <c r="W260" s="122">
        <f t="shared" si="6"/>
        <v>4897.3810653224473</v>
      </c>
      <c r="X260" s="122">
        <f t="shared" si="6"/>
        <v>12905.157386299054</v>
      </c>
      <c r="Y260" s="122">
        <f t="shared" si="6"/>
        <v>9578.0299924761348</v>
      </c>
      <c r="Z260" s="122">
        <f t="shared" si="6"/>
        <v>11605.541486838607</v>
      </c>
      <c r="AA260" s="122">
        <f t="shared" si="6"/>
        <v>8609.900036525527</v>
      </c>
      <c r="AB260" s="122">
        <f t="shared" si="6"/>
        <v>6111.8545374136183</v>
      </c>
      <c r="AC260" s="122">
        <f t="shared" si="6"/>
        <v>4995.6215772946071</v>
      </c>
      <c r="AD260" s="122">
        <f t="shared" si="6"/>
        <v>10950.037295629258</v>
      </c>
      <c r="AE260" s="122">
        <f t="shared" si="6"/>
        <v>4593.5183421621687</v>
      </c>
      <c r="AF260" s="122">
        <f t="shared" si="6"/>
        <v>4640.940065197372</v>
      </c>
      <c r="AG260" s="122">
        <f t="shared" si="6"/>
        <v>7346.5837307353268</v>
      </c>
      <c r="AH260" s="122">
        <f t="shared" si="6"/>
        <v>7379.9999999999991</v>
      </c>
      <c r="AI260" s="122">
        <f t="shared" si="6"/>
        <v>6840.0000000000009</v>
      </c>
      <c r="AJ260" s="122">
        <f t="shared" si="6"/>
        <v>9423.9534867325183</v>
      </c>
      <c r="AK260" s="122">
        <f t="shared" si="6"/>
        <v>7740</v>
      </c>
      <c r="AL260" s="122">
        <f t="shared" si="6"/>
        <v>12361.356287911814</v>
      </c>
      <c r="AM260" s="122">
        <f t="shared" si="6"/>
        <v>11570.760868574025</v>
      </c>
      <c r="AN260" s="122">
        <f t="shared" si="6"/>
        <v>14865.421458668556</v>
      </c>
      <c r="AO260" s="122">
        <f t="shared" si="6"/>
        <v>17109.25803712607</v>
      </c>
      <c r="AP260" s="122">
        <f t="shared" si="6"/>
        <v>12490.887320203321</v>
      </c>
      <c r="AQ260" s="122">
        <f t="shared" si="6"/>
        <v>10371.841434639278</v>
      </c>
      <c r="AR260" s="122">
        <f t="shared" si="6"/>
        <v>13477.31727811002</v>
      </c>
      <c r="AS260" s="122">
        <f t="shared" si="6"/>
        <v>20068.17372344407</v>
      </c>
      <c r="AT260" s="122">
        <f t="shared" si="6"/>
        <v>19015.643181149688</v>
      </c>
      <c r="AU260" s="122">
        <f t="shared" si="6"/>
        <v>20940</v>
      </c>
      <c r="AV260" s="122">
        <f t="shared" si="6"/>
        <v>21542.90197872623</v>
      </c>
      <c r="AW260" s="122">
        <f t="shared" si="6"/>
        <v>21664.796216671195</v>
      </c>
      <c r="AX260" s="122">
        <f t="shared" si="6"/>
        <v>20100</v>
      </c>
      <c r="AY260" s="122">
        <f t="shared" si="6"/>
        <v>24621.816020323451</v>
      </c>
      <c r="AZ260" s="138">
        <f>SUM($D260:$AY260)</f>
        <v>540365.89080966671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285</v>
      </c>
    </row>
    <row r="2" spans="1:54">
      <c r="A2" t="s">
        <v>286</v>
      </c>
      <c r="B2" s="105" t="s">
        <v>46</v>
      </c>
    </row>
    <row r="3" spans="1:54">
      <c r="A3" t="s">
        <v>287</v>
      </c>
      <c r="B3" s="106">
        <v>4000</v>
      </c>
      <c r="C3" s="107"/>
    </row>
    <row r="4" spans="1:54">
      <c r="B4" s="108"/>
      <c r="C4" s="108"/>
    </row>
    <row r="5" spans="1:54">
      <c r="C5" s="9" t="s">
        <v>288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4">
      <c r="A8" s="1" t="s">
        <v>293</v>
      </c>
      <c r="B8" s="111"/>
      <c r="AY8" s="108"/>
    </row>
    <row r="9" spans="1:54">
      <c r="A9" s="112" t="s">
        <v>125</v>
      </c>
      <c r="B9" s="113">
        <v>1</v>
      </c>
      <c r="C9" s="114" t="s">
        <v>294</v>
      </c>
      <c r="D9" s="114">
        <v>214.08858367520591</v>
      </c>
      <c r="E9" s="114">
        <v>214.08858367520591</v>
      </c>
      <c r="F9" s="114">
        <v>214.08858367520591</v>
      </c>
      <c r="G9" s="114">
        <v>214.08858367520591</v>
      </c>
      <c r="H9" s="114">
        <v>214.08858367520591</v>
      </c>
      <c r="I9" s="114">
        <v>214.08858367520591</v>
      </c>
      <c r="J9" s="114">
        <v>214.08858367520591</v>
      </c>
      <c r="K9" s="114">
        <v>214.08858367520591</v>
      </c>
      <c r="L9" s="114">
        <v>214.08858367520591</v>
      </c>
      <c r="M9" s="114">
        <v>214.08858367520591</v>
      </c>
      <c r="N9" s="114">
        <v>214.08858367520591</v>
      </c>
      <c r="O9" s="114">
        <v>214.08858367520591</v>
      </c>
      <c r="P9" s="114">
        <v>214.08858367520591</v>
      </c>
      <c r="Q9" s="114">
        <v>214.08858367520591</v>
      </c>
      <c r="R9" s="114">
        <v>214.08858367520591</v>
      </c>
      <c r="S9" s="114">
        <v>214.08858367520591</v>
      </c>
      <c r="T9" s="114">
        <v>171.27086694016475</v>
      </c>
      <c r="U9" s="114">
        <v>171.27086694016475</v>
      </c>
      <c r="V9" s="114">
        <v>171.27086694016475</v>
      </c>
      <c r="W9" s="114">
        <v>171.27086694016475</v>
      </c>
      <c r="X9" s="114">
        <v>214.08858367520591</v>
      </c>
      <c r="Y9" s="114">
        <v>214.08858367520591</v>
      </c>
      <c r="Z9" s="114">
        <v>214.08858367520591</v>
      </c>
      <c r="AA9" s="114">
        <v>214.08858367520591</v>
      </c>
      <c r="AB9" s="114">
        <v>214.08858367520591</v>
      </c>
      <c r="AC9" s="114">
        <v>214.08858367520591</v>
      </c>
      <c r="AD9" s="114">
        <v>214.08858367520591</v>
      </c>
      <c r="AE9" s="114">
        <v>214.08858367520591</v>
      </c>
      <c r="AF9" s="114">
        <v>171.27086694016475</v>
      </c>
      <c r="AG9" s="114">
        <v>171.27086694016475</v>
      </c>
      <c r="AH9" s="114">
        <v>171.27086694016475</v>
      </c>
      <c r="AI9" s="114">
        <v>171.27086694016475</v>
      </c>
      <c r="AJ9" s="114">
        <v>214.08858367520591</v>
      </c>
      <c r="AK9" s="114">
        <v>214.08858367520591</v>
      </c>
      <c r="AL9" s="114">
        <v>214.08858367520591</v>
      </c>
      <c r="AM9" s="114">
        <v>214.08858367520591</v>
      </c>
      <c r="AN9" s="114">
        <v>214.08858367520591</v>
      </c>
      <c r="AO9" s="114">
        <v>214.08858367520591</v>
      </c>
      <c r="AP9" s="114">
        <v>214.08858367520591</v>
      </c>
      <c r="AQ9" s="114">
        <v>214.08858367520591</v>
      </c>
      <c r="AR9" s="114">
        <v>214.08858367520591</v>
      </c>
      <c r="AS9" s="114">
        <v>214.08858367520591</v>
      </c>
      <c r="AT9" s="114">
        <v>214.08858367520591</v>
      </c>
      <c r="AU9" s="114">
        <v>214.08858367520591</v>
      </c>
      <c r="AV9" s="114">
        <v>214.08858367520591</v>
      </c>
      <c r="AW9" s="114">
        <v>214.08858367520591</v>
      </c>
      <c r="AX9" s="114">
        <v>214.08858367520591</v>
      </c>
      <c r="AY9" s="114">
        <v>214.08858367520591</v>
      </c>
    </row>
    <row r="10" spans="1:54">
      <c r="A10" s="115" t="s">
        <v>133</v>
      </c>
      <c r="B10" s="116">
        <v>1</v>
      </c>
      <c r="C10" s="104" t="s">
        <v>294</v>
      </c>
      <c r="D10">
        <v>157.92839689400748</v>
      </c>
      <c r="E10">
        <v>102.73542951829967</v>
      </c>
      <c r="F10">
        <v>121.79471413258004</v>
      </c>
      <c r="G10">
        <v>67.663730073655572</v>
      </c>
      <c r="H10">
        <v>156.10211538858883</v>
      </c>
      <c r="I10">
        <v>67.663730073655572</v>
      </c>
      <c r="J10">
        <v>4.8046472034234598E-20</v>
      </c>
      <c r="K10">
        <v>4.8046472034234598E-20</v>
      </c>
      <c r="L10">
        <v>4.8046472034234598E-20</v>
      </c>
      <c r="M10">
        <v>4.8046472034234598E-20</v>
      </c>
      <c r="N10">
        <v>156.10211538858883</v>
      </c>
      <c r="O10">
        <v>156.10211538858883</v>
      </c>
      <c r="P10">
        <v>156.10211538858883</v>
      </c>
      <c r="Q10">
        <v>156.10211538858883</v>
      </c>
      <c r="R10">
        <v>156.10211538858883</v>
      </c>
      <c r="S10">
        <v>27.065492029462231</v>
      </c>
      <c r="T10">
        <v>156.10211538858883</v>
      </c>
      <c r="U10">
        <v>156.10211538858883</v>
      </c>
      <c r="V10">
        <v>156.10211538858883</v>
      </c>
      <c r="W10">
        <v>156.10211538858883</v>
      </c>
      <c r="X10">
        <v>156.10211538858883</v>
      </c>
      <c r="Y10">
        <v>27.065492029462231</v>
      </c>
      <c r="Z10">
        <v>156.10211538858883</v>
      </c>
      <c r="AA10">
        <v>156.10211538858883</v>
      </c>
      <c r="AB10">
        <v>156.10211538858883</v>
      </c>
      <c r="AC10">
        <v>156.10211538858883</v>
      </c>
      <c r="AD10">
        <v>156.10211538858883</v>
      </c>
      <c r="AE10">
        <v>156.10211538858883</v>
      </c>
      <c r="AF10">
        <v>156.10211538858883</v>
      </c>
      <c r="AG10">
        <v>156.10211538858883</v>
      </c>
      <c r="AH10">
        <v>124.88169231087116</v>
      </c>
      <c r="AI10">
        <v>124.88169231087114</v>
      </c>
      <c r="AJ10">
        <v>124.88169231087116</v>
      </c>
      <c r="AK10">
        <v>124.88169231087114</v>
      </c>
      <c r="AL10">
        <v>135.32746014731114</v>
      </c>
      <c r="AM10">
        <v>54.130984058924454</v>
      </c>
      <c r="AN10">
        <v>156.10211538858883</v>
      </c>
      <c r="AO10">
        <v>156.10211538858883</v>
      </c>
      <c r="AP10">
        <v>156.10211538858883</v>
      </c>
      <c r="AQ10">
        <v>54.130984058924454</v>
      </c>
      <c r="AR10">
        <v>156.10211538858883</v>
      </c>
      <c r="AS10">
        <v>156.10211538858883</v>
      </c>
      <c r="AT10">
        <v>0</v>
      </c>
      <c r="AU10">
        <v>156.10211538858883</v>
      </c>
      <c r="AV10">
        <v>13.532746014731115</v>
      </c>
      <c r="AW10">
        <v>156.10211538858883</v>
      </c>
      <c r="AX10">
        <v>156.10211538858883</v>
      </c>
      <c r="AY10">
        <v>156.10211538858883</v>
      </c>
      <c r="AZ10">
        <v>156.10211538858883</v>
      </c>
    </row>
    <row r="11" spans="1:54">
      <c r="B11" s="116">
        <v>2</v>
      </c>
      <c r="C11" s="104" t="s">
        <v>294</v>
      </c>
      <c r="D11">
        <v>0</v>
      </c>
      <c r="E11">
        <v>0</v>
      </c>
      <c r="G11">
        <v>34.307401256008788</v>
      </c>
      <c r="H11">
        <v>88.438385314933257</v>
      </c>
      <c r="J11">
        <v>88.438385314933257</v>
      </c>
      <c r="K11">
        <v>0</v>
      </c>
      <c r="M11">
        <v>0</v>
      </c>
      <c r="T11">
        <v>0</v>
      </c>
      <c r="U11">
        <v>0</v>
      </c>
      <c r="V11">
        <v>0</v>
      </c>
      <c r="Y11">
        <v>0</v>
      </c>
      <c r="AA11">
        <v>0</v>
      </c>
      <c r="AC11">
        <v>0</v>
      </c>
      <c r="AI11">
        <v>0</v>
      </c>
      <c r="AL11">
        <v>0</v>
      </c>
      <c r="AM11">
        <v>20.774655241277685</v>
      </c>
      <c r="AN11">
        <v>101.97113132966437</v>
      </c>
      <c r="AR11">
        <v>101.97113132966437</v>
      </c>
      <c r="AV11">
        <v>0</v>
      </c>
      <c r="AW11">
        <v>142.56936937385771</v>
      </c>
      <c r="AX11">
        <v>0</v>
      </c>
      <c r="AY11">
        <v>0</v>
      </c>
    </row>
    <row r="12" spans="1:54">
      <c r="B12" s="117">
        <v>3</v>
      </c>
      <c r="C12" s="104" t="s">
        <v>294</v>
      </c>
      <c r="M12">
        <v>0</v>
      </c>
      <c r="U12">
        <v>129.03662335912659</v>
      </c>
      <c r="AA12">
        <v>129.03662335912659</v>
      </c>
      <c r="AB12">
        <v>0</v>
      </c>
      <c r="AF12">
        <v>0</v>
      </c>
      <c r="AG12">
        <v>0</v>
      </c>
      <c r="AL12">
        <v>0</v>
      </c>
      <c r="BB12">
        <v>0</v>
      </c>
    </row>
    <row r="13" spans="1:54">
      <c r="B13" s="117">
        <v>4</v>
      </c>
      <c r="C13" s="104" t="s">
        <v>294</v>
      </c>
      <c r="E13">
        <v>0</v>
      </c>
    </row>
    <row r="14" spans="1:54">
      <c r="A14" s="112" t="s">
        <v>134</v>
      </c>
      <c r="B14" s="118">
        <v>1</v>
      </c>
      <c r="C14" s="114" t="s">
        <v>294</v>
      </c>
      <c r="D14" s="114">
        <v>84.593808171027618</v>
      </c>
      <c r="E14" s="114">
        <f t="shared" ref="E14:AZ14" si="0">D$172*SUM(D$122:D$169)</f>
        <v>122.48680528899598</v>
      </c>
      <c r="F14" s="114">
        <f t="shared" si="0"/>
        <v>68.277165936436219</v>
      </c>
      <c r="G14" s="114">
        <f t="shared" si="0"/>
        <v>77.7106398677127</v>
      </c>
      <c r="H14" s="114">
        <f t="shared" si="0"/>
        <v>67.898873299323768</v>
      </c>
      <c r="I14" s="114">
        <f t="shared" si="0"/>
        <v>138.4641886616389</v>
      </c>
      <c r="J14" s="114">
        <f t="shared" si="0"/>
        <v>63.017211757376757</v>
      </c>
      <c r="K14" s="114">
        <f t="shared" si="0"/>
        <v>61.20078313843176</v>
      </c>
      <c r="L14" s="114">
        <f t="shared" si="0"/>
        <v>17.427828419684651</v>
      </c>
      <c r="M14" s="114">
        <f t="shared" si="0"/>
        <v>17.427828419684644</v>
      </c>
      <c r="N14" s="114">
        <f t="shared" si="0"/>
        <v>17.427828419684644</v>
      </c>
      <c r="O14" s="114">
        <f t="shared" si="0"/>
        <v>94.691233942891785</v>
      </c>
      <c r="P14" s="114">
        <f t="shared" si="0"/>
        <v>94.691233942891785</v>
      </c>
      <c r="Q14" s="114">
        <f t="shared" si="0"/>
        <v>94.691233942891785</v>
      </c>
      <c r="R14" s="114">
        <f t="shared" si="0"/>
        <v>94.691233942891785</v>
      </c>
      <c r="S14" s="114">
        <f t="shared" si="0"/>
        <v>94.691233942891785</v>
      </c>
      <c r="T14" s="114">
        <f t="shared" si="0"/>
        <v>30.824008741468656</v>
      </c>
      <c r="U14" s="114">
        <f t="shared" si="0"/>
        <v>94.691233942891785</v>
      </c>
      <c r="V14" s="114">
        <f t="shared" si="0"/>
        <v>158.55845914431492</v>
      </c>
      <c r="W14" s="114">
        <f t="shared" si="0"/>
        <v>123.21155469274983</v>
      </c>
      <c r="X14" s="114">
        <f t="shared" si="0"/>
        <v>94.691233942891785</v>
      </c>
      <c r="Y14" s="114">
        <f t="shared" si="0"/>
        <v>94.691233942891785</v>
      </c>
      <c r="Z14" s="114">
        <f t="shared" si="0"/>
        <v>30.824008741468656</v>
      </c>
      <c r="AA14" s="114">
        <f t="shared" si="0"/>
        <v>94.691233942891785</v>
      </c>
      <c r="AB14" s="114">
        <f t="shared" si="0"/>
        <v>158.55845914431492</v>
      </c>
      <c r="AC14" s="114">
        <f t="shared" si="0"/>
        <v>122.59059455605691</v>
      </c>
      <c r="AD14" s="114">
        <f t="shared" si="0"/>
        <v>109.76978770544196</v>
      </c>
      <c r="AE14" s="114">
        <f t="shared" si="0"/>
        <v>102.91504751207398</v>
      </c>
      <c r="AF14" s="114">
        <f t="shared" si="0"/>
        <v>94.691233942891785</v>
      </c>
      <c r="AG14" s="114">
        <f t="shared" si="0"/>
        <v>94.691233942891785</v>
      </c>
      <c r="AH14" s="114">
        <f t="shared" si="0"/>
        <v>94.691233942891785</v>
      </c>
      <c r="AI14" s="114">
        <f t="shared" si="0"/>
        <v>79.238552838250399</v>
      </c>
      <c r="AJ14" s="114">
        <f t="shared" si="0"/>
        <v>79.238552838250399</v>
      </c>
      <c r="AK14" s="114">
        <f t="shared" si="0"/>
        <v>79.238552838250399</v>
      </c>
      <c r="AL14" s="114">
        <f t="shared" si="0"/>
        <v>79.238552838250399</v>
      </c>
      <c r="AM14" s="114">
        <f t="shared" si="0"/>
        <v>84.408730028604708</v>
      </c>
      <c r="AN14" s="114">
        <f t="shared" si="0"/>
        <v>54.502692977539752</v>
      </c>
      <c r="AO14" s="114">
        <f t="shared" si="0"/>
        <v>145.16227882253091</v>
      </c>
      <c r="AP14" s="114">
        <f t="shared" si="0"/>
        <v>105.07063093879209</v>
      </c>
      <c r="AQ14" s="114">
        <f t="shared" si="0"/>
        <v>98.451862379099239</v>
      </c>
      <c r="AR14" s="114">
        <f t="shared" si="0"/>
        <v>44.220189063252668</v>
      </c>
      <c r="AS14" s="114">
        <f t="shared" si="0"/>
        <v>145.16227882253091</v>
      </c>
      <c r="AT14" s="114">
        <f t="shared" si="0"/>
        <v>94.691233942891799</v>
      </c>
      <c r="AU14" s="114">
        <f t="shared" si="0"/>
        <v>17.427828419684658</v>
      </c>
      <c r="AV14" s="114">
        <f t="shared" si="0"/>
        <v>94.691233942891785</v>
      </c>
      <c r="AW14" s="114">
        <f t="shared" si="0"/>
        <v>24.125918580576652</v>
      </c>
      <c r="AX14" s="114">
        <f t="shared" si="0"/>
        <v>165.25654930520693</v>
      </c>
      <c r="AY14" s="114">
        <f t="shared" si="0"/>
        <v>107.15964663279978</v>
      </c>
      <c r="AZ14" s="108">
        <f t="shared" si="0"/>
        <v>94.691233942891799</v>
      </c>
      <c r="BA14" s="105">
        <f>SUM($E14:$AZ14)</f>
        <v>4216.8623999138581</v>
      </c>
    </row>
    <row r="15" spans="1:54">
      <c r="A15" s="119" t="s">
        <v>123</v>
      </c>
      <c r="B15" s="120">
        <v>1</v>
      </c>
      <c r="C15" s="121" t="s">
        <v>294</v>
      </c>
      <c r="D15" s="121">
        <v>279.2407434187154</v>
      </c>
      <c r="E15" s="121">
        <v>167.85940557120128</v>
      </c>
      <c r="F15" s="121">
        <v>191.05160028018611</v>
      </c>
      <c r="G15" s="121">
        <v>125.18258433911056</v>
      </c>
      <c r="H15" s="121">
        <v>232.79838910207434</v>
      </c>
      <c r="I15" s="121">
        <v>125.18258433911056</v>
      </c>
      <c r="J15" s="121">
        <v>42.846314412766148</v>
      </c>
      <c r="K15" s="121">
        <v>42.846314412766148</v>
      </c>
      <c r="L15" s="121">
        <v>42.846314412766148</v>
      </c>
      <c r="M15" s="121">
        <v>42.846314412766148</v>
      </c>
      <c r="N15" s="121">
        <v>232.79838910207434</v>
      </c>
      <c r="O15" s="121">
        <v>232.79838910207434</v>
      </c>
      <c r="P15" s="121">
        <v>232.79838910207434</v>
      </c>
      <c r="Q15" s="121">
        <v>232.79838910207434</v>
      </c>
      <c r="R15" s="121">
        <v>232.79838910207434</v>
      </c>
      <c r="S15" s="121">
        <v>75.780822383303914</v>
      </c>
      <c r="T15" s="121">
        <v>232.79838910207434</v>
      </c>
      <c r="U15" s="121">
        <v>232.79838910207434</v>
      </c>
      <c r="V15" s="121">
        <v>232.79838910207434</v>
      </c>
      <c r="W15" s="121">
        <v>232.79838910207434</v>
      </c>
      <c r="X15" s="121">
        <v>232.79838910207434</v>
      </c>
      <c r="Y15" s="121">
        <v>75.780822383303914</v>
      </c>
      <c r="Z15" s="121">
        <v>232.79838910207434</v>
      </c>
      <c r="AA15" s="121">
        <v>232.79838910207434</v>
      </c>
      <c r="AB15" s="121">
        <v>232.79838910207434</v>
      </c>
      <c r="AC15" s="121">
        <v>232.79838910207434</v>
      </c>
      <c r="AD15" s="121">
        <v>232.79838910207434</v>
      </c>
      <c r="AE15" s="121">
        <v>232.79838910207434</v>
      </c>
      <c r="AF15" s="121">
        <v>232.79838910207434</v>
      </c>
      <c r="AG15" s="121">
        <v>232.79838910207434</v>
      </c>
      <c r="AH15" s="121">
        <v>194.80797416421279</v>
      </c>
      <c r="AI15" s="121">
        <v>194.80797416421279</v>
      </c>
      <c r="AJ15" s="121">
        <v>194.80797416421279</v>
      </c>
      <c r="AK15" s="121">
        <v>194.80797416421279</v>
      </c>
      <c r="AL15" s="121">
        <v>207.51885426545499</v>
      </c>
      <c r="AM15" s="121">
        <v>108.71533035384168</v>
      </c>
      <c r="AN15" s="121">
        <v>232.79838910207434</v>
      </c>
      <c r="AO15" s="121">
        <v>232.79838910207434</v>
      </c>
      <c r="AP15" s="121">
        <v>232.79838910207434</v>
      </c>
      <c r="AQ15" s="121">
        <v>108.71533035384168</v>
      </c>
      <c r="AR15" s="121">
        <v>232.79838910207434</v>
      </c>
      <c r="AS15" s="121">
        <v>232.79838910207434</v>
      </c>
      <c r="AT15" s="121">
        <v>42.846314412766148</v>
      </c>
      <c r="AU15" s="121">
        <v>232.79838910207434</v>
      </c>
      <c r="AV15" s="121">
        <v>59.313568398035031</v>
      </c>
      <c r="AW15" s="121">
        <v>232.79838910207434</v>
      </c>
      <c r="AX15" s="121">
        <v>232.79838910207434</v>
      </c>
      <c r="AY15" s="121">
        <v>232.79838910207434</v>
      </c>
      <c r="AZ15">
        <v>189.95207468930818</v>
      </c>
    </row>
    <row r="16" spans="1:54">
      <c r="A16" s="108"/>
      <c r="B16" s="116">
        <v>2</v>
      </c>
      <c r="C16" s="107" t="s">
        <v>294</v>
      </c>
      <c r="D16" s="104">
        <v>0</v>
      </c>
      <c r="E16" s="108">
        <v>0</v>
      </c>
      <c r="F16" s="108"/>
      <c r="G16" s="108">
        <v>41.746788821888231</v>
      </c>
      <c r="H16" s="108">
        <v>107.61580476296376</v>
      </c>
      <c r="I16" s="108"/>
      <c r="J16" s="108">
        <v>107.61580476296376</v>
      </c>
      <c r="K16" s="108">
        <v>0</v>
      </c>
      <c r="L16" s="108"/>
      <c r="M16" s="108">
        <v>0</v>
      </c>
      <c r="N16" s="108"/>
      <c r="O16" s="108"/>
      <c r="P16" s="108"/>
      <c r="Q16" s="108"/>
      <c r="R16" s="108"/>
      <c r="S16" s="108"/>
      <c r="T16" s="108">
        <v>0</v>
      </c>
      <c r="U16" s="108">
        <v>0</v>
      </c>
      <c r="V16" s="108">
        <v>0</v>
      </c>
      <c r="W16" s="108"/>
      <c r="X16" s="108"/>
      <c r="Y16" s="108">
        <v>0</v>
      </c>
      <c r="Z16" s="108"/>
      <c r="AA16" s="108">
        <v>0</v>
      </c>
      <c r="AB16" s="108"/>
      <c r="AC16" s="108">
        <v>0</v>
      </c>
      <c r="AD16" s="108"/>
      <c r="AE16" s="108"/>
      <c r="AF16" s="108"/>
      <c r="AG16" s="108"/>
      <c r="AH16" s="108"/>
      <c r="AI16" s="108">
        <v>0</v>
      </c>
      <c r="AJ16" s="108"/>
      <c r="AK16" s="108"/>
      <c r="AL16" s="108">
        <v>0</v>
      </c>
      <c r="AM16" s="108">
        <v>25.279534836619348</v>
      </c>
      <c r="AN16" s="108">
        <v>124.08305874823265</v>
      </c>
      <c r="AO16" s="108"/>
      <c r="AP16" s="108"/>
      <c r="AQ16" s="108"/>
      <c r="AR16" s="108">
        <v>124.08305874823265</v>
      </c>
      <c r="AS16" s="108"/>
      <c r="AT16" s="108"/>
      <c r="AU16" s="108"/>
      <c r="AV16" s="108">
        <v>0</v>
      </c>
      <c r="AW16" s="108">
        <v>173.48482070403929</v>
      </c>
      <c r="AX16" s="108">
        <v>0</v>
      </c>
      <c r="AY16" s="108">
        <v>0</v>
      </c>
    </row>
    <row r="17" spans="1:54">
      <c r="A17" s="108"/>
      <c r="B17" s="116">
        <v>3</v>
      </c>
      <c r="C17" s="107" t="s">
        <v>294</v>
      </c>
      <c r="D17" s="104"/>
      <c r="E17" s="108"/>
      <c r="F17" s="108"/>
      <c r="G17" s="108"/>
      <c r="H17" s="108"/>
      <c r="I17" s="108"/>
      <c r="J17" s="108"/>
      <c r="K17" s="108"/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>
        <v>157.01756671877041</v>
      </c>
      <c r="V17" s="108"/>
      <c r="W17" s="108"/>
      <c r="X17" s="108"/>
      <c r="Y17" s="108"/>
      <c r="Z17" s="108"/>
      <c r="AA17" s="108">
        <v>157.01756671877041</v>
      </c>
      <c r="AB17" s="108">
        <v>0</v>
      </c>
      <c r="AC17" s="108"/>
      <c r="AD17" s="108"/>
      <c r="AE17" s="108"/>
      <c r="AF17" s="108">
        <v>0</v>
      </c>
      <c r="AG17" s="108">
        <v>0</v>
      </c>
      <c r="AH17" s="108"/>
      <c r="AI17" s="108"/>
      <c r="AJ17" s="108"/>
      <c r="AK17" s="108"/>
      <c r="AL17" s="108">
        <v>0</v>
      </c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BB17">
        <v>0</v>
      </c>
    </row>
    <row r="18" spans="1:54">
      <c r="A18" s="122"/>
      <c r="B18" s="113">
        <v>4</v>
      </c>
      <c r="C18" s="122" t="s">
        <v>294</v>
      </c>
      <c r="D18" s="122"/>
      <c r="E18" s="122">
        <v>0</v>
      </c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4">
      <c r="A20" s="1" t="s">
        <v>295</v>
      </c>
    </row>
    <row r="21" spans="1:54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204.73321552448044</v>
      </c>
      <c r="D95" s="108">
        <v>214.08858367520591</v>
      </c>
      <c r="E95" s="108">
        <v>214.08858367520591</v>
      </c>
      <c r="F95" s="108">
        <v>214.08858367520591</v>
      </c>
      <c r="G95" s="108">
        <v>214.08858367520591</v>
      </c>
      <c r="H95" s="108">
        <v>214.08858367520591</v>
      </c>
      <c r="I95" s="108">
        <v>214.08858367520591</v>
      </c>
      <c r="J95" s="108">
        <v>214.08858367520591</v>
      </c>
      <c r="K95" s="108">
        <v>214.08858367520591</v>
      </c>
      <c r="L95" s="108">
        <v>214.08858367520591</v>
      </c>
      <c r="M95" s="108">
        <v>214.08858367520591</v>
      </c>
      <c r="N95" s="108">
        <v>214.08858367520591</v>
      </c>
      <c r="O95" s="108">
        <v>214.08858367520591</v>
      </c>
      <c r="P95" s="108">
        <v>214.08858367520591</v>
      </c>
      <c r="Q95" s="108">
        <v>214.08858367520591</v>
      </c>
      <c r="R95" s="108">
        <v>214.08858367520591</v>
      </c>
      <c r="S95" s="108">
        <v>214.08858367520591</v>
      </c>
      <c r="T95" s="108">
        <v>171.27086694016475</v>
      </c>
      <c r="U95" s="108">
        <v>171.27086694016475</v>
      </c>
      <c r="V95" s="108">
        <v>171.27086694016475</v>
      </c>
      <c r="W95" s="108">
        <v>171.27086694016475</v>
      </c>
      <c r="X95" s="108">
        <v>214.08858367520591</v>
      </c>
      <c r="Y95" s="108">
        <v>214.08858367520591</v>
      </c>
      <c r="Z95" s="108">
        <v>214.08858367520591</v>
      </c>
      <c r="AA95" s="108">
        <v>214.08858367520591</v>
      </c>
      <c r="AB95" s="108">
        <v>214.08858367520591</v>
      </c>
      <c r="AC95" s="108">
        <v>214.08858367520591</v>
      </c>
      <c r="AD95" s="108">
        <v>214.08858367520591</v>
      </c>
      <c r="AE95" s="108">
        <v>214.08858367520591</v>
      </c>
      <c r="AF95" s="108">
        <v>171.27086694016475</v>
      </c>
      <c r="AG95" s="108">
        <v>171.27086694016475</v>
      </c>
      <c r="AH95" s="108">
        <v>171.27086694016475</v>
      </c>
      <c r="AI95" s="108">
        <v>171.27086694016475</v>
      </c>
      <c r="AJ95" s="108">
        <v>214.08858367520591</v>
      </c>
      <c r="AK95" s="108">
        <v>214.08858367520591</v>
      </c>
      <c r="AL95" s="108">
        <v>214.08858367520591</v>
      </c>
      <c r="AM95" s="108">
        <v>214.08858367520591</v>
      </c>
      <c r="AN95" s="108">
        <v>214.08858367520591</v>
      </c>
      <c r="AO95" s="108">
        <v>214.08858367520591</v>
      </c>
      <c r="AP95" s="108">
        <v>214.08858367520591</v>
      </c>
      <c r="AQ95" s="108">
        <v>214.08858367520591</v>
      </c>
      <c r="AR95" s="108">
        <v>214.08858367520591</v>
      </c>
      <c r="AS95" s="108">
        <v>214.08858367520591</v>
      </c>
      <c r="AT95" s="108">
        <v>214.08858367520591</v>
      </c>
      <c r="AU95" s="108">
        <v>214.08858367520591</v>
      </c>
      <c r="AV95" s="108">
        <v>214.08858367520591</v>
      </c>
      <c r="AW95" s="108">
        <v>214.08858367520591</v>
      </c>
      <c r="AX95" s="108">
        <v>214.08858367520591</v>
      </c>
      <c r="AY95" s="108">
        <v>214.08858367520591</v>
      </c>
    </row>
    <row r="96" spans="1:52">
      <c r="A96" s="107"/>
      <c r="B96" s="117">
        <v>2</v>
      </c>
      <c r="C96" s="108">
        <v>204.73321552448044</v>
      </c>
      <c r="D96" s="108">
        <v>204.73321552448044</v>
      </c>
      <c r="E96" s="108">
        <v>214.08858367520591</v>
      </c>
      <c r="F96" s="108">
        <v>214.08858367520591</v>
      </c>
      <c r="G96" s="108">
        <v>214.08858367520591</v>
      </c>
      <c r="H96" s="108">
        <v>214.08858367520591</v>
      </c>
      <c r="I96" s="108">
        <v>214.08858367520591</v>
      </c>
      <c r="J96" s="108">
        <v>214.08858367520591</v>
      </c>
      <c r="K96" s="108">
        <v>214.08858367520591</v>
      </c>
      <c r="L96" s="108">
        <v>214.08858367520591</v>
      </c>
      <c r="M96" s="108">
        <v>214.08858367520591</v>
      </c>
      <c r="N96" s="108">
        <v>214.08858367520591</v>
      </c>
      <c r="O96" s="108">
        <v>214.08858367520591</v>
      </c>
      <c r="P96" s="108">
        <v>214.08858367520591</v>
      </c>
      <c r="Q96" s="108">
        <v>214.08858367520591</v>
      </c>
      <c r="R96" s="108">
        <v>214.08858367520591</v>
      </c>
      <c r="S96" s="108">
        <v>214.08858367520591</v>
      </c>
      <c r="T96" s="108">
        <v>214.08858367520591</v>
      </c>
      <c r="U96" s="108">
        <v>171.27086694016475</v>
      </c>
      <c r="V96" s="108">
        <v>171.27086694016475</v>
      </c>
      <c r="W96" s="108">
        <v>171.27086694016475</v>
      </c>
      <c r="X96" s="108">
        <v>171.27086694016475</v>
      </c>
      <c r="Y96" s="108">
        <v>214.08858367520591</v>
      </c>
      <c r="Z96" s="108">
        <v>214.08858367520591</v>
      </c>
      <c r="AA96" s="108">
        <v>214.08858367520591</v>
      </c>
      <c r="AB96" s="108">
        <v>214.08858367520591</v>
      </c>
      <c r="AC96" s="108">
        <v>214.08858367520591</v>
      </c>
      <c r="AD96" s="108">
        <v>214.08858367520591</v>
      </c>
      <c r="AE96" s="108">
        <v>214.08858367520591</v>
      </c>
      <c r="AF96" s="108">
        <v>214.08858367520591</v>
      </c>
      <c r="AG96" s="108">
        <v>171.27086694016475</v>
      </c>
      <c r="AH96" s="108">
        <v>171.27086694016475</v>
      </c>
      <c r="AI96" s="108">
        <v>171.27086694016475</v>
      </c>
      <c r="AJ96" s="108">
        <v>171.27086694016475</v>
      </c>
      <c r="AK96" s="108">
        <v>214.08858367520591</v>
      </c>
      <c r="AL96" s="108">
        <v>214.08858367520591</v>
      </c>
      <c r="AM96" s="108">
        <v>214.08858367520591</v>
      </c>
      <c r="AN96" s="108">
        <v>214.08858367520591</v>
      </c>
      <c r="AO96" s="108">
        <v>214.08858367520591</v>
      </c>
      <c r="AP96" s="108">
        <v>214.08858367520591</v>
      </c>
      <c r="AQ96" s="108">
        <v>214.08858367520591</v>
      </c>
      <c r="AR96" s="108">
        <v>214.08858367520591</v>
      </c>
      <c r="AS96" s="108">
        <v>214.08858367520591</v>
      </c>
      <c r="AT96" s="108">
        <v>214.08858367520591</v>
      </c>
      <c r="AU96" s="108">
        <v>214.08858367520591</v>
      </c>
      <c r="AV96" s="108">
        <v>214.08858367520591</v>
      </c>
      <c r="AW96" s="108">
        <v>214.08858367520591</v>
      </c>
      <c r="AX96" s="108">
        <v>214.08858367520591</v>
      </c>
      <c r="AY96" s="108">
        <v>214.08858367520591</v>
      </c>
    </row>
    <row r="97" spans="1:52">
      <c r="A97" s="107"/>
      <c r="B97" s="124">
        <v>3</v>
      </c>
      <c r="C97" s="108">
        <v>204.73321552448044</v>
      </c>
      <c r="D97" s="108">
        <v>204.73321552448044</v>
      </c>
      <c r="E97" s="108">
        <v>204.73321552448044</v>
      </c>
      <c r="F97" s="108">
        <v>214.08858367520591</v>
      </c>
      <c r="G97" s="108">
        <v>214.08858367520591</v>
      </c>
      <c r="H97" s="108">
        <v>214.08858367520591</v>
      </c>
      <c r="I97" s="108">
        <v>214.08858367520591</v>
      </c>
      <c r="J97" s="108">
        <v>214.08858367520591</v>
      </c>
      <c r="K97" s="108">
        <v>214.08858367520591</v>
      </c>
      <c r="L97" s="108">
        <v>214.08858367520591</v>
      </c>
      <c r="M97" s="108">
        <v>214.08858367520591</v>
      </c>
      <c r="N97" s="108">
        <v>214.08858367520591</v>
      </c>
      <c r="O97" s="108">
        <v>214.08858367520591</v>
      </c>
      <c r="P97" s="108">
        <v>214.08858367520591</v>
      </c>
      <c r="Q97" s="108">
        <v>214.08858367520591</v>
      </c>
      <c r="R97" s="108">
        <v>214.08858367520591</v>
      </c>
      <c r="S97" s="108">
        <v>214.08858367520591</v>
      </c>
      <c r="T97" s="108">
        <v>214.08858367520591</v>
      </c>
      <c r="U97" s="108">
        <v>214.08858367520591</v>
      </c>
      <c r="V97" s="108">
        <v>171.27086694016475</v>
      </c>
      <c r="W97" s="108">
        <v>171.27086694016475</v>
      </c>
      <c r="X97" s="108">
        <v>171.27086694016475</v>
      </c>
      <c r="Y97" s="108">
        <v>171.27086694016475</v>
      </c>
      <c r="Z97" s="108">
        <v>214.08858367520591</v>
      </c>
      <c r="AA97" s="108">
        <v>214.08858367520591</v>
      </c>
      <c r="AB97" s="108">
        <v>214.08858367520591</v>
      </c>
      <c r="AC97" s="108">
        <v>214.08858367520591</v>
      </c>
      <c r="AD97" s="108">
        <v>214.08858367520591</v>
      </c>
      <c r="AE97" s="108">
        <v>214.08858367520591</v>
      </c>
      <c r="AF97" s="108">
        <v>214.08858367520591</v>
      </c>
      <c r="AG97" s="108">
        <v>214.08858367520591</v>
      </c>
      <c r="AH97" s="108">
        <v>171.27086694016475</v>
      </c>
      <c r="AI97" s="108">
        <v>171.27086694016475</v>
      </c>
      <c r="AJ97" s="108">
        <v>171.27086694016475</v>
      </c>
      <c r="AK97" s="108">
        <v>171.27086694016475</v>
      </c>
      <c r="AL97" s="108">
        <v>214.08858367520591</v>
      </c>
      <c r="AM97" s="108">
        <v>214.08858367520591</v>
      </c>
      <c r="AN97" s="108">
        <v>214.08858367520591</v>
      </c>
      <c r="AO97" s="108">
        <v>214.08858367520591</v>
      </c>
      <c r="AP97" s="108">
        <v>214.08858367520591</v>
      </c>
      <c r="AQ97" s="108">
        <v>214.08858367520591</v>
      </c>
      <c r="AR97" s="108">
        <v>214.08858367520591</v>
      </c>
      <c r="AS97" s="108">
        <v>214.08858367520591</v>
      </c>
      <c r="AT97" s="108">
        <v>214.08858367520591</v>
      </c>
      <c r="AU97" s="108">
        <v>214.08858367520591</v>
      </c>
      <c r="AV97" s="108">
        <v>214.08858367520591</v>
      </c>
      <c r="AW97" s="108">
        <v>214.08858367520591</v>
      </c>
      <c r="AX97" s="108">
        <v>214.08858367520591</v>
      </c>
      <c r="AY97" s="108">
        <v>214.08858367520591</v>
      </c>
    </row>
    <row r="98" spans="1:52">
      <c r="A98" s="107"/>
      <c r="B98" s="127">
        <v>4</v>
      </c>
      <c r="C98" s="104">
        <v>165.93286209792177</v>
      </c>
      <c r="D98" s="108">
        <v>175.66607762240221</v>
      </c>
      <c r="E98" s="108">
        <v>150.39929314688266</v>
      </c>
      <c r="F98" s="108">
        <v>130.1325086713631</v>
      </c>
      <c r="G98" s="108">
        <v>161.22109234656901</v>
      </c>
      <c r="H98" s="108">
        <v>143.30967602177492</v>
      </c>
      <c r="I98" s="108">
        <v>200.39825969698083</v>
      </c>
      <c r="J98" s="108">
        <v>214.08858367520591</v>
      </c>
      <c r="K98" s="108">
        <v>214.08858367520591</v>
      </c>
      <c r="L98" s="108">
        <v>214.08858367520591</v>
      </c>
      <c r="M98" s="108">
        <v>214.08858367520591</v>
      </c>
      <c r="N98" s="108">
        <v>199.17716735041182</v>
      </c>
      <c r="O98" s="108">
        <v>214.08858367520591</v>
      </c>
      <c r="P98" s="108">
        <v>214.08858367520591</v>
      </c>
      <c r="Q98" s="108">
        <v>214.08858367520591</v>
      </c>
      <c r="R98" s="108">
        <v>214.08858367520591</v>
      </c>
      <c r="S98" s="108">
        <v>214.08858367520591</v>
      </c>
      <c r="T98" s="108">
        <v>205.17716735041182</v>
      </c>
      <c r="U98" s="108">
        <v>214.08858367520591</v>
      </c>
      <c r="V98" s="108">
        <v>214.08858367520591</v>
      </c>
      <c r="W98" s="108">
        <v>171.27086694016475</v>
      </c>
      <c r="X98" s="108">
        <v>165.5417338803295</v>
      </c>
      <c r="Y98" s="108">
        <v>124.81260082049425</v>
      </c>
      <c r="Z98" s="108">
        <v>79.083467760659005</v>
      </c>
      <c r="AA98" s="108">
        <v>123.17205143586492</v>
      </c>
      <c r="AB98" s="108">
        <v>125.26063511107083</v>
      </c>
      <c r="AC98" s="108">
        <v>116.34921878627674</v>
      </c>
      <c r="AD98" s="108">
        <v>132.43780246148265</v>
      </c>
      <c r="AE98" s="108">
        <v>165.52638613668856</v>
      </c>
      <c r="AF98" s="108">
        <v>214.08858367520591</v>
      </c>
      <c r="AG98" s="108">
        <v>214.08858367520591</v>
      </c>
      <c r="AH98" s="108">
        <v>214.08858367520591</v>
      </c>
      <c r="AI98" s="108">
        <v>171.27086694016475</v>
      </c>
      <c r="AJ98" s="108">
        <v>144.5417338803295</v>
      </c>
      <c r="AK98" s="108">
        <v>160.81260082049425</v>
      </c>
      <c r="AL98" s="108">
        <v>141.083467760659</v>
      </c>
      <c r="AM98" s="108">
        <v>142.17205143586492</v>
      </c>
      <c r="AN98" s="108">
        <v>169.26063511107083</v>
      </c>
      <c r="AO98" s="108">
        <v>164.34921878627674</v>
      </c>
      <c r="AP98" s="108">
        <v>176.43780246148265</v>
      </c>
      <c r="AQ98" s="108">
        <v>186.52638613668856</v>
      </c>
      <c r="AR98" s="108">
        <v>214.08858367520591</v>
      </c>
      <c r="AS98" s="108">
        <v>214.08858367520591</v>
      </c>
      <c r="AT98" s="108">
        <v>214.08858367520591</v>
      </c>
      <c r="AU98" s="108">
        <v>214.08858367520591</v>
      </c>
      <c r="AV98" s="108">
        <v>214.08858367520591</v>
      </c>
      <c r="AW98" s="108">
        <v>199.17716735041182</v>
      </c>
      <c r="AX98" s="108">
        <v>194.26575102561773</v>
      </c>
      <c r="AY98" s="108">
        <v>197.35433470082364</v>
      </c>
    </row>
    <row r="99" spans="1:52">
      <c r="A99" s="125"/>
      <c r="B99" s="129" t="s">
        <v>297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33.39825969698083</v>
      </c>
      <c r="K99" s="122">
        <v>34.088583675205911</v>
      </c>
      <c r="L99" s="122">
        <v>21.088583675205911</v>
      </c>
      <c r="M99" s="122">
        <v>37.088583675205911</v>
      </c>
      <c r="N99" s="122">
        <v>0</v>
      </c>
      <c r="O99" s="122">
        <v>15.177167350411821</v>
      </c>
      <c r="P99" s="122">
        <v>32.088583675205911</v>
      </c>
      <c r="Q99" s="122">
        <v>48.088583675205911</v>
      </c>
      <c r="R99" s="122">
        <v>13.088583675205911</v>
      </c>
      <c r="S99" s="122">
        <v>24.088583675205911</v>
      </c>
      <c r="T99" s="122">
        <v>0</v>
      </c>
      <c r="U99" s="122">
        <v>12.177167350411821</v>
      </c>
      <c r="V99" s="122">
        <v>32.088583675205911</v>
      </c>
      <c r="W99" s="122">
        <v>38.088583675205911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4.5263861366885578</v>
      </c>
      <c r="AG99" s="122">
        <v>43.088583675205911</v>
      </c>
      <c r="AH99" s="122">
        <v>47.088583675205911</v>
      </c>
      <c r="AI99" s="122">
        <v>1.0885836752059106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7.5263861366885578</v>
      </c>
      <c r="AS99" s="122">
        <v>3.0885836752059106</v>
      </c>
      <c r="AT99" s="122">
        <v>31.088583675205911</v>
      </c>
      <c r="AU99" s="122">
        <v>17.088583675205911</v>
      </c>
      <c r="AV99" s="122">
        <v>26.088583675205911</v>
      </c>
      <c r="AW99" s="122">
        <v>0</v>
      </c>
      <c r="AX99" s="122">
        <v>0</v>
      </c>
      <c r="AY99" s="122">
        <v>0</v>
      </c>
      <c r="AZ99" s="105">
        <f>SUM($D99:$AY99)</f>
        <v>521.2227054744759</v>
      </c>
    </row>
    <row r="100" spans="1:52">
      <c r="A100" s="128" t="s">
        <v>133</v>
      </c>
      <c r="B100" s="116">
        <v>1</v>
      </c>
      <c r="C100" s="104">
        <v>157.92839689400745</v>
      </c>
      <c r="D100" s="104">
        <v>157.92839689400748</v>
      </c>
      <c r="E100" s="104">
        <v>102.73542951829967</v>
      </c>
      <c r="F100" s="104">
        <v>121.79471413258004</v>
      </c>
      <c r="G100" s="104">
        <v>67.663730073655572</v>
      </c>
      <c r="H100" s="104">
        <v>156.10211538858883</v>
      </c>
      <c r="I100" s="104">
        <v>67.663730073655572</v>
      </c>
      <c r="J100" s="104">
        <v>4.8046472034234598E-20</v>
      </c>
      <c r="K100" s="104">
        <v>4.8046472034234598E-20</v>
      </c>
      <c r="L100" s="104">
        <v>4.8046472034234598E-20</v>
      </c>
      <c r="M100" s="104">
        <v>4.8046472034234598E-20</v>
      </c>
      <c r="N100" s="104">
        <v>156.10211538858883</v>
      </c>
      <c r="O100" s="104">
        <v>156.10211538858883</v>
      </c>
      <c r="P100" s="104">
        <v>156.10211538858883</v>
      </c>
      <c r="Q100" s="104">
        <v>156.10211538858883</v>
      </c>
      <c r="R100" s="104">
        <v>156.10211538858883</v>
      </c>
      <c r="S100" s="104">
        <v>27.065492029462231</v>
      </c>
      <c r="T100" s="104">
        <v>156.10211538858883</v>
      </c>
      <c r="U100" s="104">
        <v>156.10211538858883</v>
      </c>
      <c r="V100" s="104">
        <v>156.10211538858883</v>
      </c>
      <c r="W100" s="104">
        <v>156.10211538858883</v>
      </c>
      <c r="X100" s="104">
        <v>156.10211538858883</v>
      </c>
      <c r="Y100" s="104">
        <v>27.065492029462231</v>
      </c>
      <c r="Z100" s="104">
        <v>156.10211538858883</v>
      </c>
      <c r="AA100" s="104">
        <v>156.10211538858883</v>
      </c>
      <c r="AB100" s="104">
        <v>156.10211538858883</v>
      </c>
      <c r="AC100" s="104">
        <v>156.10211538858883</v>
      </c>
      <c r="AD100" s="104">
        <v>156.10211538858883</v>
      </c>
      <c r="AE100" s="104">
        <v>156.10211538858883</v>
      </c>
      <c r="AF100" s="104">
        <v>156.10211538858883</v>
      </c>
      <c r="AG100" s="104">
        <v>156.10211538858883</v>
      </c>
      <c r="AH100" s="104">
        <v>124.88169231087116</v>
      </c>
      <c r="AI100" s="104">
        <v>124.88169231087114</v>
      </c>
      <c r="AJ100" s="104">
        <v>124.88169231087116</v>
      </c>
      <c r="AK100" s="104">
        <v>124.88169231087114</v>
      </c>
      <c r="AL100" s="104">
        <v>135.32746014731114</v>
      </c>
      <c r="AM100" s="104">
        <v>54.130984058924454</v>
      </c>
      <c r="AN100" s="104">
        <v>156.10211538858883</v>
      </c>
      <c r="AO100" s="104">
        <v>156.10211538858883</v>
      </c>
      <c r="AP100" s="104">
        <v>156.10211538858883</v>
      </c>
      <c r="AQ100" s="104">
        <v>54.130984058924454</v>
      </c>
      <c r="AR100" s="104">
        <v>156.10211538858883</v>
      </c>
      <c r="AS100" s="104">
        <v>156.10211538858883</v>
      </c>
      <c r="AT100" s="104">
        <v>0</v>
      </c>
      <c r="AU100" s="104">
        <v>156.10211538858883</v>
      </c>
      <c r="AV100" s="104">
        <v>13.532746014731115</v>
      </c>
      <c r="AW100" s="104">
        <v>156.10211538858883</v>
      </c>
      <c r="AX100" s="104">
        <v>156.10211538858883</v>
      </c>
      <c r="AY100" s="104">
        <v>156.10211538858883</v>
      </c>
    </row>
    <row r="101" spans="1:52">
      <c r="A101" s="107"/>
      <c r="B101" s="116">
        <v>2</v>
      </c>
      <c r="C101" s="104">
        <v>35.750672687747141</v>
      </c>
      <c r="D101" s="104">
        <v>0</v>
      </c>
      <c r="E101" s="104">
        <v>0</v>
      </c>
      <c r="F101" s="104">
        <v>0</v>
      </c>
      <c r="G101" s="104">
        <v>34.307401256008788</v>
      </c>
      <c r="H101" s="104">
        <v>88.438385314933257</v>
      </c>
      <c r="I101" s="104">
        <v>89.540500703522085</v>
      </c>
      <c r="J101" s="104">
        <v>88.438385314933257</v>
      </c>
      <c r="K101" s="104">
        <v>4.8046472034234598E-20</v>
      </c>
      <c r="L101" s="104">
        <v>0</v>
      </c>
      <c r="M101" s="104">
        <v>0</v>
      </c>
      <c r="N101" s="104">
        <v>0</v>
      </c>
      <c r="O101" s="104">
        <v>0</v>
      </c>
      <c r="P101" s="104">
        <v>0</v>
      </c>
      <c r="Q101" s="104">
        <v>0</v>
      </c>
      <c r="R101" s="104">
        <v>0</v>
      </c>
      <c r="S101" s="104">
        <v>0</v>
      </c>
      <c r="T101" s="104">
        <v>0</v>
      </c>
      <c r="U101" s="104">
        <v>23.102115388588828</v>
      </c>
      <c r="V101" s="104">
        <v>133.24085413630425</v>
      </c>
      <c r="W101" s="104">
        <v>90.342969524893078</v>
      </c>
      <c r="X101" s="104">
        <v>96.445084913481907</v>
      </c>
      <c r="Y101" s="104">
        <v>70.547200302070735</v>
      </c>
      <c r="Z101" s="104">
        <v>0</v>
      </c>
      <c r="AA101" s="104">
        <v>0</v>
      </c>
      <c r="AB101" s="104">
        <v>101.13873874771542</v>
      </c>
      <c r="AC101" s="104">
        <v>61.24085413630425</v>
      </c>
      <c r="AD101" s="104">
        <v>18.342969524893078</v>
      </c>
      <c r="AE101" s="104">
        <v>0</v>
      </c>
      <c r="AF101" s="104">
        <v>0</v>
      </c>
      <c r="AG101" s="104">
        <v>0</v>
      </c>
      <c r="AH101" s="104">
        <v>0</v>
      </c>
      <c r="AI101" s="104">
        <v>0</v>
      </c>
      <c r="AJ101" s="104">
        <v>0</v>
      </c>
      <c r="AK101" s="104">
        <v>0</v>
      </c>
      <c r="AL101" s="104">
        <v>0</v>
      </c>
      <c r="AM101" s="104">
        <v>20.774655241277685</v>
      </c>
      <c r="AN101" s="104">
        <v>101.97113132966437</v>
      </c>
      <c r="AO101" s="104">
        <v>49.073246718253202</v>
      </c>
      <c r="AP101" s="104">
        <v>32.17536210684203</v>
      </c>
      <c r="AQ101" s="104">
        <v>2.8421709430404007E-14</v>
      </c>
      <c r="AR101" s="104">
        <v>101.97113132966437</v>
      </c>
      <c r="AS101" s="104">
        <v>54.073246718253202</v>
      </c>
      <c r="AT101" s="104">
        <v>43.17536210684203</v>
      </c>
      <c r="AU101" s="104">
        <v>0</v>
      </c>
      <c r="AV101" s="104">
        <v>0</v>
      </c>
      <c r="AW101" s="104">
        <v>142.56936937385771</v>
      </c>
      <c r="AX101" s="104">
        <v>92.671484762446539</v>
      </c>
      <c r="AY101" s="104">
        <v>42.773600151035367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129.03662335912659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129.03662335912659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0</v>
      </c>
      <c r="AP102" s="104">
        <v>0</v>
      </c>
      <c r="AQ102" s="104">
        <v>0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111.56013461765019</v>
      </c>
      <c r="D109" s="104">
        <v>84.593808171027618</v>
      </c>
      <c r="E109" s="104">
        <v>122.48680528899598</v>
      </c>
      <c r="F109" s="104">
        <v>68.277165936436219</v>
      </c>
      <c r="G109" s="104">
        <v>77.7106398677127</v>
      </c>
      <c r="H109" s="104">
        <v>67.898873299323768</v>
      </c>
      <c r="I109" s="104">
        <v>138.4641886616389</v>
      </c>
      <c r="J109" s="104">
        <v>63.017211757376757</v>
      </c>
      <c r="K109" s="104">
        <v>61.20078313843176</v>
      </c>
      <c r="L109" s="104">
        <v>17.427828419684651</v>
      </c>
      <c r="M109" s="104">
        <v>17.427828419684644</v>
      </c>
      <c r="N109" s="104">
        <v>17.427828419684644</v>
      </c>
      <c r="O109" s="104">
        <v>94.691233942891785</v>
      </c>
      <c r="P109" s="104">
        <v>94.691233942891785</v>
      </c>
      <c r="Q109" s="104">
        <v>94.691233942891785</v>
      </c>
      <c r="R109" s="104">
        <v>94.691233942891785</v>
      </c>
      <c r="S109" s="104">
        <v>94.691233942891785</v>
      </c>
      <c r="T109" s="104">
        <v>30.824008741468656</v>
      </c>
      <c r="U109" s="104">
        <v>94.691233942891785</v>
      </c>
      <c r="V109" s="104">
        <v>158.55845914431492</v>
      </c>
      <c r="W109" s="104">
        <v>123.21155469274983</v>
      </c>
      <c r="X109" s="104">
        <v>94.691233942891785</v>
      </c>
      <c r="Y109" s="104">
        <v>94.691233942891785</v>
      </c>
      <c r="Z109" s="104">
        <v>30.824008741468656</v>
      </c>
      <c r="AA109" s="104">
        <v>94.691233942891785</v>
      </c>
      <c r="AB109" s="104">
        <v>158.55845914431492</v>
      </c>
      <c r="AC109" s="104">
        <v>122.59059455605691</v>
      </c>
      <c r="AD109" s="104">
        <v>109.76978770544196</v>
      </c>
      <c r="AE109" s="104">
        <v>102.91504751207398</v>
      </c>
      <c r="AF109" s="104">
        <v>94.691233942891785</v>
      </c>
      <c r="AG109" s="104">
        <v>94.691233942891785</v>
      </c>
      <c r="AH109" s="104">
        <v>94.691233942891785</v>
      </c>
      <c r="AI109" s="104">
        <v>79.238552838250399</v>
      </c>
      <c r="AJ109" s="104">
        <v>79.238552838250399</v>
      </c>
      <c r="AK109" s="104">
        <v>79.238552838250399</v>
      </c>
      <c r="AL109" s="104">
        <v>79.238552838250399</v>
      </c>
      <c r="AM109" s="104">
        <v>84.408730028604708</v>
      </c>
      <c r="AN109" s="104">
        <v>54.502692977539752</v>
      </c>
      <c r="AO109" s="104">
        <v>145.16227882253091</v>
      </c>
      <c r="AP109" s="104">
        <v>105.07063093879209</v>
      </c>
      <c r="AQ109" s="104">
        <v>98.451862379099239</v>
      </c>
      <c r="AR109" s="104">
        <v>44.220189063252668</v>
      </c>
      <c r="AS109" s="104">
        <v>145.16227882253091</v>
      </c>
      <c r="AT109" s="104">
        <v>94.691233942891799</v>
      </c>
      <c r="AU109" s="104">
        <v>17.427828419684658</v>
      </c>
      <c r="AV109" s="104">
        <v>94.691233942891785</v>
      </c>
      <c r="AW109" s="104">
        <v>24.125918580576652</v>
      </c>
      <c r="AX109" s="104">
        <v>165.25654930520693</v>
      </c>
      <c r="AY109" s="104">
        <v>107.15964663279978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13.906005153485424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8.162278822530908</v>
      </c>
      <c r="AQ110" s="104">
        <v>0</v>
      </c>
      <c r="AR110" s="104">
        <v>0</v>
      </c>
      <c r="AS110" s="104">
        <v>0</v>
      </c>
      <c r="AT110" s="104">
        <v>36.162278822530908</v>
      </c>
      <c r="AU110" s="104">
        <v>1.4210854715202004E-14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236.39442900594929</v>
      </c>
      <c r="D122" s="104">
        <v>279.2407434187154</v>
      </c>
      <c r="E122" s="104">
        <v>167.85940557120128</v>
      </c>
      <c r="F122" s="104">
        <v>191.05160028018611</v>
      </c>
      <c r="G122" s="104">
        <v>125.18258433911056</v>
      </c>
      <c r="H122" s="104">
        <v>232.79838910207434</v>
      </c>
      <c r="I122" s="104">
        <v>125.18258433911056</v>
      </c>
      <c r="J122" s="104">
        <v>42.846314412766148</v>
      </c>
      <c r="K122" s="104">
        <v>42.846314412766148</v>
      </c>
      <c r="L122" s="104">
        <v>42.846314412766148</v>
      </c>
      <c r="M122" s="104">
        <v>42.846314412766148</v>
      </c>
      <c r="N122" s="104">
        <v>232.79838910207434</v>
      </c>
      <c r="O122" s="104">
        <v>232.79838910207434</v>
      </c>
      <c r="P122" s="104">
        <v>232.79838910207434</v>
      </c>
      <c r="Q122" s="104">
        <v>232.79838910207434</v>
      </c>
      <c r="R122" s="104">
        <v>232.79838910207434</v>
      </c>
      <c r="S122" s="104">
        <v>75.780822383303914</v>
      </c>
      <c r="T122" s="104">
        <v>232.79838910207434</v>
      </c>
      <c r="U122" s="104">
        <v>232.79838910207434</v>
      </c>
      <c r="V122" s="104">
        <v>232.79838910207434</v>
      </c>
      <c r="W122" s="104">
        <v>232.79838910207434</v>
      </c>
      <c r="X122" s="104">
        <v>232.79838910207434</v>
      </c>
      <c r="Y122" s="104">
        <v>75.780822383303914</v>
      </c>
      <c r="Z122" s="104">
        <v>232.79838910207434</v>
      </c>
      <c r="AA122" s="104">
        <v>232.79838910207434</v>
      </c>
      <c r="AB122" s="104">
        <v>232.79838910207434</v>
      </c>
      <c r="AC122" s="104">
        <v>232.79838910207434</v>
      </c>
      <c r="AD122" s="104">
        <v>232.79838910207434</v>
      </c>
      <c r="AE122" s="104">
        <v>232.79838910207434</v>
      </c>
      <c r="AF122" s="104">
        <v>232.79838910207434</v>
      </c>
      <c r="AG122" s="104">
        <v>232.79838910207434</v>
      </c>
      <c r="AH122" s="104">
        <v>194.80797416421279</v>
      </c>
      <c r="AI122" s="104">
        <v>194.80797416421279</v>
      </c>
      <c r="AJ122" s="104">
        <v>194.80797416421279</v>
      </c>
      <c r="AK122" s="104">
        <v>194.80797416421279</v>
      </c>
      <c r="AL122" s="104">
        <v>207.51885426545499</v>
      </c>
      <c r="AM122" s="104">
        <v>108.71533035384168</v>
      </c>
      <c r="AN122" s="104">
        <v>232.79838910207434</v>
      </c>
      <c r="AO122" s="104">
        <v>232.79838910207434</v>
      </c>
      <c r="AP122" s="104">
        <v>232.79838910207434</v>
      </c>
      <c r="AQ122" s="104">
        <v>108.71533035384168</v>
      </c>
      <c r="AR122" s="104">
        <v>232.79838910207434</v>
      </c>
      <c r="AS122" s="104">
        <v>232.79838910207434</v>
      </c>
      <c r="AT122" s="104">
        <v>42.846314412766148</v>
      </c>
      <c r="AU122" s="104">
        <v>232.79838910207434</v>
      </c>
      <c r="AV122" s="104">
        <v>59.313568398035031</v>
      </c>
      <c r="AW122" s="104">
        <v>232.79838910207434</v>
      </c>
      <c r="AX122" s="104">
        <v>232.79838910207434</v>
      </c>
      <c r="AY122" s="104">
        <v>232.79838910207434</v>
      </c>
    </row>
    <row r="123" spans="1:52">
      <c r="A123" s="107"/>
      <c r="B123" s="116">
        <v>2</v>
      </c>
      <c r="C123" s="104">
        <v>26.649062462413099</v>
      </c>
      <c r="D123" s="104">
        <v>21.89305503547854</v>
      </c>
      <c r="E123" s="104">
        <v>0</v>
      </c>
      <c r="F123" s="104">
        <v>0</v>
      </c>
      <c r="G123" s="104">
        <v>41.746788821888231</v>
      </c>
      <c r="H123" s="104">
        <v>107.61580476296378</v>
      </c>
      <c r="I123" s="104">
        <v>29.745224413168003</v>
      </c>
      <c r="J123" s="104">
        <v>107.61580476296379</v>
      </c>
      <c r="K123" s="104">
        <v>1.4210854715202004E-14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70.117205688181073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68.590575254725124</v>
      </c>
      <c r="AC123" s="104">
        <v>37.070622905048793</v>
      </c>
      <c r="AD123" s="104">
        <v>20.218244830730853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25.279534836619348</v>
      </c>
      <c r="AN123" s="104">
        <v>124.08305874823265</v>
      </c>
      <c r="AO123" s="104">
        <v>25.517746467996957</v>
      </c>
      <c r="AP123" s="104">
        <v>9.2455046312792035</v>
      </c>
      <c r="AQ123" s="104">
        <v>0</v>
      </c>
      <c r="AR123" s="104">
        <v>124.08305874823265</v>
      </c>
      <c r="AS123" s="104">
        <v>2.8421709430404007E-14</v>
      </c>
      <c r="AT123" s="104">
        <v>2.8421709430404007E-14</v>
      </c>
      <c r="AU123" s="104">
        <v>3.5527136788005009E-15</v>
      </c>
      <c r="AV123" s="104">
        <v>0</v>
      </c>
      <c r="AW123" s="104">
        <v>173.48482070403929</v>
      </c>
      <c r="AX123" s="104">
        <v>30.653591341105724</v>
      </c>
      <c r="AY123" s="104">
        <v>2.8421709430404007E-14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157.01756671877041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157.01756671877041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0.32159627937877394</v>
      </c>
      <c r="D172" s="131">
        <v>0.40675210128439865</v>
      </c>
      <c r="E172" s="131">
        <v>0.40675210128439865</v>
      </c>
      <c r="F172" s="131">
        <v>0.40675210128439865</v>
      </c>
      <c r="G172" s="131">
        <v>0.40675210128439865</v>
      </c>
      <c r="H172" s="131">
        <v>0.40675210128439865</v>
      </c>
      <c r="I172" s="131">
        <v>0.40675210128439865</v>
      </c>
      <c r="J172" s="131">
        <v>0.40675210128439865</v>
      </c>
      <c r="K172" s="131">
        <v>0.40675210128439865</v>
      </c>
      <c r="L172" s="131">
        <v>0.40675210128439865</v>
      </c>
      <c r="M172" s="131">
        <v>0.40675210128439865</v>
      </c>
      <c r="N172" s="131">
        <v>0.40675210128439865</v>
      </c>
      <c r="O172" s="131">
        <v>0.40675210128439865</v>
      </c>
      <c r="P172" s="131">
        <v>0.40675210128439865</v>
      </c>
      <c r="Q172" s="131">
        <v>0.40675210128439865</v>
      </c>
      <c r="R172" s="131">
        <v>0.40675210128439865</v>
      </c>
      <c r="S172" s="131">
        <v>0.40675210128439865</v>
      </c>
      <c r="T172" s="131">
        <v>0.40675210128439865</v>
      </c>
      <c r="U172" s="131">
        <v>0.40675210128439865</v>
      </c>
      <c r="V172" s="131">
        <v>0.40675210128439865</v>
      </c>
      <c r="W172" s="131">
        <v>0.40675210128439865</v>
      </c>
      <c r="X172" s="131">
        <v>0.40675210128439865</v>
      </c>
      <c r="Y172" s="131">
        <v>0.40675210128439865</v>
      </c>
      <c r="Z172" s="131">
        <v>0.40675210128439865</v>
      </c>
      <c r="AA172" s="131">
        <v>0.40675210128439865</v>
      </c>
      <c r="AB172" s="131">
        <v>0.40675210128439865</v>
      </c>
      <c r="AC172" s="131">
        <v>0.40675210128439865</v>
      </c>
      <c r="AD172" s="131">
        <v>0.40675210128439865</v>
      </c>
      <c r="AE172" s="131">
        <v>0.40675210128439865</v>
      </c>
      <c r="AF172" s="131">
        <v>0.40675210128439865</v>
      </c>
      <c r="AG172" s="131">
        <v>0.40675210128439865</v>
      </c>
      <c r="AH172" s="131">
        <v>0.40675210128439865</v>
      </c>
      <c r="AI172" s="131">
        <v>0.40675210128439865</v>
      </c>
      <c r="AJ172" s="131">
        <v>0.40675210128439865</v>
      </c>
      <c r="AK172" s="131">
        <v>0.40675210128439865</v>
      </c>
      <c r="AL172" s="131">
        <v>0.40675210128439865</v>
      </c>
      <c r="AM172" s="131">
        <v>0.40675210128439865</v>
      </c>
      <c r="AN172" s="131">
        <v>0.40675210128439865</v>
      </c>
      <c r="AO172" s="131">
        <v>0.40675210128439865</v>
      </c>
      <c r="AP172" s="131">
        <v>0.40675210128439865</v>
      </c>
      <c r="AQ172" s="131">
        <v>0.40675210128439865</v>
      </c>
      <c r="AR172" s="131">
        <v>0.40675210128439865</v>
      </c>
      <c r="AS172" s="131">
        <v>0.40675210128439865</v>
      </c>
      <c r="AT172" s="131">
        <v>0.40675210128439865</v>
      </c>
      <c r="AU172" s="131">
        <v>0.40675210128439865</v>
      </c>
      <c r="AV172" s="131">
        <v>0.40675210128439865</v>
      </c>
      <c r="AW172" s="131">
        <v>0.40675210128439865</v>
      </c>
      <c r="AX172" s="131">
        <v>0.40675210128439865</v>
      </c>
      <c r="AY172" s="131">
        <v>0.40675210128439865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799.22109234656898</v>
      </c>
      <c r="E175" s="121">
        <f t="shared" si="1"/>
        <v>783.30967602177498</v>
      </c>
      <c r="F175" s="121">
        <f t="shared" si="1"/>
        <v>772.39825969698086</v>
      </c>
      <c r="G175" s="121">
        <f t="shared" si="1"/>
        <v>803.48684337218674</v>
      </c>
      <c r="H175" s="121">
        <f t="shared" si="1"/>
        <v>785.57542704739262</v>
      </c>
      <c r="I175" s="121">
        <f t="shared" si="1"/>
        <v>842.66401072259862</v>
      </c>
      <c r="J175" s="121">
        <f t="shared" si="1"/>
        <v>856.35433470082364</v>
      </c>
      <c r="K175" s="121">
        <f t="shared" si="1"/>
        <v>856.35433470082364</v>
      </c>
      <c r="L175" s="121">
        <f t="shared" si="1"/>
        <v>856.35433470082364</v>
      </c>
      <c r="M175" s="121">
        <f t="shared" si="1"/>
        <v>856.35433470082364</v>
      </c>
      <c r="N175" s="121">
        <f t="shared" si="1"/>
        <v>841.44291837602964</v>
      </c>
      <c r="O175" s="121">
        <f t="shared" si="1"/>
        <v>856.35433470082364</v>
      </c>
      <c r="P175" s="121">
        <f t="shared" si="1"/>
        <v>856.35433470082364</v>
      </c>
      <c r="Q175" s="121">
        <f t="shared" si="1"/>
        <v>856.35433470082364</v>
      </c>
      <c r="R175" s="121">
        <f t="shared" si="1"/>
        <v>856.35433470082364</v>
      </c>
      <c r="S175" s="121">
        <f t="shared" si="1"/>
        <v>856.35433470082364</v>
      </c>
      <c r="T175" s="121">
        <f t="shared" si="1"/>
        <v>804.62520164098828</v>
      </c>
      <c r="U175" s="121">
        <f t="shared" si="1"/>
        <v>770.71890123074127</v>
      </c>
      <c r="V175" s="121">
        <f t="shared" si="1"/>
        <v>727.90118449570014</v>
      </c>
      <c r="W175" s="121">
        <f t="shared" si="1"/>
        <v>685.083467760659</v>
      </c>
      <c r="X175" s="121">
        <f t="shared" si="1"/>
        <v>722.17205143586489</v>
      </c>
      <c r="Y175" s="121">
        <f t="shared" si="1"/>
        <v>724.26063511107077</v>
      </c>
      <c r="Z175" s="121">
        <f t="shared" si="1"/>
        <v>721.34921878627677</v>
      </c>
      <c r="AA175" s="121">
        <f t="shared" si="1"/>
        <v>765.43780246148265</v>
      </c>
      <c r="AB175" s="121">
        <f t="shared" si="1"/>
        <v>767.52638613668864</v>
      </c>
      <c r="AC175" s="121">
        <f t="shared" si="1"/>
        <v>758.61496981189453</v>
      </c>
      <c r="AD175" s="121">
        <f t="shared" si="1"/>
        <v>774.70355348710041</v>
      </c>
      <c r="AE175" s="121">
        <f t="shared" si="1"/>
        <v>807.79213716230629</v>
      </c>
      <c r="AF175" s="121">
        <f t="shared" si="1"/>
        <v>813.5366179657824</v>
      </c>
      <c r="AG175" s="121">
        <f t="shared" si="1"/>
        <v>770.71890123074127</v>
      </c>
      <c r="AH175" s="121">
        <f t="shared" si="1"/>
        <v>727.90118449570014</v>
      </c>
      <c r="AI175" s="121">
        <f t="shared" si="1"/>
        <v>685.083467760659</v>
      </c>
      <c r="AJ175" s="121">
        <f t="shared" si="1"/>
        <v>701.17205143586489</v>
      </c>
      <c r="AK175" s="121">
        <f t="shared" si="1"/>
        <v>760.26063511107077</v>
      </c>
      <c r="AL175" s="121">
        <f t="shared" si="1"/>
        <v>783.34921878627677</v>
      </c>
      <c r="AM175" s="121">
        <f t="shared" si="1"/>
        <v>784.43780246148265</v>
      </c>
      <c r="AN175" s="121">
        <f t="shared" si="1"/>
        <v>811.52638613668864</v>
      </c>
      <c r="AO175" s="121">
        <f t="shared" si="1"/>
        <v>806.61496981189453</v>
      </c>
      <c r="AP175" s="121">
        <f t="shared" si="1"/>
        <v>818.70355348710041</v>
      </c>
      <c r="AQ175" s="121">
        <f t="shared" si="1"/>
        <v>828.79213716230629</v>
      </c>
      <c r="AR175" s="121">
        <f t="shared" si="1"/>
        <v>856.35433470082364</v>
      </c>
      <c r="AS175" s="121">
        <f t="shared" si="1"/>
        <v>856.35433470082364</v>
      </c>
      <c r="AT175" s="121">
        <f t="shared" si="1"/>
        <v>856.35433470082364</v>
      </c>
      <c r="AU175" s="121">
        <f t="shared" si="1"/>
        <v>856.35433470082364</v>
      </c>
      <c r="AV175" s="121">
        <f t="shared" si="1"/>
        <v>856.35433470082364</v>
      </c>
      <c r="AW175" s="121">
        <f t="shared" si="1"/>
        <v>841.44291837602964</v>
      </c>
      <c r="AX175" s="121">
        <f t="shared" si="1"/>
        <v>836.53150205123552</v>
      </c>
      <c r="AY175" s="121">
        <f t="shared" si="1"/>
        <v>839.6200857264414</v>
      </c>
    </row>
    <row r="176" spans="1:52">
      <c r="A176" s="122"/>
      <c r="B176" s="133" t="s">
        <v>300</v>
      </c>
      <c r="C176" s="122" t="s">
        <v>294</v>
      </c>
      <c r="D176" s="122">
        <v>230</v>
      </c>
      <c r="E176" s="122">
        <v>225</v>
      </c>
      <c r="F176" s="122">
        <v>183</v>
      </c>
      <c r="G176" s="122">
        <v>232</v>
      </c>
      <c r="H176" s="122">
        <v>157</v>
      </c>
      <c r="I176" s="122">
        <v>167</v>
      </c>
      <c r="J176" s="122">
        <v>180</v>
      </c>
      <c r="K176" s="122">
        <v>193</v>
      </c>
      <c r="L176" s="122">
        <v>177</v>
      </c>
      <c r="M176" s="122">
        <v>229</v>
      </c>
      <c r="N176" s="122">
        <v>184</v>
      </c>
      <c r="O176" s="122">
        <v>182</v>
      </c>
      <c r="P176" s="122">
        <v>166</v>
      </c>
      <c r="Q176" s="122">
        <v>201</v>
      </c>
      <c r="R176" s="122">
        <v>190</v>
      </c>
      <c r="S176" s="122">
        <v>223</v>
      </c>
      <c r="T176" s="122">
        <v>193</v>
      </c>
      <c r="U176" s="122">
        <v>182</v>
      </c>
      <c r="V176" s="122">
        <v>176</v>
      </c>
      <c r="W176" s="122">
        <v>177</v>
      </c>
      <c r="X176" s="122">
        <v>212</v>
      </c>
      <c r="Y176" s="122">
        <v>217</v>
      </c>
      <c r="Z176" s="122">
        <v>170</v>
      </c>
      <c r="AA176" s="122">
        <v>212</v>
      </c>
      <c r="AB176" s="122">
        <v>223</v>
      </c>
      <c r="AC176" s="122">
        <v>198</v>
      </c>
      <c r="AD176" s="122">
        <v>181</v>
      </c>
      <c r="AE176" s="122">
        <v>161</v>
      </c>
      <c r="AF176" s="122">
        <v>171</v>
      </c>
      <c r="AG176" s="122">
        <v>167</v>
      </c>
      <c r="AH176" s="122">
        <v>213</v>
      </c>
      <c r="AI176" s="122">
        <v>198</v>
      </c>
      <c r="AJ176" s="122">
        <v>155</v>
      </c>
      <c r="AK176" s="122">
        <v>191</v>
      </c>
      <c r="AL176" s="122">
        <v>213</v>
      </c>
      <c r="AM176" s="122">
        <v>187</v>
      </c>
      <c r="AN176" s="122">
        <v>219</v>
      </c>
      <c r="AO176" s="122">
        <v>202</v>
      </c>
      <c r="AP176" s="122">
        <v>204</v>
      </c>
      <c r="AQ176" s="122">
        <v>179</v>
      </c>
      <c r="AR176" s="122">
        <v>211</v>
      </c>
      <c r="AS176" s="122">
        <v>183</v>
      </c>
      <c r="AT176" s="122">
        <v>197</v>
      </c>
      <c r="AU176" s="122">
        <v>188</v>
      </c>
      <c r="AV176" s="122">
        <v>229</v>
      </c>
      <c r="AW176" s="122">
        <v>219</v>
      </c>
      <c r="AX176" s="122">
        <v>211</v>
      </c>
      <c r="AY176" s="122">
        <v>202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157.92839689400748</v>
      </c>
      <c r="E177" s="121">
        <f t="shared" si="2"/>
        <v>102.73542951829967</v>
      </c>
      <c r="F177" s="121">
        <f t="shared" si="2"/>
        <v>121.79471413258004</v>
      </c>
      <c r="G177" s="121">
        <f t="shared" si="2"/>
        <v>101.97113132966436</v>
      </c>
      <c r="H177" s="121">
        <f t="shared" si="2"/>
        <v>244.54050070352207</v>
      </c>
      <c r="I177" s="121">
        <f t="shared" si="2"/>
        <v>157.20423077717766</v>
      </c>
      <c r="J177" s="121">
        <f t="shared" si="2"/>
        <v>88.438385314933257</v>
      </c>
      <c r="K177" s="121">
        <f t="shared" si="2"/>
        <v>9.6092944068469195E-20</v>
      </c>
      <c r="L177" s="121">
        <f t="shared" si="2"/>
        <v>4.8046472034234598E-20</v>
      </c>
      <c r="M177" s="121">
        <f t="shared" si="2"/>
        <v>4.8046472034234598E-20</v>
      </c>
      <c r="N177" s="121">
        <f t="shared" si="2"/>
        <v>156.10211538858883</v>
      </c>
      <c r="O177" s="121">
        <f t="shared" si="2"/>
        <v>156.10211538858883</v>
      </c>
      <c r="P177" s="121">
        <f t="shared" si="2"/>
        <v>156.10211538858883</v>
      </c>
      <c r="Q177" s="121">
        <f t="shared" si="2"/>
        <v>156.10211538858883</v>
      </c>
      <c r="R177" s="121">
        <f t="shared" si="2"/>
        <v>156.10211538858883</v>
      </c>
      <c r="S177" s="121">
        <f t="shared" si="2"/>
        <v>27.065492029462231</v>
      </c>
      <c r="T177" s="121">
        <f t="shared" si="2"/>
        <v>156.10211538858883</v>
      </c>
      <c r="U177" s="121">
        <f t="shared" si="2"/>
        <v>308.24085413630428</v>
      </c>
      <c r="V177" s="121">
        <f t="shared" si="2"/>
        <v>289.34296952489308</v>
      </c>
      <c r="W177" s="121">
        <f t="shared" si="2"/>
        <v>246.44508491348191</v>
      </c>
      <c r="X177" s="121">
        <f t="shared" si="2"/>
        <v>252.54720030207073</v>
      </c>
      <c r="Y177" s="121">
        <f t="shared" si="2"/>
        <v>97.612692331532969</v>
      </c>
      <c r="Z177" s="121">
        <f t="shared" si="2"/>
        <v>156.10211538858883</v>
      </c>
      <c r="AA177" s="121">
        <f t="shared" si="2"/>
        <v>285.13873874771542</v>
      </c>
      <c r="AB177" s="121">
        <f t="shared" si="2"/>
        <v>257.24085413630428</v>
      </c>
      <c r="AC177" s="121">
        <f t="shared" si="2"/>
        <v>217.34296952489308</v>
      </c>
      <c r="AD177" s="121">
        <f t="shared" si="2"/>
        <v>174.44508491348191</v>
      </c>
      <c r="AE177" s="121">
        <f t="shared" si="2"/>
        <v>156.10211538858883</v>
      </c>
      <c r="AF177" s="121">
        <f t="shared" si="2"/>
        <v>156.10211538858883</v>
      </c>
      <c r="AG177" s="121">
        <f t="shared" si="2"/>
        <v>156.10211538858883</v>
      </c>
      <c r="AH177" s="121">
        <f t="shared" si="2"/>
        <v>124.88169231087116</v>
      </c>
      <c r="AI177" s="121">
        <f t="shared" si="2"/>
        <v>124.88169231087114</v>
      </c>
      <c r="AJ177" s="121">
        <f t="shared" si="2"/>
        <v>124.88169231087116</v>
      </c>
      <c r="AK177" s="121">
        <f t="shared" si="2"/>
        <v>124.88169231087114</v>
      </c>
      <c r="AL177" s="121">
        <f t="shared" si="2"/>
        <v>135.32746014731114</v>
      </c>
      <c r="AM177" s="121">
        <f t="shared" si="2"/>
        <v>74.905639300202139</v>
      </c>
      <c r="AN177" s="121">
        <f t="shared" si="2"/>
        <v>258.07324671825319</v>
      </c>
      <c r="AO177" s="121">
        <f t="shared" si="2"/>
        <v>205.17536210684204</v>
      </c>
      <c r="AP177" s="121">
        <f t="shared" si="2"/>
        <v>188.27747749543084</v>
      </c>
      <c r="AQ177" s="121">
        <f t="shared" si="2"/>
        <v>54.130984058924483</v>
      </c>
      <c r="AR177" s="121">
        <f t="shared" si="2"/>
        <v>258.07324671825319</v>
      </c>
      <c r="AS177" s="121">
        <f t="shared" si="2"/>
        <v>210.17536210684204</v>
      </c>
      <c r="AT177" s="121">
        <f t="shared" si="2"/>
        <v>43.17536210684203</v>
      </c>
      <c r="AU177" s="121">
        <f t="shared" si="2"/>
        <v>156.10211538858883</v>
      </c>
      <c r="AV177" s="121">
        <f t="shared" si="2"/>
        <v>13.532746014731115</v>
      </c>
      <c r="AW177" s="121">
        <f t="shared" si="2"/>
        <v>298.67148476244654</v>
      </c>
      <c r="AX177" s="121">
        <f t="shared" si="2"/>
        <v>248.77360015103537</v>
      </c>
      <c r="AY177" s="121">
        <f t="shared" si="2"/>
        <v>198.8757155396242</v>
      </c>
    </row>
    <row r="178" spans="1:51">
      <c r="A178" s="122"/>
      <c r="B178" s="133" t="s">
        <v>300</v>
      </c>
      <c r="C178" s="122" t="s">
        <v>294</v>
      </c>
      <c r="D178" s="122">
        <v>157.92839689400748</v>
      </c>
      <c r="E178" s="122">
        <v>102.73542951829967</v>
      </c>
      <c r="F178" s="122">
        <v>121.79471413258004</v>
      </c>
      <c r="G178" s="122">
        <v>101.97113132966436</v>
      </c>
      <c r="H178" s="122">
        <v>155</v>
      </c>
      <c r="I178" s="122">
        <v>157.20423077717766</v>
      </c>
      <c r="J178" s="122">
        <v>88.438385314933257</v>
      </c>
      <c r="K178" s="122">
        <v>9.6092944068469195E-20</v>
      </c>
      <c r="L178" s="122">
        <v>4.8046472034234598E-20</v>
      </c>
      <c r="M178" s="122">
        <v>4.8046472034234598E-20</v>
      </c>
      <c r="N178" s="122">
        <v>156.10211538858883</v>
      </c>
      <c r="O178" s="122">
        <v>156.10211538858883</v>
      </c>
      <c r="P178" s="122">
        <v>156.10211538858883</v>
      </c>
      <c r="Q178" s="122">
        <v>156.10211538858883</v>
      </c>
      <c r="R178" s="122">
        <v>156.10211538858883</v>
      </c>
      <c r="S178" s="122">
        <v>27.065492029462231</v>
      </c>
      <c r="T178" s="122">
        <v>133</v>
      </c>
      <c r="U178" s="122">
        <v>175</v>
      </c>
      <c r="V178" s="122">
        <v>199</v>
      </c>
      <c r="W178" s="122">
        <v>150</v>
      </c>
      <c r="X178" s="122">
        <v>182</v>
      </c>
      <c r="Y178" s="122">
        <v>97.612692331532969</v>
      </c>
      <c r="Z178" s="122">
        <v>156.10211538858883</v>
      </c>
      <c r="AA178" s="122">
        <v>184</v>
      </c>
      <c r="AB178" s="122">
        <v>196</v>
      </c>
      <c r="AC178" s="122">
        <v>199</v>
      </c>
      <c r="AD178" s="122">
        <v>174.44508491348191</v>
      </c>
      <c r="AE178" s="122">
        <v>156.10211538858883</v>
      </c>
      <c r="AF178" s="122">
        <v>156.10211538858883</v>
      </c>
      <c r="AG178" s="122">
        <v>156.10211538858883</v>
      </c>
      <c r="AH178" s="122">
        <v>124.88169231087116</v>
      </c>
      <c r="AI178" s="122">
        <v>124.88169231087114</v>
      </c>
      <c r="AJ178" s="122">
        <v>124.88169231087116</v>
      </c>
      <c r="AK178" s="122">
        <v>124.88169231087114</v>
      </c>
      <c r="AL178" s="122">
        <v>135.32746014731114</v>
      </c>
      <c r="AM178" s="122">
        <v>74.905639300202139</v>
      </c>
      <c r="AN178" s="122">
        <v>209</v>
      </c>
      <c r="AO178" s="122">
        <v>173</v>
      </c>
      <c r="AP178" s="122">
        <v>188.27747749543084</v>
      </c>
      <c r="AQ178" s="122">
        <v>54.130984058924483</v>
      </c>
      <c r="AR178" s="122">
        <v>204</v>
      </c>
      <c r="AS178" s="122">
        <v>167</v>
      </c>
      <c r="AT178" s="122">
        <v>43.17536210684203</v>
      </c>
      <c r="AU178" s="122">
        <v>156.10211538858883</v>
      </c>
      <c r="AV178" s="122">
        <v>13.532746014731115</v>
      </c>
      <c r="AW178" s="122">
        <v>206</v>
      </c>
      <c r="AX178" s="122">
        <v>206</v>
      </c>
      <c r="AY178" s="122">
        <v>152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84.593808171027618</v>
      </c>
      <c r="E179" s="121">
        <f t="shared" si="3"/>
        <v>122.48680528899598</v>
      </c>
      <c r="F179" s="121">
        <f t="shared" si="3"/>
        <v>68.277165936436219</v>
      </c>
      <c r="G179" s="121">
        <f t="shared" si="3"/>
        <v>77.7106398677127</v>
      </c>
      <c r="H179" s="121">
        <f t="shared" si="3"/>
        <v>67.898873299323768</v>
      </c>
      <c r="I179" s="121">
        <f t="shared" si="3"/>
        <v>138.4641886616389</v>
      </c>
      <c r="J179" s="121">
        <f t="shared" si="3"/>
        <v>76.92321691086218</v>
      </c>
      <c r="K179" s="121">
        <f t="shared" si="3"/>
        <v>61.20078313843176</v>
      </c>
      <c r="L179" s="121">
        <f t="shared" si="3"/>
        <v>17.427828419684651</v>
      </c>
      <c r="M179" s="121">
        <f t="shared" si="3"/>
        <v>17.427828419684644</v>
      </c>
      <c r="N179" s="121">
        <f t="shared" si="3"/>
        <v>17.427828419684644</v>
      </c>
      <c r="O179" s="121">
        <f t="shared" si="3"/>
        <v>94.691233942891785</v>
      </c>
      <c r="P179" s="121">
        <f t="shared" si="3"/>
        <v>94.691233942891785</v>
      </c>
      <c r="Q179" s="121">
        <f t="shared" si="3"/>
        <v>94.691233942891785</v>
      </c>
      <c r="R179" s="121">
        <f t="shared" si="3"/>
        <v>94.691233942891785</v>
      </c>
      <c r="S179" s="121">
        <f t="shared" si="3"/>
        <v>94.691233942891785</v>
      </c>
      <c r="T179" s="121">
        <f t="shared" si="3"/>
        <v>30.824008741468656</v>
      </c>
      <c r="U179" s="121">
        <f t="shared" si="3"/>
        <v>94.691233942891785</v>
      </c>
      <c r="V179" s="121">
        <f t="shared" si="3"/>
        <v>158.55845914431492</v>
      </c>
      <c r="W179" s="121">
        <f t="shared" si="3"/>
        <v>123.21155469274983</v>
      </c>
      <c r="X179" s="121">
        <f t="shared" si="3"/>
        <v>94.691233942891785</v>
      </c>
      <c r="Y179" s="121">
        <f t="shared" si="3"/>
        <v>94.691233942891785</v>
      </c>
      <c r="Z179" s="121">
        <f t="shared" si="3"/>
        <v>30.824008741468656</v>
      </c>
      <c r="AA179" s="121">
        <f t="shared" si="3"/>
        <v>94.691233942891785</v>
      </c>
      <c r="AB179" s="121">
        <f t="shared" si="3"/>
        <v>158.55845914431492</v>
      </c>
      <c r="AC179" s="121">
        <f t="shared" si="3"/>
        <v>122.59059455605691</v>
      </c>
      <c r="AD179" s="121">
        <f t="shared" si="3"/>
        <v>109.76978770544196</v>
      </c>
      <c r="AE179" s="121">
        <f t="shared" si="3"/>
        <v>102.91504751207398</v>
      </c>
      <c r="AF179" s="121">
        <f t="shared" si="3"/>
        <v>94.691233942891785</v>
      </c>
      <c r="AG179" s="121">
        <f t="shared" si="3"/>
        <v>94.691233942891785</v>
      </c>
      <c r="AH179" s="121">
        <f t="shared" si="3"/>
        <v>94.691233942891785</v>
      </c>
      <c r="AI179" s="121">
        <f t="shared" si="3"/>
        <v>79.238552838250399</v>
      </c>
      <c r="AJ179" s="121">
        <f t="shared" si="3"/>
        <v>79.238552838250399</v>
      </c>
      <c r="AK179" s="121">
        <f t="shared" si="3"/>
        <v>79.238552838250399</v>
      </c>
      <c r="AL179" s="121">
        <f t="shared" si="3"/>
        <v>79.238552838250399</v>
      </c>
      <c r="AM179" s="121">
        <f t="shared" si="3"/>
        <v>84.408730028604708</v>
      </c>
      <c r="AN179" s="121">
        <f t="shared" si="3"/>
        <v>54.502692977539752</v>
      </c>
      <c r="AO179" s="121">
        <f t="shared" si="3"/>
        <v>145.16227882253091</v>
      </c>
      <c r="AP179" s="121">
        <f t="shared" si="3"/>
        <v>113.232909761323</v>
      </c>
      <c r="AQ179" s="121">
        <f t="shared" si="3"/>
        <v>98.451862379099239</v>
      </c>
      <c r="AR179" s="121">
        <f t="shared" si="3"/>
        <v>44.220189063252668</v>
      </c>
      <c r="AS179" s="121">
        <f t="shared" si="3"/>
        <v>145.16227882253091</v>
      </c>
      <c r="AT179" s="121">
        <f t="shared" si="3"/>
        <v>130.85351276542269</v>
      </c>
      <c r="AU179" s="121">
        <f t="shared" si="3"/>
        <v>17.427828419684673</v>
      </c>
      <c r="AV179" s="121">
        <f t="shared" si="3"/>
        <v>94.691233942891785</v>
      </c>
      <c r="AW179" s="121">
        <f t="shared" si="3"/>
        <v>24.125918580576652</v>
      </c>
      <c r="AX179" s="121">
        <f t="shared" si="3"/>
        <v>165.25654930520693</v>
      </c>
      <c r="AY179" s="121">
        <f t="shared" si="3"/>
        <v>107.15964663279978</v>
      </c>
    </row>
    <row r="180" spans="1:51">
      <c r="A180" s="122"/>
      <c r="B180" s="133" t="s">
        <v>300</v>
      </c>
      <c r="C180" s="122" t="s">
        <v>294</v>
      </c>
      <c r="D180" s="122">
        <v>84.593808171027618</v>
      </c>
      <c r="E180" s="122">
        <v>122.48680528899598</v>
      </c>
      <c r="F180" s="122">
        <v>68.277165936436219</v>
      </c>
      <c r="G180" s="122">
        <v>77.7106398677127</v>
      </c>
      <c r="H180" s="122">
        <v>67.898873299323768</v>
      </c>
      <c r="I180" s="122">
        <v>124.55818350815348</v>
      </c>
      <c r="J180" s="122">
        <v>76.92321691086218</v>
      </c>
      <c r="K180" s="122">
        <v>61.20078313843176</v>
      </c>
      <c r="L180" s="122">
        <v>17.427828419684651</v>
      </c>
      <c r="M180" s="122">
        <v>17.427828419684644</v>
      </c>
      <c r="N180" s="122">
        <v>17.427828419684644</v>
      </c>
      <c r="O180" s="122">
        <v>94.691233942891785</v>
      </c>
      <c r="P180" s="122">
        <v>94.691233942891785</v>
      </c>
      <c r="Q180" s="122">
        <v>94.691233942891785</v>
      </c>
      <c r="R180" s="122">
        <v>94.691233942891785</v>
      </c>
      <c r="S180" s="122">
        <v>94.691233942891785</v>
      </c>
      <c r="T180" s="122">
        <v>30.824008741468656</v>
      </c>
      <c r="U180" s="122">
        <v>94.691233942891785</v>
      </c>
      <c r="V180" s="122">
        <v>158.55845914431492</v>
      </c>
      <c r="W180" s="122">
        <v>123.21155469274983</v>
      </c>
      <c r="X180" s="122">
        <v>94.691233942891785</v>
      </c>
      <c r="Y180" s="122">
        <v>94.691233942891785</v>
      </c>
      <c r="Z180" s="122">
        <v>30.824008741468656</v>
      </c>
      <c r="AA180" s="122">
        <v>94.691233942891785</v>
      </c>
      <c r="AB180" s="122">
        <v>158.55845914431492</v>
      </c>
      <c r="AC180" s="122">
        <v>122.59059455605691</v>
      </c>
      <c r="AD180" s="122">
        <v>109.76978770544196</v>
      </c>
      <c r="AE180" s="122">
        <v>102.91504751207398</v>
      </c>
      <c r="AF180" s="122">
        <v>94.691233942891785</v>
      </c>
      <c r="AG180" s="122">
        <v>94.691233942891785</v>
      </c>
      <c r="AH180" s="122">
        <v>94.691233942891785</v>
      </c>
      <c r="AI180" s="122">
        <v>79.238552838250399</v>
      </c>
      <c r="AJ180" s="122">
        <v>79.238552838250399</v>
      </c>
      <c r="AK180" s="122">
        <v>79.238552838250399</v>
      </c>
      <c r="AL180" s="122">
        <v>79.238552838250399</v>
      </c>
      <c r="AM180" s="122">
        <v>84.408730028604708</v>
      </c>
      <c r="AN180" s="122">
        <v>54.502692977539752</v>
      </c>
      <c r="AO180" s="122">
        <v>137</v>
      </c>
      <c r="AP180" s="122">
        <v>113.232909761323</v>
      </c>
      <c r="AQ180" s="122">
        <v>98.451862379099239</v>
      </c>
      <c r="AR180" s="122">
        <v>44.220189063252668</v>
      </c>
      <c r="AS180" s="122">
        <v>109</v>
      </c>
      <c r="AT180" s="122">
        <v>130.85351276542269</v>
      </c>
      <c r="AU180" s="122">
        <v>17.427828419684673</v>
      </c>
      <c r="AV180" s="122">
        <v>94.691233942891785</v>
      </c>
      <c r="AW180" s="122">
        <v>24.125918580576652</v>
      </c>
      <c r="AX180" s="122">
        <v>165.25654930520693</v>
      </c>
      <c r="AY180" s="122">
        <v>107.15964663279978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178.64699316519796</v>
      </c>
      <c r="E181" s="121">
        <f t="shared" si="4"/>
        <v>99.58223963476506</v>
      </c>
      <c r="F181" s="121">
        <f t="shared" si="4"/>
        <v>113.34096041247341</v>
      </c>
      <c r="G181" s="121">
        <f t="shared" si="4"/>
        <v>99.03049986167504</v>
      </c>
      <c r="H181" s="121">
        <f t="shared" si="4"/>
        <v>201.9500052033992</v>
      </c>
      <c r="I181" s="121">
        <f t="shared" si="4"/>
        <v>91.910596994901809</v>
      </c>
      <c r="J181" s="121">
        <f t="shared" si="4"/>
        <v>89.261336037298165</v>
      </c>
      <c r="K181" s="121">
        <f t="shared" si="4"/>
        <v>25.418485993081511</v>
      </c>
      <c r="L181" s="121">
        <f t="shared" si="4"/>
        <v>25.418485993081504</v>
      </c>
      <c r="M181" s="121">
        <f t="shared" si="4"/>
        <v>25.418485993081504</v>
      </c>
      <c r="N181" s="121">
        <f t="shared" si="4"/>
        <v>138.10715515918255</v>
      </c>
      <c r="O181" s="121">
        <f t="shared" si="4"/>
        <v>138.10715515918255</v>
      </c>
      <c r="P181" s="121">
        <f t="shared" si="4"/>
        <v>138.10715515918255</v>
      </c>
      <c r="Q181" s="121">
        <f t="shared" si="4"/>
        <v>138.10715515918255</v>
      </c>
      <c r="R181" s="121">
        <f t="shared" si="4"/>
        <v>138.10715515918255</v>
      </c>
      <c r="S181" s="121">
        <f t="shared" si="4"/>
        <v>44.956813641835254</v>
      </c>
      <c r="T181" s="121">
        <f t="shared" si="4"/>
        <v>138.10715515918255</v>
      </c>
      <c r="U181" s="121">
        <f t="shared" si="4"/>
        <v>231.25749667652983</v>
      </c>
      <c r="V181" s="121">
        <f t="shared" si="4"/>
        <v>179.70404009750558</v>
      </c>
      <c r="W181" s="121">
        <f t="shared" si="4"/>
        <v>138.10715515918255</v>
      </c>
      <c r="X181" s="121">
        <f t="shared" si="4"/>
        <v>138.10715515918255</v>
      </c>
      <c r="Y181" s="121">
        <f t="shared" si="4"/>
        <v>44.956813641835254</v>
      </c>
      <c r="Z181" s="121">
        <f t="shared" si="4"/>
        <v>138.10715515918255</v>
      </c>
      <c r="AA181" s="121">
        <f t="shared" si="4"/>
        <v>231.25749667652983</v>
      </c>
      <c r="AB181" s="121">
        <f t="shared" si="4"/>
        <v>178.79836980074256</v>
      </c>
      <c r="AC181" s="121">
        <f t="shared" si="4"/>
        <v>160.0992243016812</v>
      </c>
      <c r="AD181" s="121">
        <f t="shared" si="4"/>
        <v>150.10158642073119</v>
      </c>
      <c r="AE181" s="121">
        <f t="shared" si="4"/>
        <v>138.10715515918255</v>
      </c>
      <c r="AF181" s="121">
        <f t="shared" si="4"/>
        <v>138.10715515918255</v>
      </c>
      <c r="AG181" s="121">
        <f t="shared" si="4"/>
        <v>138.10715515918255</v>
      </c>
      <c r="AH181" s="121">
        <f t="shared" si="4"/>
        <v>115.5694213259624</v>
      </c>
      <c r="AI181" s="121">
        <f t="shared" si="4"/>
        <v>115.5694213259624</v>
      </c>
      <c r="AJ181" s="121">
        <f t="shared" si="4"/>
        <v>115.5694213259624</v>
      </c>
      <c r="AK181" s="121">
        <f t="shared" si="4"/>
        <v>115.5694213259624</v>
      </c>
      <c r="AL181" s="121">
        <f t="shared" si="4"/>
        <v>123.11012423685028</v>
      </c>
      <c r="AM181" s="121">
        <f t="shared" si="4"/>
        <v>79.49217221292129</v>
      </c>
      <c r="AN181" s="121">
        <f t="shared" si="4"/>
        <v>211.71916902777608</v>
      </c>
      <c r="AO181" s="121">
        <f t="shared" si="4"/>
        <v>153.2455046312792</v>
      </c>
      <c r="AP181" s="121">
        <f t="shared" si="4"/>
        <v>143.59203135425429</v>
      </c>
      <c r="AQ181" s="121">
        <f t="shared" si="4"/>
        <v>64.495141290589004</v>
      </c>
      <c r="AR181" s="121">
        <f t="shared" si="4"/>
        <v>211.71916902777608</v>
      </c>
      <c r="AS181" s="121">
        <f t="shared" si="4"/>
        <v>138.10715515918255</v>
      </c>
      <c r="AT181" s="121">
        <f t="shared" si="4"/>
        <v>25.418485993081518</v>
      </c>
      <c r="AU181" s="121">
        <f t="shared" si="4"/>
        <v>138.10715515918255</v>
      </c>
      <c r="AV181" s="121">
        <f t="shared" si="4"/>
        <v>35.187649817458379</v>
      </c>
      <c r="AW181" s="121">
        <f t="shared" si="4"/>
        <v>241.0266605009067</v>
      </c>
      <c r="AX181" s="121">
        <f t="shared" si="4"/>
        <v>156.29233381038026</v>
      </c>
      <c r="AY181" s="121">
        <f t="shared" si="4"/>
        <v>138.10715515918255</v>
      </c>
    </row>
    <row r="182" spans="1:51">
      <c r="A182" s="122"/>
      <c r="B182" s="133" t="s">
        <v>300</v>
      </c>
      <c r="C182" s="122" t="s">
        <v>294</v>
      </c>
      <c r="D182" s="122">
        <v>178.64699316519796</v>
      </c>
      <c r="E182" s="122">
        <v>99.58223963476506</v>
      </c>
      <c r="F182" s="122">
        <v>113.34096041247341</v>
      </c>
      <c r="G182" s="122">
        <v>99.03049986167504</v>
      </c>
      <c r="H182" s="122">
        <v>172.20478079023121</v>
      </c>
      <c r="I182" s="122">
        <v>91.910596994901809</v>
      </c>
      <c r="J182" s="122">
        <v>89.261336037298165</v>
      </c>
      <c r="K182" s="122">
        <v>25.418485993081511</v>
      </c>
      <c r="L182" s="122">
        <v>25.418485993081504</v>
      </c>
      <c r="M182" s="122">
        <v>25.418485993081504</v>
      </c>
      <c r="N182" s="122">
        <v>138.10715515918255</v>
      </c>
      <c r="O182" s="122">
        <v>138.10715515918255</v>
      </c>
      <c r="P182" s="122">
        <v>138.10715515918255</v>
      </c>
      <c r="Q182" s="122">
        <v>138.10715515918255</v>
      </c>
      <c r="R182" s="122">
        <v>138.10715515918255</v>
      </c>
      <c r="S182" s="122">
        <v>44.956813641835254</v>
      </c>
      <c r="T182" s="122">
        <v>138.10715515918255</v>
      </c>
      <c r="U182" s="122">
        <v>161.14029098834877</v>
      </c>
      <c r="V182" s="122">
        <v>179.70404009750558</v>
      </c>
      <c r="W182" s="122">
        <v>138.10715515918255</v>
      </c>
      <c r="X182" s="122">
        <v>138.10715515918255</v>
      </c>
      <c r="Y182" s="122">
        <v>44.956813641835254</v>
      </c>
      <c r="Z182" s="122">
        <v>138.10715515918255</v>
      </c>
      <c r="AA182" s="122">
        <v>162.66692142180472</v>
      </c>
      <c r="AB182" s="122">
        <v>141.72774689569377</v>
      </c>
      <c r="AC182" s="122">
        <v>139.88097947095034</v>
      </c>
      <c r="AD182" s="122">
        <v>150.10158642073119</v>
      </c>
      <c r="AE182" s="122">
        <v>138.10715515918255</v>
      </c>
      <c r="AF182" s="122">
        <v>138.10715515918255</v>
      </c>
      <c r="AG182" s="122">
        <v>138.10715515918255</v>
      </c>
      <c r="AH182" s="122">
        <v>115.5694213259624</v>
      </c>
      <c r="AI182" s="122">
        <v>115.5694213259624</v>
      </c>
      <c r="AJ182" s="122">
        <v>115.5694213259624</v>
      </c>
      <c r="AK182" s="122">
        <v>115.5694213259624</v>
      </c>
      <c r="AL182" s="122">
        <v>123.11012423685028</v>
      </c>
      <c r="AM182" s="122">
        <v>79.49217221292129</v>
      </c>
      <c r="AN182" s="122">
        <v>186.20142255977913</v>
      </c>
      <c r="AO182" s="122">
        <v>144</v>
      </c>
      <c r="AP182" s="122">
        <v>143.59203135425429</v>
      </c>
      <c r="AQ182" s="122">
        <v>64.495141290589004</v>
      </c>
      <c r="AR182" s="122">
        <v>211.71916902777608</v>
      </c>
      <c r="AS182" s="122">
        <v>138.10715515918255</v>
      </c>
      <c r="AT182" s="122">
        <v>25.418485993081518</v>
      </c>
      <c r="AU182" s="122">
        <v>138.10715515918255</v>
      </c>
      <c r="AV182" s="122">
        <v>35.187649817458379</v>
      </c>
      <c r="AW182" s="122">
        <v>210.37306915980099</v>
      </c>
      <c r="AX182" s="122">
        <v>156.29233381038026</v>
      </c>
      <c r="AY182" s="122">
        <v>138.10715515918255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29.06713790207823</v>
      </c>
      <c r="D187" s="104">
        <v>54.333922377597787</v>
      </c>
      <c r="E187" s="104">
        <v>74.600706853117345</v>
      </c>
      <c r="F187" s="104">
        <v>52.867491328636902</v>
      </c>
      <c r="G187" s="104">
        <v>70.778907653430991</v>
      </c>
      <c r="H187" s="104">
        <v>13.690323978225081</v>
      </c>
      <c r="I187" s="104">
        <v>0</v>
      </c>
      <c r="J187" s="104">
        <v>0</v>
      </c>
      <c r="K187" s="104">
        <v>0</v>
      </c>
      <c r="L187" s="104">
        <v>0</v>
      </c>
      <c r="M187" s="104">
        <v>14.911416324794089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8.9114163247940894</v>
      </c>
      <c r="T187" s="104">
        <v>0</v>
      </c>
      <c r="U187" s="104">
        <v>0</v>
      </c>
      <c r="V187" s="104">
        <v>0</v>
      </c>
      <c r="W187" s="104">
        <v>5.7291330598352488</v>
      </c>
      <c r="X187" s="104">
        <v>46.458266119670498</v>
      </c>
      <c r="Y187" s="104">
        <v>92.187399179505746</v>
      </c>
      <c r="Z187" s="104">
        <v>90.916532239340995</v>
      </c>
      <c r="AA187" s="104">
        <v>88.827948564135085</v>
      </c>
      <c r="AB187" s="104">
        <v>97.739364888929174</v>
      </c>
      <c r="AC187" s="104">
        <v>81.650781213723263</v>
      </c>
      <c r="AD187" s="104">
        <v>48.562197538517353</v>
      </c>
      <c r="AE187" s="104">
        <v>0</v>
      </c>
      <c r="AF187" s="104">
        <v>0</v>
      </c>
      <c r="AG187" s="104">
        <v>0</v>
      </c>
      <c r="AH187" s="104">
        <v>0</v>
      </c>
      <c r="AI187" s="104">
        <v>26.729133059835249</v>
      </c>
      <c r="AJ187" s="104">
        <v>10.458266119670498</v>
      </c>
      <c r="AK187" s="104">
        <v>30.187399179505746</v>
      </c>
      <c r="AL187" s="104">
        <v>71.916532239340995</v>
      </c>
      <c r="AM187" s="104">
        <v>44.827948564135085</v>
      </c>
      <c r="AN187" s="104">
        <v>49.739364888929174</v>
      </c>
      <c r="AO187" s="104">
        <v>37.650781213723263</v>
      </c>
      <c r="AP187" s="104">
        <v>27.562197538517353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14.911416324794089</v>
      </c>
      <c r="AW187" s="104">
        <v>19.822832649588179</v>
      </c>
      <c r="AX187" s="104">
        <v>16.734248974382268</v>
      </c>
      <c r="AY187" s="104">
        <v>4.6456652991763576</v>
      </c>
    </row>
    <row r="188" spans="1:51">
      <c r="A188" s="125"/>
      <c r="B188" s="126">
        <v>4</v>
      </c>
      <c r="C188" s="104">
        <v>165.93286209792177</v>
      </c>
      <c r="D188" s="104">
        <v>175.66607762240221</v>
      </c>
      <c r="E188" s="104">
        <v>150.39929314688266</v>
      </c>
      <c r="F188" s="104">
        <v>130.1325086713631</v>
      </c>
      <c r="G188" s="104">
        <v>161.22109234656901</v>
      </c>
      <c r="H188" s="104">
        <v>143.30967602177492</v>
      </c>
      <c r="I188" s="104">
        <v>167</v>
      </c>
      <c r="J188" s="104">
        <v>180</v>
      </c>
      <c r="K188" s="104">
        <v>193</v>
      </c>
      <c r="L188" s="104">
        <v>177</v>
      </c>
      <c r="M188" s="104">
        <v>214.08858367520591</v>
      </c>
      <c r="N188" s="104">
        <v>184</v>
      </c>
      <c r="O188" s="104">
        <v>182</v>
      </c>
      <c r="P188" s="104">
        <v>166</v>
      </c>
      <c r="Q188" s="104">
        <v>201</v>
      </c>
      <c r="R188" s="104">
        <v>190</v>
      </c>
      <c r="S188" s="104">
        <v>214.08858367520591</v>
      </c>
      <c r="T188" s="104">
        <v>193</v>
      </c>
      <c r="U188" s="104">
        <v>182</v>
      </c>
      <c r="V188" s="104">
        <v>176</v>
      </c>
      <c r="W188" s="104">
        <v>171.27086694016475</v>
      </c>
      <c r="X188" s="104">
        <v>165.5417338803295</v>
      </c>
      <c r="Y188" s="104">
        <v>124.81260082049425</v>
      </c>
      <c r="Z188" s="104">
        <v>79.083467760659005</v>
      </c>
      <c r="AA188" s="104">
        <v>123.17205143586492</v>
      </c>
      <c r="AB188" s="104">
        <v>125.26063511107083</v>
      </c>
      <c r="AC188" s="104">
        <v>116.34921878627674</v>
      </c>
      <c r="AD188" s="104">
        <v>132.43780246148265</v>
      </c>
      <c r="AE188" s="104">
        <v>161</v>
      </c>
      <c r="AF188" s="104">
        <v>171</v>
      </c>
      <c r="AG188" s="104">
        <v>167</v>
      </c>
      <c r="AH188" s="104">
        <v>213</v>
      </c>
      <c r="AI188" s="104">
        <v>171.27086694016475</v>
      </c>
      <c r="AJ188" s="104">
        <v>144.5417338803295</v>
      </c>
      <c r="AK188" s="104">
        <v>160.81260082049425</v>
      </c>
      <c r="AL188" s="104">
        <v>141.083467760659</v>
      </c>
      <c r="AM188" s="104">
        <v>142.17205143586492</v>
      </c>
      <c r="AN188" s="104">
        <v>169.26063511107083</v>
      </c>
      <c r="AO188" s="104">
        <v>164.34921878627674</v>
      </c>
      <c r="AP188" s="104">
        <v>176.43780246148265</v>
      </c>
      <c r="AQ188" s="104">
        <v>179</v>
      </c>
      <c r="AR188" s="104">
        <v>211</v>
      </c>
      <c r="AS188" s="104">
        <v>183</v>
      </c>
      <c r="AT188" s="104">
        <v>197</v>
      </c>
      <c r="AU188" s="104">
        <v>188</v>
      </c>
      <c r="AV188" s="104">
        <v>214.08858367520591</v>
      </c>
      <c r="AW188" s="104">
        <v>199.17716735041182</v>
      </c>
      <c r="AX188" s="104">
        <v>194.26575102561773</v>
      </c>
      <c r="AY188" s="104">
        <v>197.35433470082364</v>
      </c>
    </row>
    <row r="189" spans="1:51">
      <c r="A189" s="123" t="s">
        <v>133</v>
      </c>
      <c r="B189" s="120">
        <v>1</v>
      </c>
      <c r="C189" s="121">
        <v>157.92839689400745</v>
      </c>
      <c r="D189" s="121">
        <v>157.92839689400748</v>
      </c>
      <c r="E189" s="121">
        <v>102.73542951829967</v>
      </c>
      <c r="F189" s="121">
        <v>121.79471413258004</v>
      </c>
      <c r="G189" s="121">
        <v>67.663730073655572</v>
      </c>
      <c r="H189" s="121">
        <v>66.561614685066743</v>
      </c>
      <c r="I189" s="121">
        <v>67.663730073655572</v>
      </c>
      <c r="J189" s="121">
        <v>0</v>
      </c>
      <c r="K189" s="121">
        <v>4.8046472034234598E-20</v>
      </c>
      <c r="L189" s="121">
        <v>4.8046472034234598E-20</v>
      </c>
      <c r="M189" s="121">
        <v>4.8046472034234598E-20</v>
      </c>
      <c r="N189" s="121">
        <v>156.10211538858883</v>
      </c>
      <c r="O189" s="121">
        <v>156.10211538858883</v>
      </c>
      <c r="P189" s="121">
        <v>156.10211538858883</v>
      </c>
      <c r="Q189" s="121">
        <v>156.10211538858883</v>
      </c>
      <c r="R189" s="121">
        <v>156.10211538858883</v>
      </c>
      <c r="S189" s="121">
        <v>27.065492029462231</v>
      </c>
      <c r="T189" s="121">
        <v>133</v>
      </c>
      <c r="U189" s="121">
        <v>22.861261252284578</v>
      </c>
      <c r="V189" s="121">
        <v>65.75914586369575</v>
      </c>
      <c r="W189" s="121">
        <v>59.657030475106922</v>
      </c>
      <c r="X189" s="121">
        <v>85.554915086518093</v>
      </c>
      <c r="Y189" s="121">
        <v>27.065492029462231</v>
      </c>
      <c r="Z189" s="121">
        <v>156.10211538858883</v>
      </c>
      <c r="AA189" s="121">
        <v>54.963376640873406</v>
      </c>
      <c r="AB189" s="121">
        <v>94.861261252284578</v>
      </c>
      <c r="AC189" s="121">
        <v>137.75914586369575</v>
      </c>
      <c r="AD189" s="121">
        <v>156.10211538858883</v>
      </c>
      <c r="AE189" s="121">
        <v>156.10211538858883</v>
      </c>
      <c r="AF189" s="121">
        <v>156.10211538858883</v>
      </c>
      <c r="AG189" s="121">
        <v>156.10211538858883</v>
      </c>
      <c r="AH189" s="121">
        <v>124.88169231087116</v>
      </c>
      <c r="AI189" s="121">
        <v>124.88169231087114</v>
      </c>
      <c r="AJ189" s="121">
        <v>124.88169231087116</v>
      </c>
      <c r="AK189" s="121">
        <v>124.88169231087114</v>
      </c>
      <c r="AL189" s="121">
        <v>135.32746014731114</v>
      </c>
      <c r="AM189" s="121">
        <v>54.130984058924454</v>
      </c>
      <c r="AN189" s="121">
        <v>107.02886867033563</v>
      </c>
      <c r="AO189" s="121">
        <v>123.9267532817468</v>
      </c>
      <c r="AP189" s="121">
        <v>156.1021153885888</v>
      </c>
      <c r="AQ189" s="121">
        <v>54.130984058924454</v>
      </c>
      <c r="AR189" s="121">
        <v>102.02886867033563</v>
      </c>
      <c r="AS189" s="121">
        <v>112.9267532817468</v>
      </c>
      <c r="AT189" s="121">
        <v>0</v>
      </c>
      <c r="AU189" s="121">
        <v>156.10211538858883</v>
      </c>
      <c r="AV189" s="121">
        <v>13.532746014731115</v>
      </c>
      <c r="AW189" s="121">
        <v>63.430630626142289</v>
      </c>
      <c r="AX189" s="121">
        <v>113.32851523755346</v>
      </c>
      <c r="AY189" s="121">
        <v>109.22639984896463</v>
      </c>
    </row>
    <row r="190" spans="1:51">
      <c r="A190" s="107"/>
      <c r="B190" s="116">
        <v>2</v>
      </c>
      <c r="C190" s="104">
        <v>35.750672687747141</v>
      </c>
      <c r="D190" s="104">
        <v>0</v>
      </c>
      <c r="E190" s="104">
        <v>0</v>
      </c>
      <c r="F190" s="104">
        <v>0</v>
      </c>
      <c r="G190" s="104">
        <v>34.307401256008788</v>
      </c>
      <c r="H190" s="104">
        <v>88.438385314933257</v>
      </c>
      <c r="I190" s="104">
        <v>89.540500703522085</v>
      </c>
      <c r="J190" s="104">
        <v>88.438385314933257</v>
      </c>
      <c r="K190" s="104">
        <v>4.8046472034234598E-20</v>
      </c>
      <c r="L190" s="104">
        <v>0</v>
      </c>
      <c r="M190" s="104">
        <v>0</v>
      </c>
      <c r="N190" s="104">
        <v>0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23.102115388588828</v>
      </c>
      <c r="V190" s="104">
        <v>133.24085413630425</v>
      </c>
      <c r="W190" s="104">
        <v>90.342969524893078</v>
      </c>
      <c r="X190" s="104">
        <v>96.445084913481907</v>
      </c>
      <c r="Y190" s="104">
        <v>70.547200302070735</v>
      </c>
      <c r="Z190" s="104">
        <v>0</v>
      </c>
      <c r="AA190" s="104">
        <v>0</v>
      </c>
      <c r="AB190" s="104">
        <v>101.13873874771542</v>
      </c>
      <c r="AC190" s="104">
        <v>61.24085413630425</v>
      </c>
      <c r="AD190" s="104">
        <v>18.342969524893078</v>
      </c>
      <c r="AE190" s="104">
        <v>0</v>
      </c>
      <c r="AF190" s="104">
        <v>0</v>
      </c>
      <c r="AG190" s="104">
        <v>0</v>
      </c>
      <c r="AH190" s="104">
        <v>0</v>
      </c>
      <c r="AI190" s="104">
        <v>0</v>
      </c>
      <c r="AJ190" s="104">
        <v>0</v>
      </c>
      <c r="AK190" s="104">
        <v>0</v>
      </c>
      <c r="AL190" s="104">
        <v>0</v>
      </c>
      <c r="AM190" s="104">
        <v>20.774655241277685</v>
      </c>
      <c r="AN190" s="104">
        <v>101.97113132966437</v>
      </c>
      <c r="AO190" s="104">
        <v>49.073246718253202</v>
      </c>
      <c r="AP190" s="104">
        <v>32.17536210684203</v>
      </c>
      <c r="AQ190" s="104">
        <v>2.8421709430404007E-14</v>
      </c>
      <c r="AR190" s="104">
        <v>101.97113132966437</v>
      </c>
      <c r="AS190" s="104">
        <v>54.073246718253202</v>
      </c>
      <c r="AT190" s="104">
        <v>43.17536210684203</v>
      </c>
      <c r="AU190" s="104">
        <v>0</v>
      </c>
      <c r="AV190" s="104">
        <v>0</v>
      </c>
      <c r="AW190" s="104">
        <v>142.56936937385771</v>
      </c>
      <c r="AX190" s="104">
        <v>92.671484762446539</v>
      </c>
      <c r="AY190" s="104">
        <v>42.773600151035367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129.03662335912659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129.03662335912659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0</v>
      </c>
      <c r="AP191" s="104">
        <v>0</v>
      </c>
      <c r="AQ191" s="104">
        <v>0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111.56013461765019</v>
      </c>
      <c r="D197" s="104">
        <v>84.593808171027618</v>
      </c>
      <c r="E197" s="104">
        <v>122.48680528899598</v>
      </c>
      <c r="F197" s="104">
        <v>68.277165936436219</v>
      </c>
      <c r="G197" s="104">
        <v>77.7106398677127</v>
      </c>
      <c r="H197" s="104">
        <v>67.898873299323768</v>
      </c>
      <c r="I197" s="104">
        <v>124.55818350815348</v>
      </c>
      <c r="J197" s="104">
        <v>63.017211757376757</v>
      </c>
      <c r="K197" s="104">
        <v>61.20078313843176</v>
      </c>
      <c r="L197" s="104">
        <v>17.427828419684651</v>
      </c>
      <c r="M197" s="104">
        <v>17.427828419684644</v>
      </c>
      <c r="N197" s="104">
        <v>17.427828419684644</v>
      </c>
      <c r="O197" s="104">
        <v>94.691233942891785</v>
      </c>
      <c r="P197" s="104">
        <v>94.691233942891785</v>
      </c>
      <c r="Q197" s="104">
        <v>94.691233942891785</v>
      </c>
      <c r="R197" s="104">
        <v>94.691233942891785</v>
      </c>
      <c r="S197" s="104">
        <v>94.691233942891785</v>
      </c>
      <c r="T197" s="104">
        <v>30.824008741468656</v>
      </c>
      <c r="U197" s="104">
        <v>94.691233942891785</v>
      </c>
      <c r="V197" s="104">
        <v>158.55845914431492</v>
      </c>
      <c r="W197" s="104">
        <v>123.21155469274983</v>
      </c>
      <c r="X197" s="104">
        <v>94.691233942891785</v>
      </c>
      <c r="Y197" s="104">
        <v>94.691233942891785</v>
      </c>
      <c r="Z197" s="104">
        <v>30.824008741468656</v>
      </c>
      <c r="AA197" s="104">
        <v>94.691233942891785</v>
      </c>
      <c r="AB197" s="104">
        <v>158.55845914431492</v>
      </c>
      <c r="AC197" s="104">
        <v>122.59059455605691</v>
      </c>
      <c r="AD197" s="104">
        <v>109.76978770544196</v>
      </c>
      <c r="AE197" s="104">
        <v>102.91504751207398</v>
      </c>
      <c r="AF197" s="104">
        <v>94.691233942891785</v>
      </c>
      <c r="AG197" s="104">
        <v>94.691233942891785</v>
      </c>
      <c r="AH197" s="104">
        <v>94.691233942891785</v>
      </c>
      <c r="AI197" s="104">
        <v>79.238552838250399</v>
      </c>
      <c r="AJ197" s="104">
        <v>79.238552838250399</v>
      </c>
      <c r="AK197" s="104">
        <v>79.238552838250399</v>
      </c>
      <c r="AL197" s="104">
        <v>79.238552838250399</v>
      </c>
      <c r="AM197" s="104">
        <v>84.408730028604708</v>
      </c>
      <c r="AN197" s="104">
        <v>54.502692977539752</v>
      </c>
      <c r="AO197" s="104">
        <v>137</v>
      </c>
      <c r="AP197" s="104">
        <v>105.07063093879209</v>
      </c>
      <c r="AQ197" s="104">
        <v>98.451862379099239</v>
      </c>
      <c r="AR197" s="104">
        <v>44.220189063252668</v>
      </c>
      <c r="AS197" s="104">
        <v>109</v>
      </c>
      <c r="AT197" s="104">
        <v>94.691233942891785</v>
      </c>
      <c r="AU197" s="104">
        <v>17.427828419684658</v>
      </c>
      <c r="AV197" s="104">
        <v>94.691233942891785</v>
      </c>
      <c r="AW197" s="104">
        <v>24.125918580576652</v>
      </c>
      <c r="AX197" s="104">
        <v>165.25654930520693</v>
      </c>
      <c r="AY197" s="104">
        <v>107.15964663279978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13.906005153485424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8.162278822530908</v>
      </c>
      <c r="AQ198" s="104">
        <v>0</v>
      </c>
      <c r="AR198" s="104">
        <v>0</v>
      </c>
      <c r="AS198" s="104">
        <v>0</v>
      </c>
      <c r="AT198" s="104">
        <v>36.162278822530908</v>
      </c>
      <c r="AU198" s="104">
        <v>1.4210854715202004E-14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138.47780513628774</v>
      </c>
      <c r="D209" s="121">
        <v>165.65898426893528</v>
      </c>
      <c r="E209" s="121">
        <v>99.58223963476506</v>
      </c>
      <c r="F209" s="121">
        <v>113.34096041247341</v>
      </c>
      <c r="G209" s="121">
        <v>74.264305114965893</v>
      </c>
      <c r="H209" s="121">
        <v>108.36193074601455</v>
      </c>
      <c r="I209" s="121">
        <v>74.264305114965879</v>
      </c>
      <c r="J209" s="121">
        <v>25.418485993081489</v>
      </c>
      <c r="K209" s="121">
        <v>25.418485993081504</v>
      </c>
      <c r="L209" s="121">
        <v>25.418485993081504</v>
      </c>
      <c r="M209" s="121">
        <v>25.418485993081504</v>
      </c>
      <c r="N209" s="121">
        <v>138.10715515918255</v>
      </c>
      <c r="O209" s="121">
        <v>138.10715515918255</v>
      </c>
      <c r="P209" s="121">
        <v>138.10715515918255</v>
      </c>
      <c r="Q209" s="121">
        <v>138.10715515918255</v>
      </c>
      <c r="R209" s="121">
        <v>138.10715515918255</v>
      </c>
      <c r="S209" s="121">
        <v>44.956813641835254</v>
      </c>
      <c r="T209" s="121">
        <v>138.10715515918255</v>
      </c>
      <c r="U209" s="121">
        <v>67.989949471001481</v>
      </c>
      <c r="V209" s="121">
        <v>138.10715515918255</v>
      </c>
      <c r="W209" s="121">
        <v>138.10715515918255</v>
      </c>
      <c r="X209" s="121">
        <v>138.10715515918255</v>
      </c>
      <c r="Y209" s="121">
        <v>44.956813641835254</v>
      </c>
      <c r="Z209" s="121">
        <v>138.10715515918255</v>
      </c>
      <c r="AA209" s="121">
        <v>69.51657990445743</v>
      </c>
      <c r="AB209" s="121">
        <v>101.03653225413376</v>
      </c>
      <c r="AC209" s="121">
        <v>117.8889103284517</v>
      </c>
      <c r="AD209" s="121">
        <v>138.10715515918255</v>
      </c>
      <c r="AE209" s="121">
        <v>138.10715515918255</v>
      </c>
      <c r="AF209" s="121">
        <v>138.10715515918255</v>
      </c>
      <c r="AG209" s="121">
        <v>138.10715515918255</v>
      </c>
      <c r="AH209" s="121">
        <v>115.5694213259624</v>
      </c>
      <c r="AI209" s="121">
        <v>115.5694213259624</v>
      </c>
      <c r="AJ209" s="121">
        <v>115.5694213259624</v>
      </c>
      <c r="AK209" s="121">
        <v>115.5694213259624</v>
      </c>
      <c r="AL209" s="121">
        <v>123.11012423685028</v>
      </c>
      <c r="AM209" s="121">
        <v>64.495141290589004</v>
      </c>
      <c r="AN209" s="121">
        <v>112.5894086911856</v>
      </c>
      <c r="AO209" s="121">
        <v>128.86165052790335</v>
      </c>
      <c r="AP209" s="121">
        <v>138.10715515918255</v>
      </c>
      <c r="AQ209" s="121">
        <v>64.495141290589004</v>
      </c>
      <c r="AR209" s="121">
        <v>138.10715515918253</v>
      </c>
      <c r="AS209" s="121">
        <v>138.10715515918253</v>
      </c>
      <c r="AT209" s="121">
        <v>25.4184859930815</v>
      </c>
      <c r="AU209" s="121">
        <v>138.10715515918255</v>
      </c>
      <c r="AV209" s="121">
        <v>35.187649817458379</v>
      </c>
      <c r="AW209" s="121">
        <v>107.45356381807683</v>
      </c>
      <c r="AX209" s="121">
        <v>138.10715515918253</v>
      </c>
      <c r="AY209" s="121">
        <v>138.10715515918253</v>
      </c>
    </row>
    <row r="210" spans="1:51">
      <c r="A210" s="107"/>
      <c r="B210" s="116">
        <v>2</v>
      </c>
      <c r="C210" s="104">
        <v>18.078823125568501</v>
      </c>
      <c r="D210" s="108">
        <v>12.988008896262659</v>
      </c>
      <c r="E210" s="108">
        <v>0</v>
      </c>
      <c r="F210" s="108">
        <v>0</v>
      </c>
      <c r="G210" s="108">
        <v>24.766194746709147</v>
      </c>
      <c r="H210" s="108">
        <v>63.842850044216661</v>
      </c>
      <c r="I210" s="108">
        <v>17.646291879935923</v>
      </c>
      <c r="J210" s="108">
        <v>63.842850044216675</v>
      </c>
      <c r="K210" s="108">
        <v>8.4305596987462842E-15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41.596884938323029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40.691214641560002</v>
      </c>
      <c r="AC210" s="108">
        <v>21.992069142498639</v>
      </c>
      <c r="AD210" s="108">
        <v>11.994431261548648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14.997030922332272</v>
      </c>
      <c r="AN210" s="108">
        <v>73.612013868593536</v>
      </c>
      <c r="AO210" s="108">
        <v>15.138349472096653</v>
      </c>
      <c r="AP210" s="108">
        <v>5.484876195071748</v>
      </c>
      <c r="AQ210" s="108">
        <v>0</v>
      </c>
      <c r="AR210" s="108">
        <v>73.612013868593536</v>
      </c>
      <c r="AS210" s="108">
        <v>1.6861119397492568E-14</v>
      </c>
      <c r="AT210" s="108">
        <v>1.6861119397492568E-14</v>
      </c>
      <c r="AU210" s="108">
        <v>2.107639924686571E-15</v>
      </c>
      <c r="AV210" s="108">
        <v>0</v>
      </c>
      <c r="AW210" s="108">
        <v>102.91950534172416</v>
      </c>
      <c r="AX210" s="108">
        <v>18.185178651197724</v>
      </c>
      <c r="AY210" s="108">
        <v>1.6861119397492568E-14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93.150341517347286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93.150341517347286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79616.423437847392</v>
      </c>
      <c r="E259" s="121">
        <f t="shared" ref="E259:AX259" si="5">F$14*$B$259</f>
        <v>44380.157858683546</v>
      </c>
      <c r="F259" s="121">
        <f t="shared" si="5"/>
        <v>50511.915914013254</v>
      </c>
      <c r="G259" s="121">
        <f t="shared" si="5"/>
        <v>44134.267644560452</v>
      </c>
      <c r="H259" s="121">
        <f t="shared" si="5"/>
        <v>90001.722630065284</v>
      </c>
      <c r="I259" s="121">
        <f t="shared" si="5"/>
        <v>40961.187642294892</v>
      </c>
      <c r="J259" s="121">
        <f t="shared" si="5"/>
        <v>39780.509039980643</v>
      </c>
      <c r="K259" s="121">
        <f t="shared" si="5"/>
        <v>11328.088472795023</v>
      </c>
      <c r="L259" s="121">
        <f t="shared" si="5"/>
        <v>11328.088472795018</v>
      </c>
      <c r="M259" s="121">
        <f t="shared" si="5"/>
        <v>11328.088472795018</v>
      </c>
      <c r="N259" s="121">
        <f t="shared" si="5"/>
        <v>61549.302062879658</v>
      </c>
      <c r="O259" s="121">
        <f t="shared" si="5"/>
        <v>61549.302062879658</v>
      </c>
      <c r="P259" s="121">
        <f t="shared" si="5"/>
        <v>61549.302062879658</v>
      </c>
      <c r="Q259" s="121">
        <f t="shared" si="5"/>
        <v>61549.302062879658</v>
      </c>
      <c r="R259" s="121">
        <f t="shared" si="5"/>
        <v>61549.302062879658</v>
      </c>
      <c r="S259" s="121">
        <f t="shared" si="5"/>
        <v>20035.605681954628</v>
      </c>
      <c r="T259" s="121">
        <f t="shared" si="5"/>
        <v>61549.302062879658</v>
      </c>
      <c r="U259" s="121">
        <f t="shared" si="5"/>
        <v>103062.9984438047</v>
      </c>
      <c r="V259" s="121">
        <f t="shared" si="5"/>
        <v>80087.510550287392</v>
      </c>
      <c r="W259" s="121">
        <f t="shared" si="5"/>
        <v>61549.302062879658</v>
      </c>
      <c r="X259" s="121">
        <f t="shared" si="5"/>
        <v>61549.302062879658</v>
      </c>
      <c r="Y259" s="121">
        <f t="shared" si="5"/>
        <v>20035.605681954628</v>
      </c>
      <c r="Z259" s="121">
        <f t="shared" si="5"/>
        <v>61549.302062879658</v>
      </c>
      <c r="AA259" s="121">
        <f t="shared" si="5"/>
        <v>103062.9984438047</v>
      </c>
      <c r="AB259" s="121">
        <f t="shared" si="5"/>
        <v>79683.886461436996</v>
      </c>
      <c r="AC259" s="121">
        <f t="shared" si="5"/>
        <v>71350.362008537268</v>
      </c>
      <c r="AD259" s="121">
        <f t="shared" si="5"/>
        <v>66894.780882848092</v>
      </c>
      <c r="AE259" s="121">
        <f t="shared" si="5"/>
        <v>61549.302062879658</v>
      </c>
      <c r="AF259" s="121">
        <f t="shared" si="5"/>
        <v>61549.302062879658</v>
      </c>
      <c r="AG259" s="121">
        <f t="shared" si="5"/>
        <v>61549.302062879658</v>
      </c>
      <c r="AH259" s="121">
        <f t="shared" si="5"/>
        <v>51505.059344862762</v>
      </c>
      <c r="AI259" s="121">
        <f t="shared" si="5"/>
        <v>51505.059344862762</v>
      </c>
      <c r="AJ259" s="121">
        <f t="shared" si="5"/>
        <v>51505.059344862762</v>
      </c>
      <c r="AK259" s="121">
        <f t="shared" si="5"/>
        <v>51505.059344862762</v>
      </c>
      <c r="AL259" s="121">
        <f t="shared" si="5"/>
        <v>54865.674518593063</v>
      </c>
      <c r="AM259" s="121">
        <f t="shared" si="5"/>
        <v>35426.750435400842</v>
      </c>
      <c r="AN259" s="121">
        <f t="shared" si="5"/>
        <v>94355.481234645093</v>
      </c>
      <c r="AO259" s="121">
        <f t="shared" si="5"/>
        <v>68295.910110214856</v>
      </c>
      <c r="AP259" s="121">
        <f t="shared" si="5"/>
        <v>63993.710546414506</v>
      </c>
      <c r="AQ259" s="121">
        <f t="shared" si="5"/>
        <v>28743.122891114235</v>
      </c>
      <c r="AR259" s="121">
        <f t="shared" si="5"/>
        <v>94355.481234645093</v>
      </c>
      <c r="AS259" s="121">
        <f t="shared" si="5"/>
        <v>61549.302062879666</v>
      </c>
      <c r="AT259" s="121">
        <f t="shared" si="5"/>
        <v>11328.088472795029</v>
      </c>
      <c r="AU259" s="121">
        <f t="shared" si="5"/>
        <v>61549.302062879658</v>
      </c>
      <c r="AV259" s="121">
        <f t="shared" si="5"/>
        <v>15681.847077374823</v>
      </c>
      <c r="AW259" s="121">
        <f t="shared" si="5"/>
        <v>107416.7570483845</v>
      </c>
      <c r="AX259" s="121">
        <f t="shared" si="5"/>
        <v>69653.770311319851</v>
      </c>
      <c r="AY259" s="121">
        <f>AZ$14*$B$259</f>
        <v>61549.302062879666</v>
      </c>
      <c r="AZ259" s="136">
        <f>SUM($D259:$AY259)</f>
        <v>2740960.5599440061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34153.265540794142</v>
      </c>
      <c r="E260" s="122">
        <f t="shared" ref="E260:AY260" si="6">(E$175-E$176+E$177-E$178+E$179-E$180+E$181-E$182)*$B$260</f>
        <v>33498.580561306502</v>
      </c>
      <c r="F260" s="122">
        <f t="shared" si="6"/>
        <v>35363.895581818855</v>
      </c>
      <c r="G260" s="122">
        <f t="shared" si="6"/>
        <v>34289.210602331208</v>
      </c>
      <c r="H260" s="122">
        <f t="shared" si="6"/>
        <v>44871.669129844959</v>
      </c>
      <c r="I260" s="122">
        <f t="shared" si="6"/>
        <v>41374.20095256505</v>
      </c>
      <c r="J260" s="122">
        <f t="shared" si="6"/>
        <v>40581.260082049419</v>
      </c>
      <c r="K260" s="122">
        <f t="shared" si="6"/>
        <v>39801.260082049419</v>
      </c>
      <c r="L260" s="122">
        <f t="shared" si="6"/>
        <v>40761.260082049419</v>
      </c>
      <c r="M260" s="122">
        <f t="shared" si="6"/>
        <v>37641.260082049419</v>
      </c>
      <c r="N260" s="122">
        <f t="shared" si="6"/>
        <v>39446.575102561779</v>
      </c>
      <c r="O260" s="122">
        <f t="shared" si="6"/>
        <v>40461.260082049419</v>
      </c>
      <c r="P260" s="122">
        <f t="shared" si="6"/>
        <v>41421.260082049419</v>
      </c>
      <c r="Q260" s="122">
        <f t="shared" si="6"/>
        <v>39321.260082049419</v>
      </c>
      <c r="R260" s="122">
        <f t="shared" si="6"/>
        <v>39981.260082049419</v>
      </c>
      <c r="S260" s="122">
        <f t="shared" si="6"/>
        <v>38001.260082049426</v>
      </c>
      <c r="T260" s="122">
        <f t="shared" si="6"/>
        <v>38083.639021774623</v>
      </c>
      <c r="U260" s="122">
        <f t="shared" si="6"/>
        <v>47524.617663313598</v>
      </c>
      <c r="V260" s="122">
        <f t="shared" si="6"/>
        <v>38534.649241235595</v>
      </c>
      <c r="W260" s="122">
        <f t="shared" si="6"/>
        <v>36271.713160448453</v>
      </c>
      <c r="X260" s="122">
        <f t="shared" si="6"/>
        <v>34843.155104276135</v>
      </c>
      <c r="Y260" s="122">
        <f t="shared" si="6"/>
        <v>30435.638106664243</v>
      </c>
      <c r="Z260" s="122">
        <f t="shared" si="6"/>
        <v>33080.953127176603</v>
      </c>
      <c r="AA260" s="122">
        <f t="shared" si="6"/>
        <v>43390.026987835387</v>
      </c>
      <c r="AB260" s="122">
        <f t="shared" si="6"/>
        <v>38570.271790682506</v>
      </c>
      <c r="AC260" s="122">
        <f t="shared" si="6"/>
        <v>35950.571050051112</v>
      </c>
      <c r="AD260" s="122">
        <f t="shared" si="6"/>
        <v>35622.213209226022</v>
      </c>
      <c r="AE260" s="122">
        <f t="shared" si="6"/>
        <v>38807.528229738375</v>
      </c>
      <c r="AF260" s="122">
        <f t="shared" si="6"/>
        <v>38552.197077946941</v>
      </c>
      <c r="AG260" s="122">
        <f t="shared" si="6"/>
        <v>36223.134073844478</v>
      </c>
      <c r="AH260" s="122">
        <f t="shared" si="6"/>
        <v>30894.071069742007</v>
      </c>
      <c r="AI260" s="122">
        <f t="shared" si="6"/>
        <v>29225.00806563954</v>
      </c>
      <c r="AJ260" s="122">
        <f t="shared" si="6"/>
        <v>32770.323086151897</v>
      </c>
      <c r="AK260" s="122">
        <f t="shared" si="6"/>
        <v>34155.63810666425</v>
      </c>
      <c r="AL260" s="122">
        <f t="shared" si="6"/>
        <v>34220.953127176603</v>
      </c>
      <c r="AM260" s="122">
        <f t="shared" si="6"/>
        <v>35846.268147688956</v>
      </c>
      <c r="AN260" s="122">
        <f t="shared" si="6"/>
        <v>40027.042759376316</v>
      </c>
      <c r="AO260" s="122">
        <f t="shared" si="6"/>
        <v>39251.886922352802</v>
      </c>
      <c r="AP260" s="122">
        <f t="shared" si="6"/>
        <v>36882.213209226022</v>
      </c>
      <c r="AQ260" s="122">
        <f t="shared" si="6"/>
        <v>38987.528229738375</v>
      </c>
      <c r="AR260" s="122">
        <f t="shared" si="6"/>
        <v>41965.654885144613</v>
      </c>
      <c r="AS260" s="122">
        <f t="shared" si="6"/>
        <v>45161.518537811797</v>
      </c>
      <c r="AT260" s="122">
        <f t="shared" si="6"/>
        <v>39561.260082049419</v>
      </c>
      <c r="AU260" s="122">
        <f t="shared" si="6"/>
        <v>40101.260082049419</v>
      </c>
      <c r="AV260" s="122">
        <f t="shared" si="6"/>
        <v>37641.260082049419</v>
      </c>
      <c r="AW260" s="122">
        <f t="shared" si="6"/>
        <v>44746.07966877491</v>
      </c>
      <c r="AX260" s="122">
        <f t="shared" si="6"/>
        <v>40098.306132136255</v>
      </c>
      <c r="AY260" s="122">
        <f t="shared" si="6"/>
        <v>41069.748075963937</v>
      </c>
      <c r="AZ260" s="138">
        <f>SUM($D260:$AY260)</f>
        <v>1829465.0663236182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285</v>
      </c>
    </row>
    <row r="2" spans="1:54">
      <c r="A2" t="s">
        <v>286</v>
      </c>
      <c r="B2" s="105" t="s">
        <v>59</v>
      </c>
    </row>
    <row r="3" spans="1:54">
      <c r="A3" t="s">
        <v>287</v>
      </c>
      <c r="B3" s="106">
        <v>8000</v>
      </c>
      <c r="C3" s="107"/>
    </row>
    <row r="4" spans="1:54">
      <c r="B4" s="108"/>
      <c r="C4" s="108"/>
    </row>
    <row r="5" spans="1:54">
      <c r="C5" s="9" t="s">
        <v>288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4">
      <c r="A8" s="1" t="s">
        <v>293</v>
      </c>
      <c r="B8" s="111"/>
      <c r="AY8" s="108"/>
    </row>
    <row r="9" spans="1:54">
      <c r="A9" s="112" t="s">
        <v>125</v>
      </c>
      <c r="B9" s="113">
        <v>1</v>
      </c>
      <c r="C9" s="114" t="s">
        <v>294</v>
      </c>
      <c r="D9" s="114">
        <v>1046.2588742939613</v>
      </c>
      <c r="E9" s="114">
        <v>1046.2588742939613</v>
      </c>
      <c r="F9" s="114">
        <v>1046.2588742939613</v>
      </c>
      <c r="G9" s="114">
        <v>1046.2588742939613</v>
      </c>
      <c r="H9" s="114">
        <v>1046.2588742939613</v>
      </c>
      <c r="I9" s="114">
        <v>1046.2588742939613</v>
      </c>
      <c r="J9" s="114">
        <v>1046.2588742939613</v>
      </c>
      <c r="K9" s="114">
        <v>1046.2588742939613</v>
      </c>
      <c r="L9" s="114">
        <v>1046.2588742939613</v>
      </c>
      <c r="M9" s="114">
        <v>1046.2588742939613</v>
      </c>
      <c r="N9" s="114">
        <v>1046.2588742939613</v>
      </c>
      <c r="O9" s="114">
        <v>1046.2588742939613</v>
      </c>
      <c r="P9" s="114">
        <v>1046.2588742939613</v>
      </c>
      <c r="Q9" s="114">
        <v>1046.2588742939613</v>
      </c>
      <c r="R9" s="114">
        <v>1046.2588742939613</v>
      </c>
      <c r="S9" s="114">
        <v>1046.2588742939613</v>
      </c>
      <c r="T9" s="114">
        <v>1239.4075239694905</v>
      </c>
      <c r="U9" s="114">
        <v>1239.4075239694905</v>
      </c>
      <c r="V9" s="114">
        <v>1239.4075239694905</v>
      </c>
      <c r="W9" s="114">
        <v>1239.4075239694905</v>
      </c>
      <c r="X9" s="114">
        <v>1046.2588742939613</v>
      </c>
      <c r="Y9" s="114">
        <v>1046.2588742939613</v>
      </c>
      <c r="Z9" s="114">
        <v>1046.2588742939613</v>
      </c>
      <c r="AA9" s="114">
        <v>1046.2588742939613</v>
      </c>
      <c r="AB9" s="114">
        <v>1046.2588742939613</v>
      </c>
      <c r="AC9" s="114">
        <v>1046.2588742939613</v>
      </c>
      <c r="AD9" s="114">
        <v>1046.2588742939613</v>
      </c>
      <c r="AE9" s="114">
        <v>1046.2588742939613</v>
      </c>
      <c r="AF9" s="114">
        <v>1046.2588742939613</v>
      </c>
      <c r="AG9" s="114">
        <v>1046.2588742939613</v>
      </c>
      <c r="AH9" s="114">
        <v>1046.2588742939613</v>
      </c>
      <c r="AI9" s="114">
        <v>1046.2588742939613</v>
      </c>
      <c r="AJ9" s="114">
        <v>1046.2588742939613</v>
      </c>
      <c r="AK9" s="114">
        <v>1046.2588742939613</v>
      </c>
      <c r="AL9" s="114">
        <v>1046.2588742939613</v>
      </c>
      <c r="AM9" s="114">
        <v>1046.2588742939613</v>
      </c>
      <c r="AN9" s="114">
        <v>1046.2588742939613</v>
      </c>
      <c r="AO9" s="114">
        <v>1046.2588742939613</v>
      </c>
      <c r="AP9" s="114">
        <v>1046.2588742939613</v>
      </c>
      <c r="AQ9" s="114">
        <v>1046.2588742939613</v>
      </c>
      <c r="AR9" s="114">
        <v>1046.2588742939613</v>
      </c>
      <c r="AS9" s="114">
        <v>1046.2588742939613</v>
      </c>
      <c r="AT9" s="114">
        <v>1046.2588742939613</v>
      </c>
      <c r="AU9" s="114">
        <v>1046.2588742939613</v>
      </c>
      <c r="AV9" s="114">
        <v>1046.2588742939613</v>
      </c>
      <c r="AW9" s="114">
        <v>1046.2588742939613</v>
      </c>
      <c r="AX9" s="114">
        <v>1046.2588742939613</v>
      </c>
      <c r="AY9" s="114">
        <v>1046.2588742939613</v>
      </c>
    </row>
    <row r="10" spans="1:54">
      <c r="A10" s="115" t="s">
        <v>133</v>
      </c>
      <c r="B10" s="116">
        <v>1</v>
      </c>
      <c r="C10" s="104" t="s">
        <v>294</v>
      </c>
      <c r="D10">
        <v>0</v>
      </c>
      <c r="E10">
        <v>208.90505571946304</v>
      </c>
      <c r="F10">
        <v>0</v>
      </c>
      <c r="G10">
        <v>619.02225328475754</v>
      </c>
      <c r="H10">
        <v>0</v>
      </c>
      <c r="I10">
        <v>619.02225328475754</v>
      </c>
      <c r="J10">
        <v>0</v>
      </c>
      <c r="K10">
        <v>1238.0445065695151</v>
      </c>
      <c r="L10">
        <v>619.02225328475754</v>
      </c>
      <c r="M10">
        <v>619.02225328475754</v>
      </c>
      <c r="N10">
        <v>619.02225328475754</v>
      </c>
      <c r="O10">
        <v>619.02225328475754</v>
      </c>
      <c r="P10">
        <v>619.02225328475754</v>
      </c>
      <c r="Q10">
        <v>208.90505571946304</v>
      </c>
      <c r="R10">
        <v>0</v>
      </c>
      <c r="S10">
        <v>208.90505571946304</v>
      </c>
      <c r="T10">
        <v>0</v>
      </c>
      <c r="U10">
        <v>0</v>
      </c>
      <c r="V10">
        <v>1352.3214941092751</v>
      </c>
      <c r="W10">
        <v>733.29924082451771</v>
      </c>
      <c r="X10">
        <v>208.90505571946304</v>
      </c>
      <c r="Y10">
        <v>0</v>
      </c>
      <c r="Z10">
        <v>619.02225328475754</v>
      </c>
      <c r="AA10">
        <v>619.02225328475754</v>
      </c>
      <c r="AB10">
        <v>208.90505571946304</v>
      </c>
      <c r="AC10">
        <v>619.02225328475754</v>
      </c>
      <c r="AD10">
        <v>208.90505571946304</v>
      </c>
      <c r="AE10">
        <v>0</v>
      </c>
      <c r="AF10">
        <v>619.02225328475754</v>
      </c>
      <c r="AG10">
        <v>619.02225328475754</v>
      </c>
      <c r="AH10">
        <v>619.02225328475754</v>
      </c>
      <c r="AI10">
        <v>0</v>
      </c>
      <c r="AJ10">
        <v>619.02225328475754</v>
      </c>
      <c r="AK10">
        <v>0</v>
      </c>
      <c r="AL10">
        <v>619.02225328475754</v>
      </c>
      <c r="AM10">
        <v>619.02225328475754</v>
      </c>
      <c r="AN10">
        <v>208.90505571946304</v>
      </c>
      <c r="AO10">
        <v>0</v>
      </c>
      <c r="AP10">
        <v>619.02225328475754</v>
      </c>
      <c r="AQ10">
        <v>0</v>
      </c>
      <c r="AR10">
        <v>208.90505571946304</v>
      </c>
      <c r="AS10">
        <v>619.02225328475754</v>
      </c>
      <c r="AT10">
        <v>619.02225328475754</v>
      </c>
      <c r="AU10">
        <v>0</v>
      </c>
      <c r="AV10">
        <v>619.02225328475754</v>
      </c>
      <c r="AW10">
        <v>619.02225328475754</v>
      </c>
      <c r="AX10">
        <v>208.90505571946304</v>
      </c>
      <c r="AY10">
        <v>619.02225328475754</v>
      </c>
      <c r="AZ10">
        <v>208.90505571946304</v>
      </c>
    </row>
    <row r="11" spans="1:54">
      <c r="B11" s="116">
        <v>2</v>
      </c>
      <c r="C11" s="104" t="s">
        <v>294</v>
      </c>
      <c r="D11">
        <v>0</v>
      </c>
      <c r="E11">
        <v>596.72912294345133</v>
      </c>
      <c r="F11">
        <v>506.3983682233079</v>
      </c>
      <c r="G11">
        <v>619.02225328475754</v>
      </c>
      <c r="H11">
        <v>0</v>
      </c>
      <c r="I11">
        <v>619.02225328475754</v>
      </c>
      <c r="J11">
        <v>0</v>
      </c>
      <c r="K11">
        <v>0</v>
      </c>
      <c r="M11">
        <v>0</v>
      </c>
      <c r="N11">
        <v>0</v>
      </c>
      <c r="O11">
        <v>0</v>
      </c>
      <c r="P11">
        <v>0</v>
      </c>
      <c r="R11">
        <v>410.11719756529453</v>
      </c>
      <c r="S11">
        <v>619.02225328475754</v>
      </c>
      <c r="T11">
        <v>410.11719756529453</v>
      </c>
      <c r="V11">
        <v>0</v>
      </c>
      <c r="W11">
        <v>0</v>
      </c>
      <c r="Y11">
        <v>524.3941851050547</v>
      </c>
      <c r="AA11">
        <v>0</v>
      </c>
      <c r="AB11">
        <v>0</v>
      </c>
      <c r="AC11">
        <v>0</v>
      </c>
      <c r="AE11">
        <v>410.11719756529453</v>
      </c>
      <c r="AF11">
        <v>0</v>
      </c>
      <c r="AG11">
        <v>0</v>
      </c>
      <c r="AH11">
        <v>0</v>
      </c>
      <c r="AI11">
        <v>0</v>
      </c>
      <c r="AJ11">
        <v>619.02225328475754</v>
      </c>
      <c r="AK11">
        <v>0</v>
      </c>
      <c r="AL11">
        <v>619.02225328475754</v>
      </c>
      <c r="AN11">
        <v>0</v>
      </c>
      <c r="AO11">
        <v>410.11719756529453</v>
      </c>
      <c r="AP11">
        <v>619.02225328475754</v>
      </c>
      <c r="AQ11">
        <v>0</v>
      </c>
      <c r="AR11">
        <v>619.02225328475754</v>
      </c>
      <c r="AS11">
        <v>410.11719756529453</v>
      </c>
      <c r="AT11">
        <v>0</v>
      </c>
      <c r="AV11">
        <v>619.02225328475754</v>
      </c>
      <c r="AW11">
        <v>0</v>
      </c>
      <c r="AX11">
        <v>0</v>
      </c>
      <c r="AY11">
        <v>410.11719756529453</v>
      </c>
      <c r="AZ11">
        <v>0</v>
      </c>
      <c r="BA11">
        <v>0</v>
      </c>
    </row>
    <row r="12" spans="1:54">
      <c r="B12" s="117">
        <v>3</v>
      </c>
      <c r="C12" s="104" t="s">
        <v>294</v>
      </c>
      <c r="D12">
        <v>0</v>
      </c>
      <c r="F12">
        <v>0</v>
      </c>
      <c r="M12">
        <v>0</v>
      </c>
      <c r="R12">
        <v>0</v>
      </c>
      <c r="V12">
        <v>619.02225328475754</v>
      </c>
      <c r="Y12">
        <v>0</v>
      </c>
      <c r="AA12">
        <v>733.29924082451771</v>
      </c>
      <c r="AD12">
        <v>410.11719756529453</v>
      </c>
      <c r="AE12">
        <v>0</v>
      </c>
      <c r="AG12">
        <v>619.02225328475754</v>
      </c>
      <c r="AQ12">
        <v>0</v>
      </c>
      <c r="AT12">
        <v>0</v>
      </c>
      <c r="BB12">
        <v>410.11719756529453</v>
      </c>
    </row>
    <row r="13" spans="1:54">
      <c r="B13" s="117">
        <v>4</v>
      </c>
      <c r="C13" s="104" t="s">
        <v>294</v>
      </c>
      <c r="H13">
        <v>0</v>
      </c>
      <c r="AB13">
        <v>0</v>
      </c>
      <c r="AO13">
        <v>0</v>
      </c>
      <c r="AW13">
        <v>0</v>
      </c>
    </row>
    <row r="14" spans="1:54">
      <c r="A14" s="112" t="s">
        <v>134</v>
      </c>
      <c r="B14" s="118">
        <v>1</v>
      </c>
      <c r="C14" s="114" t="s">
        <v>294</v>
      </c>
      <c r="D14" s="114">
        <v>337.49583054907652</v>
      </c>
      <c r="E14" s="114">
        <f t="shared" ref="E14:AZ14" si="0">D$172*SUM(D$122:D$169)</f>
        <v>69.163853436212861</v>
      </c>
      <c r="F14" s="114">
        <f t="shared" si="0"/>
        <v>458.75119686848831</v>
      </c>
      <c r="G14" s="114">
        <f t="shared" si="0"/>
        <v>320.00327381595781</v>
      </c>
      <c r="H14" s="114">
        <f t="shared" si="0"/>
        <v>682.41694807351666</v>
      </c>
      <c r="I14" s="114">
        <f t="shared" si="0"/>
        <v>227.21768977932618</v>
      </c>
      <c r="J14" s="114">
        <f t="shared" si="0"/>
        <v>682.41694807351666</v>
      </c>
      <c r="K14" s="114">
        <f t="shared" si="0"/>
        <v>229.84249698385318</v>
      </c>
      <c r="L14" s="114">
        <f t="shared" si="0"/>
        <v>682.41694807351655</v>
      </c>
      <c r="M14" s="114">
        <f t="shared" si="0"/>
        <v>531.82358929532984</v>
      </c>
      <c r="N14" s="114">
        <f t="shared" si="0"/>
        <v>452.30365696015599</v>
      </c>
      <c r="O14" s="114">
        <f t="shared" si="0"/>
        <v>375.79040075486472</v>
      </c>
      <c r="P14" s="114">
        <f t="shared" si="0"/>
        <v>375.79040075486472</v>
      </c>
      <c r="Q14" s="114">
        <f t="shared" si="0"/>
        <v>375.79040075486472</v>
      </c>
      <c r="R14" s="114">
        <f t="shared" si="0"/>
        <v>172.64290546183213</v>
      </c>
      <c r="S14" s="114">
        <f t="shared" si="0"/>
        <v>272.31134872924542</v>
      </c>
      <c r="T14" s="114">
        <f t="shared" si="0"/>
        <v>479.26945278048402</v>
      </c>
      <c r="U14" s="114">
        <f t="shared" si="0"/>
        <v>304.45119151040467</v>
      </c>
      <c r="V14" s="114">
        <f t="shared" si="0"/>
        <v>69.163853436212861</v>
      </c>
      <c r="W14" s="114">
        <f t="shared" si="0"/>
        <v>1045.6494702845998</v>
      </c>
      <c r="X14" s="114">
        <f t="shared" si="0"/>
        <v>733.93469370135097</v>
      </c>
      <c r="Y14" s="114">
        <f t="shared" si="0"/>
        <v>343.48923234214402</v>
      </c>
      <c r="Z14" s="114">
        <f t="shared" si="0"/>
        <v>328.91732362167676</v>
      </c>
      <c r="AA14" s="114">
        <f t="shared" si="0"/>
        <v>375.79040075486472</v>
      </c>
      <c r="AB14" s="114">
        <f t="shared" si="0"/>
        <v>739.02292296594794</v>
      </c>
      <c r="AC14" s="114">
        <f t="shared" si="0"/>
        <v>324.50413725140891</v>
      </c>
      <c r="AD14" s="114">
        <f t="shared" si="0"/>
        <v>375.79040075486472</v>
      </c>
      <c r="AE14" s="114">
        <f t="shared" si="0"/>
        <v>375.79040075486472</v>
      </c>
      <c r="AF14" s="114">
        <f t="shared" si="0"/>
        <v>272.31134872924542</v>
      </c>
      <c r="AG14" s="114">
        <f t="shared" si="0"/>
        <v>375.79040075486472</v>
      </c>
      <c r="AH14" s="114">
        <f t="shared" si="0"/>
        <v>682.41694807351666</v>
      </c>
      <c r="AI14" s="114">
        <f t="shared" si="0"/>
        <v>519.37665674890889</v>
      </c>
      <c r="AJ14" s="114">
        <f t="shared" si="0"/>
        <v>120.11666089918842</v>
      </c>
      <c r="AK14" s="114">
        <f t="shared" si="0"/>
        <v>682.41694807351666</v>
      </c>
      <c r="AL14" s="114">
        <f t="shared" si="0"/>
        <v>176.51205577232963</v>
      </c>
      <c r="AM14" s="114">
        <f t="shared" si="0"/>
        <v>682.41694807351666</v>
      </c>
      <c r="AN14" s="114">
        <f t="shared" si="0"/>
        <v>533.98727627349422</v>
      </c>
      <c r="AO14" s="114">
        <f t="shared" si="0"/>
        <v>209.61675010119222</v>
      </c>
      <c r="AP14" s="114">
        <f t="shared" si="0"/>
        <v>272.31134872924542</v>
      </c>
      <c r="AQ14" s="114">
        <f t="shared" si="0"/>
        <v>682.41694807351666</v>
      </c>
      <c r="AR14" s="114">
        <f t="shared" si="0"/>
        <v>167.45959711546516</v>
      </c>
      <c r="AS14" s="114">
        <f t="shared" si="0"/>
        <v>479.26945278048402</v>
      </c>
      <c r="AT14" s="114">
        <f t="shared" si="0"/>
        <v>604.36993583322953</v>
      </c>
      <c r="AU14" s="114">
        <f t="shared" si="0"/>
        <v>461.95164176420514</v>
      </c>
      <c r="AV14" s="114">
        <f t="shared" si="0"/>
        <v>72.316564840935854</v>
      </c>
      <c r="AW14" s="114">
        <f t="shared" si="0"/>
        <v>682.41694807351666</v>
      </c>
      <c r="AX14" s="114">
        <f t="shared" si="0"/>
        <v>465.09400006172444</v>
      </c>
      <c r="AY14" s="114">
        <f t="shared" si="0"/>
        <v>172.64290546183216</v>
      </c>
      <c r="AZ14" s="108">
        <f t="shared" si="0"/>
        <v>578.93789604789731</v>
      </c>
      <c r="BA14" s="105">
        <f>SUM($E14:$AZ14)</f>
        <v>20298.604770256195</v>
      </c>
    </row>
    <row r="15" spans="1:54">
      <c r="A15" s="119" t="s">
        <v>123</v>
      </c>
      <c r="B15" s="120">
        <v>1</v>
      </c>
      <c r="C15" s="121" t="s">
        <v>294</v>
      </c>
      <c r="D15" s="121">
        <v>161.14426122016047</v>
      </c>
      <c r="E15" s="121">
        <v>402.23920550069744</v>
      </c>
      <c r="F15" s="121">
        <v>161.14426122016047</v>
      </c>
      <c r="G15" s="121">
        <v>875.5507898228891</v>
      </c>
      <c r="H15" s="121">
        <v>161.14426122016047</v>
      </c>
      <c r="I15" s="121">
        <v>875.5507898228891</v>
      </c>
      <c r="J15" s="121">
        <v>161.14426122016047</v>
      </c>
      <c r="K15" s="121">
        <v>1589.9573184256176</v>
      </c>
      <c r="L15" s="121">
        <v>875.5507898228891</v>
      </c>
      <c r="M15" s="121">
        <v>875.5507898228891</v>
      </c>
      <c r="N15" s="121">
        <v>875.5507898228891</v>
      </c>
      <c r="O15" s="121">
        <v>875.5507898228891</v>
      </c>
      <c r="P15" s="121">
        <v>875.5507898228891</v>
      </c>
      <c r="Q15" s="121">
        <v>402.23920550069744</v>
      </c>
      <c r="R15" s="121">
        <v>161.14426122016047</v>
      </c>
      <c r="S15" s="121">
        <v>402.23920550069744</v>
      </c>
      <c r="T15" s="121">
        <v>161.14426122016047</v>
      </c>
      <c r="U15" s="121">
        <v>161.14426122016047</v>
      </c>
      <c r="V15" s="121">
        <v>1721.8430875304352</v>
      </c>
      <c r="W15" s="121">
        <v>1007.4365589277064</v>
      </c>
      <c r="X15" s="121">
        <v>402.23920550069738</v>
      </c>
      <c r="Y15" s="121">
        <v>161.14426122016047</v>
      </c>
      <c r="Z15" s="121">
        <v>875.5507898228891</v>
      </c>
      <c r="AA15" s="121">
        <v>875.5507898228891</v>
      </c>
      <c r="AB15" s="121">
        <v>402.23920550069744</v>
      </c>
      <c r="AC15" s="121">
        <v>875.5507898228891</v>
      </c>
      <c r="AD15" s="121">
        <v>402.23920550069744</v>
      </c>
      <c r="AE15" s="121">
        <v>161.14426122016047</v>
      </c>
      <c r="AF15" s="121">
        <v>875.5507898228891</v>
      </c>
      <c r="AG15" s="121">
        <v>875.5507898228891</v>
      </c>
      <c r="AH15" s="121">
        <v>875.5507898228891</v>
      </c>
      <c r="AI15" s="121">
        <v>161.14426122016047</v>
      </c>
      <c r="AJ15" s="121">
        <v>875.5507898228891</v>
      </c>
      <c r="AK15" s="121">
        <v>161.14426122016047</v>
      </c>
      <c r="AL15" s="121">
        <v>875.5507898228891</v>
      </c>
      <c r="AM15" s="121">
        <v>875.5507898228891</v>
      </c>
      <c r="AN15" s="121">
        <v>402.23920550069744</v>
      </c>
      <c r="AO15" s="121">
        <v>161.14426122016047</v>
      </c>
      <c r="AP15" s="121">
        <v>875.5507898228891</v>
      </c>
      <c r="AQ15" s="121">
        <v>161.14426122016047</v>
      </c>
      <c r="AR15" s="121">
        <v>402.23920550069744</v>
      </c>
      <c r="AS15" s="121">
        <v>875.5507898228891</v>
      </c>
      <c r="AT15" s="121">
        <v>875.5507898228891</v>
      </c>
      <c r="AU15" s="121">
        <v>161.14426122016047</v>
      </c>
      <c r="AV15" s="121">
        <v>875.5507898228891</v>
      </c>
      <c r="AW15" s="121">
        <v>875.5507898228891</v>
      </c>
      <c r="AX15" s="121">
        <v>402.23920550069744</v>
      </c>
      <c r="AY15" s="121">
        <v>875.5507898228891</v>
      </c>
      <c r="AZ15">
        <v>241.09494428053696</v>
      </c>
    </row>
    <row r="16" spans="1:54">
      <c r="A16" s="108"/>
      <c r="B16" s="116">
        <v>2</v>
      </c>
      <c r="C16" s="107" t="s">
        <v>294</v>
      </c>
      <c r="D16" s="104">
        <v>0</v>
      </c>
      <c r="E16" s="108">
        <v>666.60122241755346</v>
      </c>
      <c r="F16" s="108">
        <v>584.42858623061375</v>
      </c>
      <c r="G16" s="108">
        <v>714.4065286027286</v>
      </c>
      <c r="H16" s="108">
        <v>0</v>
      </c>
      <c r="I16" s="108">
        <v>714.4065286027286</v>
      </c>
      <c r="J16" s="108">
        <v>0</v>
      </c>
      <c r="K16" s="108">
        <v>0</v>
      </c>
      <c r="L16" s="108"/>
      <c r="M16" s="108">
        <v>0</v>
      </c>
      <c r="N16" s="108">
        <v>0</v>
      </c>
      <c r="O16" s="108">
        <v>0</v>
      </c>
      <c r="P16" s="108">
        <v>0</v>
      </c>
      <c r="Q16" s="108"/>
      <c r="R16" s="108">
        <v>473.31158432219161</v>
      </c>
      <c r="S16" s="108">
        <v>714.4065286027286</v>
      </c>
      <c r="T16" s="108">
        <v>473.31158432219161</v>
      </c>
      <c r="U16" s="108"/>
      <c r="V16" s="108">
        <v>0</v>
      </c>
      <c r="W16" s="108">
        <v>0</v>
      </c>
      <c r="X16" s="108"/>
      <c r="Y16" s="108">
        <v>605.19735342700892</v>
      </c>
      <c r="Z16" s="108"/>
      <c r="AA16" s="108">
        <v>0</v>
      </c>
      <c r="AB16" s="108">
        <v>0</v>
      </c>
      <c r="AC16" s="108">
        <v>0</v>
      </c>
      <c r="AD16" s="108"/>
      <c r="AE16" s="108">
        <v>473.31158432219161</v>
      </c>
      <c r="AF16" s="108">
        <v>0</v>
      </c>
      <c r="AG16" s="108">
        <v>0</v>
      </c>
      <c r="AH16" s="108">
        <v>0</v>
      </c>
      <c r="AI16" s="108">
        <v>0</v>
      </c>
      <c r="AJ16" s="108">
        <v>714.4065286027286</v>
      </c>
      <c r="AK16" s="108">
        <v>0</v>
      </c>
      <c r="AL16" s="108">
        <v>714.4065286027286</v>
      </c>
      <c r="AM16" s="108"/>
      <c r="AN16" s="108">
        <v>0</v>
      </c>
      <c r="AO16" s="108">
        <v>473.31158432219161</v>
      </c>
      <c r="AP16" s="108">
        <v>714.4065286027286</v>
      </c>
      <c r="AQ16" s="108">
        <v>0</v>
      </c>
      <c r="AR16" s="108">
        <v>714.4065286027286</v>
      </c>
      <c r="AS16" s="108">
        <v>473.31158432219161</v>
      </c>
      <c r="AT16" s="108">
        <v>0</v>
      </c>
      <c r="AU16" s="108"/>
      <c r="AV16" s="108">
        <v>714.4065286027286</v>
      </c>
      <c r="AW16" s="108">
        <v>0</v>
      </c>
      <c r="AX16" s="108">
        <v>0</v>
      </c>
      <c r="AY16" s="108">
        <v>473.31158432219161</v>
      </c>
      <c r="AZ16">
        <v>0</v>
      </c>
      <c r="BA16">
        <v>0</v>
      </c>
    </row>
    <row r="17" spans="1:54">
      <c r="A17" s="108"/>
      <c r="B17" s="116">
        <v>3</v>
      </c>
      <c r="C17" s="107" t="s">
        <v>294</v>
      </c>
      <c r="D17" s="104">
        <v>0</v>
      </c>
      <c r="E17" s="108"/>
      <c r="F17" s="108">
        <v>0</v>
      </c>
      <c r="G17" s="108"/>
      <c r="H17" s="108"/>
      <c r="I17" s="108"/>
      <c r="J17" s="108"/>
      <c r="K17" s="108"/>
      <c r="L17" s="108"/>
      <c r="M17" s="108">
        <v>0</v>
      </c>
      <c r="N17" s="108"/>
      <c r="O17" s="108"/>
      <c r="P17" s="108"/>
      <c r="Q17" s="108"/>
      <c r="R17" s="108">
        <v>0</v>
      </c>
      <c r="S17" s="108"/>
      <c r="T17" s="108"/>
      <c r="U17" s="108"/>
      <c r="V17" s="108">
        <v>714.4065286027286</v>
      </c>
      <c r="W17" s="108"/>
      <c r="X17" s="108"/>
      <c r="Y17" s="108">
        <v>0</v>
      </c>
      <c r="Z17" s="108"/>
      <c r="AA17" s="108">
        <v>846.29229770754591</v>
      </c>
      <c r="AB17" s="108"/>
      <c r="AC17" s="108"/>
      <c r="AD17" s="108">
        <v>473.31158432219161</v>
      </c>
      <c r="AE17" s="108">
        <v>0</v>
      </c>
      <c r="AF17" s="108"/>
      <c r="AG17" s="108">
        <v>714.4065286027286</v>
      </c>
      <c r="AH17" s="108"/>
      <c r="AI17" s="108"/>
      <c r="AJ17" s="108"/>
      <c r="AK17" s="108"/>
      <c r="AL17" s="108"/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/>
      <c r="AV17" s="108"/>
      <c r="AW17" s="108"/>
      <c r="AX17" s="108"/>
      <c r="AY17" s="108"/>
      <c r="BB17">
        <v>473.31158432219161</v>
      </c>
    </row>
    <row r="18" spans="1:54">
      <c r="A18" s="122"/>
      <c r="B18" s="113">
        <v>4</v>
      </c>
      <c r="C18" s="122" t="s">
        <v>294</v>
      </c>
      <c r="D18" s="122"/>
      <c r="E18" s="122"/>
      <c r="F18" s="122"/>
      <c r="G18" s="122"/>
      <c r="H18" s="122">
        <v>0</v>
      </c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>
        <v>0</v>
      </c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>
        <v>0</v>
      </c>
      <c r="AP18" s="122"/>
      <c r="AQ18" s="122"/>
      <c r="AR18" s="122"/>
      <c r="AS18" s="122"/>
      <c r="AT18" s="122"/>
      <c r="AU18" s="122"/>
      <c r="AV18" s="122"/>
      <c r="AW18" s="122">
        <v>0</v>
      </c>
      <c r="AX18" s="122"/>
      <c r="AY18" s="122"/>
    </row>
    <row r="20" spans="1:54">
      <c r="A20" s="1" t="s">
        <v>295</v>
      </c>
    </row>
    <row r="21" spans="1:54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1067.6300853919611</v>
      </c>
      <c r="D95" s="108">
        <v>1046.2588742939613</v>
      </c>
      <c r="E95" s="108">
        <v>1046.2588742939613</v>
      </c>
      <c r="F95" s="108">
        <v>1046.2588742939613</v>
      </c>
      <c r="G95" s="108">
        <v>1046.2588742939613</v>
      </c>
      <c r="H95" s="108">
        <v>1046.2588742939613</v>
      </c>
      <c r="I95" s="108">
        <v>1046.2588742939613</v>
      </c>
      <c r="J95" s="108">
        <v>1046.2588742939613</v>
      </c>
      <c r="K95" s="108">
        <v>1046.2588742939613</v>
      </c>
      <c r="L95" s="108">
        <v>1046.2588742939613</v>
      </c>
      <c r="M95" s="108">
        <v>1046.2588742939613</v>
      </c>
      <c r="N95" s="108">
        <v>1046.2588742939613</v>
      </c>
      <c r="O95" s="108">
        <v>1046.2588742939613</v>
      </c>
      <c r="P95" s="108">
        <v>1046.2588742939613</v>
      </c>
      <c r="Q95" s="108">
        <v>1046.2588742939613</v>
      </c>
      <c r="R95" s="108">
        <v>1046.2588742939613</v>
      </c>
      <c r="S95" s="108">
        <v>1046.2588742939613</v>
      </c>
      <c r="T95" s="108">
        <v>1239.4075239694905</v>
      </c>
      <c r="U95" s="108">
        <v>1239.4075239694905</v>
      </c>
      <c r="V95" s="108">
        <v>1239.4075239694905</v>
      </c>
      <c r="W95" s="108">
        <v>1239.4075239694905</v>
      </c>
      <c r="X95" s="108">
        <v>1046.2588742939613</v>
      </c>
      <c r="Y95" s="108">
        <v>1046.2588742939613</v>
      </c>
      <c r="Z95" s="108">
        <v>1046.2588742939613</v>
      </c>
      <c r="AA95" s="108">
        <v>1046.2588742939613</v>
      </c>
      <c r="AB95" s="108">
        <v>1046.2588742939613</v>
      </c>
      <c r="AC95" s="108">
        <v>1046.2588742939613</v>
      </c>
      <c r="AD95" s="108">
        <v>1046.2588742939613</v>
      </c>
      <c r="AE95" s="108">
        <v>1046.2588742939613</v>
      </c>
      <c r="AF95" s="108">
        <v>1046.2588742939613</v>
      </c>
      <c r="AG95" s="108">
        <v>1046.2588742939613</v>
      </c>
      <c r="AH95" s="108">
        <v>1046.2588742939613</v>
      </c>
      <c r="AI95" s="108">
        <v>1046.2588742939613</v>
      </c>
      <c r="AJ95" s="108">
        <v>1046.2588742939613</v>
      </c>
      <c r="AK95" s="108">
        <v>1046.2588742939613</v>
      </c>
      <c r="AL95" s="108">
        <v>1046.2588742939613</v>
      </c>
      <c r="AM95" s="108">
        <v>1046.2588742939613</v>
      </c>
      <c r="AN95" s="108">
        <v>1046.2588742939613</v>
      </c>
      <c r="AO95" s="108">
        <v>1046.2588742939613</v>
      </c>
      <c r="AP95" s="108">
        <v>1046.2588742939613</v>
      </c>
      <c r="AQ95" s="108">
        <v>1046.2588742939613</v>
      </c>
      <c r="AR95" s="108">
        <v>1046.2588742939613</v>
      </c>
      <c r="AS95" s="108">
        <v>1046.2588742939613</v>
      </c>
      <c r="AT95" s="108">
        <v>1046.2588742939613</v>
      </c>
      <c r="AU95" s="108">
        <v>1046.2588742939613</v>
      </c>
      <c r="AV95" s="108">
        <v>1046.2588742939613</v>
      </c>
      <c r="AW95" s="108">
        <v>1046.2588742939613</v>
      </c>
      <c r="AX95" s="108">
        <v>1046.2588742939613</v>
      </c>
      <c r="AY95" s="108">
        <v>1046.2588742939613</v>
      </c>
    </row>
    <row r="96" spans="1:52">
      <c r="A96" s="107"/>
      <c r="B96" s="117">
        <v>2</v>
      </c>
      <c r="C96" s="108">
        <v>322.6140134221705</v>
      </c>
      <c r="D96" s="108">
        <v>468.24409881413158</v>
      </c>
      <c r="E96" s="108">
        <v>512.50297310809287</v>
      </c>
      <c r="F96" s="108">
        <v>398.76184740205417</v>
      </c>
      <c r="G96" s="108">
        <v>356.02072169601547</v>
      </c>
      <c r="H96" s="108">
        <v>291.27959598997677</v>
      </c>
      <c r="I96" s="108">
        <v>235.53847028393807</v>
      </c>
      <c r="J96" s="108">
        <v>292.79734457789937</v>
      </c>
      <c r="K96" s="108">
        <v>429.05621887186066</v>
      </c>
      <c r="L96" s="108">
        <v>387.31509316582196</v>
      </c>
      <c r="M96" s="108">
        <v>520.57396745978326</v>
      </c>
      <c r="N96" s="108">
        <v>419.83284175374456</v>
      </c>
      <c r="O96" s="108">
        <v>351.09171604770586</v>
      </c>
      <c r="P96" s="108">
        <v>443.35059034166716</v>
      </c>
      <c r="Q96" s="108">
        <v>351.60946463562846</v>
      </c>
      <c r="R96" s="108">
        <v>290.86833892958975</v>
      </c>
      <c r="S96" s="108">
        <v>306.12721322355105</v>
      </c>
      <c r="T96" s="108">
        <v>205.38608751751235</v>
      </c>
      <c r="U96" s="108">
        <v>354.79361148700286</v>
      </c>
      <c r="V96" s="108">
        <v>506.20113545649338</v>
      </c>
      <c r="W96" s="108">
        <v>881.60865942598389</v>
      </c>
      <c r="X96" s="108">
        <v>1207.0161833954744</v>
      </c>
      <c r="Y96" s="108">
        <v>1046.2588742939613</v>
      </c>
      <c r="Z96" s="108">
        <v>840.533931983397</v>
      </c>
      <c r="AA96" s="108">
        <v>956.7928062773583</v>
      </c>
      <c r="AB96" s="108">
        <v>1039.0516805713196</v>
      </c>
      <c r="AC96" s="108">
        <v>758.31055486528089</v>
      </c>
      <c r="AD96" s="108">
        <v>774.56942915924219</v>
      </c>
      <c r="AE96" s="108">
        <v>706.82830345320349</v>
      </c>
      <c r="AF96" s="108">
        <v>784.08717774716479</v>
      </c>
      <c r="AG96" s="108">
        <v>737.34605204112609</v>
      </c>
      <c r="AH96" s="108">
        <v>555.60492633508738</v>
      </c>
      <c r="AI96" s="108">
        <v>635.86380062904868</v>
      </c>
      <c r="AJ96" s="108">
        <v>516.12267492300998</v>
      </c>
      <c r="AK96" s="108">
        <v>410.38154921697128</v>
      </c>
      <c r="AL96" s="108">
        <v>283.64042351093258</v>
      </c>
      <c r="AM96" s="108">
        <v>210.89929780489388</v>
      </c>
      <c r="AN96" s="108">
        <v>308.15817209885518</v>
      </c>
      <c r="AO96" s="108">
        <v>0</v>
      </c>
      <c r="AP96" s="108">
        <v>0</v>
      </c>
      <c r="AQ96" s="108">
        <v>0</v>
      </c>
      <c r="AR96" s="108">
        <v>0</v>
      </c>
      <c r="AS96" s="108">
        <v>0</v>
      </c>
      <c r="AT96" s="108">
        <v>0</v>
      </c>
      <c r="AU96" s="108">
        <v>0</v>
      </c>
      <c r="AV96" s="108">
        <v>0</v>
      </c>
      <c r="AW96" s="108">
        <v>0</v>
      </c>
      <c r="AX96" s="108">
        <v>0</v>
      </c>
      <c r="AY96" s="108">
        <v>0</v>
      </c>
    </row>
    <row r="97" spans="1:52">
      <c r="A97" s="107"/>
      <c r="B97" s="124">
        <v>3</v>
      </c>
      <c r="C97" s="108">
        <v>0</v>
      </c>
      <c r="D97" s="108">
        <v>0</v>
      </c>
      <c r="E97" s="108">
        <v>0</v>
      </c>
      <c r="F97" s="108">
        <v>0</v>
      </c>
      <c r="G97" s="108">
        <v>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32.0161833954744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0</v>
      </c>
      <c r="AK97" s="108">
        <v>0</v>
      </c>
      <c r="AL97" s="108">
        <v>0</v>
      </c>
      <c r="AM97" s="108">
        <v>0</v>
      </c>
      <c r="AN97" s="108">
        <v>0</v>
      </c>
      <c r="AO97" s="108">
        <v>0</v>
      </c>
      <c r="AP97" s="108">
        <v>0</v>
      </c>
      <c r="AQ97" s="108">
        <v>0</v>
      </c>
      <c r="AR97" s="108">
        <v>0</v>
      </c>
      <c r="AS97" s="108">
        <v>0</v>
      </c>
      <c r="AT97" s="108">
        <v>0</v>
      </c>
      <c r="AU97" s="108">
        <v>0</v>
      </c>
      <c r="AV97" s="108">
        <v>0</v>
      </c>
      <c r="AW97" s="108">
        <v>0</v>
      </c>
      <c r="AX97" s="108">
        <v>0</v>
      </c>
      <c r="AY97" s="108">
        <v>0</v>
      </c>
    </row>
    <row r="98" spans="1:52">
      <c r="A98" s="107"/>
      <c r="B98" s="127">
        <v>4</v>
      </c>
      <c r="C98" s="104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5"/>
      <c r="B99" s="129" t="s">
        <v>297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0</v>
      </c>
    </row>
    <row r="100" spans="1:52">
      <c r="A100" s="128" t="s">
        <v>133</v>
      </c>
      <c r="B100" s="116">
        <v>1</v>
      </c>
      <c r="C100" s="104">
        <v>596.72912294345133</v>
      </c>
      <c r="D100" s="104">
        <v>0</v>
      </c>
      <c r="E100" s="104">
        <v>208.90505571946304</v>
      </c>
      <c r="F100" s="104">
        <v>0</v>
      </c>
      <c r="G100" s="104">
        <v>619.02225328475754</v>
      </c>
      <c r="H100" s="104">
        <v>0</v>
      </c>
      <c r="I100" s="104">
        <v>619.02225328475754</v>
      </c>
      <c r="J100" s="104">
        <v>0</v>
      </c>
      <c r="K100" s="104">
        <v>1238.0445065695151</v>
      </c>
      <c r="L100" s="104">
        <v>619.02225328475754</v>
      </c>
      <c r="M100" s="104">
        <v>619.02225328475754</v>
      </c>
      <c r="N100" s="104">
        <v>619.02225328475754</v>
      </c>
      <c r="O100" s="104">
        <v>619.02225328475754</v>
      </c>
      <c r="P100" s="104">
        <v>619.02225328475754</v>
      </c>
      <c r="Q100" s="104">
        <v>208.90505571946304</v>
      </c>
      <c r="R100" s="104">
        <v>0</v>
      </c>
      <c r="S100" s="104">
        <v>208.90505571946304</v>
      </c>
      <c r="T100" s="104">
        <v>0</v>
      </c>
      <c r="U100" s="104">
        <v>0</v>
      </c>
      <c r="V100" s="104">
        <v>1352.3214941092751</v>
      </c>
      <c r="W100" s="104">
        <v>733.29924082451771</v>
      </c>
      <c r="X100" s="104">
        <v>208.90505571946304</v>
      </c>
      <c r="Y100" s="104">
        <v>0</v>
      </c>
      <c r="Z100" s="104">
        <v>619.02225328475754</v>
      </c>
      <c r="AA100" s="104">
        <v>619.02225328475754</v>
      </c>
      <c r="AB100" s="104">
        <v>208.90505571946304</v>
      </c>
      <c r="AC100" s="104">
        <v>619.02225328475754</v>
      </c>
      <c r="AD100" s="104">
        <v>208.90505571946304</v>
      </c>
      <c r="AE100" s="104">
        <v>0</v>
      </c>
      <c r="AF100" s="104">
        <v>619.02225328475754</v>
      </c>
      <c r="AG100" s="104">
        <v>619.02225328475754</v>
      </c>
      <c r="AH100" s="104">
        <v>619.02225328475754</v>
      </c>
      <c r="AI100" s="104">
        <v>0</v>
      </c>
      <c r="AJ100" s="104">
        <v>619.02225328475754</v>
      </c>
      <c r="AK100" s="104">
        <v>0</v>
      </c>
      <c r="AL100" s="104">
        <v>619.02225328475754</v>
      </c>
      <c r="AM100" s="104">
        <v>619.02225328475754</v>
      </c>
      <c r="AN100" s="104">
        <v>208.90505571946304</v>
      </c>
      <c r="AO100" s="104">
        <v>0</v>
      </c>
      <c r="AP100" s="104">
        <v>619.02225328475754</v>
      </c>
      <c r="AQ100" s="104">
        <v>0</v>
      </c>
      <c r="AR100" s="104">
        <v>208.90505571946304</v>
      </c>
      <c r="AS100" s="104">
        <v>619.02225328475754</v>
      </c>
      <c r="AT100" s="104">
        <v>619.02225328475754</v>
      </c>
      <c r="AU100" s="104">
        <v>0</v>
      </c>
      <c r="AV100" s="104">
        <v>619.02225328475754</v>
      </c>
      <c r="AW100" s="104">
        <v>619.02225328475754</v>
      </c>
      <c r="AX100" s="104">
        <v>208.90505571946304</v>
      </c>
      <c r="AY100" s="104">
        <v>619.02225328475754</v>
      </c>
    </row>
    <row r="101" spans="1:52">
      <c r="A101" s="107"/>
      <c r="B101" s="116">
        <v>2</v>
      </c>
      <c r="C101" s="104">
        <v>195.64561471725665</v>
      </c>
      <c r="D101" s="104">
        <v>237.37473766070798</v>
      </c>
      <c r="E101" s="104">
        <v>596.72912294345133</v>
      </c>
      <c r="F101" s="104">
        <v>707.03254688622224</v>
      </c>
      <c r="G101" s="104">
        <v>619.02225328475754</v>
      </c>
      <c r="H101" s="104">
        <v>619.02225328475754</v>
      </c>
      <c r="I101" s="104">
        <v>619.02225328475754</v>
      </c>
      <c r="J101" s="104">
        <v>619.02225328475754</v>
      </c>
      <c r="K101" s="104">
        <v>0</v>
      </c>
      <c r="L101" s="104">
        <v>549.04450656951508</v>
      </c>
      <c r="M101" s="104">
        <v>416.06675985427262</v>
      </c>
      <c r="N101" s="104">
        <v>451.08901313903016</v>
      </c>
      <c r="O101" s="104">
        <v>526.1112664237877</v>
      </c>
      <c r="P101" s="104">
        <v>457.13351970854524</v>
      </c>
      <c r="Q101" s="104">
        <v>499.15577299330278</v>
      </c>
      <c r="R101" s="104">
        <v>419.17802627806032</v>
      </c>
      <c r="S101" s="104">
        <v>619.02225328475754</v>
      </c>
      <c r="T101" s="104">
        <v>619.02225328475754</v>
      </c>
      <c r="U101" s="104">
        <v>0</v>
      </c>
      <c r="V101" s="104">
        <v>0</v>
      </c>
      <c r="W101" s="104">
        <v>1325.3437473940326</v>
      </c>
      <c r="X101" s="104">
        <v>733.29924082451771</v>
      </c>
      <c r="Y101" s="104">
        <v>733.29924082451771</v>
      </c>
      <c r="Z101" s="104">
        <v>0</v>
      </c>
      <c r="AA101" s="104">
        <v>619.02225328475754</v>
      </c>
      <c r="AB101" s="104">
        <v>619.02225328475754</v>
      </c>
      <c r="AC101" s="104">
        <v>208.90505571946304</v>
      </c>
      <c r="AD101" s="104">
        <v>619.02225328475754</v>
      </c>
      <c r="AE101" s="104">
        <v>619.02225328475754</v>
      </c>
      <c r="AF101" s="104">
        <v>0</v>
      </c>
      <c r="AG101" s="104">
        <v>619.02225328475754</v>
      </c>
      <c r="AH101" s="104">
        <v>619.02225328475754</v>
      </c>
      <c r="AI101" s="104">
        <v>619.02225328475754</v>
      </c>
      <c r="AJ101" s="104">
        <v>619.02225328475754</v>
      </c>
      <c r="AK101" s="104">
        <v>619.02225328475754</v>
      </c>
      <c r="AL101" s="104">
        <v>619.02225328475754</v>
      </c>
      <c r="AM101" s="104">
        <v>619.02225328475754</v>
      </c>
      <c r="AN101" s="104">
        <v>619.02225328475754</v>
      </c>
      <c r="AO101" s="104">
        <v>619.02225328475754</v>
      </c>
      <c r="AP101" s="104">
        <v>619.02225328475754</v>
      </c>
      <c r="AQ101" s="104">
        <v>619.02225328475754</v>
      </c>
      <c r="AR101" s="104">
        <v>619.02225328475754</v>
      </c>
      <c r="AS101" s="104">
        <v>619.02225328475754</v>
      </c>
      <c r="AT101" s="104">
        <v>619.02225328475754</v>
      </c>
      <c r="AU101" s="104">
        <v>619.02225328475754</v>
      </c>
      <c r="AV101" s="104">
        <v>619.02225328475754</v>
      </c>
      <c r="AW101" s="104">
        <v>534.04450656951508</v>
      </c>
      <c r="AX101" s="104">
        <v>355.06675985427262</v>
      </c>
      <c r="AY101" s="104">
        <v>410.11719756529453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85.032546886222235</v>
      </c>
      <c r="H102" s="104">
        <v>139.05480017097977</v>
      </c>
      <c r="I102" s="104">
        <v>35.077053455737314</v>
      </c>
      <c r="J102" s="104">
        <v>80.099306740494853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20.022253284757539</v>
      </c>
      <c r="U102" s="104">
        <v>66.044506569515079</v>
      </c>
      <c r="V102" s="104">
        <v>619.02225328475754</v>
      </c>
      <c r="W102" s="104">
        <v>0</v>
      </c>
      <c r="X102" s="104">
        <v>563.34374739403256</v>
      </c>
      <c r="Y102" s="104">
        <v>575.64298821855027</v>
      </c>
      <c r="Z102" s="104">
        <v>638.94222904306798</v>
      </c>
      <c r="AA102" s="104">
        <v>733.29924082451771</v>
      </c>
      <c r="AB102" s="104">
        <v>619.02225328475754</v>
      </c>
      <c r="AC102" s="104">
        <v>619.02225328475754</v>
      </c>
      <c r="AD102" s="104">
        <v>619.02225328475754</v>
      </c>
      <c r="AE102" s="104">
        <v>619.02225328475754</v>
      </c>
      <c r="AF102" s="104">
        <v>619.02225328475754</v>
      </c>
      <c r="AG102" s="104">
        <v>619.02225328475754</v>
      </c>
      <c r="AH102" s="104">
        <v>619.02225328475754</v>
      </c>
      <c r="AI102" s="104">
        <v>619.02225328475754</v>
      </c>
      <c r="AJ102" s="104">
        <v>598.44174943040355</v>
      </c>
      <c r="AK102" s="104">
        <v>435.46400271516109</v>
      </c>
      <c r="AL102" s="104">
        <v>438.48625599991863</v>
      </c>
      <c r="AM102" s="104">
        <v>346.50850928467617</v>
      </c>
      <c r="AN102" s="104">
        <v>298.5307625694337</v>
      </c>
      <c r="AO102" s="104">
        <v>184.55301585419124</v>
      </c>
      <c r="AP102" s="104">
        <v>118.57526913894878</v>
      </c>
      <c r="AQ102" s="104">
        <v>54.597522423706323</v>
      </c>
      <c r="AR102" s="104">
        <v>0</v>
      </c>
      <c r="AS102" s="104">
        <v>90.022253284757539</v>
      </c>
      <c r="AT102" s="104">
        <v>113.04450656951508</v>
      </c>
      <c r="AU102" s="104">
        <v>15.066759854272618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22.942229043067982</v>
      </c>
      <c r="AB103" s="104">
        <v>147.24146986758569</v>
      </c>
      <c r="AC103" s="104">
        <v>171.26372315234323</v>
      </c>
      <c r="AD103" s="104">
        <v>233.28597643710077</v>
      </c>
      <c r="AE103" s="104">
        <v>282.30822972185831</v>
      </c>
      <c r="AF103" s="104">
        <v>161.33048300661585</v>
      </c>
      <c r="AG103" s="104">
        <v>113.35273629137339</v>
      </c>
      <c r="AH103" s="104">
        <v>131.37498957613093</v>
      </c>
      <c r="AI103" s="104">
        <v>14.397242860888468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337.49583054907652</v>
      </c>
      <c r="D109" s="104">
        <v>337.49583054907652</v>
      </c>
      <c r="E109" s="104">
        <v>69.163853436212861</v>
      </c>
      <c r="F109" s="104">
        <v>458.75119686848831</v>
      </c>
      <c r="G109" s="104">
        <v>320.00327381595781</v>
      </c>
      <c r="H109" s="104">
        <v>682.41694807351666</v>
      </c>
      <c r="I109" s="104">
        <v>227.21768977932618</v>
      </c>
      <c r="J109" s="104">
        <v>682.41694807351666</v>
      </c>
      <c r="K109" s="104">
        <v>229.84249698385318</v>
      </c>
      <c r="L109" s="104">
        <v>682.41694807351655</v>
      </c>
      <c r="M109" s="104">
        <v>531.82358929532984</v>
      </c>
      <c r="N109" s="104">
        <v>452.30365696015599</v>
      </c>
      <c r="O109" s="104">
        <v>375.79040075486472</v>
      </c>
      <c r="P109" s="104">
        <v>375.79040075486472</v>
      </c>
      <c r="Q109" s="104">
        <v>375.79040075486472</v>
      </c>
      <c r="R109" s="104">
        <v>172.64290546183213</v>
      </c>
      <c r="S109" s="104">
        <v>272.31134872924542</v>
      </c>
      <c r="T109" s="104">
        <v>479.26945278048402</v>
      </c>
      <c r="U109" s="104">
        <v>304.45119151040467</v>
      </c>
      <c r="V109" s="104">
        <v>69.163853436212861</v>
      </c>
      <c r="W109" s="104">
        <v>1045.6494702845998</v>
      </c>
      <c r="X109" s="104">
        <v>733.93469370135097</v>
      </c>
      <c r="Y109" s="104">
        <v>343.48923234214402</v>
      </c>
      <c r="Z109" s="104">
        <v>328.91732362167676</v>
      </c>
      <c r="AA109" s="104">
        <v>375.79040075486472</v>
      </c>
      <c r="AB109" s="104">
        <v>739.02292296594794</v>
      </c>
      <c r="AC109" s="104">
        <v>324.50413725140891</v>
      </c>
      <c r="AD109" s="104">
        <v>375.79040075486472</v>
      </c>
      <c r="AE109" s="104">
        <v>375.79040075486472</v>
      </c>
      <c r="AF109" s="104">
        <v>272.31134872924542</v>
      </c>
      <c r="AG109" s="104">
        <v>375.79040075486472</v>
      </c>
      <c r="AH109" s="104">
        <v>682.41694807351666</v>
      </c>
      <c r="AI109" s="104">
        <v>519.37665674890889</v>
      </c>
      <c r="AJ109" s="104">
        <v>120.11666089918842</v>
      </c>
      <c r="AK109" s="104">
        <v>682.41694807351666</v>
      </c>
      <c r="AL109" s="104">
        <v>176.51205577232963</v>
      </c>
      <c r="AM109" s="104">
        <v>682.41694807351666</v>
      </c>
      <c r="AN109" s="104">
        <v>533.98727627349422</v>
      </c>
      <c r="AO109" s="104">
        <v>209.61675010119222</v>
      </c>
      <c r="AP109" s="104">
        <v>272.31134872924542</v>
      </c>
      <c r="AQ109" s="104">
        <v>682.41694807351666</v>
      </c>
      <c r="AR109" s="104">
        <v>167.45959711546516</v>
      </c>
      <c r="AS109" s="104">
        <v>479.26945278048402</v>
      </c>
      <c r="AT109" s="104">
        <v>604.36993583322953</v>
      </c>
      <c r="AU109" s="104">
        <v>461.95164176420514</v>
      </c>
      <c r="AV109" s="104">
        <v>72.316564840935854</v>
      </c>
      <c r="AW109" s="104">
        <v>682.41694807351666</v>
      </c>
      <c r="AX109" s="104">
        <v>465.09400006172444</v>
      </c>
      <c r="AY109" s="104">
        <v>172.64290546183216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236.41694807351666</v>
      </c>
      <c r="J110" s="104">
        <v>0</v>
      </c>
      <c r="K110" s="104">
        <v>287.84480415010313</v>
      </c>
      <c r="L110" s="104">
        <v>34.687301133956311</v>
      </c>
      <c r="M110" s="104">
        <v>179.10424920747289</v>
      </c>
      <c r="N110" s="104">
        <v>175.92783850280273</v>
      </c>
      <c r="O110" s="104">
        <v>83.231495462958719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29.269452780484016</v>
      </c>
      <c r="V110" s="104">
        <v>0</v>
      </c>
      <c r="W110" s="104">
        <v>0</v>
      </c>
      <c r="X110" s="104">
        <v>634.64947028459983</v>
      </c>
      <c r="Y110" s="104">
        <v>733.93469370135097</v>
      </c>
      <c r="Z110" s="104">
        <v>343.48923234214402</v>
      </c>
      <c r="AA110" s="104">
        <v>328.91732362167676</v>
      </c>
      <c r="AB110" s="104">
        <v>375.79040075486472</v>
      </c>
      <c r="AC110" s="104">
        <v>649.80404367058418</v>
      </c>
      <c r="AD110" s="104">
        <v>324.50413725140891</v>
      </c>
      <c r="AE110" s="104">
        <v>375.79040075486472</v>
      </c>
      <c r="AF110" s="104">
        <v>327.88898243172252</v>
      </c>
      <c r="AG110" s="104">
        <v>148.20033116096795</v>
      </c>
      <c r="AH110" s="104">
        <v>11.990731915832669</v>
      </c>
      <c r="AI110" s="104">
        <v>263.40767998934933</v>
      </c>
      <c r="AJ110" s="104">
        <v>294.78433673825822</v>
      </c>
      <c r="AK110" s="104">
        <v>2.8421709430404007E-14</v>
      </c>
      <c r="AL110" s="104">
        <v>167.41694807351666</v>
      </c>
      <c r="AM110" s="104">
        <v>0</v>
      </c>
      <c r="AN110" s="104">
        <v>178.41694807351666</v>
      </c>
      <c r="AO110" s="104">
        <v>236.40422434701088</v>
      </c>
      <c r="AP110" s="104">
        <v>0</v>
      </c>
      <c r="AQ110" s="104">
        <v>0</v>
      </c>
      <c r="AR110" s="104">
        <v>142.600292923962</v>
      </c>
      <c r="AS110" s="104">
        <v>0</v>
      </c>
      <c r="AT110" s="104">
        <v>3.2694527804840163</v>
      </c>
      <c r="AU110" s="104">
        <v>65.63938861371355</v>
      </c>
      <c r="AV110" s="104">
        <v>37.093162782380944</v>
      </c>
      <c r="AW110" s="104">
        <v>0</v>
      </c>
      <c r="AX110" s="104">
        <v>94.416948073516664</v>
      </c>
      <c r="AY110" s="104">
        <v>101.44954098074084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98.649470284599829</v>
      </c>
      <c r="Z111" s="104">
        <v>302.58416398595079</v>
      </c>
      <c r="AA111" s="104">
        <v>193.07339632809482</v>
      </c>
      <c r="AB111" s="104">
        <v>46.990719949771574</v>
      </c>
      <c r="AC111" s="104">
        <v>0</v>
      </c>
      <c r="AD111" s="104">
        <v>222.80404367058418</v>
      </c>
      <c r="AE111" s="104">
        <v>6.3081809219930847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895.7678890842202</v>
      </c>
      <c r="D122" s="104">
        <v>161.14426122016047</v>
      </c>
      <c r="E122" s="104">
        <v>402.23920550069744</v>
      </c>
      <c r="F122" s="104">
        <v>161.14426122016047</v>
      </c>
      <c r="G122" s="104">
        <v>875.5507898228891</v>
      </c>
      <c r="H122" s="104">
        <v>161.14426122016047</v>
      </c>
      <c r="I122" s="104">
        <v>875.5507898228891</v>
      </c>
      <c r="J122" s="104">
        <v>161.14426122016047</v>
      </c>
      <c r="K122" s="104">
        <v>1589.9573184256176</v>
      </c>
      <c r="L122" s="104">
        <v>875.5507898228891</v>
      </c>
      <c r="M122" s="104">
        <v>875.5507898228891</v>
      </c>
      <c r="N122" s="104">
        <v>875.5507898228891</v>
      </c>
      <c r="O122" s="104">
        <v>875.5507898228891</v>
      </c>
      <c r="P122" s="104">
        <v>875.5507898228891</v>
      </c>
      <c r="Q122" s="104">
        <v>402.23920550069744</v>
      </c>
      <c r="R122" s="104">
        <v>161.14426122016047</v>
      </c>
      <c r="S122" s="104">
        <v>402.23920550069744</v>
      </c>
      <c r="T122" s="104">
        <v>161.14426122016047</v>
      </c>
      <c r="U122" s="104">
        <v>161.14426122016047</v>
      </c>
      <c r="V122" s="104">
        <v>1721.8430875304352</v>
      </c>
      <c r="W122" s="104">
        <v>1007.4365589277064</v>
      </c>
      <c r="X122" s="104">
        <v>402.23920550069738</v>
      </c>
      <c r="Y122" s="104">
        <v>161.14426122016047</v>
      </c>
      <c r="Z122" s="104">
        <v>875.5507898228891</v>
      </c>
      <c r="AA122" s="104">
        <v>875.5507898228891</v>
      </c>
      <c r="AB122" s="104">
        <v>402.23920550069744</v>
      </c>
      <c r="AC122" s="104">
        <v>875.5507898228891</v>
      </c>
      <c r="AD122" s="104">
        <v>402.23920550069744</v>
      </c>
      <c r="AE122" s="104">
        <v>161.14426122016047</v>
      </c>
      <c r="AF122" s="104">
        <v>875.5507898228891</v>
      </c>
      <c r="AG122" s="104">
        <v>875.5507898228891</v>
      </c>
      <c r="AH122" s="104">
        <v>875.5507898228891</v>
      </c>
      <c r="AI122" s="104">
        <v>161.14426122016047</v>
      </c>
      <c r="AJ122" s="104">
        <v>875.5507898228891</v>
      </c>
      <c r="AK122" s="104">
        <v>161.14426122016047</v>
      </c>
      <c r="AL122" s="104">
        <v>875.5507898228891</v>
      </c>
      <c r="AM122" s="104">
        <v>875.5507898228891</v>
      </c>
      <c r="AN122" s="104">
        <v>402.23920550069744</v>
      </c>
      <c r="AO122" s="104">
        <v>161.14426122016047</v>
      </c>
      <c r="AP122" s="104">
        <v>875.5507898228891</v>
      </c>
      <c r="AQ122" s="104">
        <v>161.14426122016047</v>
      </c>
      <c r="AR122" s="104">
        <v>402.23920550069744</v>
      </c>
      <c r="AS122" s="104">
        <v>875.5507898228891</v>
      </c>
      <c r="AT122" s="104">
        <v>875.5507898228891</v>
      </c>
      <c r="AU122" s="104">
        <v>161.14426122016047</v>
      </c>
      <c r="AV122" s="104">
        <v>875.5507898228891</v>
      </c>
      <c r="AW122" s="104">
        <v>875.5507898228891</v>
      </c>
      <c r="AX122" s="104">
        <v>402.23920550069744</v>
      </c>
      <c r="AY122" s="104">
        <v>875.5507898228891</v>
      </c>
    </row>
    <row r="123" spans="1:52">
      <c r="A123" s="107"/>
      <c r="B123" s="116">
        <v>2</v>
      </c>
      <c r="C123" s="104">
        <v>0</v>
      </c>
      <c r="D123" s="104">
        <v>0</v>
      </c>
      <c r="E123" s="104">
        <v>666.60122241755346</v>
      </c>
      <c r="F123" s="104">
        <v>584.42858623061375</v>
      </c>
      <c r="G123" s="104">
        <v>714.4065286027286</v>
      </c>
      <c r="H123" s="104">
        <v>368.24826011194779</v>
      </c>
      <c r="I123" s="104">
        <v>714.4065286027286</v>
      </c>
      <c r="J123" s="104">
        <v>374.36377561324861</v>
      </c>
      <c r="K123" s="104">
        <v>5.6843418860808015E-14</v>
      </c>
      <c r="L123" s="104">
        <v>363.54037035210104</v>
      </c>
      <c r="M123" s="104">
        <v>178.2675708796603</v>
      </c>
      <c r="N123" s="104">
        <v>5.6843418860808015E-14</v>
      </c>
      <c r="O123" s="104">
        <v>5.6843418860808015E-14</v>
      </c>
      <c r="P123" s="104">
        <v>5.6843418860808015E-14</v>
      </c>
      <c r="Q123" s="104">
        <v>5.6843418860808015E-14</v>
      </c>
      <c r="R123" s="104">
        <v>473.31158432219155</v>
      </c>
      <c r="S123" s="104">
        <v>714.4065286027286</v>
      </c>
      <c r="T123" s="104">
        <v>548.19392478459133</v>
      </c>
      <c r="U123" s="104">
        <v>0</v>
      </c>
      <c r="V123" s="104">
        <v>0</v>
      </c>
      <c r="W123" s="104">
        <v>702.55150744607067</v>
      </c>
      <c r="X123" s="104">
        <v>398.05337267242624</v>
      </c>
      <c r="Y123" s="104">
        <v>605.19735342700892</v>
      </c>
      <c r="Z123" s="104">
        <v>0</v>
      </c>
      <c r="AA123" s="104">
        <v>0</v>
      </c>
      <c r="AB123" s="104">
        <v>353.82016456448713</v>
      </c>
      <c r="AC123" s="104">
        <v>0</v>
      </c>
      <c r="AD123" s="104">
        <v>0</v>
      </c>
      <c r="AE123" s="104">
        <v>473.31158432219155</v>
      </c>
      <c r="AF123" s="104">
        <v>0</v>
      </c>
      <c r="AG123" s="104">
        <v>0</v>
      </c>
      <c r="AH123" s="104">
        <v>334.54037035210109</v>
      </c>
      <c r="AI123" s="104">
        <v>118.71450342608131</v>
      </c>
      <c r="AJ123" s="104">
        <v>714.4065286027286</v>
      </c>
      <c r="AK123" s="104">
        <v>250.10964397348999</v>
      </c>
      <c r="AL123" s="104">
        <v>714.4065286027286</v>
      </c>
      <c r="AM123" s="104">
        <v>368.58152584424766</v>
      </c>
      <c r="AN123" s="104">
        <v>86.145039393642492</v>
      </c>
      <c r="AO123" s="104">
        <v>473.31158432219155</v>
      </c>
      <c r="AP123" s="104">
        <v>714.4065286027286</v>
      </c>
      <c r="AQ123" s="104">
        <v>229.01839919731771</v>
      </c>
      <c r="AR123" s="104">
        <v>714.4065286027286</v>
      </c>
      <c r="AS123" s="104">
        <v>532.56547286252157</v>
      </c>
      <c r="AT123" s="104">
        <v>200.7463268521812</v>
      </c>
      <c r="AU123" s="104">
        <v>7.3454749108652209</v>
      </c>
      <c r="AV123" s="104">
        <v>714.4065286027286</v>
      </c>
      <c r="AW123" s="104">
        <v>208.06768014852133</v>
      </c>
      <c r="AX123" s="104">
        <v>1.1368683772161603E-13</v>
      </c>
      <c r="AY123" s="104">
        <v>473.31158432219155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714.4065286027286</v>
      </c>
      <c r="W124" s="104">
        <v>0</v>
      </c>
      <c r="X124" s="104">
        <v>0</v>
      </c>
      <c r="Y124" s="104">
        <v>0</v>
      </c>
      <c r="Z124" s="104">
        <v>0</v>
      </c>
      <c r="AA124" s="104">
        <v>846.29229770754591</v>
      </c>
      <c r="AB124" s="104">
        <v>0</v>
      </c>
      <c r="AC124" s="104">
        <v>0</v>
      </c>
      <c r="AD124" s="104">
        <v>473.31158432219161</v>
      </c>
      <c r="AE124" s="104">
        <v>0</v>
      </c>
      <c r="AF124" s="104">
        <v>0</v>
      </c>
      <c r="AG124" s="104">
        <v>714.4065286027286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0.37676705613338313</v>
      </c>
      <c r="D172" s="131">
        <v>0.42920457056623929</v>
      </c>
      <c r="E172" s="131">
        <v>0.42920457056623929</v>
      </c>
      <c r="F172" s="131">
        <v>0.42920457056623929</v>
      </c>
      <c r="G172" s="131">
        <v>0.42920457056623929</v>
      </c>
      <c r="H172" s="131">
        <v>0.42920457056623929</v>
      </c>
      <c r="I172" s="131">
        <v>0.42920457056623929</v>
      </c>
      <c r="J172" s="131">
        <v>0.42920457056623929</v>
      </c>
      <c r="K172" s="131">
        <v>0.42920457056623929</v>
      </c>
      <c r="L172" s="131">
        <v>0.42920457056623929</v>
      </c>
      <c r="M172" s="131">
        <v>0.42920457056623929</v>
      </c>
      <c r="N172" s="131">
        <v>0.42920457056623929</v>
      </c>
      <c r="O172" s="131">
        <v>0.42920457056623929</v>
      </c>
      <c r="P172" s="131">
        <v>0.42920457056623929</v>
      </c>
      <c r="Q172" s="131">
        <v>0.42920457056623929</v>
      </c>
      <c r="R172" s="131">
        <v>0.42920457056623929</v>
      </c>
      <c r="S172" s="131">
        <v>0.42920457056623929</v>
      </c>
      <c r="T172" s="131">
        <v>0.42920457056623929</v>
      </c>
      <c r="U172" s="131">
        <v>0.42920457056623929</v>
      </c>
      <c r="V172" s="131">
        <v>0.42920457056623929</v>
      </c>
      <c r="W172" s="131">
        <v>0.42920457056623929</v>
      </c>
      <c r="X172" s="131">
        <v>0.42920457056623929</v>
      </c>
      <c r="Y172" s="131">
        <v>0.42920457056623929</v>
      </c>
      <c r="Z172" s="131">
        <v>0.42920457056623929</v>
      </c>
      <c r="AA172" s="131">
        <v>0.42920457056623929</v>
      </c>
      <c r="AB172" s="131">
        <v>0.42920457056623929</v>
      </c>
      <c r="AC172" s="131">
        <v>0.42920457056623929</v>
      </c>
      <c r="AD172" s="131">
        <v>0.42920457056623929</v>
      </c>
      <c r="AE172" s="131">
        <v>0.42920457056623929</v>
      </c>
      <c r="AF172" s="131">
        <v>0.42920457056623929</v>
      </c>
      <c r="AG172" s="131">
        <v>0.42920457056623929</v>
      </c>
      <c r="AH172" s="131">
        <v>0.42920457056623929</v>
      </c>
      <c r="AI172" s="131">
        <v>0.42920457056623929</v>
      </c>
      <c r="AJ172" s="131">
        <v>0.42920457056623929</v>
      </c>
      <c r="AK172" s="131">
        <v>0.42920457056623929</v>
      </c>
      <c r="AL172" s="131">
        <v>0.42920457056623929</v>
      </c>
      <c r="AM172" s="131">
        <v>0.42920457056623929</v>
      </c>
      <c r="AN172" s="131">
        <v>0.42920457056623929</v>
      </c>
      <c r="AO172" s="131">
        <v>0.42920457056623929</v>
      </c>
      <c r="AP172" s="131">
        <v>0.42920457056623929</v>
      </c>
      <c r="AQ172" s="131">
        <v>0.42920457056623929</v>
      </c>
      <c r="AR172" s="131">
        <v>0.42920457056623929</v>
      </c>
      <c r="AS172" s="131">
        <v>0.42920457056623929</v>
      </c>
      <c r="AT172" s="131">
        <v>0.42920457056623929</v>
      </c>
      <c r="AU172" s="131">
        <v>0.42920457056623929</v>
      </c>
      <c r="AV172" s="131">
        <v>0.42920457056623929</v>
      </c>
      <c r="AW172" s="131">
        <v>0.42920457056623929</v>
      </c>
      <c r="AX172" s="131">
        <v>0.42920457056623929</v>
      </c>
      <c r="AY172" s="131">
        <v>0.42920457056623929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1514.5029731080929</v>
      </c>
      <c r="E175" s="121">
        <f t="shared" si="1"/>
        <v>1558.7618474020542</v>
      </c>
      <c r="F175" s="121">
        <f t="shared" si="1"/>
        <v>1445.0207216960155</v>
      </c>
      <c r="G175" s="121">
        <f t="shared" si="1"/>
        <v>1402.2795959899768</v>
      </c>
      <c r="H175" s="121">
        <f t="shared" si="1"/>
        <v>1337.5384702839381</v>
      </c>
      <c r="I175" s="121">
        <f t="shared" si="1"/>
        <v>1281.7973445778994</v>
      </c>
      <c r="J175" s="121">
        <f t="shared" si="1"/>
        <v>1339.0562188718607</v>
      </c>
      <c r="K175" s="121">
        <f t="shared" si="1"/>
        <v>1475.315093165822</v>
      </c>
      <c r="L175" s="121">
        <f t="shared" si="1"/>
        <v>1433.5739674597833</v>
      </c>
      <c r="M175" s="121">
        <f t="shared" si="1"/>
        <v>1566.8328417537446</v>
      </c>
      <c r="N175" s="121">
        <f t="shared" si="1"/>
        <v>1466.0917160477059</v>
      </c>
      <c r="O175" s="121">
        <f t="shared" si="1"/>
        <v>1397.3505903416672</v>
      </c>
      <c r="P175" s="121">
        <f t="shared" si="1"/>
        <v>1489.6094646356285</v>
      </c>
      <c r="Q175" s="121">
        <f t="shared" si="1"/>
        <v>1397.8683389295898</v>
      </c>
      <c r="R175" s="121">
        <f t="shared" si="1"/>
        <v>1337.1272132235511</v>
      </c>
      <c r="S175" s="121">
        <f t="shared" si="1"/>
        <v>1352.3860875175124</v>
      </c>
      <c r="T175" s="121">
        <f t="shared" si="1"/>
        <v>1444.7936114870029</v>
      </c>
      <c r="U175" s="121">
        <f t="shared" si="1"/>
        <v>1594.2011354564934</v>
      </c>
      <c r="V175" s="121">
        <f t="shared" si="1"/>
        <v>1745.6086594259839</v>
      </c>
      <c r="W175" s="121">
        <f t="shared" si="1"/>
        <v>2121.0161833954744</v>
      </c>
      <c r="X175" s="121">
        <f t="shared" si="1"/>
        <v>2253.2750576894359</v>
      </c>
      <c r="Y175" s="121">
        <f t="shared" si="1"/>
        <v>2124.533931983397</v>
      </c>
      <c r="Z175" s="121">
        <f t="shared" si="1"/>
        <v>1886.7928062773583</v>
      </c>
      <c r="AA175" s="121">
        <f t="shared" si="1"/>
        <v>2003.0516805713196</v>
      </c>
      <c r="AB175" s="121">
        <f t="shared" si="1"/>
        <v>2085.3105548652811</v>
      </c>
      <c r="AC175" s="121">
        <f t="shared" si="1"/>
        <v>1804.5694291592422</v>
      </c>
      <c r="AD175" s="121">
        <f t="shared" si="1"/>
        <v>1820.8283034532035</v>
      </c>
      <c r="AE175" s="121">
        <f t="shared" si="1"/>
        <v>1753.0871777471648</v>
      </c>
      <c r="AF175" s="121">
        <f t="shared" si="1"/>
        <v>1830.3460520411261</v>
      </c>
      <c r="AG175" s="121">
        <f t="shared" si="1"/>
        <v>1783.6049263350874</v>
      </c>
      <c r="AH175" s="121">
        <f t="shared" si="1"/>
        <v>1601.8638006290487</v>
      </c>
      <c r="AI175" s="121">
        <f t="shared" si="1"/>
        <v>1682.12267492301</v>
      </c>
      <c r="AJ175" s="121">
        <f t="shared" si="1"/>
        <v>1562.3815492169713</v>
      </c>
      <c r="AK175" s="121">
        <f t="shared" si="1"/>
        <v>1456.6404235109326</v>
      </c>
      <c r="AL175" s="121">
        <f t="shared" si="1"/>
        <v>1329.8992978048939</v>
      </c>
      <c r="AM175" s="121">
        <f t="shared" si="1"/>
        <v>1257.1581720988552</v>
      </c>
      <c r="AN175" s="121">
        <f t="shared" si="1"/>
        <v>1354.4170463928165</v>
      </c>
      <c r="AO175" s="121">
        <f t="shared" si="1"/>
        <v>1046.2588742939613</v>
      </c>
      <c r="AP175" s="121">
        <f t="shared" si="1"/>
        <v>1046.2588742939613</v>
      </c>
      <c r="AQ175" s="121">
        <f t="shared" si="1"/>
        <v>1046.2588742939613</v>
      </c>
      <c r="AR175" s="121">
        <f t="shared" si="1"/>
        <v>1046.2588742939613</v>
      </c>
      <c r="AS175" s="121">
        <f t="shared" si="1"/>
        <v>1046.2588742939613</v>
      </c>
      <c r="AT175" s="121">
        <f t="shared" si="1"/>
        <v>1046.2588742939613</v>
      </c>
      <c r="AU175" s="121">
        <f t="shared" si="1"/>
        <v>1046.2588742939613</v>
      </c>
      <c r="AV175" s="121">
        <f t="shared" si="1"/>
        <v>1046.2588742939613</v>
      </c>
      <c r="AW175" s="121">
        <f t="shared" si="1"/>
        <v>1046.2588742939613</v>
      </c>
      <c r="AX175" s="121">
        <f t="shared" si="1"/>
        <v>1046.2588742939613</v>
      </c>
      <c r="AY175" s="121">
        <f t="shared" si="1"/>
        <v>1046.2588742939613</v>
      </c>
    </row>
    <row r="176" spans="1:52">
      <c r="A176" s="122"/>
      <c r="B176" s="133" t="s">
        <v>300</v>
      </c>
      <c r="C176" s="122" t="s">
        <v>294</v>
      </c>
      <c r="D176" s="122">
        <v>1002</v>
      </c>
      <c r="E176" s="122">
        <v>1160</v>
      </c>
      <c r="F176" s="122">
        <v>1089</v>
      </c>
      <c r="G176" s="122">
        <v>1111</v>
      </c>
      <c r="H176" s="122">
        <v>1102</v>
      </c>
      <c r="I176" s="122">
        <v>989</v>
      </c>
      <c r="J176" s="122">
        <v>910</v>
      </c>
      <c r="K176" s="122">
        <v>1088</v>
      </c>
      <c r="L176" s="122">
        <v>913</v>
      </c>
      <c r="M176" s="122">
        <v>1147</v>
      </c>
      <c r="N176" s="122">
        <v>1115</v>
      </c>
      <c r="O176" s="122">
        <v>954</v>
      </c>
      <c r="P176" s="122">
        <v>1138</v>
      </c>
      <c r="Q176" s="122">
        <v>1107</v>
      </c>
      <c r="R176" s="122">
        <v>1031</v>
      </c>
      <c r="S176" s="122">
        <v>1147</v>
      </c>
      <c r="T176" s="122">
        <v>1090</v>
      </c>
      <c r="U176" s="122">
        <v>1088</v>
      </c>
      <c r="V176" s="122">
        <v>864</v>
      </c>
      <c r="W176" s="122">
        <v>914</v>
      </c>
      <c r="X176" s="122">
        <v>1175</v>
      </c>
      <c r="Y176" s="122">
        <v>1284</v>
      </c>
      <c r="Z176" s="122">
        <v>930</v>
      </c>
      <c r="AA176" s="122">
        <v>964</v>
      </c>
      <c r="AB176" s="122">
        <v>1327</v>
      </c>
      <c r="AC176" s="122">
        <v>1030</v>
      </c>
      <c r="AD176" s="122">
        <v>1114</v>
      </c>
      <c r="AE176" s="122">
        <v>969</v>
      </c>
      <c r="AF176" s="122">
        <v>1093</v>
      </c>
      <c r="AG176" s="122">
        <v>1228</v>
      </c>
      <c r="AH176" s="122">
        <v>966</v>
      </c>
      <c r="AI176" s="122">
        <v>1166</v>
      </c>
      <c r="AJ176" s="122">
        <v>1152</v>
      </c>
      <c r="AK176" s="122">
        <v>1173</v>
      </c>
      <c r="AL176" s="122">
        <v>1119</v>
      </c>
      <c r="AM176" s="122">
        <v>949</v>
      </c>
      <c r="AN176" s="122">
        <v>1354.4170463928165</v>
      </c>
      <c r="AO176" s="122">
        <v>1046.2588742939613</v>
      </c>
      <c r="AP176" s="122">
        <v>1046.2588742939613</v>
      </c>
      <c r="AQ176" s="122">
        <v>1046.2588742939613</v>
      </c>
      <c r="AR176" s="122">
        <v>1046.2588742939613</v>
      </c>
      <c r="AS176" s="122">
        <v>1046.2588742939613</v>
      </c>
      <c r="AT176" s="122">
        <v>1046.2588742939613</v>
      </c>
      <c r="AU176" s="122">
        <v>1046.2588742939613</v>
      </c>
      <c r="AV176" s="122">
        <v>1046.2588742939613</v>
      </c>
      <c r="AW176" s="122">
        <v>1046.2588742939613</v>
      </c>
      <c r="AX176" s="122">
        <v>1046.2588742939613</v>
      </c>
      <c r="AY176" s="122">
        <v>1046.2588742939613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237.37473766070798</v>
      </c>
      <c r="E177" s="121">
        <f t="shared" si="2"/>
        <v>805.63417866291434</v>
      </c>
      <c r="F177" s="121">
        <f t="shared" si="2"/>
        <v>707.03254688622224</v>
      </c>
      <c r="G177" s="121">
        <f t="shared" si="2"/>
        <v>1323.0770534557373</v>
      </c>
      <c r="H177" s="121">
        <f t="shared" si="2"/>
        <v>758.07705345573731</v>
      </c>
      <c r="I177" s="121">
        <f t="shared" si="2"/>
        <v>1273.1215600252524</v>
      </c>
      <c r="J177" s="121">
        <f t="shared" si="2"/>
        <v>699.12156002525239</v>
      </c>
      <c r="K177" s="121">
        <f t="shared" si="2"/>
        <v>1238.0445065695151</v>
      </c>
      <c r="L177" s="121">
        <f t="shared" si="2"/>
        <v>1168.0667598542727</v>
      </c>
      <c r="M177" s="121">
        <f t="shared" si="2"/>
        <v>1035.0890131390302</v>
      </c>
      <c r="N177" s="121">
        <f t="shared" si="2"/>
        <v>1070.1112664237876</v>
      </c>
      <c r="O177" s="121">
        <f t="shared" si="2"/>
        <v>1145.1335197085452</v>
      </c>
      <c r="P177" s="121">
        <f t="shared" si="2"/>
        <v>1076.1557729933029</v>
      </c>
      <c r="Q177" s="121">
        <f t="shared" si="2"/>
        <v>708.06082871276578</v>
      </c>
      <c r="R177" s="121">
        <f t="shared" si="2"/>
        <v>419.17802627806032</v>
      </c>
      <c r="S177" s="121">
        <f t="shared" si="2"/>
        <v>827.92730900422055</v>
      </c>
      <c r="T177" s="121">
        <f t="shared" si="2"/>
        <v>639.04450656951508</v>
      </c>
      <c r="U177" s="121">
        <f t="shared" si="2"/>
        <v>66.044506569515079</v>
      </c>
      <c r="V177" s="121">
        <f t="shared" si="2"/>
        <v>1971.3437473940326</v>
      </c>
      <c r="W177" s="121">
        <f t="shared" si="2"/>
        <v>2058.6429882185503</v>
      </c>
      <c r="X177" s="121">
        <f t="shared" si="2"/>
        <v>1505.5480439380133</v>
      </c>
      <c r="Y177" s="121">
        <f t="shared" si="2"/>
        <v>1308.942229043068</v>
      </c>
      <c r="Z177" s="121">
        <f t="shared" si="2"/>
        <v>1257.9644823278254</v>
      </c>
      <c r="AA177" s="121">
        <f t="shared" si="2"/>
        <v>1994.2859764371008</v>
      </c>
      <c r="AB177" s="121">
        <f t="shared" si="2"/>
        <v>1594.1910321565638</v>
      </c>
      <c r="AC177" s="121">
        <f t="shared" si="2"/>
        <v>1618.2132854413212</v>
      </c>
      <c r="AD177" s="121">
        <f t="shared" si="2"/>
        <v>1680.2355387260789</v>
      </c>
      <c r="AE177" s="121">
        <f t="shared" si="2"/>
        <v>1520.3527362913733</v>
      </c>
      <c r="AF177" s="121">
        <f t="shared" si="2"/>
        <v>1399.3749895761309</v>
      </c>
      <c r="AG177" s="121">
        <f t="shared" si="2"/>
        <v>1970.419496145646</v>
      </c>
      <c r="AH177" s="121">
        <f t="shared" si="2"/>
        <v>1988.4417494304037</v>
      </c>
      <c r="AI177" s="121">
        <f t="shared" si="2"/>
        <v>1252.4417494304034</v>
      </c>
      <c r="AJ177" s="121">
        <f t="shared" si="2"/>
        <v>1836.4862559999187</v>
      </c>
      <c r="AK177" s="121">
        <f t="shared" si="2"/>
        <v>1054.4862559999187</v>
      </c>
      <c r="AL177" s="121">
        <f t="shared" si="2"/>
        <v>1676.5307625694336</v>
      </c>
      <c r="AM177" s="121">
        <f t="shared" si="2"/>
        <v>1584.5530158541912</v>
      </c>
      <c r="AN177" s="121">
        <f t="shared" si="2"/>
        <v>1126.4580715736543</v>
      </c>
      <c r="AO177" s="121">
        <f t="shared" si="2"/>
        <v>803.57526913894878</v>
      </c>
      <c r="AP177" s="121">
        <f t="shared" si="2"/>
        <v>1356.6197757084637</v>
      </c>
      <c r="AQ177" s="121">
        <f t="shared" si="2"/>
        <v>673.61977570846386</v>
      </c>
      <c r="AR177" s="121">
        <f t="shared" si="2"/>
        <v>827.92730900422055</v>
      </c>
      <c r="AS177" s="121">
        <f t="shared" si="2"/>
        <v>1328.0667598542727</v>
      </c>
      <c r="AT177" s="121">
        <f t="shared" si="2"/>
        <v>1351.0890131390302</v>
      </c>
      <c r="AU177" s="121">
        <f t="shared" si="2"/>
        <v>634.08901313903016</v>
      </c>
      <c r="AV177" s="121">
        <f t="shared" si="2"/>
        <v>1238.0445065695151</v>
      </c>
      <c r="AW177" s="121">
        <f t="shared" si="2"/>
        <v>1153.0667598542727</v>
      </c>
      <c r="AX177" s="121">
        <f t="shared" si="2"/>
        <v>563.97181557373563</v>
      </c>
      <c r="AY177" s="121">
        <f t="shared" si="2"/>
        <v>1029.1394508500521</v>
      </c>
    </row>
    <row r="178" spans="1:51">
      <c r="A178" s="122"/>
      <c r="B178" s="133" t="s">
        <v>300</v>
      </c>
      <c r="C178" s="122" t="s">
        <v>294</v>
      </c>
      <c r="D178" s="122">
        <v>237.37473766070798</v>
      </c>
      <c r="E178" s="122">
        <v>605</v>
      </c>
      <c r="F178" s="122">
        <v>622</v>
      </c>
      <c r="G178" s="122">
        <v>565</v>
      </c>
      <c r="H178" s="122">
        <v>723</v>
      </c>
      <c r="I178" s="122">
        <v>574</v>
      </c>
      <c r="J178" s="122">
        <v>699.12156002525239</v>
      </c>
      <c r="K178" s="122">
        <v>689</v>
      </c>
      <c r="L178" s="122">
        <v>752</v>
      </c>
      <c r="M178" s="122">
        <v>584</v>
      </c>
      <c r="N178" s="122">
        <v>544</v>
      </c>
      <c r="O178" s="122">
        <v>688</v>
      </c>
      <c r="P178" s="122">
        <v>577</v>
      </c>
      <c r="Q178" s="122">
        <v>699</v>
      </c>
      <c r="R178" s="122">
        <v>419.17802627806032</v>
      </c>
      <c r="S178" s="122">
        <v>599</v>
      </c>
      <c r="T178" s="122">
        <v>573</v>
      </c>
      <c r="U178" s="122">
        <v>66.044506569515079</v>
      </c>
      <c r="V178" s="122">
        <v>646</v>
      </c>
      <c r="W178" s="122">
        <v>762</v>
      </c>
      <c r="X178" s="122">
        <v>721</v>
      </c>
      <c r="Y178" s="122">
        <v>670</v>
      </c>
      <c r="Z178" s="122">
        <v>616</v>
      </c>
      <c r="AA178" s="122">
        <v>609</v>
      </c>
      <c r="AB178" s="122">
        <v>595</v>
      </c>
      <c r="AC178" s="122">
        <v>557</v>
      </c>
      <c r="AD178" s="122">
        <v>570</v>
      </c>
      <c r="AE178" s="122">
        <v>740</v>
      </c>
      <c r="AF178" s="122">
        <v>667</v>
      </c>
      <c r="AG178" s="122">
        <v>601</v>
      </c>
      <c r="AH178" s="122">
        <v>736</v>
      </c>
      <c r="AI178" s="122">
        <v>654</v>
      </c>
      <c r="AJ178" s="122">
        <v>782</v>
      </c>
      <c r="AK178" s="122">
        <v>616</v>
      </c>
      <c r="AL178" s="122">
        <v>711</v>
      </c>
      <c r="AM178" s="122">
        <v>667</v>
      </c>
      <c r="AN178" s="122">
        <v>733</v>
      </c>
      <c r="AO178" s="122">
        <v>685</v>
      </c>
      <c r="AP178" s="122">
        <v>683</v>
      </c>
      <c r="AQ178" s="122">
        <v>673.61977570846386</v>
      </c>
      <c r="AR178" s="122">
        <v>529</v>
      </c>
      <c r="AS178" s="122">
        <v>596</v>
      </c>
      <c r="AT178" s="122">
        <v>717</v>
      </c>
      <c r="AU178" s="122">
        <v>634.08901313903016</v>
      </c>
      <c r="AV178" s="122">
        <v>704</v>
      </c>
      <c r="AW178" s="122">
        <v>798</v>
      </c>
      <c r="AX178" s="122">
        <v>563.97181557373563</v>
      </c>
      <c r="AY178" s="122">
        <v>685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337.49583054907652</v>
      </c>
      <c r="E179" s="121">
        <f t="shared" si="3"/>
        <v>69.163853436212861</v>
      </c>
      <c r="F179" s="121">
        <f t="shared" si="3"/>
        <v>458.75119686848831</v>
      </c>
      <c r="G179" s="121">
        <f t="shared" si="3"/>
        <v>320.00327381595781</v>
      </c>
      <c r="H179" s="121">
        <f t="shared" si="3"/>
        <v>682.41694807351666</v>
      </c>
      <c r="I179" s="121">
        <f t="shared" si="3"/>
        <v>463.63463785284284</v>
      </c>
      <c r="J179" s="121">
        <f t="shared" si="3"/>
        <v>682.41694807351666</v>
      </c>
      <c r="K179" s="121">
        <f t="shared" si="3"/>
        <v>517.68730113395634</v>
      </c>
      <c r="L179" s="121">
        <f t="shared" si="3"/>
        <v>717.10424920747289</v>
      </c>
      <c r="M179" s="121">
        <f t="shared" si="3"/>
        <v>710.92783850280273</v>
      </c>
      <c r="N179" s="121">
        <f t="shared" si="3"/>
        <v>628.23149546295872</v>
      </c>
      <c r="O179" s="121">
        <f t="shared" si="3"/>
        <v>459.02189621782344</v>
      </c>
      <c r="P179" s="121">
        <f t="shared" si="3"/>
        <v>375.79040075486472</v>
      </c>
      <c r="Q179" s="121">
        <f t="shared" si="3"/>
        <v>375.79040075486472</v>
      </c>
      <c r="R179" s="121">
        <f t="shared" si="3"/>
        <v>172.64290546183213</v>
      </c>
      <c r="S179" s="121">
        <f t="shared" si="3"/>
        <v>272.31134872924542</v>
      </c>
      <c r="T179" s="121">
        <f t="shared" si="3"/>
        <v>479.26945278048402</v>
      </c>
      <c r="U179" s="121">
        <f t="shared" si="3"/>
        <v>333.72064429088869</v>
      </c>
      <c r="V179" s="121">
        <f t="shared" si="3"/>
        <v>69.163853436212861</v>
      </c>
      <c r="W179" s="121">
        <f t="shared" si="3"/>
        <v>1045.6494702845998</v>
      </c>
      <c r="X179" s="121">
        <f t="shared" si="3"/>
        <v>1368.5841639859509</v>
      </c>
      <c r="Y179" s="121">
        <f t="shared" si="3"/>
        <v>1176.0733963280948</v>
      </c>
      <c r="Z179" s="121">
        <f t="shared" si="3"/>
        <v>974.99071994977157</v>
      </c>
      <c r="AA179" s="121">
        <f t="shared" si="3"/>
        <v>897.78112070463635</v>
      </c>
      <c r="AB179" s="121">
        <f t="shared" si="3"/>
        <v>1161.8040436705842</v>
      </c>
      <c r="AC179" s="121">
        <f t="shared" si="3"/>
        <v>974.30818092199308</v>
      </c>
      <c r="AD179" s="121">
        <f t="shared" si="3"/>
        <v>923.09858167685775</v>
      </c>
      <c r="AE179" s="121">
        <f t="shared" si="3"/>
        <v>757.88898243172252</v>
      </c>
      <c r="AF179" s="121">
        <f t="shared" si="3"/>
        <v>600.20033116096795</v>
      </c>
      <c r="AG179" s="121">
        <f t="shared" si="3"/>
        <v>523.99073191583261</v>
      </c>
      <c r="AH179" s="121">
        <f t="shared" si="3"/>
        <v>694.40767998934939</v>
      </c>
      <c r="AI179" s="121">
        <f t="shared" si="3"/>
        <v>782.78433673825816</v>
      </c>
      <c r="AJ179" s="121">
        <f t="shared" si="3"/>
        <v>414.90099763744661</v>
      </c>
      <c r="AK179" s="121">
        <f t="shared" si="3"/>
        <v>682.41694807351666</v>
      </c>
      <c r="AL179" s="121">
        <f t="shared" si="3"/>
        <v>343.9290038458463</v>
      </c>
      <c r="AM179" s="121">
        <f t="shared" si="3"/>
        <v>682.41694807351666</v>
      </c>
      <c r="AN179" s="121">
        <f t="shared" si="3"/>
        <v>712.40422434701088</v>
      </c>
      <c r="AO179" s="121">
        <f t="shared" si="3"/>
        <v>446.02097444820311</v>
      </c>
      <c r="AP179" s="121">
        <f t="shared" si="3"/>
        <v>272.31134872924542</v>
      </c>
      <c r="AQ179" s="121">
        <f t="shared" si="3"/>
        <v>682.41694807351666</v>
      </c>
      <c r="AR179" s="121">
        <f t="shared" si="3"/>
        <v>310.05989003942716</v>
      </c>
      <c r="AS179" s="121">
        <f t="shared" si="3"/>
        <v>479.26945278048402</v>
      </c>
      <c r="AT179" s="121">
        <f t="shared" si="3"/>
        <v>607.63938861371355</v>
      </c>
      <c r="AU179" s="121">
        <f t="shared" si="3"/>
        <v>527.59103037791874</v>
      </c>
      <c r="AV179" s="121">
        <f t="shared" si="3"/>
        <v>109.4097276233168</v>
      </c>
      <c r="AW179" s="121">
        <f t="shared" si="3"/>
        <v>682.41694807351666</v>
      </c>
      <c r="AX179" s="121">
        <f t="shared" si="3"/>
        <v>559.51094813524105</v>
      </c>
      <c r="AY179" s="121">
        <f t="shared" si="3"/>
        <v>274.09244644257296</v>
      </c>
    </row>
    <row r="180" spans="1:51">
      <c r="A180" s="122"/>
      <c r="B180" s="133" t="s">
        <v>300</v>
      </c>
      <c r="C180" s="122" t="s">
        <v>294</v>
      </c>
      <c r="D180" s="122">
        <v>337.49583054907652</v>
      </c>
      <c r="E180" s="122">
        <v>69.163853436212861</v>
      </c>
      <c r="F180" s="122">
        <v>458.75119686848831</v>
      </c>
      <c r="G180" s="122">
        <v>320.00327381595781</v>
      </c>
      <c r="H180" s="122">
        <v>446</v>
      </c>
      <c r="I180" s="122">
        <v>463.63463785284284</v>
      </c>
      <c r="J180" s="122">
        <v>394.57214392341353</v>
      </c>
      <c r="K180" s="122">
        <v>483</v>
      </c>
      <c r="L180" s="122">
        <v>538</v>
      </c>
      <c r="M180" s="122">
        <v>535</v>
      </c>
      <c r="N180" s="122">
        <v>545</v>
      </c>
      <c r="O180" s="122">
        <v>459.02189621782344</v>
      </c>
      <c r="P180" s="122">
        <v>375.79040075486472</v>
      </c>
      <c r="Q180" s="122">
        <v>375.79040075486472</v>
      </c>
      <c r="R180" s="122">
        <v>172.64290546183213</v>
      </c>
      <c r="S180" s="122">
        <v>272.31134872924542</v>
      </c>
      <c r="T180" s="122">
        <v>450</v>
      </c>
      <c r="U180" s="122">
        <v>333.72064429088869</v>
      </c>
      <c r="V180" s="122">
        <v>69.163853436212861</v>
      </c>
      <c r="W180" s="122">
        <v>411</v>
      </c>
      <c r="X180" s="122">
        <v>536</v>
      </c>
      <c r="Y180" s="122">
        <v>530</v>
      </c>
      <c r="Z180" s="122">
        <v>453</v>
      </c>
      <c r="AA180" s="122">
        <v>475</v>
      </c>
      <c r="AB180" s="122">
        <v>512</v>
      </c>
      <c r="AC180" s="122">
        <v>427</v>
      </c>
      <c r="AD180" s="122">
        <v>541</v>
      </c>
      <c r="AE180" s="122">
        <v>430</v>
      </c>
      <c r="AF180" s="122">
        <v>452</v>
      </c>
      <c r="AG180" s="122">
        <v>512</v>
      </c>
      <c r="AH180" s="122">
        <v>431</v>
      </c>
      <c r="AI180" s="122">
        <v>488</v>
      </c>
      <c r="AJ180" s="122">
        <v>414.90099763744661</v>
      </c>
      <c r="AK180" s="122">
        <v>515</v>
      </c>
      <c r="AL180" s="122">
        <v>343.9290038458463</v>
      </c>
      <c r="AM180" s="122">
        <v>504</v>
      </c>
      <c r="AN180" s="122">
        <v>476</v>
      </c>
      <c r="AO180" s="122">
        <v>446.02097444820311</v>
      </c>
      <c r="AP180" s="122">
        <v>272.31134872924542</v>
      </c>
      <c r="AQ180" s="122">
        <v>539.81665514955466</v>
      </c>
      <c r="AR180" s="122">
        <v>310.05989003942716</v>
      </c>
      <c r="AS180" s="122">
        <v>476</v>
      </c>
      <c r="AT180" s="122">
        <v>542</v>
      </c>
      <c r="AU180" s="122">
        <v>490.49786759553774</v>
      </c>
      <c r="AV180" s="122">
        <v>109.4097276233168</v>
      </c>
      <c r="AW180" s="122">
        <v>588</v>
      </c>
      <c r="AX180" s="122">
        <v>458.06140715450027</v>
      </c>
      <c r="AY180" s="122">
        <v>274.09244644257296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91.980407783947612</v>
      </c>
      <c r="E181" s="121">
        <f t="shared" si="4"/>
        <v>610.08923104976259</v>
      </c>
      <c r="F181" s="121">
        <f t="shared" si="4"/>
        <v>425.56957363481644</v>
      </c>
      <c r="G181" s="121">
        <f t="shared" si="4"/>
        <v>907.54037035210115</v>
      </c>
      <c r="H181" s="121">
        <f t="shared" si="4"/>
        <v>302.17483155278205</v>
      </c>
      <c r="I181" s="121">
        <f t="shared" si="4"/>
        <v>907.54037035210115</v>
      </c>
      <c r="J181" s="121">
        <f t="shared" si="4"/>
        <v>305.66553984955584</v>
      </c>
      <c r="K181" s="121">
        <f t="shared" si="4"/>
        <v>907.54037035210104</v>
      </c>
      <c r="L181" s="121">
        <f t="shared" si="4"/>
        <v>707.2675708796603</v>
      </c>
      <c r="M181" s="121">
        <f t="shared" si="4"/>
        <v>601.51470374239341</v>
      </c>
      <c r="N181" s="121">
        <f t="shared" si="4"/>
        <v>499.76038906802438</v>
      </c>
      <c r="O181" s="121">
        <f t="shared" si="4"/>
        <v>499.76038906802438</v>
      </c>
      <c r="P181" s="121">
        <f t="shared" si="4"/>
        <v>499.76038906802438</v>
      </c>
      <c r="Q181" s="121">
        <f t="shared" si="4"/>
        <v>229.59630003886537</v>
      </c>
      <c r="R181" s="121">
        <f t="shared" si="4"/>
        <v>362.14449681310657</v>
      </c>
      <c r="S181" s="121">
        <f t="shared" si="4"/>
        <v>637.37628132294208</v>
      </c>
      <c r="T181" s="121">
        <f t="shared" si="4"/>
        <v>404.88699449434716</v>
      </c>
      <c r="U181" s="121">
        <f t="shared" si="4"/>
        <v>91.980407783947612</v>
      </c>
      <c r="V181" s="121">
        <f t="shared" si="4"/>
        <v>1390.6001458485639</v>
      </c>
      <c r="W181" s="121">
        <f t="shared" si="4"/>
        <v>976.05337267242624</v>
      </c>
      <c r="X181" s="121">
        <f t="shared" si="4"/>
        <v>456.80334583097959</v>
      </c>
      <c r="Y181" s="121">
        <f t="shared" si="4"/>
        <v>437.42429102549266</v>
      </c>
      <c r="Z181" s="121">
        <f t="shared" si="4"/>
        <v>499.76038906802438</v>
      </c>
      <c r="AA181" s="121">
        <f t="shared" si="4"/>
        <v>982.82016456448707</v>
      </c>
      <c r="AB181" s="121">
        <f t="shared" si="4"/>
        <v>431.55523281377566</v>
      </c>
      <c r="AC181" s="121">
        <f t="shared" si="4"/>
        <v>499.76038906802438</v>
      </c>
      <c r="AD181" s="121">
        <f t="shared" si="4"/>
        <v>499.76038906802438</v>
      </c>
      <c r="AE181" s="121">
        <f t="shared" si="4"/>
        <v>362.14449681310657</v>
      </c>
      <c r="AF181" s="121">
        <f t="shared" si="4"/>
        <v>499.76038906802438</v>
      </c>
      <c r="AG181" s="121">
        <f t="shared" si="4"/>
        <v>907.54037035210115</v>
      </c>
      <c r="AH181" s="121">
        <f t="shared" si="4"/>
        <v>690.71450342608125</v>
      </c>
      <c r="AI181" s="121">
        <f t="shared" si="4"/>
        <v>159.74210374705333</v>
      </c>
      <c r="AJ181" s="121">
        <f t="shared" si="4"/>
        <v>907.54037035210115</v>
      </c>
      <c r="AK181" s="121">
        <f t="shared" si="4"/>
        <v>234.74184942132081</v>
      </c>
      <c r="AL181" s="121">
        <f t="shared" si="4"/>
        <v>907.54037035210115</v>
      </c>
      <c r="AM181" s="121">
        <f t="shared" si="4"/>
        <v>710.14503939364249</v>
      </c>
      <c r="AN181" s="121">
        <f t="shared" si="4"/>
        <v>278.7674947931477</v>
      </c>
      <c r="AO181" s="121">
        <f t="shared" si="4"/>
        <v>362.14449681310657</v>
      </c>
      <c r="AP181" s="121">
        <f t="shared" si="4"/>
        <v>907.54037035210115</v>
      </c>
      <c r="AQ181" s="121">
        <f t="shared" si="4"/>
        <v>222.70306330201299</v>
      </c>
      <c r="AR181" s="121">
        <f t="shared" si="4"/>
        <v>637.37628132294208</v>
      </c>
      <c r="AS181" s="121">
        <f t="shared" si="4"/>
        <v>803.74632685218114</v>
      </c>
      <c r="AT181" s="121">
        <f t="shared" si="4"/>
        <v>614.34547491086528</v>
      </c>
      <c r="AU181" s="121">
        <f t="shared" si="4"/>
        <v>96.17317129008984</v>
      </c>
      <c r="AV181" s="121">
        <f t="shared" si="4"/>
        <v>907.54037035210115</v>
      </c>
      <c r="AW181" s="121">
        <f t="shared" si="4"/>
        <v>618.52446990968588</v>
      </c>
      <c r="AX181" s="121">
        <f t="shared" si="4"/>
        <v>229.59630003886539</v>
      </c>
      <c r="AY181" s="121">
        <f t="shared" si="4"/>
        <v>769.92447809718328</v>
      </c>
    </row>
    <row r="182" spans="1:51">
      <c r="A182" s="122"/>
      <c r="B182" s="133" t="s">
        <v>300</v>
      </c>
      <c r="C182" s="122" t="s">
        <v>294</v>
      </c>
      <c r="D182" s="122">
        <v>91.980407783947612</v>
      </c>
      <c r="E182" s="122">
        <v>610.08923104976259</v>
      </c>
      <c r="F182" s="122">
        <v>425.56957363481644</v>
      </c>
      <c r="G182" s="122">
        <v>539.29211024015331</v>
      </c>
      <c r="H182" s="122">
        <v>302.17483155278205</v>
      </c>
      <c r="I182" s="122">
        <v>533.17659473885249</v>
      </c>
      <c r="J182" s="122">
        <v>305.66553984955584</v>
      </c>
      <c r="K182" s="122">
        <v>544</v>
      </c>
      <c r="L182" s="122">
        <v>529</v>
      </c>
      <c r="M182" s="122">
        <v>601.51470374239341</v>
      </c>
      <c r="N182" s="122">
        <v>499.76038906802438</v>
      </c>
      <c r="O182" s="122">
        <v>499.76038906802438</v>
      </c>
      <c r="P182" s="122">
        <v>499.76038906802438</v>
      </c>
      <c r="Q182" s="122">
        <v>229.59630003886537</v>
      </c>
      <c r="R182" s="122">
        <v>362.14449681310657</v>
      </c>
      <c r="S182" s="122">
        <v>562.49394086054224</v>
      </c>
      <c r="T182" s="122">
        <v>404.88699449434716</v>
      </c>
      <c r="U182" s="122">
        <v>91.980407783947612</v>
      </c>
      <c r="V182" s="122">
        <v>688.04863840249322</v>
      </c>
      <c r="W182" s="122">
        <v>578</v>
      </c>
      <c r="X182" s="122">
        <v>456.80334583097959</v>
      </c>
      <c r="Y182" s="122">
        <v>437.42429102549266</v>
      </c>
      <c r="Z182" s="122">
        <v>499.76038906802438</v>
      </c>
      <c r="AA182" s="122">
        <v>629</v>
      </c>
      <c r="AB182" s="122">
        <v>431.55523281377566</v>
      </c>
      <c r="AC182" s="122">
        <v>499.76038906802438</v>
      </c>
      <c r="AD182" s="122">
        <v>499.76038906802438</v>
      </c>
      <c r="AE182" s="122">
        <v>362.14449681310657</v>
      </c>
      <c r="AF182" s="122">
        <v>499.76038906802438</v>
      </c>
      <c r="AG182" s="122">
        <v>573</v>
      </c>
      <c r="AH182" s="122">
        <v>572</v>
      </c>
      <c r="AI182" s="122">
        <v>159.74210374705333</v>
      </c>
      <c r="AJ182" s="122">
        <v>657.4307263786111</v>
      </c>
      <c r="AK182" s="122">
        <v>234.74184942132081</v>
      </c>
      <c r="AL182" s="122">
        <v>538.95884450785343</v>
      </c>
      <c r="AM182" s="122">
        <v>624</v>
      </c>
      <c r="AN182" s="122">
        <v>278.7674947931477</v>
      </c>
      <c r="AO182" s="122">
        <v>362.14449681310657</v>
      </c>
      <c r="AP182" s="122">
        <v>678.52197115478339</v>
      </c>
      <c r="AQ182" s="122">
        <v>222.70306330201299</v>
      </c>
      <c r="AR182" s="122">
        <v>578.122392782612</v>
      </c>
      <c r="AS182" s="122">
        <v>603</v>
      </c>
      <c r="AT182" s="122">
        <v>607</v>
      </c>
      <c r="AU182" s="122">
        <v>96.17317129008984</v>
      </c>
      <c r="AV182" s="122">
        <v>699.47269020357976</v>
      </c>
      <c r="AW182" s="122">
        <v>618.52446990968588</v>
      </c>
      <c r="AX182" s="122">
        <v>229.59630003886539</v>
      </c>
      <c r="AY182" s="122">
        <v>690.44174513227506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599.3859865778295</v>
      </c>
      <c r="D185" s="121">
        <v>533.75590118586842</v>
      </c>
      <c r="E185" s="121">
        <v>647.49702689190713</v>
      </c>
      <c r="F185" s="121">
        <v>690.23815259794583</v>
      </c>
      <c r="G185" s="121">
        <v>754.97927830398453</v>
      </c>
      <c r="H185" s="121">
        <v>810.72040401002323</v>
      </c>
      <c r="I185" s="121">
        <v>753.46152971606193</v>
      </c>
      <c r="J185" s="121">
        <v>617.20265542210063</v>
      </c>
      <c r="K185" s="121">
        <v>658.94378112813934</v>
      </c>
      <c r="L185" s="121">
        <v>525.68490683417804</v>
      </c>
      <c r="M185" s="121">
        <v>626.42603254021674</v>
      </c>
      <c r="N185" s="121">
        <v>695.16715824625544</v>
      </c>
      <c r="O185" s="121">
        <v>602.90828395229414</v>
      </c>
      <c r="P185" s="121">
        <v>694.64940965833284</v>
      </c>
      <c r="Q185" s="121">
        <v>755.39053536437154</v>
      </c>
      <c r="R185" s="121">
        <v>740.13166107041025</v>
      </c>
      <c r="S185" s="121">
        <v>840.87278677644895</v>
      </c>
      <c r="T185" s="121">
        <v>884.61391248248765</v>
      </c>
      <c r="U185" s="121">
        <v>733.20638851299714</v>
      </c>
      <c r="V185" s="121">
        <v>357.79886454350662</v>
      </c>
      <c r="W185" s="121">
        <v>32.391340574016112</v>
      </c>
      <c r="X185" s="121">
        <v>0</v>
      </c>
      <c r="Y185" s="121">
        <v>205.7249423105643</v>
      </c>
      <c r="Z185" s="121">
        <v>89.466068016603003</v>
      </c>
      <c r="AA185" s="121">
        <v>7.2071937226417049</v>
      </c>
      <c r="AB185" s="121">
        <v>287.94831942868041</v>
      </c>
      <c r="AC185" s="121">
        <v>271.68944513471911</v>
      </c>
      <c r="AD185" s="121">
        <v>339.43057084075781</v>
      </c>
      <c r="AE185" s="121">
        <v>262.17169654679651</v>
      </c>
      <c r="AF185" s="121">
        <v>308.91282225283521</v>
      </c>
      <c r="AG185" s="121">
        <v>490.65394795887391</v>
      </c>
      <c r="AH185" s="121">
        <v>410.39507366491262</v>
      </c>
      <c r="AI185" s="121">
        <v>530.13619937095132</v>
      </c>
      <c r="AJ185" s="121">
        <v>635.87732507699002</v>
      </c>
      <c r="AK185" s="121">
        <v>762.61845078302872</v>
      </c>
      <c r="AL185" s="121">
        <v>835.35957648906742</v>
      </c>
      <c r="AM185" s="121">
        <v>738.10070219510612</v>
      </c>
      <c r="AN185" s="121">
        <v>1046.2588742939613</v>
      </c>
      <c r="AO185" s="121">
        <v>1046.2588742939613</v>
      </c>
      <c r="AP185" s="121">
        <v>1046.2588742939613</v>
      </c>
      <c r="AQ185" s="121">
        <v>1046.2588742939613</v>
      </c>
      <c r="AR185" s="121">
        <v>1046.2588742939613</v>
      </c>
      <c r="AS185" s="121">
        <v>1046.2588742939613</v>
      </c>
      <c r="AT185" s="121">
        <v>1046.2588742939613</v>
      </c>
      <c r="AU185" s="121">
        <v>1046.2588742939613</v>
      </c>
      <c r="AV185" s="121">
        <v>1046.2588742939613</v>
      </c>
      <c r="AW185" s="121">
        <v>1046.2588742939613</v>
      </c>
      <c r="AX185" s="121">
        <v>1046.2588742939613</v>
      </c>
      <c r="AY185" s="121">
        <v>1046.2588742939613</v>
      </c>
    </row>
    <row r="186" spans="1:51">
      <c r="A186" s="107"/>
      <c r="B186" s="117">
        <v>2</v>
      </c>
      <c r="C186" s="104">
        <v>322.6140134221705</v>
      </c>
      <c r="D186" s="104">
        <v>468.24409881413158</v>
      </c>
      <c r="E186" s="104">
        <v>512.50297310809287</v>
      </c>
      <c r="F186" s="104">
        <v>398.76184740205417</v>
      </c>
      <c r="G186" s="104">
        <v>356.02072169601547</v>
      </c>
      <c r="H186" s="104">
        <v>291.27959598997677</v>
      </c>
      <c r="I186" s="104">
        <v>235.53847028393807</v>
      </c>
      <c r="J186" s="104">
        <v>292.79734457789937</v>
      </c>
      <c r="K186" s="104">
        <v>429.05621887186066</v>
      </c>
      <c r="L186" s="104">
        <v>387.31509316582196</v>
      </c>
      <c r="M186" s="104">
        <v>520.57396745978326</v>
      </c>
      <c r="N186" s="104">
        <v>419.83284175374456</v>
      </c>
      <c r="O186" s="104">
        <v>351.09171604770586</v>
      </c>
      <c r="P186" s="104">
        <v>443.35059034166716</v>
      </c>
      <c r="Q186" s="104">
        <v>351.60946463562846</v>
      </c>
      <c r="R186" s="104">
        <v>290.86833892958975</v>
      </c>
      <c r="S186" s="104">
        <v>306.12721322355105</v>
      </c>
      <c r="T186" s="104">
        <v>205.38608751751235</v>
      </c>
      <c r="U186" s="104">
        <v>354.79361148700286</v>
      </c>
      <c r="V186" s="104">
        <v>506.20113545649338</v>
      </c>
      <c r="W186" s="104">
        <v>881.60865942598389</v>
      </c>
      <c r="X186" s="104">
        <v>1175</v>
      </c>
      <c r="Y186" s="104">
        <v>1046.2588742939613</v>
      </c>
      <c r="Z186" s="104">
        <v>840.533931983397</v>
      </c>
      <c r="AA186" s="104">
        <v>956.7928062773583</v>
      </c>
      <c r="AB186" s="104">
        <v>1039.0516805713196</v>
      </c>
      <c r="AC186" s="104">
        <v>758.31055486528089</v>
      </c>
      <c r="AD186" s="104">
        <v>774.56942915924219</v>
      </c>
      <c r="AE186" s="104">
        <v>706.82830345320349</v>
      </c>
      <c r="AF186" s="104">
        <v>784.08717774716479</v>
      </c>
      <c r="AG186" s="104">
        <v>737.34605204112609</v>
      </c>
      <c r="AH186" s="104">
        <v>555.60492633508738</v>
      </c>
      <c r="AI186" s="104">
        <v>635.86380062904868</v>
      </c>
      <c r="AJ186" s="104">
        <v>516.12267492300998</v>
      </c>
      <c r="AK186" s="104">
        <v>410.38154921697128</v>
      </c>
      <c r="AL186" s="104">
        <v>283.64042351093258</v>
      </c>
      <c r="AM186" s="104">
        <v>210.89929780489388</v>
      </c>
      <c r="AN186" s="104">
        <v>308.15817209885518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32.0161833954744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0</v>
      </c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3" t="s">
        <v>133</v>
      </c>
      <c r="B189" s="120">
        <v>1</v>
      </c>
      <c r="C189" s="121">
        <v>359.35438528274335</v>
      </c>
      <c r="D189" s="121">
        <v>0</v>
      </c>
      <c r="E189" s="121">
        <v>8.2708770565486702</v>
      </c>
      <c r="F189" s="121">
        <v>0</v>
      </c>
      <c r="G189" s="121">
        <v>0</v>
      </c>
      <c r="H189" s="121">
        <v>0</v>
      </c>
      <c r="I189" s="121">
        <v>0</v>
      </c>
      <c r="J189" s="121">
        <v>0</v>
      </c>
      <c r="K189" s="121">
        <v>689</v>
      </c>
      <c r="L189" s="121">
        <v>202.95549343048492</v>
      </c>
      <c r="M189" s="121">
        <v>167.93324014572738</v>
      </c>
      <c r="N189" s="121">
        <v>92.910986860969842</v>
      </c>
      <c r="O189" s="121">
        <v>161.8887335762123</v>
      </c>
      <c r="P189" s="121">
        <v>119.86648029145476</v>
      </c>
      <c r="Q189" s="121">
        <v>199.84422700669722</v>
      </c>
      <c r="R189" s="121">
        <v>0</v>
      </c>
      <c r="S189" s="121">
        <v>0</v>
      </c>
      <c r="T189" s="121">
        <v>0</v>
      </c>
      <c r="U189" s="121">
        <v>0</v>
      </c>
      <c r="V189" s="121">
        <v>26.977746715242461</v>
      </c>
      <c r="W189" s="121">
        <v>0</v>
      </c>
      <c r="X189" s="121">
        <v>0</v>
      </c>
      <c r="Y189" s="121">
        <v>0</v>
      </c>
      <c r="Z189" s="121">
        <v>0</v>
      </c>
      <c r="AA189" s="121">
        <v>0</v>
      </c>
      <c r="AB189" s="121">
        <v>0</v>
      </c>
      <c r="AC189" s="121">
        <v>0</v>
      </c>
      <c r="AD189" s="121">
        <v>0</v>
      </c>
      <c r="AE189" s="121">
        <v>0</v>
      </c>
      <c r="AF189" s="121">
        <v>0</v>
      </c>
      <c r="AG189" s="121">
        <v>0</v>
      </c>
      <c r="AH189" s="121">
        <v>0</v>
      </c>
      <c r="AI189" s="121">
        <v>0</v>
      </c>
      <c r="AJ189" s="121">
        <v>0</v>
      </c>
      <c r="AK189" s="121">
        <v>0</v>
      </c>
      <c r="AL189" s="121">
        <v>0</v>
      </c>
      <c r="AM189" s="121">
        <v>0</v>
      </c>
      <c r="AN189" s="121">
        <v>0</v>
      </c>
      <c r="AO189" s="121">
        <v>0</v>
      </c>
      <c r="AP189" s="121">
        <v>0</v>
      </c>
      <c r="AQ189" s="121">
        <v>0</v>
      </c>
      <c r="AR189" s="121">
        <v>0</v>
      </c>
      <c r="AS189" s="121">
        <v>0</v>
      </c>
      <c r="AT189" s="121">
        <v>0</v>
      </c>
      <c r="AU189" s="121">
        <v>0</v>
      </c>
      <c r="AV189" s="121">
        <v>84.977746715242461</v>
      </c>
      <c r="AW189" s="121">
        <v>263.95549343048492</v>
      </c>
      <c r="AX189" s="121">
        <v>208.90505571946301</v>
      </c>
      <c r="AY189" s="121">
        <v>274.88280243470547</v>
      </c>
    </row>
    <row r="190" spans="1:51">
      <c r="A190" s="107"/>
      <c r="B190" s="116">
        <v>2</v>
      </c>
      <c r="C190" s="104">
        <v>195.64561471725665</v>
      </c>
      <c r="D190" s="104">
        <v>237.37473766070798</v>
      </c>
      <c r="E190" s="104">
        <v>596.72912294345133</v>
      </c>
      <c r="F190" s="104">
        <v>622</v>
      </c>
      <c r="G190" s="104">
        <v>479.96745311377776</v>
      </c>
      <c r="H190" s="104">
        <v>583.94519982902023</v>
      </c>
      <c r="I190" s="104">
        <v>538.92294654426269</v>
      </c>
      <c r="J190" s="104">
        <v>619.02225328475754</v>
      </c>
      <c r="K190" s="104">
        <v>0</v>
      </c>
      <c r="L190" s="104">
        <v>549.04450656951508</v>
      </c>
      <c r="M190" s="104">
        <v>416.06675985427262</v>
      </c>
      <c r="N190" s="104">
        <v>451.08901313903016</v>
      </c>
      <c r="O190" s="104">
        <v>526.1112664237877</v>
      </c>
      <c r="P190" s="104">
        <v>457.13351970854524</v>
      </c>
      <c r="Q190" s="104">
        <v>499.15577299330278</v>
      </c>
      <c r="R190" s="104">
        <v>419.17802627806032</v>
      </c>
      <c r="S190" s="104">
        <v>599</v>
      </c>
      <c r="T190" s="104">
        <v>552.97774671524246</v>
      </c>
      <c r="U190" s="104">
        <v>0</v>
      </c>
      <c r="V190" s="104">
        <v>0</v>
      </c>
      <c r="W190" s="104">
        <v>762</v>
      </c>
      <c r="X190" s="104">
        <v>157.65625260596744</v>
      </c>
      <c r="Y190" s="104">
        <v>94.357011781449728</v>
      </c>
      <c r="Z190" s="104">
        <v>0</v>
      </c>
      <c r="AA190" s="104">
        <v>0</v>
      </c>
      <c r="AB190" s="104">
        <v>0</v>
      </c>
      <c r="AC190" s="104">
        <v>0</v>
      </c>
      <c r="AD190" s="104">
        <v>0</v>
      </c>
      <c r="AE190" s="104">
        <v>0</v>
      </c>
      <c r="AF190" s="104">
        <v>0</v>
      </c>
      <c r="AG190" s="104">
        <v>0</v>
      </c>
      <c r="AH190" s="104">
        <v>0</v>
      </c>
      <c r="AI190" s="104">
        <v>20.580503854353992</v>
      </c>
      <c r="AJ190" s="104">
        <v>183.55825056959645</v>
      </c>
      <c r="AK190" s="104">
        <v>180.53599728483891</v>
      </c>
      <c r="AL190" s="104">
        <v>272.51374400008137</v>
      </c>
      <c r="AM190" s="104">
        <v>320.49149071532383</v>
      </c>
      <c r="AN190" s="104">
        <v>434.4692374305663</v>
      </c>
      <c r="AO190" s="104">
        <v>500.44698414580876</v>
      </c>
      <c r="AP190" s="104">
        <v>564.42473086105122</v>
      </c>
      <c r="AQ190" s="104">
        <v>619.02225328475754</v>
      </c>
      <c r="AR190" s="104">
        <v>529</v>
      </c>
      <c r="AS190" s="104">
        <v>505.97774671524246</v>
      </c>
      <c r="AT190" s="104">
        <v>603.95549343048492</v>
      </c>
      <c r="AU190" s="104">
        <v>619.02225328475754</v>
      </c>
      <c r="AV190" s="104">
        <v>619.02225328475754</v>
      </c>
      <c r="AW190" s="104">
        <v>534.04450656951508</v>
      </c>
      <c r="AX190" s="104">
        <v>355.06675985427262</v>
      </c>
      <c r="AY190" s="104">
        <v>410.11719756529453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85.032546886222235</v>
      </c>
      <c r="H191" s="104">
        <v>139.05480017097977</v>
      </c>
      <c r="I191" s="104">
        <v>35.077053455737314</v>
      </c>
      <c r="J191" s="104">
        <v>80.099306740494853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20.022253284757539</v>
      </c>
      <c r="U191" s="104">
        <v>66.044506569515079</v>
      </c>
      <c r="V191" s="104">
        <v>619.02225328475754</v>
      </c>
      <c r="W191" s="104">
        <v>0</v>
      </c>
      <c r="X191" s="104">
        <v>563.34374739403256</v>
      </c>
      <c r="Y191" s="104">
        <v>575.64298821855027</v>
      </c>
      <c r="Z191" s="104">
        <v>616</v>
      </c>
      <c r="AA191" s="104">
        <v>586.05777095693202</v>
      </c>
      <c r="AB191" s="104">
        <v>447.75853013241431</v>
      </c>
      <c r="AC191" s="104">
        <v>385.73627684765677</v>
      </c>
      <c r="AD191" s="104">
        <v>336.71402356289923</v>
      </c>
      <c r="AE191" s="104">
        <v>457.69177027814169</v>
      </c>
      <c r="AF191" s="104">
        <v>505.66951699338415</v>
      </c>
      <c r="AG191" s="104">
        <v>487.64726370862661</v>
      </c>
      <c r="AH191" s="104">
        <v>604.62501042386907</v>
      </c>
      <c r="AI191" s="104">
        <v>619.02225328475754</v>
      </c>
      <c r="AJ191" s="104">
        <v>598.44174943040355</v>
      </c>
      <c r="AK191" s="104">
        <v>435.46400271516109</v>
      </c>
      <c r="AL191" s="104">
        <v>438.48625599991863</v>
      </c>
      <c r="AM191" s="104">
        <v>346.50850928467617</v>
      </c>
      <c r="AN191" s="104">
        <v>298.5307625694337</v>
      </c>
      <c r="AO191" s="104">
        <v>184.55301585419124</v>
      </c>
      <c r="AP191" s="104">
        <v>118.57526913894878</v>
      </c>
      <c r="AQ191" s="104">
        <v>54.597522423706323</v>
      </c>
      <c r="AR191" s="104">
        <v>0</v>
      </c>
      <c r="AS191" s="104">
        <v>90.022253284757539</v>
      </c>
      <c r="AT191" s="104">
        <v>113.04450656951508</v>
      </c>
      <c r="AU191" s="104">
        <v>15.066759854272618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22.942229043067982</v>
      </c>
      <c r="AB192" s="104">
        <v>147.24146986758569</v>
      </c>
      <c r="AC192" s="104">
        <v>171.26372315234323</v>
      </c>
      <c r="AD192" s="104">
        <v>233.28597643710077</v>
      </c>
      <c r="AE192" s="104">
        <v>282.30822972185831</v>
      </c>
      <c r="AF192" s="104">
        <v>161.33048300661585</v>
      </c>
      <c r="AG192" s="104">
        <v>113.35273629137339</v>
      </c>
      <c r="AH192" s="104">
        <v>131.37498957613093</v>
      </c>
      <c r="AI192" s="104">
        <v>14.397242860888468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337.49583054907652</v>
      </c>
      <c r="D197" s="104">
        <v>337.49583054907652</v>
      </c>
      <c r="E197" s="104">
        <v>69.163853436212861</v>
      </c>
      <c r="F197" s="104">
        <v>458.75119686848831</v>
      </c>
      <c r="G197" s="104">
        <v>320.00327381595781</v>
      </c>
      <c r="H197" s="104">
        <v>446</v>
      </c>
      <c r="I197" s="104">
        <v>227.21768977932618</v>
      </c>
      <c r="J197" s="104">
        <v>394.57214392341353</v>
      </c>
      <c r="K197" s="104">
        <v>195.15519584989687</v>
      </c>
      <c r="L197" s="104">
        <v>503.31269886604366</v>
      </c>
      <c r="M197" s="104">
        <v>355.89575079252711</v>
      </c>
      <c r="N197" s="104">
        <v>369.07216149719727</v>
      </c>
      <c r="O197" s="104">
        <v>375.79040075486472</v>
      </c>
      <c r="P197" s="104">
        <v>375.79040075486472</v>
      </c>
      <c r="Q197" s="104">
        <v>375.79040075486472</v>
      </c>
      <c r="R197" s="104">
        <v>172.64290546183213</v>
      </c>
      <c r="S197" s="104">
        <v>272.31134872924542</v>
      </c>
      <c r="T197" s="104">
        <v>450</v>
      </c>
      <c r="U197" s="104">
        <v>304.45119151040467</v>
      </c>
      <c r="V197" s="104">
        <v>69.163853436212861</v>
      </c>
      <c r="W197" s="104">
        <v>411</v>
      </c>
      <c r="X197" s="104">
        <v>0</v>
      </c>
      <c r="Y197" s="104">
        <v>0</v>
      </c>
      <c r="Z197" s="104">
        <v>0</v>
      </c>
      <c r="AA197" s="104">
        <v>0</v>
      </c>
      <c r="AB197" s="104">
        <v>89.218879295363706</v>
      </c>
      <c r="AC197" s="104">
        <v>0</v>
      </c>
      <c r="AD197" s="104">
        <v>0</v>
      </c>
      <c r="AE197" s="104">
        <v>47.901418323142195</v>
      </c>
      <c r="AF197" s="104">
        <v>124.11101756827748</v>
      </c>
      <c r="AG197" s="104">
        <v>363.79966883903205</v>
      </c>
      <c r="AH197" s="104">
        <v>419.00926808416733</v>
      </c>
      <c r="AI197" s="104">
        <v>224.59232001065067</v>
      </c>
      <c r="AJ197" s="104">
        <v>120.11666089918839</v>
      </c>
      <c r="AK197" s="104">
        <v>515</v>
      </c>
      <c r="AL197" s="104">
        <v>176.51205577232963</v>
      </c>
      <c r="AM197" s="104">
        <v>504</v>
      </c>
      <c r="AN197" s="104">
        <v>297.58305192648334</v>
      </c>
      <c r="AO197" s="104">
        <v>209.61675010119222</v>
      </c>
      <c r="AP197" s="104">
        <v>272.31134872924542</v>
      </c>
      <c r="AQ197" s="104">
        <v>539.81665514955466</v>
      </c>
      <c r="AR197" s="104">
        <v>167.45959711546516</v>
      </c>
      <c r="AS197" s="104">
        <v>476</v>
      </c>
      <c r="AT197" s="104">
        <v>538.73054721951598</v>
      </c>
      <c r="AU197" s="104">
        <v>424.85847898182419</v>
      </c>
      <c r="AV197" s="104">
        <v>72.316564840935854</v>
      </c>
      <c r="AW197" s="104">
        <v>588</v>
      </c>
      <c r="AX197" s="104">
        <v>363.64445908098361</v>
      </c>
      <c r="AY197" s="104">
        <v>172.64290546183213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236.41694807351666</v>
      </c>
      <c r="J198" s="104">
        <v>0</v>
      </c>
      <c r="K198" s="104">
        <v>287.84480415010313</v>
      </c>
      <c r="L198" s="104">
        <v>34.687301133956311</v>
      </c>
      <c r="M198" s="104">
        <v>179.10424920747289</v>
      </c>
      <c r="N198" s="104">
        <v>175.92783850280273</v>
      </c>
      <c r="O198" s="104">
        <v>83.231495462958719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29.269452780484016</v>
      </c>
      <c r="V198" s="104">
        <v>0</v>
      </c>
      <c r="W198" s="104">
        <v>0</v>
      </c>
      <c r="X198" s="104">
        <v>536</v>
      </c>
      <c r="Y198" s="104">
        <v>431.35052971540017</v>
      </c>
      <c r="Z198" s="104">
        <v>150.41583601404921</v>
      </c>
      <c r="AA198" s="104">
        <v>281.92660367190518</v>
      </c>
      <c r="AB198" s="104">
        <v>375.79040075486472</v>
      </c>
      <c r="AC198" s="104">
        <v>427</v>
      </c>
      <c r="AD198" s="104">
        <v>318.19595632941582</v>
      </c>
      <c r="AE198" s="104">
        <v>375.79040075486472</v>
      </c>
      <c r="AF198" s="104">
        <v>327.88898243172252</v>
      </c>
      <c r="AG198" s="104">
        <v>148.20033116096795</v>
      </c>
      <c r="AH198" s="104">
        <v>11.990731915832669</v>
      </c>
      <c r="AI198" s="104">
        <v>263.40767998934933</v>
      </c>
      <c r="AJ198" s="104">
        <v>294.78433673825822</v>
      </c>
      <c r="AK198" s="104">
        <v>2.8421709430404007E-14</v>
      </c>
      <c r="AL198" s="104">
        <v>167.41694807351666</v>
      </c>
      <c r="AM198" s="104">
        <v>0</v>
      </c>
      <c r="AN198" s="104">
        <v>178.41694807351666</v>
      </c>
      <c r="AO198" s="104">
        <v>236.40422434701088</v>
      </c>
      <c r="AP198" s="104">
        <v>0</v>
      </c>
      <c r="AQ198" s="104">
        <v>0</v>
      </c>
      <c r="AR198" s="104">
        <v>142.600292923962</v>
      </c>
      <c r="AS198" s="104">
        <v>0</v>
      </c>
      <c r="AT198" s="104">
        <v>3.2694527804840163</v>
      </c>
      <c r="AU198" s="104">
        <v>65.63938861371355</v>
      </c>
      <c r="AV198" s="104">
        <v>37.093162782380944</v>
      </c>
      <c r="AW198" s="104">
        <v>0</v>
      </c>
      <c r="AX198" s="104">
        <v>94.416948073516664</v>
      </c>
      <c r="AY198" s="104">
        <v>101.44954098074084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98.649470284599829</v>
      </c>
      <c r="Z199" s="104">
        <v>302.58416398595079</v>
      </c>
      <c r="AA199" s="104">
        <v>193.07339632809482</v>
      </c>
      <c r="AB199" s="104">
        <v>46.990719949771574</v>
      </c>
      <c r="AC199" s="104">
        <v>0</v>
      </c>
      <c r="AD199" s="104">
        <v>222.80404367058418</v>
      </c>
      <c r="AE199" s="104">
        <v>6.3081809219930847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558.27205853514374</v>
      </c>
      <c r="D209" s="121">
        <v>91.980407783947612</v>
      </c>
      <c r="E209" s="121">
        <v>229.59630003886531</v>
      </c>
      <c r="F209" s="121">
        <v>91.980407783947612</v>
      </c>
      <c r="G209" s="121">
        <v>131.51212895607659</v>
      </c>
      <c r="H209" s="121">
        <v>91.980407783947612</v>
      </c>
      <c r="I209" s="121">
        <v>125.39661345477577</v>
      </c>
      <c r="J209" s="121">
        <v>91.980407783947555</v>
      </c>
      <c r="K209" s="121">
        <v>544</v>
      </c>
      <c r="L209" s="121">
        <v>321.49281818836408</v>
      </c>
      <c r="M209" s="121">
        <v>499.76038906802432</v>
      </c>
      <c r="N209" s="121">
        <v>499.76038906802432</v>
      </c>
      <c r="O209" s="121">
        <v>499.76038906802432</v>
      </c>
      <c r="P209" s="121">
        <v>499.76038906802432</v>
      </c>
      <c r="Q209" s="121">
        <v>229.59630003886531</v>
      </c>
      <c r="R209" s="121">
        <v>91.980407783947612</v>
      </c>
      <c r="S209" s="121">
        <v>154.71395957646553</v>
      </c>
      <c r="T209" s="121">
        <v>91.980407783947612</v>
      </c>
      <c r="U209" s="121">
        <v>91.980407783947612</v>
      </c>
      <c r="V209" s="121">
        <v>280.26865711841651</v>
      </c>
      <c r="W209" s="121">
        <v>176.98681060798413</v>
      </c>
      <c r="X209" s="121">
        <v>229.59630003886528</v>
      </c>
      <c r="Y209" s="121">
        <v>91.980407783947612</v>
      </c>
      <c r="Z209" s="121">
        <v>499.76038906802438</v>
      </c>
      <c r="AA209" s="121">
        <v>145.94022450353725</v>
      </c>
      <c r="AB209" s="121">
        <v>229.59630003886531</v>
      </c>
      <c r="AC209" s="121">
        <v>499.76038906802438</v>
      </c>
      <c r="AD209" s="121">
        <v>229.59630003886531</v>
      </c>
      <c r="AE209" s="121">
        <v>91.980407783947612</v>
      </c>
      <c r="AF209" s="121">
        <v>499.76038906802438</v>
      </c>
      <c r="AG209" s="121">
        <v>165.22001871592329</v>
      </c>
      <c r="AH209" s="121">
        <v>381.04588564194307</v>
      </c>
      <c r="AI209" s="121">
        <v>91.980407783947598</v>
      </c>
      <c r="AJ209" s="121">
        <v>249.65074509453439</v>
      </c>
      <c r="AK209" s="121">
        <v>91.980407783947584</v>
      </c>
      <c r="AL209" s="121">
        <v>131.17886322377672</v>
      </c>
      <c r="AM209" s="121">
        <v>413.61534967438189</v>
      </c>
      <c r="AN209" s="121">
        <v>229.59630003886531</v>
      </c>
      <c r="AO209" s="121">
        <v>91.980407783947612</v>
      </c>
      <c r="AP209" s="121">
        <v>270.74198987070667</v>
      </c>
      <c r="AQ209" s="121">
        <v>91.980407783947584</v>
      </c>
      <c r="AR209" s="121">
        <v>170.34241149853528</v>
      </c>
      <c r="AS209" s="121">
        <v>299.01406221584318</v>
      </c>
      <c r="AT209" s="121">
        <v>492.41491415715916</v>
      </c>
      <c r="AU209" s="121">
        <v>91.980407783947612</v>
      </c>
      <c r="AV209" s="121">
        <v>291.69270891950305</v>
      </c>
      <c r="AW209" s="121">
        <v>499.76038906802427</v>
      </c>
      <c r="AX209" s="121">
        <v>229.59630003886531</v>
      </c>
      <c r="AY209" s="121">
        <v>420.2776561031161</v>
      </c>
    </row>
    <row r="210" spans="1:51">
      <c r="A210" s="107"/>
      <c r="B210" s="116">
        <v>2</v>
      </c>
      <c r="C210" s="104">
        <v>0</v>
      </c>
      <c r="D210" s="108">
        <v>0</v>
      </c>
      <c r="E210" s="108">
        <v>380.49293101089728</v>
      </c>
      <c r="F210" s="108">
        <v>333.58916585086882</v>
      </c>
      <c r="G210" s="108">
        <v>407.77998128407671</v>
      </c>
      <c r="H210" s="108">
        <v>210.19442376883444</v>
      </c>
      <c r="I210" s="108">
        <v>407.77998128407671</v>
      </c>
      <c r="J210" s="108">
        <v>213.68513206560829</v>
      </c>
      <c r="K210" s="108">
        <v>3.2445963679138044E-14</v>
      </c>
      <c r="L210" s="108">
        <v>207.50718181163592</v>
      </c>
      <c r="M210" s="108">
        <v>101.75431467436907</v>
      </c>
      <c r="N210" s="108">
        <v>3.2445963679138044E-14</v>
      </c>
      <c r="O210" s="108">
        <v>3.2445963679138044E-14</v>
      </c>
      <c r="P210" s="108">
        <v>3.2445963679138044E-14</v>
      </c>
      <c r="Q210" s="108">
        <v>3.2445963679138044E-14</v>
      </c>
      <c r="R210" s="108">
        <v>270.16408902915896</v>
      </c>
      <c r="S210" s="108">
        <v>407.77998128407671</v>
      </c>
      <c r="T210" s="108">
        <v>312.90658671039955</v>
      </c>
      <c r="U210" s="108">
        <v>0</v>
      </c>
      <c r="V210" s="108">
        <v>0</v>
      </c>
      <c r="W210" s="108">
        <v>401.01318939201587</v>
      </c>
      <c r="X210" s="108">
        <v>227.20704579211431</v>
      </c>
      <c r="Y210" s="108">
        <v>345.443883241545</v>
      </c>
      <c r="Z210" s="108">
        <v>0</v>
      </c>
      <c r="AA210" s="108">
        <v>0</v>
      </c>
      <c r="AB210" s="108">
        <v>201.95893277491032</v>
      </c>
      <c r="AC210" s="108">
        <v>0</v>
      </c>
      <c r="AD210" s="108">
        <v>0</v>
      </c>
      <c r="AE210" s="108">
        <v>270.16408902915896</v>
      </c>
      <c r="AF210" s="108">
        <v>0</v>
      </c>
      <c r="AG210" s="108">
        <v>0</v>
      </c>
      <c r="AH210" s="108">
        <v>190.9541143580569</v>
      </c>
      <c r="AI210" s="108">
        <v>67.761695963105737</v>
      </c>
      <c r="AJ210" s="108">
        <v>407.77998128407671</v>
      </c>
      <c r="AK210" s="108">
        <v>142.76144163737322</v>
      </c>
      <c r="AL210" s="108">
        <v>407.77998128407671</v>
      </c>
      <c r="AM210" s="108">
        <v>210.38465032561811</v>
      </c>
      <c r="AN210" s="108">
        <v>49.171194754282396</v>
      </c>
      <c r="AO210" s="108">
        <v>270.16408902915896</v>
      </c>
      <c r="AP210" s="108">
        <v>407.77998128407671</v>
      </c>
      <c r="AQ210" s="108">
        <v>130.72265551806541</v>
      </c>
      <c r="AR210" s="108">
        <v>407.77998128407671</v>
      </c>
      <c r="AS210" s="108">
        <v>303.98593778415682</v>
      </c>
      <c r="AT210" s="108">
        <v>114.58508584284085</v>
      </c>
      <c r="AU210" s="108">
        <v>4.1927635061422288</v>
      </c>
      <c r="AV210" s="108">
        <v>407.77998128407671</v>
      </c>
      <c r="AW210" s="108">
        <v>118.76408084166161</v>
      </c>
      <c r="AX210" s="108">
        <v>6.4891927358276088E-14</v>
      </c>
      <c r="AY210" s="108">
        <v>270.16408902915896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407.77998128407671</v>
      </c>
      <c r="W211" s="108">
        <v>0</v>
      </c>
      <c r="X211" s="108">
        <v>0</v>
      </c>
      <c r="Y211" s="108">
        <v>0</v>
      </c>
      <c r="Z211" s="108">
        <v>0</v>
      </c>
      <c r="AA211" s="108">
        <v>483.05977549646275</v>
      </c>
      <c r="AB211" s="108">
        <v>0</v>
      </c>
      <c r="AC211" s="108">
        <v>0</v>
      </c>
      <c r="AD211" s="108">
        <v>270.16408902915902</v>
      </c>
      <c r="AE211" s="108">
        <v>0</v>
      </c>
      <c r="AF211" s="108">
        <v>0</v>
      </c>
      <c r="AG211" s="108">
        <v>407.77998128407671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44956.504733538357</v>
      </c>
      <c r="E259" s="121">
        <f t="shared" ref="E259:AX259" si="5">F$14*$B$259</f>
        <v>298188.27796451742</v>
      </c>
      <c r="F259" s="121">
        <f t="shared" si="5"/>
        <v>208002.12798037258</v>
      </c>
      <c r="G259" s="121">
        <f t="shared" si="5"/>
        <v>443571.01624778582</v>
      </c>
      <c r="H259" s="121">
        <f t="shared" si="5"/>
        <v>147691.49835656202</v>
      </c>
      <c r="I259" s="121">
        <f t="shared" si="5"/>
        <v>443571.01624778582</v>
      </c>
      <c r="J259" s="121">
        <f t="shared" si="5"/>
        <v>149397.62303950457</v>
      </c>
      <c r="K259" s="121">
        <f t="shared" si="5"/>
        <v>443571.01624778577</v>
      </c>
      <c r="L259" s="121">
        <f t="shared" si="5"/>
        <v>345685.33304196439</v>
      </c>
      <c r="M259" s="121">
        <f t="shared" si="5"/>
        <v>293997.37702410138</v>
      </c>
      <c r="N259" s="121">
        <f t="shared" si="5"/>
        <v>244263.76049066207</v>
      </c>
      <c r="O259" s="121">
        <f t="shared" si="5"/>
        <v>244263.76049066207</v>
      </c>
      <c r="P259" s="121">
        <f t="shared" si="5"/>
        <v>244263.76049066207</v>
      </c>
      <c r="Q259" s="121">
        <f t="shared" si="5"/>
        <v>112217.88855019088</v>
      </c>
      <c r="R259" s="121">
        <f t="shared" si="5"/>
        <v>177002.37667400952</v>
      </c>
      <c r="S259" s="121">
        <f t="shared" si="5"/>
        <v>311525.14430731459</v>
      </c>
      <c r="T259" s="121">
        <f t="shared" si="5"/>
        <v>197893.27448176304</v>
      </c>
      <c r="U259" s="121">
        <f t="shared" si="5"/>
        <v>44956.504733538357</v>
      </c>
      <c r="V259" s="121">
        <f t="shared" si="5"/>
        <v>679672.15568498988</v>
      </c>
      <c r="W259" s="121">
        <f t="shared" si="5"/>
        <v>477057.55090587813</v>
      </c>
      <c r="X259" s="121">
        <f t="shared" si="5"/>
        <v>223268.00102239361</v>
      </c>
      <c r="Y259" s="121">
        <f t="shared" si="5"/>
        <v>213796.2603540899</v>
      </c>
      <c r="Z259" s="121">
        <f t="shared" si="5"/>
        <v>244263.76049066207</v>
      </c>
      <c r="AA259" s="121">
        <f t="shared" si="5"/>
        <v>480364.89992786618</v>
      </c>
      <c r="AB259" s="121">
        <f t="shared" si="5"/>
        <v>210927.68921341578</v>
      </c>
      <c r="AC259" s="121">
        <f t="shared" si="5"/>
        <v>244263.76049066207</v>
      </c>
      <c r="AD259" s="121">
        <f t="shared" si="5"/>
        <v>244263.76049066207</v>
      </c>
      <c r="AE259" s="121">
        <f t="shared" si="5"/>
        <v>177002.37667400952</v>
      </c>
      <c r="AF259" s="121">
        <f t="shared" si="5"/>
        <v>244263.76049066207</v>
      </c>
      <c r="AG259" s="121">
        <f t="shared" si="5"/>
        <v>443571.01624778582</v>
      </c>
      <c r="AH259" s="121">
        <f t="shared" si="5"/>
        <v>337594.8268867908</v>
      </c>
      <c r="AI259" s="121">
        <f t="shared" si="5"/>
        <v>78075.829584472478</v>
      </c>
      <c r="AJ259" s="121">
        <f t="shared" si="5"/>
        <v>443571.01624778582</v>
      </c>
      <c r="AK259" s="121">
        <f t="shared" si="5"/>
        <v>114732.83625201425</v>
      </c>
      <c r="AL259" s="121">
        <f t="shared" si="5"/>
        <v>443571.01624778582</v>
      </c>
      <c r="AM259" s="121">
        <f t="shared" si="5"/>
        <v>347091.72957777121</v>
      </c>
      <c r="AN259" s="121">
        <f t="shared" si="5"/>
        <v>136250.88756577496</v>
      </c>
      <c r="AO259" s="121">
        <f t="shared" si="5"/>
        <v>177002.37667400952</v>
      </c>
      <c r="AP259" s="121">
        <f t="shared" si="5"/>
        <v>443571.01624778582</v>
      </c>
      <c r="AQ259" s="121">
        <f t="shared" si="5"/>
        <v>108848.73812505235</v>
      </c>
      <c r="AR259" s="121">
        <f t="shared" si="5"/>
        <v>311525.14430731459</v>
      </c>
      <c r="AS259" s="121">
        <f t="shared" si="5"/>
        <v>392840.45829159918</v>
      </c>
      <c r="AT259" s="121">
        <f t="shared" si="5"/>
        <v>300268.56714673334</v>
      </c>
      <c r="AU259" s="121">
        <f t="shared" si="5"/>
        <v>47005.767146608305</v>
      </c>
      <c r="AV259" s="121">
        <f t="shared" si="5"/>
        <v>443571.01624778582</v>
      </c>
      <c r="AW259" s="121">
        <f t="shared" si="5"/>
        <v>302311.10004012089</v>
      </c>
      <c r="AX259" s="121">
        <f t="shared" si="5"/>
        <v>112217.8885501909</v>
      </c>
      <c r="AY259" s="121">
        <f>AZ$14*$B$259</f>
        <v>376309.63243113324</v>
      </c>
      <c r="AZ259" s="136">
        <f>SUM($D259:$AY259)</f>
        <v>13194093.10066653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30750.178386485572</v>
      </c>
      <c r="E260" s="122">
        <f t="shared" ref="E260:AY260" si="6">(E$175-E$176+E$177-E$178+E$179-E$180+E$181-E$182)*$B$260</f>
        <v>35963.761563898115</v>
      </c>
      <c r="F260" s="122">
        <f t="shared" si="6"/>
        <v>26463.196114934261</v>
      </c>
      <c r="G260" s="122">
        <f t="shared" si="6"/>
        <v>85056.294573459716</v>
      </c>
      <c r="H260" s="122">
        <f t="shared" si="6"/>
        <v>30421.948308791521</v>
      </c>
      <c r="I260" s="122">
        <f t="shared" si="6"/>
        <v>81976.96081298402</v>
      </c>
      <c r="J260" s="122">
        <f t="shared" si="6"/>
        <v>43014.061381317821</v>
      </c>
      <c r="K260" s="122">
        <f t="shared" si="6"/>
        <v>80075.236273283677</v>
      </c>
      <c r="L260" s="122">
        <f t="shared" si="6"/>
        <v>77640.75284407135</v>
      </c>
      <c r="M260" s="122">
        <f t="shared" si="6"/>
        <v>62810.981603734654</v>
      </c>
      <c r="N260" s="122">
        <f t="shared" si="6"/>
        <v>57626.068676067131</v>
      </c>
      <c r="O260" s="122">
        <f t="shared" si="6"/>
        <v>54029.046603012743</v>
      </c>
      <c r="P260" s="122">
        <f t="shared" si="6"/>
        <v>51045.91425773588</v>
      </c>
      <c r="Q260" s="122">
        <f t="shared" si="6"/>
        <v>17995.750058541325</v>
      </c>
      <c r="R260" s="122">
        <f t="shared" si="6"/>
        <v>18367.632793413064</v>
      </c>
      <c r="S260" s="122">
        <f t="shared" si="6"/>
        <v>30551.744219047971</v>
      </c>
      <c r="T260" s="122">
        <f t="shared" si="6"/>
        <v>27006.454250220118</v>
      </c>
      <c r="U260" s="122">
        <f t="shared" si="6"/>
        <v>30372.068127389604</v>
      </c>
      <c r="V260" s="122">
        <f t="shared" si="6"/>
        <v>174570.23485596522</v>
      </c>
      <c r="W260" s="122">
        <f t="shared" si="6"/>
        <v>212181.72087426306</v>
      </c>
      <c r="X260" s="122">
        <f t="shared" si="6"/>
        <v>161724.43593680402</v>
      </c>
      <c r="Y260" s="122">
        <f t="shared" si="6"/>
        <v>127532.97344127357</v>
      </c>
      <c r="Z260" s="122">
        <f t="shared" si="6"/>
        <v>127244.88051329734</v>
      </c>
      <c r="AA260" s="122">
        <f t="shared" si="6"/>
        <v>192056.33653665261</v>
      </c>
      <c r="AB260" s="122">
        <f t="shared" si="6"/>
        <v>144438.33784154576</v>
      </c>
      <c r="AC260" s="122">
        <f t="shared" si="6"/>
        <v>142985.45373135339</v>
      </c>
      <c r="AD260" s="122">
        <f t="shared" si="6"/>
        <v>131949.74543136838</v>
      </c>
      <c r="AE260" s="122">
        <f t="shared" si="6"/>
        <v>113539.73378821563</v>
      </c>
      <c r="AF260" s="122">
        <f t="shared" si="6"/>
        <v>97075.282366693486</v>
      </c>
      <c r="AG260" s="122">
        <f t="shared" si="6"/>
        <v>136293.33148492</v>
      </c>
      <c r="AH260" s="122">
        <f t="shared" si="6"/>
        <v>136225.66400849298</v>
      </c>
      <c r="AI260" s="122">
        <f t="shared" si="6"/>
        <v>84560.925665500297</v>
      </c>
      <c r="AJ260" s="122">
        <f t="shared" si="6"/>
        <v>102898.64695142278</v>
      </c>
      <c r="AK260" s="122">
        <f t="shared" si="6"/>
        <v>53372.61765506208</v>
      </c>
      <c r="AL260" s="122">
        <f t="shared" si="6"/>
        <v>92700.695173114524</v>
      </c>
      <c r="AM260" s="122">
        <f t="shared" si="6"/>
        <v>89416.390525212322</v>
      </c>
      <c r="AN260" s="122">
        <f t="shared" si="6"/>
        <v>37791.737755239898</v>
      </c>
      <c r="AO260" s="122">
        <f t="shared" si="6"/>
        <v>7114.5161483369266</v>
      </c>
      <c r="AP260" s="122">
        <f t="shared" si="6"/>
        <v>54158.290494346882</v>
      </c>
      <c r="AQ260" s="122">
        <f t="shared" si="6"/>
        <v>8556.0175754377196</v>
      </c>
      <c r="AR260" s="122">
        <f t="shared" si="6"/>
        <v>21490.871852673037</v>
      </c>
      <c r="AS260" s="122">
        <f t="shared" si="6"/>
        <v>56164.952369216277</v>
      </c>
      <c r="AT260" s="122">
        <f t="shared" si="6"/>
        <v>42424.43259981653</v>
      </c>
      <c r="AU260" s="122">
        <f t="shared" si="6"/>
        <v>2225.58976694286</v>
      </c>
      <c r="AV260" s="122">
        <f t="shared" si="6"/>
        <v>44526.731203082192</v>
      </c>
      <c r="AW260" s="122">
        <f t="shared" si="6"/>
        <v>26969.022475667371</v>
      </c>
      <c r="AX260" s="122">
        <f t="shared" si="6"/>
        <v>6086.9724588444487</v>
      </c>
      <c r="AY260" s="122">
        <f t="shared" si="6"/>
        <v>25417.331028897617</v>
      </c>
      <c r="AZ260" s="138">
        <f>SUM($D260:$AY260)</f>
        <v>3494861.9233580469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284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17</v>
      </c>
      <c r="E6">
        <v>9832.7999999999993</v>
      </c>
      <c r="F6">
        <v>26</v>
      </c>
      <c r="G6">
        <v>15038.4</v>
      </c>
      <c r="H6">
        <v>26</v>
      </c>
      <c r="I6">
        <v>15038.4</v>
      </c>
      <c r="J6">
        <v>14</v>
      </c>
      <c r="K6">
        <v>8097.5999999999995</v>
      </c>
      <c r="L6">
        <v>21</v>
      </c>
      <c r="M6">
        <v>12146.4</v>
      </c>
      <c r="N6">
        <v>26</v>
      </c>
      <c r="O6">
        <v>15038.4</v>
      </c>
      <c r="P6">
        <v>13</v>
      </c>
      <c r="Q6">
        <v>7519.2</v>
      </c>
      <c r="R6">
        <v>15</v>
      </c>
      <c r="S6">
        <v>8676</v>
      </c>
      <c r="T6">
        <v>25</v>
      </c>
      <c r="U6">
        <v>14460</v>
      </c>
      <c r="V6">
        <v>24</v>
      </c>
      <c r="W6">
        <v>13881.599999999999</v>
      </c>
      <c r="X6">
        <v>17</v>
      </c>
      <c r="Y6">
        <v>9832.7999999999993</v>
      </c>
      <c r="Z6">
        <v>24</v>
      </c>
      <c r="AA6">
        <v>13881.599999999999</v>
      </c>
      <c r="AB6">
        <v>23</v>
      </c>
      <c r="AC6">
        <v>13303.199999999999</v>
      </c>
      <c r="AD6">
        <v>23</v>
      </c>
      <c r="AE6">
        <v>13303.199999999999</v>
      </c>
      <c r="AF6">
        <v>20</v>
      </c>
      <c r="AG6">
        <v>11568</v>
      </c>
      <c r="AH6">
        <v>23</v>
      </c>
      <c r="AI6">
        <v>13303.199999999999</v>
      </c>
      <c r="AJ6">
        <v>19</v>
      </c>
      <c r="AK6">
        <v>10989.6</v>
      </c>
      <c r="AL6">
        <v>25</v>
      </c>
      <c r="AM6">
        <v>14460</v>
      </c>
      <c r="AN6">
        <v>16</v>
      </c>
      <c r="AO6">
        <v>9254.4</v>
      </c>
      <c r="AP6">
        <v>13</v>
      </c>
      <c r="AQ6">
        <v>7519.2</v>
      </c>
      <c r="AR6">
        <v>27</v>
      </c>
      <c r="AS6">
        <v>15616.8</v>
      </c>
      <c r="AT6">
        <v>20</v>
      </c>
      <c r="AU6">
        <v>11568</v>
      </c>
      <c r="AV6">
        <v>22</v>
      </c>
      <c r="AW6">
        <v>12724.8</v>
      </c>
      <c r="AX6">
        <v>17</v>
      </c>
      <c r="AY6">
        <v>9832.7999999999993</v>
      </c>
      <c r="AZ6">
        <v>24</v>
      </c>
      <c r="BA6">
        <v>13881.599999999999</v>
      </c>
      <c r="BB6">
        <v>19</v>
      </c>
      <c r="BC6">
        <v>10989.6</v>
      </c>
      <c r="BD6">
        <v>25</v>
      </c>
      <c r="BE6">
        <v>14460</v>
      </c>
      <c r="BF6">
        <v>14</v>
      </c>
      <c r="BG6">
        <v>8097.5999999999995</v>
      </c>
      <c r="BH6">
        <v>18</v>
      </c>
      <c r="BI6">
        <v>10411.199999999999</v>
      </c>
      <c r="BJ6">
        <v>25</v>
      </c>
      <c r="BK6">
        <v>14460</v>
      </c>
      <c r="BL6">
        <v>18</v>
      </c>
      <c r="BM6">
        <v>10411.199999999999</v>
      </c>
      <c r="BN6">
        <v>24</v>
      </c>
      <c r="BO6">
        <v>13881.599999999999</v>
      </c>
      <c r="BP6">
        <v>19</v>
      </c>
      <c r="BQ6">
        <v>10989.6</v>
      </c>
      <c r="BR6">
        <v>27</v>
      </c>
      <c r="BS6">
        <v>15616.8</v>
      </c>
      <c r="BT6">
        <v>21</v>
      </c>
      <c r="BU6">
        <v>12146.4</v>
      </c>
      <c r="BV6">
        <v>18</v>
      </c>
      <c r="BW6">
        <v>10411.199999999999</v>
      </c>
      <c r="BX6">
        <v>24.642997345145719</v>
      </c>
      <c r="BY6">
        <v>14253.509664432284</v>
      </c>
      <c r="BZ6">
        <v>17.205510070613304</v>
      </c>
      <c r="CA6">
        <v>9951.6670248427345</v>
      </c>
      <c r="CB6">
        <v>19.920491811888336</v>
      </c>
      <c r="CC6">
        <v>11522.012463996214</v>
      </c>
      <c r="CD6">
        <v>21.470190001296757</v>
      </c>
      <c r="CE6">
        <v>12418.357896750043</v>
      </c>
      <c r="CF6">
        <v>25.418514971091536</v>
      </c>
      <c r="CG6">
        <v>14702.069059279343</v>
      </c>
      <c r="CH6">
        <v>23.393606287220415</v>
      </c>
      <c r="CI6">
        <v>13530.861876528288</v>
      </c>
      <c r="CJ6">
        <v>24.009471078237418</v>
      </c>
      <c r="CK6">
        <v>13887.078071652522</v>
      </c>
      <c r="CL6">
        <v>23.585637382641149</v>
      </c>
      <c r="CM6">
        <v>13641.93266211964</v>
      </c>
      <c r="CN6">
        <v>19.617353893011774</v>
      </c>
      <c r="CO6">
        <v>11346.67749171801</v>
      </c>
      <c r="CP6">
        <v>23.416716076409159</v>
      </c>
      <c r="CQ6">
        <v>13544.228578595057</v>
      </c>
      <c r="CR6">
        <v>18.699890514637378</v>
      </c>
      <c r="CS6">
        <v>10816.01667366626</v>
      </c>
      <c r="CT6">
        <v>25.304865796877202</v>
      </c>
      <c r="CU6">
        <v>14636.334376913774</v>
      </c>
    </row>
    <row r="7" spans="1:99">
      <c r="C7" s="99" t="s">
        <v>174</v>
      </c>
      <c r="D7">
        <v>17</v>
      </c>
      <c r="E7">
        <v>13402.8</v>
      </c>
      <c r="F7">
        <v>25</v>
      </c>
      <c r="G7">
        <v>19710</v>
      </c>
      <c r="H7">
        <v>25</v>
      </c>
      <c r="I7">
        <v>19710</v>
      </c>
      <c r="J7">
        <v>14</v>
      </c>
      <c r="K7">
        <v>11037.6</v>
      </c>
      <c r="L7">
        <v>19</v>
      </c>
      <c r="M7">
        <v>14979.6</v>
      </c>
      <c r="N7">
        <v>22</v>
      </c>
      <c r="O7">
        <v>17344.8</v>
      </c>
      <c r="P7">
        <v>12</v>
      </c>
      <c r="Q7">
        <v>9460.7999999999993</v>
      </c>
      <c r="R7">
        <v>15</v>
      </c>
      <c r="S7">
        <v>11826</v>
      </c>
      <c r="T7">
        <v>23</v>
      </c>
      <c r="U7">
        <v>18133.2</v>
      </c>
      <c r="V7">
        <v>24</v>
      </c>
      <c r="W7">
        <v>18921.599999999999</v>
      </c>
      <c r="X7">
        <v>16</v>
      </c>
      <c r="Y7">
        <v>12614.4</v>
      </c>
      <c r="Z7">
        <v>22</v>
      </c>
      <c r="AA7">
        <v>17344.8</v>
      </c>
      <c r="AB7">
        <v>23</v>
      </c>
      <c r="AC7">
        <v>18133.2</v>
      </c>
      <c r="AD7">
        <v>23</v>
      </c>
      <c r="AE7">
        <v>18133.2</v>
      </c>
      <c r="AF7">
        <v>20</v>
      </c>
      <c r="AG7">
        <v>15768</v>
      </c>
      <c r="AH7">
        <v>21</v>
      </c>
      <c r="AI7">
        <v>16556.399999999998</v>
      </c>
      <c r="AJ7">
        <v>18</v>
      </c>
      <c r="AK7">
        <v>14191.199999999999</v>
      </c>
      <c r="AL7">
        <v>22</v>
      </c>
      <c r="AM7">
        <v>17344.8</v>
      </c>
      <c r="AN7">
        <v>16</v>
      </c>
      <c r="AO7">
        <v>12614.4</v>
      </c>
      <c r="AP7">
        <v>14</v>
      </c>
      <c r="AQ7">
        <v>11037.6</v>
      </c>
      <c r="AR7">
        <v>26</v>
      </c>
      <c r="AS7">
        <v>20498.399999999998</v>
      </c>
      <c r="AT7">
        <v>19</v>
      </c>
      <c r="AU7">
        <v>14979.6</v>
      </c>
      <c r="AV7">
        <v>22</v>
      </c>
      <c r="AW7">
        <v>17344.8</v>
      </c>
      <c r="AX7">
        <v>17</v>
      </c>
      <c r="AY7">
        <v>13402.8</v>
      </c>
      <c r="AZ7">
        <v>25</v>
      </c>
      <c r="BA7">
        <v>19710</v>
      </c>
      <c r="BB7">
        <v>18</v>
      </c>
      <c r="BC7">
        <v>14191.199999999999</v>
      </c>
      <c r="BD7">
        <v>27</v>
      </c>
      <c r="BE7">
        <v>21286.799999999999</v>
      </c>
      <c r="BF7">
        <v>15</v>
      </c>
      <c r="BG7">
        <v>11826</v>
      </c>
      <c r="BH7">
        <v>17</v>
      </c>
      <c r="BI7">
        <v>13402.8</v>
      </c>
      <c r="BJ7">
        <v>25</v>
      </c>
      <c r="BK7">
        <v>19710</v>
      </c>
      <c r="BL7">
        <v>18</v>
      </c>
      <c r="BM7">
        <v>14191.199999999999</v>
      </c>
      <c r="BN7">
        <v>24</v>
      </c>
      <c r="BO7">
        <v>18921.599999999999</v>
      </c>
      <c r="BP7">
        <v>19</v>
      </c>
      <c r="BQ7">
        <v>14979.6</v>
      </c>
      <c r="BR7">
        <v>28</v>
      </c>
      <c r="BS7">
        <v>22075.200000000001</v>
      </c>
      <c r="BT7">
        <v>20</v>
      </c>
      <c r="BU7">
        <v>15768</v>
      </c>
      <c r="BV7">
        <v>20</v>
      </c>
      <c r="BW7">
        <v>15768</v>
      </c>
      <c r="BX7">
        <v>26.538612525541541</v>
      </c>
      <c r="BY7">
        <v>20923.042115136952</v>
      </c>
      <c r="BZ7">
        <v>17.205510070613304</v>
      </c>
      <c r="CA7">
        <v>13564.824139671529</v>
      </c>
      <c r="CB7">
        <v>16.456058453299061</v>
      </c>
      <c r="CC7">
        <v>12973.95648458098</v>
      </c>
      <c r="CD7">
        <v>20.644413462785344</v>
      </c>
      <c r="CE7">
        <v>16276.055574059965</v>
      </c>
      <c r="CF7">
        <v>23.778610779408211</v>
      </c>
      <c r="CG7">
        <v>18747.056738485433</v>
      </c>
      <c r="CH7">
        <v>25.006958444959754</v>
      </c>
      <c r="CI7">
        <v>19715.486038006267</v>
      </c>
      <c r="CJ7">
        <v>22.162588687603773</v>
      </c>
      <c r="CK7">
        <v>17472.984921306816</v>
      </c>
      <c r="CL7">
        <v>21.698786392029852</v>
      </c>
      <c r="CM7">
        <v>17107.323191476335</v>
      </c>
      <c r="CN7">
        <v>20.55151360220281</v>
      </c>
      <c r="CO7">
        <v>16202.813323976696</v>
      </c>
      <c r="CP7">
        <v>19.670041504183693</v>
      </c>
      <c r="CQ7">
        <v>15507.860721898423</v>
      </c>
      <c r="CR7">
        <v>16.829901463173641</v>
      </c>
      <c r="CS7">
        <v>13268.694313566099</v>
      </c>
      <c r="CT7">
        <v>27.251393935098527</v>
      </c>
      <c r="CU7">
        <v>21484.998978431679</v>
      </c>
    </row>
    <row r="8" spans="1:99">
      <c r="C8" s="99" t="s">
        <v>175</v>
      </c>
      <c r="D8">
        <v>18</v>
      </c>
      <c r="E8">
        <v>5572.7999999999993</v>
      </c>
      <c r="F8">
        <v>23</v>
      </c>
      <c r="G8">
        <v>7120.7999999999993</v>
      </c>
      <c r="H8">
        <v>22</v>
      </c>
      <c r="I8">
        <v>6811.1999999999989</v>
      </c>
      <c r="J8">
        <v>15</v>
      </c>
      <c r="K8">
        <v>4643.9999999999991</v>
      </c>
      <c r="L8">
        <v>22</v>
      </c>
      <c r="M8">
        <v>6811.1999999999989</v>
      </c>
      <c r="N8">
        <v>24</v>
      </c>
      <c r="O8">
        <v>7430.4</v>
      </c>
      <c r="P8">
        <v>15</v>
      </c>
      <c r="Q8">
        <v>4643.9999999999991</v>
      </c>
      <c r="R8">
        <v>14</v>
      </c>
      <c r="S8">
        <v>4334.3999999999996</v>
      </c>
      <c r="T8">
        <v>26</v>
      </c>
      <c r="U8">
        <v>8049.5999999999995</v>
      </c>
      <c r="V8">
        <v>26</v>
      </c>
      <c r="W8">
        <v>8049.5999999999995</v>
      </c>
      <c r="X8">
        <v>18</v>
      </c>
      <c r="Y8">
        <v>5572.7999999999993</v>
      </c>
      <c r="Z8">
        <v>24</v>
      </c>
      <c r="AA8">
        <v>7430.4</v>
      </c>
      <c r="AB8">
        <v>23</v>
      </c>
      <c r="AC8">
        <v>7120.7999999999993</v>
      </c>
      <c r="AD8">
        <v>24</v>
      </c>
      <c r="AE8">
        <v>7430.4</v>
      </c>
      <c r="AF8">
        <v>21</v>
      </c>
      <c r="AG8">
        <v>6501.5999999999995</v>
      </c>
      <c r="AH8">
        <v>25</v>
      </c>
      <c r="AI8">
        <v>7739.9999999999991</v>
      </c>
      <c r="AJ8">
        <v>22</v>
      </c>
      <c r="AK8">
        <v>6811.1999999999989</v>
      </c>
      <c r="AL8">
        <v>24</v>
      </c>
      <c r="AM8">
        <v>7430.4</v>
      </c>
      <c r="AN8">
        <v>17</v>
      </c>
      <c r="AO8">
        <v>5263.2</v>
      </c>
      <c r="AP8">
        <v>16</v>
      </c>
      <c r="AQ8">
        <v>4953.5999999999995</v>
      </c>
      <c r="AR8">
        <v>31</v>
      </c>
      <c r="AS8">
        <v>9597.5999999999985</v>
      </c>
      <c r="AT8">
        <v>22</v>
      </c>
      <c r="AU8">
        <v>6811.1999999999989</v>
      </c>
      <c r="AV8">
        <v>23</v>
      </c>
      <c r="AW8">
        <v>7120.7999999999993</v>
      </c>
      <c r="AX8">
        <v>17</v>
      </c>
      <c r="AY8">
        <v>5263.2</v>
      </c>
      <c r="AZ8">
        <v>24</v>
      </c>
      <c r="BA8">
        <v>7430.4</v>
      </c>
      <c r="BB8">
        <v>19</v>
      </c>
      <c r="BC8">
        <v>5882.4</v>
      </c>
      <c r="BD8">
        <v>26</v>
      </c>
      <c r="BE8">
        <v>8049.5999999999995</v>
      </c>
      <c r="BF8">
        <v>15</v>
      </c>
      <c r="BG8">
        <v>4643.9999999999991</v>
      </c>
      <c r="BH8">
        <v>18</v>
      </c>
      <c r="BI8">
        <v>5572.7999999999993</v>
      </c>
      <c r="BJ8">
        <v>25</v>
      </c>
      <c r="BK8">
        <v>7739.9999999999991</v>
      </c>
      <c r="BL8">
        <v>21</v>
      </c>
      <c r="BM8">
        <v>6501.5999999999995</v>
      </c>
      <c r="BN8">
        <v>25</v>
      </c>
      <c r="BO8">
        <v>7739.9999999999991</v>
      </c>
      <c r="BP8">
        <v>23</v>
      </c>
      <c r="BQ8">
        <v>7120.7999999999993</v>
      </c>
      <c r="BR8">
        <v>28</v>
      </c>
      <c r="BS8">
        <v>8668.7999999999993</v>
      </c>
      <c r="BT8">
        <v>21</v>
      </c>
      <c r="BU8">
        <v>6501.5999999999995</v>
      </c>
      <c r="BV8">
        <v>19</v>
      </c>
      <c r="BW8">
        <v>5882.4</v>
      </c>
      <c r="BX8">
        <v>31.277650476531104</v>
      </c>
      <c r="BY8">
        <v>9683.5605875340279</v>
      </c>
      <c r="BZ8">
        <v>17.205510070613304</v>
      </c>
      <c r="CA8">
        <v>5326.8259178618782</v>
      </c>
      <c r="CB8">
        <v>18.188275132593695</v>
      </c>
      <c r="CC8">
        <v>5631.0899810510073</v>
      </c>
      <c r="CD8">
        <v>24.773296155342415</v>
      </c>
      <c r="CE8">
        <v>7669.8124896940108</v>
      </c>
      <c r="CF8">
        <v>24.598562875249876</v>
      </c>
      <c r="CG8">
        <v>7615.7150661773603</v>
      </c>
      <c r="CH8">
        <v>25.813634523829421</v>
      </c>
      <c r="CI8">
        <v>7991.9012485775875</v>
      </c>
      <c r="CJ8">
        <v>24.932912273554244</v>
      </c>
      <c r="CK8">
        <v>7719.2296398923927</v>
      </c>
      <c r="CL8">
        <v>25.472488373252439</v>
      </c>
      <c r="CM8">
        <v>7886.282400358954</v>
      </c>
      <c r="CN8">
        <v>19.617353893011774</v>
      </c>
      <c r="CO8">
        <v>6073.5327652764445</v>
      </c>
      <c r="CP8">
        <v>22.480047433352794</v>
      </c>
      <c r="CQ8">
        <v>6959.8226853660244</v>
      </c>
      <c r="CR8">
        <v>19.634885040369245</v>
      </c>
      <c r="CS8">
        <v>6078.9604084983175</v>
      </c>
      <c r="CT8">
        <v>27.251393935098527</v>
      </c>
      <c r="CU8">
        <v>8437.0315623065035</v>
      </c>
    </row>
    <row r="9" spans="1:99">
      <c r="C9" s="99" t="s">
        <v>176</v>
      </c>
      <c r="D9">
        <v>15</v>
      </c>
      <c r="E9">
        <v>10530</v>
      </c>
      <c r="F9">
        <v>25</v>
      </c>
      <c r="G9">
        <v>17550</v>
      </c>
      <c r="H9">
        <v>22</v>
      </c>
      <c r="I9">
        <v>15444</v>
      </c>
      <c r="J9">
        <v>13</v>
      </c>
      <c r="K9">
        <v>9126</v>
      </c>
      <c r="L9">
        <v>21</v>
      </c>
      <c r="M9">
        <v>14742</v>
      </c>
      <c r="N9">
        <v>24</v>
      </c>
      <c r="O9">
        <v>16848</v>
      </c>
      <c r="P9">
        <v>12</v>
      </c>
      <c r="Q9">
        <v>8424</v>
      </c>
      <c r="R9">
        <v>13</v>
      </c>
      <c r="S9">
        <v>9126</v>
      </c>
      <c r="T9">
        <v>24</v>
      </c>
      <c r="U9">
        <v>16848</v>
      </c>
      <c r="V9">
        <v>26</v>
      </c>
      <c r="W9">
        <v>18252</v>
      </c>
      <c r="X9">
        <v>17</v>
      </c>
      <c r="Y9">
        <v>11934</v>
      </c>
      <c r="Z9">
        <v>24</v>
      </c>
      <c r="AA9">
        <v>16848</v>
      </c>
      <c r="AB9">
        <v>24</v>
      </c>
      <c r="AC9">
        <v>16848</v>
      </c>
      <c r="AD9">
        <v>24</v>
      </c>
      <c r="AE9">
        <v>16848</v>
      </c>
      <c r="AF9">
        <v>18</v>
      </c>
      <c r="AG9">
        <v>12636</v>
      </c>
      <c r="AH9">
        <v>22</v>
      </c>
      <c r="AI9">
        <v>15444</v>
      </c>
      <c r="AJ9">
        <v>20</v>
      </c>
      <c r="AK9">
        <v>14040</v>
      </c>
      <c r="AL9">
        <v>22</v>
      </c>
      <c r="AM9">
        <v>15444</v>
      </c>
      <c r="AN9">
        <v>14</v>
      </c>
      <c r="AO9">
        <v>9828</v>
      </c>
      <c r="AP9">
        <v>15</v>
      </c>
      <c r="AQ9">
        <v>10530</v>
      </c>
      <c r="AR9">
        <v>26</v>
      </c>
      <c r="AS9">
        <v>18252</v>
      </c>
      <c r="AT9">
        <v>19</v>
      </c>
      <c r="AU9">
        <v>13338</v>
      </c>
      <c r="AV9">
        <v>20</v>
      </c>
      <c r="AW9">
        <v>14040</v>
      </c>
      <c r="AX9">
        <v>15</v>
      </c>
      <c r="AY9">
        <v>10530</v>
      </c>
      <c r="AZ9">
        <v>22</v>
      </c>
      <c r="BA9">
        <v>15444</v>
      </c>
      <c r="BB9">
        <v>17</v>
      </c>
      <c r="BC9">
        <v>11934</v>
      </c>
      <c r="BD9">
        <v>24</v>
      </c>
      <c r="BE9">
        <v>16848</v>
      </c>
      <c r="BF9">
        <v>13</v>
      </c>
      <c r="BG9">
        <v>9126</v>
      </c>
      <c r="BH9">
        <v>17</v>
      </c>
      <c r="BI9">
        <v>11934</v>
      </c>
      <c r="BJ9">
        <v>24</v>
      </c>
      <c r="BK9">
        <v>16848</v>
      </c>
      <c r="BL9">
        <v>17</v>
      </c>
      <c r="BM9">
        <v>11934</v>
      </c>
      <c r="BN9">
        <v>25</v>
      </c>
      <c r="BO9">
        <v>17550</v>
      </c>
      <c r="BP9">
        <v>22</v>
      </c>
      <c r="BQ9">
        <v>15444</v>
      </c>
      <c r="BR9">
        <v>27</v>
      </c>
      <c r="BS9">
        <v>18954</v>
      </c>
      <c r="BT9">
        <v>22</v>
      </c>
      <c r="BU9">
        <v>15444</v>
      </c>
      <c r="BV9">
        <v>21</v>
      </c>
      <c r="BW9">
        <v>14742</v>
      </c>
      <c r="BX9">
        <v>24.642997345145719</v>
      </c>
      <c r="BY9">
        <v>17299.384136292294</v>
      </c>
      <c r="BZ9">
        <v>18.024820073975839</v>
      </c>
      <c r="CA9">
        <v>12653.423691931039</v>
      </c>
      <c r="CB9">
        <v>18.188275132593695</v>
      </c>
      <c r="CC9">
        <v>12768.169143080773</v>
      </c>
      <c r="CD9">
        <v>22.295966539808173</v>
      </c>
      <c r="CE9">
        <v>15651.768510945338</v>
      </c>
      <c r="CF9">
        <v>23.778610779408211</v>
      </c>
      <c r="CG9">
        <v>16692.584767144563</v>
      </c>
      <c r="CH9">
        <v>23.393606287220415</v>
      </c>
      <c r="CI9">
        <v>16422.311613628732</v>
      </c>
      <c r="CJ9">
        <v>24.009471078237418</v>
      </c>
      <c r="CK9">
        <v>16854.648696922668</v>
      </c>
      <c r="CL9">
        <v>23.585637382641149</v>
      </c>
      <c r="CM9">
        <v>16557.117442614086</v>
      </c>
      <c r="CN9">
        <v>20.55151360220281</v>
      </c>
      <c r="CO9">
        <v>14427.162548746373</v>
      </c>
      <c r="CP9">
        <v>21.54337879029643</v>
      </c>
      <c r="CQ9">
        <v>15123.451910788093</v>
      </c>
      <c r="CR9">
        <v>16.829901463173641</v>
      </c>
      <c r="CS9">
        <v>11814.590827147897</v>
      </c>
      <c r="CT9">
        <v>26.278129865987868</v>
      </c>
      <c r="CU9">
        <v>18447.247165923483</v>
      </c>
    </row>
    <row r="10" spans="1:99">
      <c r="C10" s="99" t="s">
        <v>177</v>
      </c>
      <c r="D10">
        <v>15</v>
      </c>
      <c r="E10">
        <v>8171.9999999999991</v>
      </c>
      <c r="F10">
        <v>24</v>
      </c>
      <c r="G10">
        <v>13075.199999999999</v>
      </c>
      <c r="H10">
        <v>24</v>
      </c>
      <c r="I10">
        <v>13075.199999999999</v>
      </c>
      <c r="J10">
        <v>13</v>
      </c>
      <c r="K10">
        <v>7082.4</v>
      </c>
      <c r="L10">
        <v>22</v>
      </c>
      <c r="M10">
        <v>11985.599999999999</v>
      </c>
      <c r="N10">
        <v>25</v>
      </c>
      <c r="O10">
        <v>13619.999999999998</v>
      </c>
      <c r="P10">
        <v>13</v>
      </c>
      <c r="Q10">
        <v>7082.4</v>
      </c>
      <c r="R10">
        <v>15</v>
      </c>
      <c r="S10">
        <v>8171.9999999999991</v>
      </c>
      <c r="T10">
        <v>25</v>
      </c>
      <c r="U10">
        <v>13619.999999999998</v>
      </c>
      <c r="V10">
        <v>28</v>
      </c>
      <c r="W10">
        <v>15254.399999999998</v>
      </c>
      <c r="X10">
        <v>18</v>
      </c>
      <c r="Y10">
        <v>9806.4</v>
      </c>
      <c r="Z10">
        <v>24</v>
      </c>
      <c r="AA10">
        <v>13075.199999999999</v>
      </c>
      <c r="AB10">
        <v>24</v>
      </c>
      <c r="AC10">
        <v>13075.199999999999</v>
      </c>
      <c r="AD10">
        <v>22</v>
      </c>
      <c r="AE10">
        <v>11985.599999999999</v>
      </c>
      <c r="AF10">
        <v>19</v>
      </c>
      <c r="AG10">
        <v>10351.199999999999</v>
      </c>
      <c r="AH10">
        <v>21</v>
      </c>
      <c r="AI10">
        <v>11440.8</v>
      </c>
      <c r="AJ10">
        <v>20</v>
      </c>
      <c r="AK10">
        <v>10896</v>
      </c>
      <c r="AL10">
        <v>25</v>
      </c>
      <c r="AM10">
        <v>13619.999999999998</v>
      </c>
      <c r="AN10">
        <v>15</v>
      </c>
      <c r="AO10">
        <v>8171.9999999999991</v>
      </c>
      <c r="AP10">
        <v>15</v>
      </c>
      <c r="AQ10">
        <v>8171.9999999999991</v>
      </c>
      <c r="AR10">
        <v>30</v>
      </c>
      <c r="AS10">
        <v>16343.999999999998</v>
      </c>
      <c r="AT10">
        <v>23</v>
      </c>
      <c r="AU10">
        <v>12530.4</v>
      </c>
      <c r="AV10">
        <v>19</v>
      </c>
      <c r="AW10">
        <v>10351.199999999999</v>
      </c>
      <c r="AX10">
        <v>17</v>
      </c>
      <c r="AY10">
        <v>9261.5999999999985</v>
      </c>
      <c r="AZ10">
        <v>25</v>
      </c>
      <c r="BA10">
        <v>13619.999999999998</v>
      </c>
      <c r="BB10">
        <v>17</v>
      </c>
      <c r="BC10">
        <v>9261.5999999999985</v>
      </c>
      <c r="BD10">
        <v>26</v>
      </c>
      <c r="BE10">
        <v>14164.8</v>
      </c>
      <c r="BF10">
        <v>14</v>
      </c>
      <c r="BG10">
        <v>7627.1999999999989</v>
      </c>
      <c r="BH10">
        <v>17</v>
      </c>
      <c r="BI10">
        <v>9261.5999999999985</v>
      </c>
      <c r="BJ10">
        <v>23</v>
      </c>
      <c r="BK10">
        <v>12530.4</v>
      </c>
      <c r="BL10">
        <v>20</v>
      </c>
      <c r="BM10">
        <v>10896</v>
      </c>
      <c r="BN10">
        <v>23</v>
      </c>
      <c r="BO10">
        <v>12530.4</v>
      </c>
      <c r="BP10">
        <v>19</v>
      </c>
      <c r="BQ10">
        <v>10351.199999999999</v>
      </c>
      <c r="BR10">
        <v>29</v>
      </c>
      <c r="BS10">
        <v>15799.199999999999</v>
      </c>
      <c r="BT10">
        <v>22</v>
      </c>
      <c r="BU10">
        <v>11985.599999999999</v>
      </c>
      <c r="BV10">
        <v>20</v>
      </c>
      <c r="BW10">
        <v>10896</v>
      </c>
      <c r="BX10">
        <v>26.538612525541541</v>
      </c>
      <c r="BY10">
        <v>14458.236103915031</v>
      </c>
      <c r="BZ10">
        <v>18.024820073975839</v>
      </c>
      <c r="CA10">
        <v>9819.9219763020355</v>
      </c>
      <c r="CB10">
        <v>19.054383472241017</v>
      </c>
      <c r="CC10">
        <v>10380.828115676906</v>
      </c>
      <c r="CD10">
        <v>23.121743078319586</v>
      </c>
      <c r="CE10">
        <v>12596.725629068509</v>
      </c>
      <c r="CF10">
        <v>26.238467066933197</v>
      </c>
      <c r="CG10">
        <v>14294.716858065205</v>
      </c>
      <c r="CH10">
        <v>25.813634523829421</v>
      </c>
      <c r="CI10">
        <v>14063.268088582268</v>
      </c>
      <c r="CJ10">
        <v>24.932912273554244</v>
      </c>
      <c r="CK10">
        <v>13583.45060663235</v>
      </c>
      <c r="CL10">
        <v>23.585637382641149</v>
      </c>
      <c r="CM10">
        <v>12849.455246062897</v>
      </c>
      <c r="CN10">
        <v>22.419833020584885</v>
      </c>
      <c r="CO10">
        <v>12214.325029614645</v>
      </c>
      <c r="CP10">
        <v>23.416716076409159</v>
      </c>
      <c r="CQ10">
        <v>12757.426918427709</v>
      </c>
      <c r="CR10">
        <v>17.764895988905508</v>
      </c>
      <c r="CS10">
        <v>9678.31533475572</v>
      </c>
      <c r="CT10">
        <v>24.331601727766543</v>
      </c>
      <c r="CU10">
        <v>13255.856621287212</v>
      </c>
    </row>
    <row r="11" spans="1:99">
      <c r="C11" s="99" t="s">
        <v>178</v>
      </c>
      <c r="D11">
        <v>18</v>
      </c>
      <c r="E11">
        <v>9590.4</v>
      </c>
      <c r="F11">
        <v>23</v>
      </c>
      <c r="G11">
        <v>12254.4</v>
      </c>
      <c r="H11">
        <v>26</v>
      </c>
      <c r="I11">
        <v>13852.8</v>
      </c>
      <c r="J11">
        <v>15</v>
      </c>
      <c r="K11">
        <v>7991.9999999999991</v>
      </c>
      <c r="L11">
        <v>23</v>
      </c>
      <c r="M11">
        <v>12254.4</v>
      </c>
      <c r="N11">
        <v>26</v>
      </c>
      <c r="O11">
        <v>13852.8</v>
      </c>
      <c r="P11">
        <v>13</v>
      </c>
      <c r="Q11">
        <v>6926.4</v>
      </c>
      <c r="R11">
        <v>16</v>
      </c>
      <c r="S11">
        <v>8524.7999999999993</v>
      </c>
      <c r="T11">
        <v>22</v>
      </c>
      <c r="U11">
        <v>11721.599999999999</v>
      </c>
      <c r="V11">
        <v>28</v>
      </c>
      <c r="W11">
        <v>14918.399999999998</v>
      </c>
      <c r="X11">
        <v>18</v>
      </c>
      <c r="Y11">
        <v>9590.4</v>
      </c>
      <c r="Z11">
        <v>25</v>
      </c>
      <c r="AA11">
        <v>13319.999999999998</v>
      </c>
      <c r="AB11">
        <v>26</v>
      </c>
      <c r="AC11">
        <v>13852.8</v>
      </c>
      <c r="AD11">
        <v>24</v>
      </c>
      <c r="AE11">
        <v>12787.199999999999</v>
      </c>
      <c r="AF11">
        <v>19</v>
      </c>
      <c r="AG11">
        <v>10123.199999999999</v>
      </c>
      <c r="AH11">
        <v>23</v>
      </c>
      <c r="AI11">
        <v>12254.4</v>
      </c>
      <c r="AJ11">
        <v>19</v>
      </c>
      <c r="AK11">
        <v>10123.199999999999</v>
      </c>
      <c r="AL11">
        <v>22</v>
      </c>
      <c r="AM11">
        <v>11721.599999999999</v>
      </c>
      <c r="AN11">
        <v>17</v>
      </c>
      <c r="AO11">
        <v>9057.5999999999985</v>
      </c>
      <c r="AP11">
        <v>14</v>
      </c>
      <c r="AQ11">
        <v>7459.1999999999989</v>
      </c>
      <c r="AR11">
        <v>28</v>
      </c>
      <c r="AS11">
        <v>14918.399999999998</v>
      </c>
      <c r="AT11">
        <v>20</v>
      </c>
      <c r="AU11">
        <v>10656</v>
      </c>
      <c r="AV11">
        <v>23</v>
      </c>
      <c r="AW11">
        <v>12254.4</v>
      </c>
      <c r="AX11">
        <v>16</v>
      </c>
      <c r="AY11">
        <v>8524.7999999999993</v>
      </c>
      <c r="AZ11">
        <v>26</v>
      </c>
      <c r="BA11">
        <v>13852.8</v>
      </c>
      <c r="BB11">
        <v>18</v>
      </c>
      <c r="BC11">
        <v>9590.4</v>
      </c>
      <c r="BD11">
        <v>25</v>
      </c>
      <c r="BE11">
        <v>13319.999999999998</v>
      </c>
      <c r="BF11">
        <v>16</v>
      </c>
      <c r="BG11">
        <v>8524.7999999999993</v>
      </c>
      <c r="BH11">
        <v>19</v>
      </c>
      <c r="BI11">
        <v>10123.199999999999</v>
      </c>
      <c r="BJ11">
        <v>24</v>
      </c>
      <c r="BK11">
        <v>12787.199999999999</v>
      </c>
      <c r="BL11">
        <v>17</v>
      </c>
      <c r="BM11">
        <v>9057.5999999999985</v>
      </c>
      <c r="BN11">
        <v>24</v>
      </c>
      <c r="BO11">
        <v>12787.199999999999</v>
      </c>
      <c r="BP11">
        <v>20</v>
      </c>
      <c r="BQ11">
        <v>10656</v>
      </c>
      <c r="BR11">
        <v>27</v>
      </c>
      <c r="BS11">
        <v>14385.599999999999</v>
      </c>
      <c r="BT11">
        <v>20</v>
      </c>
      <c r="BU11">
        <v>10656</v>
      </c>
      <c r="BV11">
        <v>19</v>
      </c>
      <c r="BW11">
        <v>10123.199999999999</v>
      </c>
      <c r="BX11">
        <v>26.538612525541541</v>
      </c>
      <c r="BY11">
        <v>14139.772753608531</v>
      </c>
      <c r="BZ11">
        <v>18.024820073975839</v>
      </c>
      <c r="CA11">
        <v>9603.6241354143258</v>
      </c>
      <c r="CB11">
        <v>18.188275132593695</v>
      </c>
      <c r="CC11">
        <v>9690.7129906459195</v>
      </c>
      <c r="CD11">
        <v>23.947519616831002</v>
      </c>
      <c r="CE11">
        <v>12759.238451847557</v>
      </c>
      <c r="CF11">
        <v>27.058419162774861</v>
      </c>
      <c r="CG11">
        <v>14416.725729926444</v>
      </c>
      <c r="CH11">
        <v>24.200282366090082</v>
      </c>
      <c r="CI11">
        <v>12893.910444652794</v>
      </c>
      <c r="CJ11">
        <v>24.009471078237418</v>
      </c>
      <c r="CK11">
        <v>12792.246190484895</v>
      </c>
      <c r="CL11">
        <v>22.642211887335502</v>
      </c>
      <c r="CM11">
        <v>12063.770493572354</v>
      </c>
      <c r="CN11">
        <v>19.617353893011774</v>
      </c>
      <c r="CO11">
        <v>10452.126154196672</v>
      </c>
      <c r="CP11">
        <v>19.670041504183693</v>
      </c>
      <c r="CQ11">
        <v>10480.198113429071</v>
      </c>
      <c r="CR11">
        <v>19.634885040369245</v>
      </c>
      <c r="CS11">
        <v>10461.466749508732</v>
      </c>
      <c r="CT11">
        <v>27.251393935098527</v>
      </c>
      <c r="CU11">
        <v>14519.542688620493</v>
      </c>
    </row>
    <row r="12" spans="1:99">
      <c r="C12" s="99" t="s">
        <v>179</v>
      </c>
      <c r="D12">
        <v>16</v>
      </c>
      <c r="E12">
        <v>9004.7999999999993</v>
      </c>
      <c r="F12">
        <v>24</v>
      </c>
      <c r="G12">
        <v>13507.199999999999</v>
      </c>
      <c r="H12">
        <v>24</v>
      </c>
      <c r="I12">
        <v>13507.199999999999</v>
      </c>
      <c r="J12">
        <v>15</v>
      </c>
      <c r="K12">
        <v>8442</v>
      </c>
      <c r="L12">
        <v>22</v>
      </c>
      <c r="M12">
        <v>12381.599999999999</v>
      </c>
      <c r="N12">
        <v>26</v>
      </c>
      <c r="O12">
        <v>14632.8</v>
      </c>
      <c r="P12">
        <v>13</v>
      </c>
      <c r="Q12">
        <v>7316.4</v>
      </c>
      <c r="R12">
        <v>15</v>
      </c>
      <c r="S12">
        <v>8442</v>
      </c>
      <c r="T12">
        <v>22</v>
      </c>
      <c r="U12">
        <v>12381.599999999999</v>
      </c>
      <c r="V12">
        <v>26</v>
      </c>
      <c r="W12">
        <v>14632.8</v>
      </c>
      <c r="X12">
        <v>17</v>
      </c>
      <c r="Y12">
        <v>9567.5999999999985</v>
      </c>
      <c r="Z12">
        <v>23</v>
      </c>
      <c r="AA12">
        <v>12944.4</v>
      </c>
      <c r="AB12">
        <v>26</v>
      </c>
      <c r="AC12">
        <v>14632.8</v>
      </c>
      <c r="AD12">
        <v>21</v>
      </c>
      <c r="AE12">
        <v>11818.8</v>
      </c>
      <c r="AF12">
        <v>19</v>
      </c>
      <c r="AG12">
        <v>10693.199999999999</v>
      </c>
      <c r="AH12">
        <v>23</v>
      </c>
      <c r="AI12">
        <v>12944.4</v>
      </c>
      <c r="AJ12">
        <v>20</v>
      </c>
      <c r="AK12">
        <v>11256</v>
      </c>
      <c r="AL12">
        <v>24</v>
      </c>
      <c r="AM12">
        <v>13507.199999999999</v>
      </c>
      <c r="AN12">
        <v>17</v>
      </c>
      <c r="AO12">
        <v>9567.5999999999985</v>
      </c>
      <c r="AP12">
        <v>14</v>
      </c>
      <c r="AQ12">
        <v>7879.1999999999989</v>
      </c>
      <c r="AR12">
        <v>28</v>
      </c>
      <c r="AS12">
        <v>15758.399999999998</v>
      </c>
      <c r="AT12">
        <v>22</v>
      </c>
      <c r="AU12">
        <v>12381.599999999999</v>
      </c>
      <c r="AV12">
        <v>22</v>
      </c>
      <c r="AW12">
        <v>12381.599999999999</v>
      </c>
      <c r="AX12">
        <v>18</v>
      </c>
      <c r="AY12">
        <v>10130.4</v>
      </c>
      <c r="AZ12">
        <v>24</v>
      </c>
      <c r="BA12">
        <v>13507.199999999999</v>
      </c>
      <c r="BB12">
        <v>18</v>
      </c>
      <c r="BC12">
        <v>10130.4</v>
      </c>
      <c r="BD12">
        <v>24</v>
      </c>
      <c r="BE12">
        <v>13507.199999999999</v>
      </c>
      <c r="BF12">
        <v>14</v>
      </c>
      <c r="BG12">
        <v>7879.1999999999989</v>
      </c>
      <c r="BH12">
        <v>19</v>
      </c>
      <c r="BI12">
        <v>10693.199999999999</v>
      </c>
      <c r="BJ12">
        <v>25</v>
      </c>
      <c r="BK12">
        <v>14069.999999999998</v>
      </c>
      <c r="BL12">
        <v>18</v>
      </c>
      <c r="BM12">
        <v>10130.4</v>
      </c>
      <c r="BN12">
        <v>23</v>
      </c>
      <c r="BO12">
        <v>12944.4</v>
      </c>
      <c r="BP12">
        <v>22</v>
      </c>
      <c r="BQ12">
        <v>12381.599999999999</v>
      </c>
      <c r="BR12">
        <v>31</v>
      </c>
      <c r="BS12">
        <v>17446.8</v>
      </c>
      <c r="BT12">
        <v>20</v>
      </c>
      <c r="BU12">
        <v>11256</v>
      </c>
      <c r="BV12">
        <v>20</v>
      </c>
      <c r="BW12">
        <v>11256</v>
      </c>
      <c r="BX12">
        <v>26.538612525541541</v>
      </c>
      <c r="BY12">
        <v>14935.931129374778</v>
      </c>
      <c r="BZ12">
        <v>17.205510070613304</v>
      </c>
      <c r="CA12">
        <v>9683.2610677411667</v>
      </c>
      <c r="CB12">
        <v>19.054383472241017</v>
      </c>
      <c r="CC12">
        <v>10723.807018177244</v>
      </c>
      <c r="CD12">
        <v>23.121743078319586</v>
      </c>
      <c r="CE12">
        <v>13012.917004478262</v>
      </c>
      <c r="CF12">
        <v>26.238467066933197</v>
      </c>
      <c r="CG12">
        <v>14767.009265270002</v>
      </c>
      <c r="CH12">
        <v>23.393606287220415</v>
      </c>
      <c r="CI12">
        <v>13165.921618447648</v>
      </c>
      <c r="CJ12">
        <v>23.086029882920595</v>
      </c>
      <c r="CK12">
        <v>12992.817618107711</v>
      </c>
      <c r="CL12">
        <v>24.529062877946796</v>
      </c>
      <c r="CM12">
        <v>13804.956587708455</v>
      </c>
      <c r="CN12">
        <v>22.419833020584885</v>
      </c>
      <c r="CO12">
        <v>12617.882023985172</v>
      </c>
      <c r="CP12">
        <v>22.480047433352794</v>
      </c>
      <c r="CQ12">
        <v>12651.770695490952</v>
      </c>
      <c r="CR12">
        <v>19.634885040369245</v>
      </c>
      <c r="CS12">
        <v>11050.513300719809</v>
      </c>
      <c r="CT12">
        <v>25.304865796877202</v>
      </c>
      <c r="CU12">
        <v>14241.578470482487</v>
      </c>
    </row>
    <row r="13" spans="1:99">
      <c r="C13" s="99" t="s">
        <v>180</v>
      </c>
      <c r="D13">
        <v>17</v>
      </c>
      <c r="E13">
        <v>1448.4</v>
      </c>
      <c r="F13">
        <v>28</v>
      </c>
      <c r="G13">
        <v>2385.6</v>
      </c>
      <c r="H13">
        <v>23</v>
      </c>
      <c r="I13">
        <v>1959.6000000000001</v>
      </c>
      <c r="J13">
        <v>14</v>
      </c>
      <c r="K13">
        <v>1192.8</v>
      </c>
      <c r="L13">
        <v>21</v>
      </c>
      <c r="M13">
        <v>1789.2</v>
      </c>
      <c r="N13">
        <v>27</v>
      </c>
      <c r="O13">
        <v>2300.4</v>
      </c>
      <c r="P13">
        <v>13</v>
      </c>
      <c r="Q13">
        <v>1107.6000000000001</v>
      </c>
      <c r="R13">
        <v>15</v>
      </c>
      <c r="S13">
        <v>1278</v>
      </c>
      <c r="T13">
        <v>23</v>
      </c>
      <c r="U13">
        <v>1959.6000000000001</v>
      </c>
      <c r="V13">
        <v>28</v>
      </c>
      <c r="W13">
        <v>2385.6</v>
      </c>
      <c r="X13">
        <v>18</v>
      </c>
      <c r="Y13">
        <v>1533.6000000000001</v>
      </c>
      <c r="Z13">
        <v>23</v>
      </c>
      <c r="AA13">
        <v>1959.6000000000001</v>
      </c>
      <c r="AB13">
        <v>27</v>
      </c>
      <c r="AC13">
        <v>2300.4</v>
      </c>
      <c r="AD13">
        <v>23</v>
      </c>
      <c r="AE13">
        <v>1959.6000000000001</v>
      </c>
      <c r="AF13">
        <v>22</v>
      </c>
      <c r="AG13">
        <v>1874.4</v>
      </c>
      <c r="AH13">
        <v>22</v>
      </c>
      <c r="AI13">
        <v>1874.4</v>
      </c>
      <c r="AJ13">
        <v>22</v>
      </c>
      <c r="AK13">
        <v>1874.4</v>
      </c>
      <c r="AL13">
        <v>23</v>
      </c>
      <c r="AM13">
        <v>1959.6000000000001</v>
      </c>
      <c r="AN13">
        <v>15</v>
      </c>
      <c r="AO13">
        <v>1278</v>
      </c>
      <c r="AP13">
        <v>15</v>
      </c>
      <c r="AQ13">
        <v>1278</v>
      </c>
      <c r="AR13">
        <v>31</v>
      </c>
      <c r="AS13">
        <v>2641.2000000000003</v>
      </c>
      <c r="AT13">
        <v>23</v>
      </c>
      <c r="AU13">
        <v>1959.6000000000001</v>
      </c>
      <c r="AV13">
        <v>24</v>
      </c>
      <c r="AW13">
        <v>2044.8000000000002</v>
      </c>
      <c r="AX13">
        <v>17</v>
      </c>
      <c r="AY13">
        <v>1448.4</v>
      </c>
      <c r="AZ13">
        <v>28</v>
      </c>
      <c r="BA13">
        <v>2385.6</v>
      </c>
      <c r="BB13">
        <v>20</v>
      </c>
      <c r="BC13">
        <v>1704</v>
      </c>
      <c r="BD13">
        <v>28</v>
      </c>
      <c r="BE13">
        <v>2385.6</v>
      </c>
      <c r="BF13">
        <v>15</v>
      </c>
      <c r="BG13">
        <v>1278</v>
      </c>
      <c r="BH13">
        <v>21</v>
      </c>
      <c r="BI13">
        <v>1789.2</v>
      </c>
      <c r="BJ13">
        <v>26</v>
      </c>
      <c r="BK13">
        <v>2215.2000000000003</v>
      </c>
      <c r="BL13">
        <v>19</v>
      </c>
      <c r="BM13">
        <v>1618.8</v>
      </c>
      <c r="BN13">
        <v>25</v>
      </c>
      <c r="BO13">
        <v>2130</v>
      </c>
      <c r="BP13">
        <v>24</v>
      </c>
      <c r="BQ13">
        <v>2044.8000000000002</v>
      </c>
      <c r="BR13">
        <v>31</v>
      </c>
      <c r="BS13">
        <v>2641.2000000000003</v>
      </c>
      <c r="BT13">
        <v>21</v>
      </c>
      <c r="BU13">
        <v>1789.2</v>
      </c>
      <c r="BV13">
        <v>22</v>
      </c>
      <c r="BW13">
        <v>1874.4</v>
      </c>
      <c r="BX13">
        <v>31.277650476531104</v>
      </c>
      <c r="BY13">
        <v>2664.85582060045</v>
      </c>
      <c r="BZ13">
        <v>19.663440080700919</v>
      </c>
      <c r="CA13">
        <v>1675.3250948757184</v>
      </c>
      <c r="CB13">
        <v>19.054383472241017</v>
      </c>
      <c r="CC13">
        <v>1623.4334718349348</v>
      </c>
      <c r="CD13">
        <v>24.773296155342415</v>
      </c>
      <c r="CE13">
        <v>2110.6848324351736</v>
      </c>
      <c r="CF13">
        <v>29.51827545029985</v>
      </c>
      <c r="CG13">
        <v>2514.9570683655475</v>
      </c>
      <c r="CH13">
        <v>28.233662760438431</v>
      </c>
      <c r="CI13">
        <v>2405.5080671893543</v>
      </c>
      <c r="CJ13">
        <v>24.932912273554244</v>
      </c>
      <c r="CK13">
        <v>2124.2841257068217</v>
      </c>
      <c r="CL13">
        <v>24.529062877946796</v>
      </c>
      <c r="CM13">
        <v>2089.8761572010671</v>
      </c>
      <c r="CN13">
        <v>21.48567331139385</v>
      </c>
      <c r="CO13">
        <v>1830.5793661307559</v>
      </c>
      <c r="CP13">
        <v>24.353384719465527</v>
      </c>
      <c r="CQ13">
        <v>2074.9083780984629</v>
      </c>
      <c r="CR13">
        <v>17.764895988905508</v>
      </c>
      <c r="CS13">
        <v>1513.5691382547493</v>
      </c>
      <c r="CT13">
        <v>28.224658004209189</v>
      </c>
      <c r="CU13">
        <v>2404.7408619586231</v>
      </c>
    </row>
    <row r="14" spans="1:99">
      <c r="C14" s="99" t="s">
        <v>181</v>
      </c>
      <c r="D14">
        <v>15</v>
      </c>
      <c r="E14">
        <v>7326</v>
      </c>
      <c r="F14">
        <v>24</v>
      </c>
      <c r="G14">
        <v>11721.599999999999</v>
      </c>
      <c r="H14">
        <v>25</v>
      </c>
      <c r="I14">
        <v>12210</v>
      </c>
      <c r="J14">
        <v>13</v>
      </c>
      <c r="K14">
        <v>6349.2</v>
      </c>
      <c r="L14">
        <v>23</v>
      </c>
      <c r="M14">
        <v>11233.199999999999</v>
      </c>
      <c r="N14">
        <v>23</v>
      </c>
      <c r="O14">
        <v>11233.199999999999</v>
      </c>
      <c r="P14">
        <v>14</v>
      </c>
      <c r="Q14">
        <v>6837.5999999999995</v>
      </c>
      <c r="R14">
        <v>14</v>
      </c>
      <c r="S14">
        <v>6837.5999999999995</v>
      </c>
      <c r="T14">
        <v>22</v>
      </c>
      <c r="U14">
        <v>10744.8</v>
      </c>
      <c r="V14">
        <v>25</v>
      </c>
      <c r="W14">
        <v>12210</v>
      </c>
      <c r="X14">
        <v>17</v>
      </c>
      <c r="Y14">
        <v>8302.7999999999993</v>
      </c>
      <c r="Z14">
        <v>22</v>
      </c>
      <c r="AA14">
        <v>10744.8</v>
      </c>
      <c r="AB14">
        <v>27</v>
      </c>
      <c r="AC14">
        <v>13186.8</v>
      </c>
      <c r="AD14">
        <v>22</v>
      </c>
      <c r="AE14">
        <v>10744.8</v>
      </c>
      <c r="AF14">
        <v>20</v>
      </c>
      <c r="AG14">
        <v>9768</v>
      </c>
      <c r="AH14">
        <v>22</v>
      </c>
      <c r="AI14">
        <v>10744.8</v>
      </c>
      <c r="AJ14">
        <v>19</v>
      </c>
      <c r="AK14">
        <v>9279.6</v>
      </c>
      <c r="AL14">
        <v>24</v>
      </c>
      <c r="AM14">
        <v>11721.599999999999</v>
      </c>
      <c r="AN14">
        <v>14</v>
      </c>
      <c r="AO14">
        <v>6837.5999999999995</v>
      </c>
      <c r="AP14">
        <v>16</v>
      </c>
      <c r="AQ14">
        <v>7814.4</v>
      </c>
      <c r="AR14">
        <v>26</v>
      </c>
      <c r="AS14">
        <v>12698.4</v>
      </c>
      <c r="AT14">
        <v>23</v>
      </c>
      <c r="AU14">
        <v>11233.199999999999</v>
      </c>
      <c r="AV14">
        <v>20</v>
      </c>
      <c r="AW14">
        <v>9768</v>
      </c>
      <c r="AX14">
        <v>15</v>
      </c>
      <c r="AY14">
        <v>7326</v>
      </c>
      <c r="AZ14">
        <v>25</v>
      </c>
      <c r="BA14">
        <v>12210</v>
      </c>
      <c r="BB14">
        <v>18</v>
      </c>
      <c r="BC14">
        <v>8791.1999999999989</v>
      </c>
      <c r="BD14">
        <v>28</v>
      </c>
      <c r="BE14">
        <v>13675.199999999999</v>
      </c>
      <c r="BF14">
        <v>14</v>
      </c>
      <c r="BG14">
        <v>6837.5999999999995</v>
      </c>
      <c r="BH14">
        <v>18</v>
      </c>
      <c r="BI14">
        <v>8791.1999999999989</v>
      </c>
      <c r="BJ14">
        <v>25</v>
      </c>
      <c r="BK14">
        <v>12210</v>
      </c>
      <c r="BL14">
        <v>19</v>
      </c>
      <c r="BM14">
        <v>9279.6</v>
      </c>
      <c r="BN14">
        <v>27</v>
      </c>
      <c r="BO14">
        <v>13186.8</v>
      </c>
      <c r="BP14">
        <v>20</v>
      </c>
      <c r="BQ14">
        <v>9768</v>
      </c>
      <c r="BR14">
        <v>28</v>
      </c>
      <c r="BS14">
        <v>13675.199999999999</v>
      </c>
      <c r="BT14">
        <v>20</v>
      </c>
      <c r="BU14">
        <v>9768</v>
      </c>
      <c r="BV14">
        <v>20</v>
      </c>
      <c r="BW14">
        <v>9768</v>
      </c>
      <c r="BX14">
        <v>30.329842886333186</v>
      </c>
      <c r="BY14">
        <v>14813.095265685128</v>
      </c>
      <c r="BZ14">
        <v>18.024820073975839</v>
      </c>
      <c r="CA14">
        <v>8803.3221241297997</v>
      </c>
      <c r="CB14">
        <v>19.920491811888336</v>
      </c>
      <c r="CC14">
        <v>9729.1682009262622</v>
      </c>
      <c r="CD14">
        <v>20.644413462785344</v>
      </c>
      <c r="CE14">
        <v>10082.731535224362</v>
      </c>
      <c r="CF14">
        <v>23.778610779408211</v>
      </c>
      <c r="CG14">
        <v>11613.47350466297</v>
      </c>
      <c r="CH14">
        <v>23.393606287220415</v>
      </c>
      <c r="CI14">
        <v>11425.43731067845</v>
      </c>
      <c r="CJ14">
        <v>24.009471078237418</v>
      </c>
      <c r="CK14">
        <v>11726.225674611154</v>
      </c>
      <c r="CL14">
        <v>23.585637382641149</v>
      </c>
      <c r="CM14">
        <v>11519.225297681936</v>
      </c>
      <c r="CN14">
        <v>22.419833020584885</v>
      </c>
      <c r="CO14">
        <v>10949.846447253658</v>
      </c>
      <c r="CP14">
        <v>21.54337879029643</v>
      </c>
      <c r="CQ14">
        <v>10521.786201180776</v>
      </c>
      <c r="CR14">
        <v>18.699890514637378</v>
      </c>
      <c r="CS14">
        <v>9133.0265273488949</v>
      </c>
      <c r="CT14">
        <v>27.251393935098527</v>
      </c>
      <c r="CU14">
        <v>13309.580797902119</v>
      </c>
    </row>
    <row r="15" spans="1:99">
      <c r="C15" s="99" t="s">
        <v>182</v>
      </c>
      <c r="D15">
        <v>17</v>
      </c>
      <c r="E15">
        <v>12974.4</v>
      </c>
      <c r="F15">
        <v>25</v>
      </c>
      <c r="G15">
        <v>19080</v>
      </c>
      <c r="H15">
        <v>21</v>
      </c>
      <c r="I15">
        <v>16027.199999999999</v>
      </c>
      <c r="J15">
        <v>13</v>
      </c>
      <c r="K15">
        <v>9921.5999999999985</v>
      </c>
      <c r="L15">
        <v>20</v>
      </c>
      <c r="M15">
        <v>15263.999999999998</v>
      </c>
      <c r="N15">
        <v>24</v>
      </c>
      <c r="O15">
        <v>18316.8</v>
      </c>
      <c r="P15">
        <v>13</v>
      </c>
      <c r="Q15">
        <v>9921.5999999999985</v>
      </c>
      <c r="R15">
        <v>13</v>
      </c>
      <c r="S15">
        <v>9921.5999999999985</v>
      </c>
      <c r="T15">
        <v>21</v>
      </c>
      <c r="U15">
        <v>16027.199999999999</v>
      </c>
      <c r="V15">
        <v>27</v>
      </c>
      <c r="W15">
        <v>20606.399999999998</v>
      </c>
      <c r="X15">
        <v>16</v>
      </c>
      <c r="Y15">
        <v>12211.199999999999</v>
      </c>
      <c r="Z15">
        <v>24</v>
      </c>
      <c r="AA15">
        <v>18316.8</v>
      </c>
      <c r="AB15">
        <v>23</v>
      </c>
      <c r="AC15">
        <v>17553.599999999999</v>
      </c>
      <c r="AD15">
        <v>21</v>
      </c>
      <c r="AE15">
        <v>16027.199999999999</v>
      </c>
      <c r="AF15">
        <v>19</v>
      </c>
      <c r="AG15">
        <v>14500.8</v>
      </c>
      <c r="AH15">
        <v>23</v>
      </c>
      <c r="AI15">
        <v>17553.599999999999</v>
      </c>
      <c r="AJ15">
        <v>18</v>
      </c>
      <c r="AK15">
        <v>13737.599999999999</v>
      </c>
      <c r="AL15">
        <v>24</v>
      </c>
      <c r="AM15">
        <v>18316.8</v>
      </c>
      <c r="AN15">
        <v>16</v>
      </c>
      <c r="AO15">
        <v>12211.199999999999</v>
      </c>
      <c r="AP15">
        <v>13</v>
      </c>
      <c r="AQ15">
        <v>9921.5999999999985</v>
      </c>
      <c r="AR15">
        <v>28</v>
      </c>
      <c r="AS15">
        <v>21369.599999999999</v>
      </c>
      <c r="AT15">
        <v>20</v>
      </c>
      <c r="AU15">
        <v>15263.999999999998</v>
      </c>
      <c r="AV15">
        <v>20</v>
      </c>
      <c r="AW15">
        <v>15263.999999999998</v>
      </c>
      <c r="AX15">
        <v>17</v>
      </c>
      <c r="AY15">
        <v>12974.4</v>
      </c>
      <c r="AZ15">
        <v>24</v>
      </c>
      <c r="BA15">
        <v>18316.8</v>
      </c>
      <c r="BB15">
        <v>16</v>
      </c>
      <c r="BC15">
        <v>12211.199999999999</v>
      </c>
      <c r="BD15">
        <v>25</v>
      </c>
      <c r="BE15">
        <v>19080</v>
      </c>
      <c r="BF15">
        <v>15</v>
      </c>
      <c r="BG15">
        <v>11447.999999999998</v>
      </c>
      <c r="BH15">
        <v>17</v>
      </c>
      <c r="BI15">
        <v>12974.4</v>
      </c>
      <c r="BJ15">
        <v>27</v>
      </c>
      <c r="BK15">
        <v>20606.399999999998</v>
      </c>
      <c r="BL15">
        <v>17</v>
      </c>
      <c r="BM15">
        <v>12974.4</v>
      </c>
      <c r="BN15">
        <v>23</v>
      </c>
      <c r="BO15">
        <v>17553.599999999999</v>
      </c>
      <c r="BP15">
        <v>19</v>
      </c>
      <c r="BQ15">
        <v>14500.8</v>
      </c>
      <c r="BR15">
        <v>26</v>
      </c>
      <c r="BS15">
        <v>19843.199999999997</v>
      </c>
      <c r="BT15">
        <v>21</v>
      </c>
      <c r="BU15">
        <v>16027.199999999999</v>
      </c>
      <c r="BV15">
        <v>20</v>
      </c>
      <c r="BW15">
        <v>15263.999999999998</v>
      </c>
      <c r="BX15">
        <v>24.642997345145719</v>
      </c>
      <c r="BY15">
        <v>18807.53557381521</v>
      </c>
      <c r="BZ15">
        <v>18.844130077338377</v>
      </c>
      <c r="CA15">
        <v>14381.840075024647</v>
      </c>
      <c r="CB15">
        <v>17.32216679294638</v>
      </c>
      <c r="CC15">
        <v>13220.277696376676</v>
      </c>
      <c r="CD15">
        <v>23.121743078319586</v>
      </c>
      <c r="CE15">
        <v>17646.514317373505</v>
      </c>
      <c r="CF15">
        <v>22.958658683566547</v>
      </c>
      <c r="CG15">
        <v>17522.048307297988</v>
      </c>
      <c r="CH15">
        <v>24.200282366090082</v>
      </c>
      <c r="CI15">
        <v>18469.655501799949</v>
      </c>
      <c r="CJ15">
        <v>23.086029882920595</v>
      </c>
      <c r="CK15">
        <v>17619.258006644995</v>
      </c>
      <c r="CL15">
        <v>23.585637382641149</v>
      </c>
      <c r="CM15">
        <v>18000.558450431723</v>
      </c>
      <c r="CN15">
        <v>20.55151360220281</v>
      </c>
      <c r="CO15">
        <v>15684.915181201184</v>
      </c>
      <c r="CP15">
        <v>21.54337879029643</v>
      </c>
      <c r="CQ15">
        <v>16441.906692754234</v>
      </c>
      <c r="CR15">
        <v>18.699890514637378</v>
      </c>
      <c r="CS15">
        <v>14271.756440771245</v>
      </c>
      <c r="CT15">
        <v>24.331601727766543</v>
      </c>
      <c r="CU15">
        <v>18569.878438631426</v>
      </c>
    </row>
    <row r="16" spans="1:99">
      <c r="C16" s="99" t="s">
        <v>183</v>
      </c>
      <c r="D16">
        <v>17</v>
      </c>
      <c r="E16">
        <v>5793.6</v>
      </c>
      <c r="F16">
        <v>26</v>
      </c>
      <c r="G16">
        <v>8860.8000000000011</v>
      </c>
      <c r="H16">
        <v>24</v>
      </c>
      <c r="I16">
        <v>8179.2000000000007</v>
      </c>
      <c r="J16">
        <v>15</v>
      </c>
      <c r="K16">
        <v>5112</v>
      </c>
      <c r="L16">
        <v>20</v>
      </c>
      <c r="M16">
        <v>6816</v>
      </c>
      <c r="N16">
        <v>23</v>
      </c>
      <c r="O16">
        <v>7838.4000000000005</v>
      </c>
      <c r="P16">
        <v>14</v>
      </c>
      <c r="Q16">
        <v>4771.2</v>
      </c>
      <c r="R16">
        <v>14</v>
      </c>
      <c r="S16">
        <v>4771.2</v>
      </c>
      <c r="T16">
        <v>23</v>
      </c>
      <c r="U16">
        <v>7838.4000000000005</v>
      </c>
      <c r="V16">
        <v>29</v>
      </c>
      <c r="W16">
        <v>9883.2000000000007</v>
      </c>
      <c r="X16">
        <v>18</v>
      </c>
      <c r="Y16">
        <v>6134.4000000000005</v>
      </c>
      <c r="Z16">
        <v>24</v>
      </c>
      <c r="AA16">
        <v>8179.2000000000007</v>
      </c>
      <c r="AB16">
        <v>24</v>
      </c>
      <c r="AC16">
        <v>8179.2000000000007</v>
      </c>
      <c r="AD16">
        <v>26</v>
      </c>
      <c r="AE16">
        <v>8860.8000000000011</v>
      </c>
      <c r="AF16">
        <v>20</v>
      </c>
      <c r="AG16">
        <v>6816</v>
      </c>
      <c r="AH16">
        <v>22</v>
      </c>
      <c r="AI16">
        <v>7497.6</v>
      </c>
      <c r="AJ16">
        <v>18</v>
      </c>
      <c r="AK16">
        <v>6134.4000000000005</v>
      </c>
      <c r="AL16">
        <v>22</v>
      </c>
      <c r="AM16">
        <v>7497.6</v>
      </c>
      <c r="AN16">
        <v>15</v>
      </c>
      <c r="AO16">
        <v>5112</v>
      </c>
      <c r="AP16">
        <v>15</v>
      </c>
      <c r="AQ16">
        <v>5112</v>
      </c>
      <c r="AR16">
        <v>28</v>
      </c>
      <c r="AS16">
        <v>9542.4</v>
      </c>
      <c r="AT16">
        <v>23</v>
      </c>
      <c r="AU16">
        <v>7838.4000000000005</v>
      </c>
      <c r="AV16">
        <v>22</v>
      </c>
      <c r="AW16">
        <v>7497.6</v>
      </c>
      <c r="AX16">
        <v>18</v>
      </c>
      <c r="AY16">
        <v>6134.4000000000005</v>
      </c>
      <c r="AZ16">
        <v>23</v>
      </c>
      <c r="BA16">
        <v>7838.4000000000005</v>
      </c>
      <c r="BB16">
        <v>20</v>
      </c>
      <c r="BC16">
        <v>6816</v>
      </c>
      <c r="BD16">
        <v>26</v>
      </c>
      <c r="BE16">
        <v>8860.8000000000011</v>
      </c>
      <c r="BF16">
        <v>16</v>
      </c>
      <c r="BG16">
        <v>5452.8</v>
      </c>
      <c r="BH16">
        <v>17</v>
      </c>
      <c r="BI16">
        <v>5793.6</v>
      </c>
      <c r="BJ16">
        <v>28</v>
      </c>
      <c r="BK16">
        <v>9542.4</v>
      </c>
      <c r="BL16">
        <v>20</v>
      </c>
      <c r="BM16">
        <v>6816</v>
      </c>
      <c r="BN16">
        <v>28</v>
      </c>
      <c r="BO16">
        <v>9542.4</v>
      </c>
      <c r="BP16">
        <v>21</v>
      </c>
      <c r="BQ16">
        <v>7156.8</v>
      </c>
      <c r="BR16">
        <v>32</v>
      </c>
      <c r="BS16">
        <v>10905.6</v>
      </c>
      <c r="BT16">
        <v>21</v>
      </c>
      <c r="BU16">
        <v>7156.8</v>
      </c>
      <c r="BV16">
        <v>21</v>
      </c>
      <c r="BW16">
        <v>7156.8</v>
      </c>
      <c r="BX16">
        <v>29.382035296135275</v>
      </c>
      <c r="BY16">
        <v>10013.397628922901</v>
      </c>
      <c r="BZ16">
        <v>18.844130077338377</v>
      </c>
      <c r="CA16">
        <v>6422.0795303569193</v>
      </c>
      <c r="CB16">
        <v>20.786600151535655</v>
      </c>
      <c r="CC16">
        <v>7084.0733316433516</v>
      </c>
      <c r="CD16">
        <v>23.121743078319586</v>
      </c>
      <c r="CE16">
        <v>7879.8900410913147</v>
      </c>
      <c r="CF16">
        <v>25.418514971091536</v>
      </c>
      <c r="CG16">
        <v>8662.6299021479954</v>
      </c>
      <c r="CH16">
        <v>26.620310602699092</v>
      </c>
      <c r="CI16">
        <v>9072.2018533998507</v>
      </c>
      <c r="CJ16">
        <v>27.703235859504712</v>
      </c>
      <c r="CK16">
        <v>9441.2627809192054</v>
      </c>
      <c r="CL16">
        <v>25.472488373252439</v>
      </c>
      <c r="CM16">
        <v>8681.0240376044312</v>
      </c>
      <c r="CN16">
        <v>19.617353893011774</v>
      </c>
      <c r="CO16">
        <v>6685.594206738413</v>
      </c>
      <c r="CP16">
        <v>22.480047433352794</v>
      </c>
      <c r="CQ16">
        <v>7661.2001652866329</v>
      </c>
      <c r="CR16">
        <v>19.634885040369245</v>
      </c>
      <c r="CS16">
        <v>6691.568821757839</v>
      </c>
      <c r="CT16">
        <v>24.331601727766543</v>
      </c>
      <c r="CU16">
        <v>8292.209868822838</v>
      </c>
    </row>
    <row r="17" spans="2:99">
      <c r="C17" s="99" t="s">
        <v>184</v>
      </c>
      <c r="D17">
        <v>17</v>
      </c>
      <c r="E17">
        <v>7180.7999999999993</v>
      </c>
      <c r="F17">
        <v>27</v>
      </c>
      <c r="G17">
        <v>11404.8</v>
      </c>
      <c r="H17">
        <v>26</v>
      </c>
      <c r="I17">
        <v>10982.4</v>
      </c>
      <c r="J17">
        <v>13</v>
      </c>
      <c r="K17">
        <v>5491.2</v>
      </c>
      <c r="L17">
        <v>20</v>
      </c>
      <c r="M17">
        <v>8448</v>
      </c>
      <c r="N17">
        <v>23</v>
      </c>
      <c r="O17">
        <v>9715.1999999999989</v>
      </c>
      <c r="P17">
        <v>14</v>
      </c>
      <c r="Q17">
        <v>5913.5999999999995</v>
      </c>
      <c r="R17">
        <v>15</v>
      </c>
      <c r="S17">
        <v>6336</v>
      </c>
      <c r="T17">
        <v>26</v>
      </c>
      <c r="U17">
        <v>10982.4</v>
      </c>
      <c r="V17">
        <v>25</v>
      </c>
      <c r="W17">
        <v>10560</v>
      </c>
      <c r="X17">
        <v>16</v>
      </c>
      <c r="Y17">
        <v>6758.4</v>
      </c>
      <c r="Z17">
        <v>24</v>
      </c>
      <c r="AA17">
        <v>10137.599999999999</v>
      </c>
      <c r="AB17">
        <v>24</v>
      </c>
      <c r="AC17">
        <v>10137.599999999999</v>
      </c>
      <c r="AD17">
        <v>25</v>
      </c>
      <c r="AE17">
        <v>10560</v>
      </c>
      <c r="AF17">
        <v>21</v>
      </c>
      <c r="AG17">
        <v>8870.4</v>
      </c>
      <c r="AH17">
        <v>25</v>
      </c>
      <c r="AI17">
        <v>10560</v>
      </c>
      <c r="AJ17">
        <v>21</v>
      </c>
      <c r="AK17">
        <v>8870.4</v>
      </c>
      <c r="AL17">
        <v>22</v>
      </c>
      <c r="AM17">
        <v>9292.7999999999993</v>
      </c>
      <c r="AN17">
        <v>17</v>
      </c>
      <c r="AO17">
        <v>7180.7999999999993</v>
      </c>
      <c r="AP17">
        <v>15</v>
      </c>
      <c r="AQ17">
        <v>6336</v>
      </c>
      <c r="AR17">
        <v>27</v>
      </c>
      <c r="AS17">
        <v>11404.8</v>
      </c>
      <c r="AT17">
        <v>21</v>
      </c>
      <c r="AU17">
        <v>8870.4</v>
      </c>
      <c r="AV17">
        <v>22</v>
      </c>
      <c r="AW17">
        <v>9292.7999999999993</v>
      </c>
      <c r="AX17">
        <v>17</v>
      </c>
      <c r="AY17">
        <v>7180.7999999999993</v>
      </c>
      <c r="AZ17">
        <v>23</v>
      </c>
      <c r="BA17">
        <v>9715.1999999999989</v>
      </c>
      <c r="BB17">
        <v>19</v>
      </c>
      <c r="BC17">
        <v>8025.5999999999995</v>
      </c>
      <c r="BD17">
        <v>26</v>
      </c>
      <c r="BE17">
        <v>10982.4</v>
      </c>
      <c r="BF17">
        <v>15</v>
      </c>
      <c r="BG17">
        <v>6336</v>
      </c>
      <c r="BH17">
        <v>17</v>
      </c>
      <c r="BI17">
        <v>7180.7999999999993</v>
      </c>
      <c r="BJ17">
        <v>26</v>
      </c>
      <c r="BK17">
        <v>10982.4</v>
      </c>
      <c r="BL17">
        <v>18</v>
      </c>
      <c r="BM17">
        <v>7603.2</v>
      </c>
      <c r="BN17">
        <v>25</v>
      </c>
      <c r="BO17">
        <v>10560</v>
      </c>
      <c r="BP17">
        <v>22</v>
      </c>
      <c r="BQ17">
        <v>9292.7999999999993</v>
      </c>
      <c r="BR17">
        <v>27</v>
      </c>
      <c r="BS17">
        <v>11404.8</v>
      </c>
      <c r="BT17">
        <v>20</v>
      </c>
      <c r="BU17">
        <v>8448</v>
      </c>
      <c r="BV17">
        <v>18</v>
      </c>
      <c r="BW17">
        <v>7603.2</v>
      </c>
      <c r="BX17">
        <v>30.329842886333186</v>
      </c>
      <c r="BY17">
        <v>12811.325635187137</v>
      </c>
      <c r="BZ17">
        <v>19.663440080700919</v>
      </c>
      <c r="CA17">
        <v>8305.8370900880673</v>
      </c>
      <c r="CB17">
        <v>17.32216679294638</v>
      </c>
      <c r="CC17">
        <v>7316.8832533405503</v>
      </c>
      <c r="CD17">
        <v>24.773296155342415</v>
      </c>
      <c r="CE17">
        <v>10464.240296016635</v>
      </c>
      <c r="CF17">
        <v>22.958658683566547</v>
      </c>
      <c r="CG17">
        <v>9697.7374279385094</v>
      </c>
      <c r="CH17">
        <v>25.006958444959754</v>
      </c>
      <c r="CI17">
        <v>10562.939247151</v>
      </c>
      <c r="CJ17">
        <v>25.856353468871067</v>
      </c>
      <c r="CK17">
        <v>10921.723705251137</v>
      </c>
      <c r="CL17">
        <v>24.529062877946796</v>
      </c>
      <c r="CM17">
        <v>10361.076159644726</v>
      </c>
      <c r="CN17">
        <v>21.48567331139385</v>
      </c>
      <c r="CO17">
        <v>9075.5484067327616</v>
      </c>
      <c r="CP17">
        <v>23.416716076409159</v>
      </c>
      <c r="CQ17">
        <v>9891.2208706752281</v>
      </c>
      <c r="CR17">
        <v>19.634885040369245</v>
      </c>
      <c r="CS17">
        <v>8293.7754410519683</v>
      </c>
      <c r="CT17">
        <v>28.224658004209189</v>
      </c>
      <c r="CU17">
        <v>11922.095540977962</v>
      </c>
    </row>
    <row r="18" spans="2:99">
      <c r="C18" s="99" t="s">
        <v>185</v>
      </c>
      <c r="D18">
        <v>15</v>
      </c>
      <c r="E18">
        <v>9792</v>
      </c>
      <c r="F18">
        <v>23</v>
      </c>
      <c r="G18">
        <v>15014.4</v>
      </c>
      <c r="H18">
        <v>23</v>
      </c>
      <c r="I18">
        <v>15014.4</v>
      </c>
      <c r="J18">
        <v>13</v>
      </c>
      <c r="K18">
        <v>8486.4</v>
      </c>
      <c r="L18">
        <v>23</v>
      </c>
      <c r="M18">
        <v>15014.4</v>
      </c>
      <c r="N18">
        <v>23</v>
      </c>
      <c r="O18">
        <v>15014.4</v>
      </c>
      <c r="P18">
        <v>14</v>
      </c>
      <c r="Q18">
        <v>9139.1999999999989</v>
      </c>
      <c r="R18">
        <v>16</v>
      </c>
      <c r="S18">
        <v>10444.799999999999</v>
      </c>
      <c r="T18">
        <v>25</v>
      </c>
      <c r="U18">
        <v>16319.999999999998</v>
      </c>
      <c r="V18">
        <v>27</v>
      </c>
      <c r="W18">
        <v>17625.599999999999</v>
      </c>
      <c r="X18">
        <v>18</v>
      </c>
      <c r="Y18">
        <v>11750.4</v>
      </c>
      <c r="Z18">
        <v>22</v>
      </c>
      <c r="AA18">
        <v>14361.599999999999</v>
      </c>
      <c r="AB18">
        <v>22</v>
      </c>
      <c r="AC18">
        <v>14361.599999999999</v>
      </c>
      <c r="AD18">
        <v>24</v>
      </c>
      <c r="AE18">
        <v>15667.199999999999</v>
      </c>
      <c r="AF18">
        <v>21</v>
      </c>
      <c r="AG18">
        <v>13708.8</v>
      </c>
      <c r="AH18">
        <v>23</v>
      </c>
      <c r="AI18">
        <v>15014.4</v>
      </c>
      <c r="AJ18">
        <v>20</v>
      </c>
      <c r="AK18">
        <v>13056</v>
      </c>
      <c r="AL18">
        <v>21</v>
      </c>
      <c r="AM18">
        <v>13708.8</v>
      </c>
      <c r="AN18">
        <v>14</v>
      </c>
      <c r="AO18">
        <v>9139.1999999999989</v>
      </c>
      <c r="AP18">
        <v>14</v>
      </c>
      <c r="AQ18">
        <v>9139.1999999999989</v>
      </c>
      <c r="AR18">
        <v>29</v>
      </c>
      <c r="AS18">
        <v>18931.199999999997</v>
      </c>
      <c r="AT18">
        <v>22</v>
      </c>
      <c r="AU18">
        <v>14361.599999999999</v>
      </c>
      <c r="AV18">
        <v>22</v>
      </c>
      <c r="AW18">
        <v>14361.599999999999</v>
      </c>
      <c r="AX18">
        <v>15</v>
      </c>
      <c r="AY18">
        <v>9792</v>
      </c>
      <c r="AZ18">
        <v>22</v>
      </c>
      <c r="BA18">
        <v>14361.599999999999</v>
      </c>
      <c r="BB18">
        <v>19</v>
      </c>
      <c r="BC18">
        <v>12403.199999999999</v>
      </c>
      <c r="BD18">
        <v>27</v>
      </c>
      <c r="BE18">
        <v>17625.599999999999</v>
      </c>
      <c r="BF18">
        <v>14</v>
      </c>
      <c r="BG18">
        <v>9139.1999999999989</v>
      </c>
      <c r="BH18">
        <v>19</v>
      </c>
      <c r="BI18">
        <v>12403.199999999999</v>
      </c>
      <c r="BJ18">
        <v>26</v>
      </c>
      <c r="BK18">
        <v>16972.8</v>
      </c>
      <c r="BL18">
        <v>19</v>
      </c>
      <c r="BM18">
        <v>12403.199999999999</v>
      </c>
      <c r="BN18">
        <v>22</v>
      </c>
      <c r="BO18">
        <v>14361.599999999999</v>
      </c>
      <c r="BP18">
        <v>19</v>
      </c>
      <c r="BQ18">
        <v>12403.199999999999</v>
      </c>
      <c r="BR18">
        <v>27</v>
      </c>
      <c r="BS18">
        <v>17625.599999999999</v>
      </c>
      <c r="BT18">
        <v>20</v>
      </c>
      <c r="BU18">
        <v>13056</v>
      </c>
      <c r="BV18">
        <v>18</v>
      </c>
      <c r="BW18">
        <v>11750.4</v>
      </c>
      <c r="BX18">
        <v>26.538612525541541</v>
      </c>
      <c r="BY18">
        <v>17324.406256673516</v>
      </c>
      <c r="BZ18">
        <v>15.566890063888225</v>
      </c>
      <c r="CA18">
        <v>10162.065833706232</v>
      </c>
      <c r="CB18">
        <v>19.920491811888336</v>
      </c>
      <c r="CC18">
        <v>13004.097054800704</v>
      </c>
      <c r="CD18">
        <v>19.818636924273932</v>
      </c>
      <c r="CE18">
        <v>12937.606184166021</v>
      </c>
      <c r="CF18">
        <v>23.778610779408211</v>
      </c>
      <c r="CG18">
        <v>15522.677116797679</v>
      </c>
      <c r="CH18">
        <v>25.813634523829421</v>
      </c>
      <c r="CI18">
        <v>16851.140617155845</v>
      </c>
      <c r="CJ18">
        <v>23.086029882920595</v>
      </c>
      <c r="CK18">
        <v>15070.560307570564</v>
      </c>
      <c r="CL18">
        <v>22.642211887335502</v>
      </c>
      <c r="CM18">
        <v>14780.835920052616</v>
      </c>
      <c r="CN18">
        <v>22.419833020584885</v>
      </c>
      <c r="CO18">
        <v>14635.666995837812</v>
      </c>
      <c r="CP18">
        <v>21.54337879029643</v>
      </c>
      <c r="CQ18">
        <v>14063.517674305509</v>
      </c>
      <c r="CR18">
        <v>19.634885040369245</v>
      </c>
      <c r="CS18">
        <v>12817.652954353041</v>
      </c>
      <c r="CT18">
        <v>25.304865796877202</v>
      </c>
      <c r="CU18">
        <v>16519.016392201436</v>
      </c>
    </row>
    <row r="19" spans="2:99">
      <c r="C19" s="99" t="s">
        <v>186</v>
      </c>
      <c r="D19">
        <v>17</v>
      </c>
      <c r="E19">
        <v>5610</v>
      </c>
      <c r="F19">
        <v>23</v>
      </c>
      <c r="G19">
        <v>7590</v>
      </c>
      <c r="H19">
        <v>24</v>
      </c>
      <c r="I19">
        <v>7920</v>
      </c>
      <c r="J19">
        <v>13</v>
      </c>
      <c r="K19">
        <v>4290</v>
      </c>
      <c r="L19">
        <v>20</v>
      </c>
      <c r="M19">
        <v>6600</v>
      </c>
      <c r="N19">
        <v>23</v>
      </c>
      <c r="O19">
        <v>7590</v>
      </c>
      <c r="P19">
        <v>15</v>
      </c>
      <c r="Q19">
        <v>4950</v>
      </c>
      <c r="R19">
        <v>14</v>
      </c>
      <c r="S19">
        <v>4620</v>
      </c>
      <c r="T19">
        <v>24</v>
      </c>
      <c r="U19">
        <v>7920</v>
      </c>
      <c r="V19">
        <v>28</v>
      </c>
      <c r="W19">
        <v>9240</v>
      </c>
      <c r="X19">
        <v>16</v>
      </c>
      <c r="Y19">
        <v>5280</v>
      </c>
      <c r="Z19">
        <v>23</v>
      </c>
      <c r="AA19">
        <v>7590</v>
      </c>
      <c r="AB19">
        <v>26</v>
      </c>
      <c r="AC19">
        <v>8580</v>
      </c>
      <c r="AD19">
        <v>24</v>
      </c>
      <c r="AE19">
        <v>7920</v>
      </c>
      <c r="AF19">
        <v>20</v>
      </c>
      <c r="AG19">
        <v>6600</v>
      </c>
      <c r="AH19">
        <v>23</v>
      </c>
      <c r="AI19">
        <v>7590</v>
      </c>
      <c r="AJ19">
        <v>22</v>
      </c>
      <c r="AK19">
        <v>7260</v>
      </c>
      <c r="AL19">
        <v>25</v>
      </c>
      <c r="AM19">
        <v>8250</v>
      </c>
      <c r="AN19">
        <v>17</v>
      </c>
      <c r="AO19">
        <v>5610</v>
      </c>
      <c r="AP19">
        <v>15</v>
      </c>
      <c r="AQ19">
        <v>4950</v>
      </c>
      <c r="AR19">
        <v>28</v>
      </c>
      <c r="AS19">
        <v>9240</v>
      </c>
      <c r="AT19">
        <v>22</v>
      </c>
      <c r="AU19">
        <v>7260</v>
      </c>
      <c r="AV19">
        <v>20</v>
      </c>
      <c r="AW19">
        <v>6600</v>
      </c>
      <c r="AX19">
        <v>15</v>
      </c>
      <c r="AY19">
        <v>4950</v>
      </c>
      <c r="AZ19">
        <v>23</v>
      </c>
      <c r="BA19">
        <v>7590</v>
      </c>
      <c r="BB19">
        <v>20</v>
      </c>
      <c r="BC19">
        <v>6600</v>
      </c>
      <c r="BD19">
        <v>28</v>
      </c>
      <c r="BE19">
        <v>9240</v>
      </c>
      <c r="BF19">
        <v>17</v>
      </c>
      <c r="BG19">
        <v>5610</v>
      </c>
      <c r="BH19">
        <v>17</v>
      </c>
      <c r="BI19">
        <v>5610</v>
      </c>
      <c r="BJ19">
        <v>26</v>
      </c>
      <c r="BK19">
        <v>8580</v>
      </c>
      <c r="BL19">
        <v>18</v>
      </c>
      <c r="BM19">
        <v>5940</v>
      </c>
      <c r="BN19">
        <v>24</v>
      </c>
      <c r="BO19">
        <v>7920</v>
      </c>
      <c r="BP19">
        <v>23</v>
      </c>
      <c r="BQ19">
        <v>7590</v>
      </c>
      <c r="BR19">
        <v>29</v>
      </c>
      <c r="BS19">
        <v>9570</v>
      </c>
      <c r="BT19">
        <v>22</v>
      </c>
      <c r="BU19">
        <v>7260</v>
      </c>
      <c r="BV19">
        <v>20</v>
      </c>
      <c r="BW19">
        <v>6600</v>
      </c>
      <c r="BX19">
        <v>29.382035296135275</v>
      </c>
      <c r="BY19">
        <v>9696.0716477246406</v>
      </c>
      <c r="BZ19">
        <v>17.205510070613304</v>
      </c>
      <c r="CA19">
        <v>5677.8183233023901</v>
      </c>
      <c r="CB19">
        <v>18.188275132593695</v>
      </c>
      <c r="CC19">
        <v>6002.1307937559195</v>
      </c>
      <c r="CD19">
        <v>22.295966539808173</v>
      </c>
      <c r="CE19">
        <v>7357.6689581366973</v>
      </c>
      <c r="CF19">
        <v>24.598562875249876</v>
      </c>
      <c r="CG19">
        <v>8117.5257488324587</v>
      </c>
      <c r="CH19">
        <v>25.006958444959754</v>
      </c>
      <c r="CI19">
        <v>8252.2962868367194</v>
      </c>
      <c r="CJ19">
        <v>25.856353468871067</v>
      </c>
      <c r="CK19">
        <v>8532.5966447274513</v>
      </c>
      <c r="CL19">
        <v>20.755360896724209</v>
      </c>
      <c r="CM19">
        <v>6849.2690959189886</v>
      </c>
      <c r="CN19">
        <v>22.419833020584885</v>
      </c>
      <c r="CO19">
        <v>7398.5448967930124</v>
      </c>
      <c r="CP19">
        <v>20.606710147240062</v>
      </c>
      <c r="CQ19">
        <v>6800.2143485892202</v>
      </c>
      <c r="CR19">
        <v>19.634885040369245</v>
      </c>
      <c r="CS19">
        <v>6479.5120633218503</v>
      </c>
      <c r="CT19">
        <v>24.331601727766543</v>
      </c>
      <c r="CU19">
        <v>8029.4285701629597</v>
      </c>
    </row>
    <row r="20" spans="2:99">
      <c r="B20" s="99" t="s">
        <v>127</v>
      </c>
      <c r="C20" s="99" t="s">
        <v>187</v>
      </c>
      <c r="D20">
        <v>21</v>
      </c>
      <c r="E20">
        <v>6022.8</v>
      </c>
      <c r="F20">
        <v>22</v>
      </c>
      <c r="G20">
        <v>6309.6</v>
      </c>
      <c r="H20">
        <v>17</v>
      </c>
      <c r="I20">
        <v>4875.6000000000004</v>
      </c>
      <c r="J20">
        <v>29</v>
      </c>
      <c r="K20">
        <v>8317.2000000000007</v>
      </c>
      <c r="L20">
        <v>22</v>
      </c>
      <c r="M20">
        <v>6309.6</v>
      </c>
      <c r="N20">
        <v>16</v>
      </c>
      <c r="O20">
        <v>4588.8</v>
      </c>
      <c r="P20">
        <v>17</v>
      </c>
      <c r="Q20">
        <v>4875.6000000000004</v>
      </c>
      <c r="R20">
        <v>25</v>
      </c>
      <c r="S20">
        <v>7170</v>
      </c>
      <c r="T20">
        <v>15</v>
      </c>
      <c r="U20">
        <v>4302</v>
      </c>
      <c r="V20">
        <v>25</v>
      </c>
      <c r="W20">
        <v>7170</v>
      </c>
      <c r="X20">
        <v>29</v>
      </c>
      <c r="Y20">
        <v>8317.2000000000007</v>
      </c>
      <c r="Z20">
        <v>21</v>
      </c>
      <c r="AA20">
        <v>6022.8</v>
      </c>
      <c r="AB20">
        <v>23</v>
      </c>
      <c r="AC20">
        <v>6596.4000000000005</v>
      </c>
      <c r="AD20">
        <v>24</v>
      </c>
      <c r="AE20">
        <v>6883.2000000000007</v>
      </c>
      <c r="AF20">
        <v>21</v>
      </c>
      <c r="AG20">
        <v>6022.8</v>
      </c>
      <c r="AH20">
        <v>23</v>
      </c>
      <c r="AI20">
        <v>6596.4000000000005</v>
      </c>
      <c r="AJ20">
        <v>30</v>
      </c>
      <c r="AK20">
        <v>8604</v>
      </c>
      <c r="AL20">
        <v>24</v>
      </c>
      <c r="AM20">
        <v>6883.2000000000007</v>
      </c>
      <c r="AN20">
        <v>19</v>
      </c>
      <c r="AO20">
        <v>5449.2</v>
      </c>
      <c r="AP20">
        <v>23</v>
      </c>
      <c r="AQ20">
        <v>6596.4000000000005</v>
      </c>
      <c r="AR20">
        <v>26</v>
      </c>
      <c r="AS20">
        <v>7456.8</v>
      </c>
      <c r="AT20">
        <v>29</v>
      </c>
      <c r="AU20">
        <v>8317.2000000000007</v>
      </c>
      <c r="AV20">
        <v>17</v>
      </c>
      <c r="AW20">
        <v>4875.6000000000004</v>
      </c>
      <c r="AX20">
        <v>18</v>
      </c>
      <c r="AY20">
        <v>5162.4000000000005</v>
      </c>
      <c r="AZ20">
        <v>32</v>
      </c>
      <c r="BA20">
        <v>9177.6</v>
      </c>
      <c r="BB20">
        <v>19</v>
      </c>
      <c r="BC20">
        <v>5449.2</v>
      </c>
      <c r="BD20">
        <v>24</v>
      </c>
      <c r="BE20">
        <v>6883.2000000000007</v>
      </c>
      <c r="BF20">
        <v>22</v>
      </c>
      <c r="BG20">
        <v>6309.6</v>
      </c>
      <c r="BH20">
        <v>24</v>
      </c>
      <c r="BI20">
        <v>6883.2000000000007</v>
      </c>
      <c r="BJ20">
        <v>28</v>
      </c>
      <c r="BK20">
        <v>8030.4000000000005</v>
      </c>
      <c r="BL20">
        <v>23</v>
      </c>
      <c r="BM20">
        <v>6596.4000000000005</v>
      </c>
      <c r="BN20">
        <v>24</v>
      </c>
      <c r="BO20">
        <v>6883.2000000000007</v>
      </c>
      <c r="BP20">
        <v>22</v>
      </c>
      <c r="BQ20">
        <v>6309.6</v>
      </c>
      <c r="BR20">
        <v>21</v>
      </c>
      <c r="BS20">
        <v>6022.8</v>
      </c>
      <c r="BT20">
        <v>22</v>
      </c>
      <c r="BU20">
        <v>6309.6</v>
      </c>
      <c r="BV20">
        <v>19</v>
      </c>
      <c r="BW20">
        <v>5449.2</v>
      </c>
      <c r="BX20">
        <v>27.486420115739453</v>
      </c>
      <c r="BY20">
        <v>7883.1052891940753</v>
      </c>
      <c r="BZ20">
        <v>22.94068009415107</v>
      </c>
      <c r="CA20">
        <v>6579.3870510025272</v>
      </c>
      <c r="CB20">
        <v>22.518816830830293</v>
      </c>
      <c r="CC20">
        <v>6458.3966670821283</v>
      </c>
      <c r="CD20">
        <v>19.818636924273932</v>
      </c>
      <c r="CE20">
        <v>5683.9850698817636</v>
      </c>
      <c r="CF20">
        <v>27.878371258616525</v>
      </c>
      <c r="CG20">
        <v>7995.51687697122</v>
      </c>
      <c r="CH20">
        <v>23.393606287220415</v>
      </c>
      <c r="CI20">
        <v>6709.2862831748153</v>
      </c>
      <c r="CJ20">
        <v>18.468823906336475</v>
      </c>
      <c r="CK20">
        <v>5296.8586963373009</v>
      </c>
      <c r="CL20">
        <v>17.925084410807273</v>
      </c>
      <c r="CM20">
        <v>5140.9142090195264</v>
      </c>
      <c r="CN20">
        <v>21.48567331139385</v>
      </c>
      <c r="CO20">
        <v>6162.0911057077565</v>
      </c>
      <c r="CP20">
        <v>19.670041504183693</v>
      </c>
      <c r="CQ20">
        <v>5641.3679033998833</v>
      </c>
      <c r="CR20">
        <v>25.244852194760458</v>
      </c>
      <c r="CS20">
        <v>7240.2236094573</v>
      </c>
      <c r="CT20">
        <v>23.358337658655881</v>
      </c>
      <c r="CU20">
        <v>6699.1712405025064</v>
      </c>
    </row>
    <row r="21" spans="2:99">
      <c r="C21" s="99" t="s">
        <v>188</v>
      </c>
      <c r="D21">
        <v>22</v>
      </c>
      <c r="E21">
        <v>1372.8</v>
      </c>
      <c r="F21">
        <v>21</v>
      </c>
      <c r="G21">
        <v>1310.3999999999999</v>
      </c>
      <c r="H21">
        <v>15</v>
      </c>
      <c r="I21">
        <v>936</v>
      </c>
      <c r="J21">
        <v>30</v>
      </c>
      <c r="K21">
        <v>1872</v>
      </c>
      <c r="L21">
        <v>26</v>
      </c>
      <c r="M21">
        <v>1622.3999999999999</v>
      </c>
      <c r="N21">
        <v>16</v>
      </c>
      <c r="O21">
        <v>998.4</v>
      </c>
      <c r="P21">
        <v>18</v>
      </c>
      <c r="Q21">
        <v>1123.2</v>
      </c>
      <c r="R21">
        <v>25</v>
      </c>
      <c r="S21">
        <v>1560</v>
      </c>
      <c r="T21">
        <v>16</v>
      </c>
      <c r="U21">
        <v>998.4</v>
      </c>
      <c r="V21">
        <v>22</v>
      </c>
      <c r="W21">
        <v>1372.8</v>
      </c>
      <c r="X21">
        <v>31</v>
      </c>
      <c r="Y21">
        <v>1934.3999999999999</v>
      </c>
      <c r="Z21">
        <v>18</v>
      </c>
      <c r="AA21">
        <v>1123.2</v>
      </c>
      <c r="AB21">
        <v>25</v>
      </c>
      <c r="AC21">
        <v>1560</v>
      </c>
      <c r="AD21">
        <v>28</v>
      </c>
      <c r="AE21">
        <v>1747.2</v>
      </c>
      <c r="AF21">
        <v>22</v>
      </c>
      <c r="AG21">
        <v>1372.8</v>
      </c>
      <c r="AH21">
        <v>23</v>
      </c>
      <c r="AI21">
        <v>1435.2</v>
      </c>
      <c r="AJ21">
        <v>27</v>
      </c>
      <c r="AK21">
        <v>1684.8</v>
      </c>
      <c r="AL21">
        <v>25</v>
      </c>
      <c r="AM21">
        <v>1560</v>
      </c>
      <c r="AN21">
        <v>21</v>
      </c>
      <c r="AO21">
        <v>1310.3999999999999</v>
      </c>
      <c r="AP21">
        <v>22</v>
      </c>
      <c r="AQ21">
        <v>1372.8</v>
      </c>
      <c r="AR21">
        <v>25</v>
      </c>
      <c r="AS21">
        <v>1560</v>
      </c>
      <c r="AT21">
        <v>29</v>
      </c>
      <c r="AU21">
        <v>1809.6</v>
      </c>
      <c r="AV21">
        <v>17</v>
      </c>
      <c r="AW21">
        <v>1060.8</v>
      </c>
      <c r="AX21">
        <v>21</v>
      </c>
      <c r="AY21">
        <v>1310.3999999999999</v>
      </c>
      <c r="AZ21">
        <v>32</v>
      </c>
      <c r="BA21">
        <v>1996.8</v>
      </c>
      <c r="BB21">
        <v>19</v>
      </c>
      <c r="BC21">
        <v>1185.5999999999999</v>
      </c>
      <c r="BD21">
        <v>24</v>
      </c>
      <c r="BE21">
        <v>1497.6</v>
      </c>
      <c r="BF21">
        <v>23</v>
      </c>
      <c r="BG21">
        <v>1435.2</v>
      </c>
      <c r="BH21">
        <v>25</v>
      </c>
      <c r="BI21">
        <v>1560</v>
      </c>
      <c r="BJ21">
        <v>31</v>
      </c>
      <c r="BK21">
        <v>1934.3999999999999</v>
      </c>
      <c r="BL21">
        <v>25</v>
      </c>
      <c r="BM21">
        <v>1560</v>
      </c>
      <c r="BN21">
        <v>25</v>
      </c>
      <c r="BO21">
        <v>1560</v>
      </c>
      <c r="BP21">
        <v>21</v>
      </c>
      <c r="BQ21">
        <v>1310.3999999999999</v>
      </c>
      <c r="BR21">
        <v>24</v>
      </c>
      <c r="BS21">
        <v>1497.6</v>
      </c>
      <c r="BT21">
        <v>20</v>
      </c>
      <c r="BU21">
        <v>1248</v>
      </c>
      <c r="BV21">
        <v>19</v>
      </c>
      <c r="BW21">
        <v>1185.5999999999999</v>
      </c>
      <c r="BX21">
        <v>27.486420115739453</v>
      </c>
      <c r="BY21">
        <v>1715.1526152221418</v>
      </c>
      <c r="BZ21">
        <v>26.217920107601223</v>
      </c>
      <c r="CA21">
        <v>1635.9982147143162</v>
      </c>
      <c r="CB21">
        <v>20.786600151535655</v>
      </c>
      <c r="CC21">
        <v>1297.0838494558247</v>
      </c>
      <c r="CD21">
        <v>23.947519616831002</v>
      </c>
      <c r="CE21">
        <v>1494.3252240902546</v>
      </c>
      <c r="CF21">
        <v>27.058419162774861</v>
      </c>
      <c r="CG21">
        <v>1688.4453557571512</v>
      </c>
      <c r="CH21">
        <v>24.200282366090082</v>
      </c>
      <c r="CI21">
        <v>1510.0976196440211</v>
      </c>
      <c r="CJ21">
        <v>18.468823906336475</v>
      </c>
      <c r="CK21">
        <v>1152.4546117553959</v>
      </c>
      <c r="CL21">
        <v>16.038233420195979</v>
      </c>
      <c r="CM21">
        <v>1000.785765420229</v>
      </c>
      <c r="CN21">
        <v>18.683194183820735</v>
      </c>
      <c r="CO21">
        <v>1165.8313170704139</v>
      </c>
      <c r="CP21">
        <v>16.860035575014596</v>
      </c>
      <c r="CQ21">
        <v>1052.0662198809107</v>
      </c>
      <c r="CR21">
        <v>24.309857669028592</v>
      </c>
      <c r="CS21">
        <v>1516.935118547384</v>
      </c>
      <c r="CT21">
        <v>22.385073589545218</v>
      </c>
      <c r="CU21">
        <v>1396.8285919876216</v>
      </c>
    </row>
    <row r="22" spans="2:99">
      <c r="C22" s="99" t="s">
        <v>189</v>
      </c>
      <c r="D22">
        <v>21</v>
      </c>
      <c r="E22">
        <v>3931.2</v>
      </c>
      <c r="F22">
        <v>21</v>
      </c>
      <c r="G22">
        <v>3931.2</v>
      </c>
      <c r="H22">
        <v>17</v>
      </c>
      <c r="I22">
        <v>3182.3999999999996</v>
      </c>
      <c r="J22">
        <v>30</v>
      </c>
      <c r="K22">
        <v>5616</v>
      </c>
      <c r="L22">
        <v>23</v>
      </c>
      <c r="M22">
        <v>4305.5999999999995</v>
      </c>
      <c r="N22">
        <v>18</v>
      </c>
      <c r="O22">
        <v>3369.6</v>
      </c>
      <c r="P22">
        <v>17</v>
      </c>
      <c r="Q22">
        <v>3182.3999999999996</v>
      </c>
      <c r="R22">
        <v>27</v>
      </c>
      <c r="S22">
        <v>5054.3999999999996</v>
      </c>
      <c r="T22">
        <v>18</v>
      </c>
      <c r="U22">
        <v>3369.6</v>
      </c>
      <c r="V22">
        <v>21</v>
      </c>
      <c r="W22">
        <v>3931.2</v>
      </c>
      <c r="X22">
        <v>27</v>
      </c>
      <c r="Y22">
        <v>5054.3999999999996</v>
      </c>
      <c r="Z22">
        <v>20</v>
      </c>
      <c r="AA22">
        <v>3744</v>
      </c>
      <c r="AB22">
        <v>24</v>
      </c>
      <c r="AC22">
        <v>4492.7999999999993</v>
      </c>
      <c r="AD22">
        <v>24</v>
      </c>
      <c r="AE22">
        <v>4492.7999999999993</v>
      </c>
      <c r="AF22">
        <v>21</v>
      </c>
      <c r="AG22">
        <v>3931.2</v>
      </c>
      <c r="AH22">
        <v>22</v>
      </c>
      <c r="AI22">
        <v>4118.3999999999996</v>
      </c>
      <c r="AJ22">
        <v>30</v>
      </c>
      <c r="AK22">
        <v>5616</v>
      </c>
      <c r="AL22">
        <v>24</v>
      </c>
      <c r="AM22">
        <v>4492.7999999999993</v>
      </c>
      <c r="AN22">
        <v>18</v>
      </c>
      <c r="AO22">
        <v>3369.6</v>
      </c>
      <c r="AP22">
        <v>22</v>
      </c>
      <c r="AQ22">
        <v>4118.3999999999996</v>
      </c>
      <c r="AR22">
        <v>28</v>
      </c>
      <c r="AS22">
        <v>5241.5999999999995</v>
      </c>
      <c r="AT22">
        <v>31</v>
      </c>
      <c r="AU22">
        <v>5803.2</v>
      </c>
      <c r="AV22">
        <v>15</v>
      </c>
      <c r="AW22">
        <v>2808</v>
      </c>
      <c r="AX22">
        <v>21</v>
      </c>
      <c r="AY22">
        <v>3931.2</v>
      </c>
      <c r="AZ22">
        <v>30</v>
      </c>
      <c r="BA22">
        <v>5616</v>
      </c>
      <c r="BB22">
        <v>19</v>
      </c>
      <c r="BC22">
        <v>3556.7999999999997</v>
      </c>
      <c r="BD22">
        <v>24</v>
      </c>
      <c r="BE22">
        <v>4492.7999999999993</v>
      </c>
      <c r="BF22">
        <v>21</v>
      </c>
      <c r="BG22">
        <v>3931.2</v>
      </c>
      <c r="BH22">
        <v>24</v>
      </c>
      <c r="BI22">
        <v>4492.7999999999993</v>
      </c>
      <c r="BJ22">
        <v>27</v>
      </c>
      <c r="BK22">
        <v>5054.3999999999996</v>
      </c>
      <c r="BL22">
        <v>24</v>
      </c>
      <c r="BM22">
        <v>4492.7999999999993</v>
      </c>
      <c r="BN22">
        <v>24</v>
      </c>
      <c r="BO22">
        <v>4492.7999999999993</v>
      </c>
      <c r="BP22">
        <v>21</v>
      </c>
      <c r="BQ22">
        <v>3931.2</v>
      </c>
      <c r="BR22">
        <v>20</v>
      </c>
      <c r="BS22">
        <v>3744</v>
      </c>
      <c r="BT22">
        <v>19</v>
      </c>
      <c r="BU22">
        <v>3556.7999999999997</v>
      </c>
      <c r="BV22">
        <v>16</v>
      </c>
      <c r="BW22">
        <v>2995.2</v>
      </c>
      <c r="BX22">
        <v>29.382035296135275</v>
      </c>
      <c r="BY22">
        <v>5500.3170074365235</v>
      </c>
      <c r="BZ22">
        <v>22.121370090788531</v>
      </c>
      <c r="CA22">
        <v>4141.1204809956125</v>
      </c>
      <c r="CB22">
        <v>23.384925170477612</v>
      </c>
      <c r="CC22">
        <v>4377.6579919134083</v>
      </c>
      <c r="CD22">
        <v>23.947519616831002</v>
      </c>
      <c r="CE22">
        <v>4482.9756722707634</v>
      </c>
      <c r="CF22">
        <v>23.778610779408211</v>
      </c>
      <c r="CG22">
        <v>4451.3559379052167</v>
      </c>
      <c r="CH22">
        <v>25.006958444959754</v>
      </c>
      <c r="CI22">
        <v>4681.3026208964657</v>
      </c>
      <c r="CJ22">
        <v>17.545382711019649</v>
      </c>
      <c r="CK22">
        <v>3284.495643502878</v>
      </c>
      <c r="CL22">
        <v>16.038233420195979</v>
      </c>
      <c r="CM22">
        <v>3002.3572962606872</v>
      </c>
      <c r="CN22">
        <v>21.48567331139385</v>
      </c>
      <c r="CO22">
        <v>4022.1180438929282</v>
      </c>
      <c r="CP22">
        <v>19.670041504183693</v>
      </c>
      <c r="CQ22">
        <v>3682.2317695831871</v>
      </c>
      <c r="CR22">
        <v>24.309857669028592</v>
      </c>
      <c r="CS22">
        <v>4550.8053556421519</v>
      </c>
      <c r="CT22">
        <v>22.385073589545218</v>
      </c>
      <c r="CU22">
        <v>4190.4857759628649</v>
      </c>
    </row>
    <row r="23" spans="2:99">
      <c r="C23" s="99" t="s">
        <v>190</v>
      </c>
      <c r="D23">
        <v>23</v>
      </c>
      <c r="E23">
        <v>6762</v>
      </c>
      <c r="F23">
        <v>19</v>
      </c>
      <c r="G23">
        <v>5586</v>
      </c>
      <c r="H23">
        <v>15</v>
      </c>
      <c r="I23">
        <v>4410</v>
      </c>
      <c r="J23">
        <v>27</v>
      </c>
      <c r="K23">
        <v>7938</v>
      </c>
      <c r="L23">
        <v>22</v>
      </c>
      <c r="M23">
        <v>6468</v>
      </c>
      <c r="N23">
        <v>18</v>
      </c>
      <c r="O23">
        <v>5292</v>
      </c>
      <c r="P23">
        <v>17</v>
      </c>
      <c r="Q23">
        <v>4998</v>
      </c>
      <c r="R23">
        <v>25</v>
      </c>
      <c r="S23">
        <v>7350</v>
      </c>
      <c r="T23">
        <v>16</v>
      </c>
      <c r="U23">
        <v>4704</v>
      </c>
      <c r="V23">
        <v>21</v>
      </c>
      <c r="W23">
        <v>6174</v>
      </c>
      <c r="X23">
        <v>29</v>
      </c>
      <c r="Y23">
        <v>8526</v>
      </c>
      <c r="Z23">
        <v>18</v>
      </c>
      <c r="AA23">
        <v>5292</v>
      </c>
      <c r="AB23">
        <v>23</v>
      </c>
      <c r="AC23">
        <v>6762</v>
      </c>
      <c r="AD23">
        <v>24</v>
      </c>
      <c r="AE23">
        <v>7056</v>
      </c>
      <c r="AF23">
        <v>22</v>
      </c>
      <c r="AG23">
        <v>6468</v>
      </c>
      <c r="AH23">
        <v>24</v>
      </c>
      <c r="AI23">
        <v>7056</v>
      </c>
      <c r="AJ23">
        <v>26</v>
      </c>
      <c r="AK23">
        <v>7644</v>
      </c>
      <c r="AL23">
        <v>24</v>
      </c>
      <c r="AM23">
        <v>7056</v>
      </c>
      <c r="AN23">
        <v>20</v>
      </c>
      <c r="AO23">
        <v>5880</v>
      </c>
      <c r="AP23">
        <v>22</v>
      </c>
      <c r="AQ23">
        <v>6468</v>
      </c>
      <c r="AR23">
        <v>26</v>
      </c>
      <c r="AS23">
        <v>7644</v>
      </c>
      <c r="AT23">
        <v>30</v>
      </c>
      <c r="AU23">
        <v>8820</v>
      </c>
      <c r="AV23">
        <v>17</v>
      </c>
      <c r="AW23">
        <v>4998</v>
      </c>
      <c r="AX23">
        <v>20</v>
      </c>
      <c r="AY23">
        <v>5880</v>
      </c>
      <c r="AZ23">
        <v>30</v>
      </c>
      <c r="BA23">
        <v>8820</v>
      </c>
      <c r="BB23">
        <v>16</v>
      </c>
      <c r="BC23">
        <v>4704</v>
      </c>
      <c r="BD23">
        <v>22</v>
      </c>
      <c r="BE23">
        <v>6468</v>
      </c>
      <c r="BF23">
        <v>24</v>
      </c>
      <c r="BG23">
        <v>7056</v>
      </c>
      <c r="BH23">
        <v>24</v>
      </c>
      <c r="BI23">
        <v>7056</v>
      </c>
      <c r="BJ23">
        <v>28</v>
      </c>
      <c r="BK23">
        <v>8232</v>
      </c>
      <c r="BL23">
        <v>23</v>
      </c>
      <c r="BM23">
        <v>6762</v>
      </c>
      <c r="BN23">
        <v>24</v>
      </c>
      <c r="BO23">
        <v>7056</v>
      </c>
      <c r="BP23">
        <v>23</v>
      </c>
      <c r="BQ23">
        <v>6762</v>
      </c>
      <c r="BR23">
        <v>23</v>
      </c>
      <c r="BS23">
        <v>6762</v>
      </c>
      <c r="BT23">
        <v>22</v>
      </c>
      <c r="BU23">
        <v>6468</v>
      </c>
      <c r="BV23">
        <v>17</v>
      </c>
      <c r="BW23">
        <v>4998</v>
      </c>
      <c r="BX23">
        <v>28.434227705937364</v>
      </c>
      <c r="BY23">
        <v>8359.6629455455841</v>
      </c>
      <c r="BZ23">
        <v>23.759990097513608</v>
      </c>
      <c r="CA23">
        <v>6985.4370886690003</v>
      </c>
      <c r="CB23">
        <v>21.652708491182974</v>
      </c>
      <c r="CC23">
        <v>6365.8962964077946</v>
      </c>
      <c r="CD23">
        <v>21.470190001296757</v>
      </c>
      <c r="CE23">
        <v>6312.2358603812463</v>
      </c>
      <c r="CF23">
        <v>28.698323354458186</v>
      </c>
      <c r="CG23">
        <v>8437.3070662107075</v>
      </c>
      <c r="CH23">
        <v>22.586930208350743</v>
      </c>
      <c r="CI23">
        <v>6640.5574812551185</v>
      </c>
      <c r="CJ23">
        <v>18.468823906336475</v>
      </c>
      <c r="CK23">
        <v>5429.8342284629234</v>
      </c>
      <c r="CL23">
        <v>16.981658915501626</v>
      </c>
      <c r="CM23">
        <v>4992.6077211574784</v>
      </c>
      <c r="CN23">
        <v>19.617353893011774</v>
      </c>
      <c r="CO23">
        <v>5767.502044545462</v>
      </c>
      <c r="CP23">
        <v>17.79670421807096</v>
      </c>
      <c r="CQ23">
        <v>5232.2310401128625</v>
      </c>
      <c r="CR23">
        <v>23.374863143296722</v>
      </c>
      <c r="CS23">
        <v>6872.2097641292357</v>
      </c>
      <c r="CT23">
        <v>21.411809520434556</v>
      </c>
      <c r="CU23">
        <v>6295.0719990077596</v>
      </c>
    </row>
    <row r="24" spans="2:99">
      <c r="C24" s="99" t="s">
        <v>191</v>
      </c>
      <c r="D24">
        <v>19</v>
      </c>
      <c r="E24">
        <v>6976.8</v>
      </c>
      <c r="F24">
        <v>23</v>
      </c>
      <c r="G24">
        <v>8445.6</v>
      </c>
      <c r="H24">
        <v>15</v>
      </c>
      <c r="I24">
        <v>5508</v>
      </c>
      <c r="J24">
        <v>29</v>
      </c>
      <c r="K24">
        <v>10648.8</v>
      </c>
      <c r="L24">
        <v>23</v>
      </c>
      <c r="M24">
        <v>8445.6</v>
      </c>
      <c r="N24">
        <v>17</v>
      </c>
      <c r="O24">
        <v>6242.4</v>
      </c>
      <c r="P24">
        <v>17</v>
      </c>
      <c r="Q24">
        <v>6242.4</v>
      </c>
      <c r="R24">
        <v>25</v>
      </c>
      <c r="S24">
        <v>9180</v>
      </c>
      <c r="T24">
        <v>16</v>
      </c>
      <c r="U24">
        <v>5875.2</v>
      </c>
      <c r="V24">
        <v>22</v>
      </c>
      <c r="W24">
        <v>8078.4</v>
      </c>
      <c r="X24">
        <v>28</v>
      </c>
      <c r="Y24">
        <v>10281.6</v>
      </c>
      <c r="Z24">
        <v>19</v>
      </c>
      <c r="AA24">
        <v>6976.8</v>
      </c>
      <c r="AB24">
        <v>23</v>
      </c>
      <c r="AC24">
        <v>8445.6</v>
      </c>
      <c r="AD24">
        <v>23</v>
      </c>
      <c r="AE24">
        <v>8445.6</v>
      </c>
      <c r="AF24">
        <v>20</v>
      </c>
      <c r="AG24">
        <v>7344</v>
      </c>
      <c r="AH24">
        <v>23</v>
      </c>
      <c r="AI24">
        <v>8445.6</v>
      </c>
      <c r="AJ24">
        <v>27</v>
      </c>
      <c r="AK24">
        <v>9914.4</v>
      </c>
      <c r="AL24">
        <v>25</v>
      </c>
      <c r="AM24">
        <v>9180</v>
      </c>
      <c r="AN24">
        <v>18</v>
      </c>
      <c r="AO24">
        <v>6609.5999999999995</v>
      </c>
      <c r="AP24">
        <v>21</v>
      </c>
      <c r="AQ24">
        <v>7711.2</v>
      </c>
      <c r="AR24">
        <v>29</v>
      </c>
      <c r="AS24">
        <v>10648.8</v>
      </c>
      <c r="AT24">
        <v>28</v>
      </c>
      <c r="AU24">
        <v>10281.6</v>
      </c>
      <c r="AV24">
        <v>17</v>
      </c>
      <c r="AW24">
        <v>6242.4</v>
      </c>
      <c r="AX24">
        <v>17</v>
      </c>
      <c r="AY24">
        <v>6242.4</v>
      </c>
      <c r="AZ24">
        <v>29</v>
      </c>
      <c r="BA24">
        <v>10648.8</v>
      </c>
      <c r="BB24">
        <v>16</v>
      </c>
      <c r="BC24">
        <v>5875.2</v>
      </c>
      <c r="BD24">
        <v>21</v>
      </c>
      <c r="BE24">
        <v>7711.2</v>
      </c>
      <c r="BF24">
        <v>25</v>
      </c>
      <c r="BG24">
        <v>9180</v>
      </c>
      <c r="BH24">
        <v>24</v>
      </c>
      <c r="BI24">
        <v>8812.7999999999993</v>
      </c>
      <c r="BJ24">
        <v>28</v>
      </c>
      <c r="BK24">
        <v>10281.6</v>
      </c>
      <c r="BL24">
        <v>20</v>
      </c>
      <c r="BM24">
        <v>7344</v>
      </c>
      <c r="BN24">
        <v>27</v>
      </c>
      <c r="BO24">
        <v>9914.4</v>
      </c>
      <c r="BP24">
        <v>22</v>
      </c>
      <c r="BQ24">
        <v>8078.4</v>
      </c>
      <c r="BR24">
        <v>22</v>
      </c>
      <c r="BS24">
        <v>8078.4</v>
      </c>
      <c r="BT24">
        <v>22</v>
      </c>
      <c r="BU24">
        <v>8078.4</v>
      </c>
      <c r="BV24">
        <v>17</v>
      </c>
      <c r="BW24">
        <v>6242.4</v>
      </c>
      <c r="BX24">
        <v>26.538612525541541</v>
      </c>
      <c r="BY24">
        <v>9744.9785193788539</v>
      </c>
      <c r="BZ24">
        <v>24.579300100876146</v>
      </c>
      <c r="CA24">
        <v>9025.5189970417214</v>
      </c>
      <c r="CB24">
        <v>21.652708491182974</v>
      </c>
      <c r="CC24">
        <v>7950.8745579623874</v>
      </c>
      <c r="CD24">
        <v>21.470190001296757</v>
      </c>
      <c r="CE24">
        <v>7883.8537684761686</v>
      </c>
      <c r="CF24">
        <v>25.418514971091536</v>
      </c>
      <c r="CG24">
        <v>9333.678697384812</v>
      </c>
      <c r="CH24">
        <v>22.586930208350743</v>
      </c>
      <c r="CI24">
        <v>8293.9207725063934</v>
      </c>
      <c r="CJ24">
        <v>16.621941515702826</v>
      </c>
      <c r="CK24">
        <v>6103.5769245660777</v>
      </c>
      <c r="CL24">
        <v>15.094807924890334</v>
      </c>
      <c r="CM24">
        <v>5542.8134700197306</v>
      </c>
      <c r="CN24">
        <v>19.617353893011774</v>
      </c>
      <c r="CO24">
        <v>7203.4923495139237</v>
      </c>
      <c r="CP24">
        <v>19.670041504183693</v>
      </c>
      <c r="CQ24">
        <v>7222.8392403362523</v>
      </c>
      <c r="CR24">
        <v>25.244852194760458</v>
      </c>
      <c r="CS24">
        <v>9269.9097259160408</v>
      </c>
      <c r="CT24">
        <v>24.331601727766543</v>
      </c>
      <c r="CU24">
        <v>8934.564154435875</v>
      </c>
    </row>
    <row r="25" spans="2:99">
      <c r="C25" s="99" t="s">
        <v>192</v>
      </c>
      <c r="D25">
        <v>19</v>
      </c>
      <c r="E25">
        <v>10077.6</v>
      </c>
      <c r="F25">
        <v>20</v>
      </c>
      <c r="G25">
        <v>10608</v>
      </c>
      <c r="H25">
        <v>15</v>
      </c>
      <c r="I25">
        <v>7956</v>
      </c>
      <c r="J25">
        <v>27</v>
      </c>
      <c r="K25">
        <v>14320.8</v>
      </c>
      <c r="L25">
        <v>26</v>
      </c>
      <c r="M25">
        <v>13790.4</v>
      </c>
      <c r="N25">
        <v>17</v>
      </c>
      <c r="O25">
        <v>9016.7999999999993</v>
      </c>
      <c r="P25">
        <v>18</v>
      </c>
      <c r="Q25">
        <v>9547.1999999999989</v>
      </c>
      <c r="R25">
        <v>22</v>
      </c>
      <c r="S25">
        <v>11668.8</v>
      </c>
      <c r="T25">
        <v>17</v>
      </c>
      <c r="U25">
        <v>9016.7999999999993</v>
      </c>
      <c r="V25">
        <v>22</v>
      </c>
      <c r="W25">
        <v>11668.8</v>
      </c>
      <c r="X25">
        <v>29</v>
      </c>
      <c r="Y25">
        <v>15381.599999999999</v>
      </c>
      <c r="Z25">
        <v>18</v>
      </c>
      <c r="AA25">
        <v>9547.1999999999989</v>
      </c>
      <c r="AB25">
        <v>26</v>
      </c>
      <c r="AC25">
        <v>13790.4</v>
      </c>
      <c r="AD25">
        <v>24</v>
      </c>
      <c r="AE25">
        <v>12729.599999999999</v>
      </c>
      <c r="AF25">
        <v>20</v>
      </c>
      <c r="AG25">
        <v>10608</v>
      </c>
      <c r="AH25">
        <v>22</v>
      </c>
      <c r="AI25">
        <v>11668.8</v>
      </c>
      <c r="AJ25">
        <v>28</v>
      </c>
      <c r="AK25">
        <v>14851.199999999999</v>
      </c>
      <c r="AL25">
        <v>22</v>
      </c>
      <c r="AM25">
        <v>11668.8</v>
      </c>
      <c r="AN25">
        <v>20</v>
      </c>
      <c r="AO25">
        <v>10608</v>
      </c>
      <c r="AP25">
        <v>21</v>
      </c>
      <c r="AQ25">
        <v>11138.4</v>
      </c>
      <c r="AR25">
        <v>27</v>
      </c>
      <c r="AS25">
        <v>14320.8</v>
      </c>
      <c r="AT25">
        <v>31</v>
      </c>
      <c r="AU25">
        <v>16442.399999999998</v>
      </c>
      <c r="AV25">
        <v>15</v>
      </c>
      <c r="AW25">
        <v>7956</v>
      </c>
      <c r="AX25">
        <v>19</v>
      </c>
      <c r="AY25">
        <v>10077.6</v>
      </c>
      <c r="AZ25">
        <v>30</v>
      </c>
      <c r="BA25">
        <v>15912</v>
      </c>
      <c r="BB25">
        <v>18</v>
      </c>
      <c r="BC25">
        <v>9547.1999999999989</v>
      </c>
      <c r="BD25">
        <v>20</v>
      </c>
      <c r="BE25">
        <v>10608</v>
      </c>
      <c r="BF25">
        <v>24</v>
      </c>
      <c r="BG25">
        <v>12729.599999999999</v>
      </c>
      <c r="BH25">
        <v>20</v>
      </c>
      <c r="BI25">
        <v>10608</v>
      </c>
      <c r="BJ25">
        <v>26</v>
      </c>
      <c r="BK25">
        <v>13790.4</v>
      </c>
      <c r="BL25">
        <v>22</v>
      </c>
      <c r="BM25">
        <v>11668.8</v>
      </c>
      <c r="BN25">
        <v>26</v>
      </c>
      <c r="BO25">
        <v>13790.4</v>
      </c>
      <c r="BP25">
        <v>24</v>
      </c>
      <c r="BQ25">
        <v>12729.599999999999</v>
      </c>
      <c r="BR25">
        <v>22</v>
      </c>
      <c r="BS25">
        <v>11668.8</v>
      </c>
      <c r="BT25">
        <v>21</v>
      </c>
      <c r="BU25">
        <v>11138.4</v>
      </c>
      <c r="BV25">
        <v>18</v>
      </c>
      <c r="BW25">
        <v>9547.1999999999989</v>
      </c>
      <c r="BX25">
        <v>29.382035296135275</v>
      </c>
      <c r="BY25">
        <v>15584.231521070149</v>
      </c>
      <c r="BZ25">
        <v>21.302060087425993</v>
      </c>
      <c r="CA25">
        <v>11298.612670370747</v>
      </c>
      <c r="CB25">
        <v>23.384925170477612</v>
      </c>
      <c r="CC25">
        <v>12403.364310421324</v>
      </c>
      <c r="CD25">
        <v>19.818636924273932</v>
      </c>
      <c r="CE25">
        <v>10511.805024634892</v>
      </c>
      <c r="CF25">
        <v>24.598562875249876</v>
      </c>
      <c r="CG25">
        <v>13047.077749032533</v>
      </c>
      <c r="CH25">
        <v>22.586930208350743</v>
      </c>
      <c r="CI25">
        <v>11980.107782509234</v>
      </c>
      <c r="CJ25">
        <v>18.468823906336475</v>
      </c>
      <c r="CK25">
        <v>9795.8641999208667</v>
      </c>
      <c r="CL25">
        <v>16.981658915501626</v>
      </c>
      <c r="CM25">
        <v>9007.0718887820622</v>
      </c>
      <c r="CN25">
        <v>17.749034474629699</v>
      </c>
      <c r="CO25">
        <v>9414.0878853435916</v>
      </c>
      <c r="CP25">
        <v>16.860035575014596</v>
      </c>
      <c r="CQ25">
        <v>8942.5628689877412</v>
      </c>
      <c r="CR25">
        <v>24.309857669028592</v>
      </c>
      <c r="CS25">
        <v>12893.948507652765</v>
      </c>
      <c r="CT25">
        <v>22.385073589545218</v>
      </c>
      <c r="CU25">
        <v>11873.043031894784</v>
      </c>
    </row>
    <row r="26" spans="2:99">
      <c r="C26" s="99" t="s">
        <v>193</v>
      </c>
      <c r="D26">
        <v>20</v>
      </c>
      <c r="E26">
        <v>9720</v>
      </c>
      <c r="F26">
        <v>20</v>
      </c>
      <c r="G26">
        <v>9720</v>
      </c>
      <c r="H26">
        <v>17</v>
      </c>
      <c r="I26">
        <v>8262</v>
      </c>
      <c r="J26">
        <v>26</v>
      </c>
      <c r="K26">
        <v>12636</v>
      </c>
      <c r="L26">
        <v>22</v>
      </c>
      <c r="M26">
        <v>10692</v>
      </c>
      <c r="N26">
        <v>18</v>
      </c>
      <c r="O26">
        <v>8748</v>
      </c>
      <c r="P26">
        <v>17</v>
      </c>
      <c r="Q26">
        <v>8262</v>
      </c>
      <c r="R26">
        <v>21</v>
      </c>
      <c r="S26">
        <v>10206</v>
      </c>
      <c r="T26">
        <v>17</v>
      </c>
      <c r="U26">
        <v>8262</v>
      </c>
      <c r="V26">
        <v>22</v>
      </c>
      <c r="W26">
        <v>10692</v>
      </c>
      <c r="X26">
        <v>29</v>
      </c>
      <c r="Y26">
        <v>14094</v>
      </c>
      <c r="Z26">
        <v>20</v>
      </c>
      <c r="AA26">
        <v>9720</v>
      </c>
      <c r="AB26">
        <v>25</v>
      </c>
      <c r="AC26">
        <v>12150</v>
      </c>
      <c r="AD26">
        <v>27</v>
      </c>
      <c r="AE26">
        <v>13122</v>
      </c>
      <c r="AF26">
        <v>19</v>
      </c>
      <c r="AG26">
        <v>9234</v>
      </c>
      <c r="AH26">
        <v>21</v>
      </c>
      <c r="AI26">
        <v>10206</v>
      </c>
      <c r="AJ26">
        <v>26</v>
      </c>
      <c r="AK26">
        <v>12636</v>
      </c>
      <c r="AL26">
        <v>25</v>
      </c>
      <c r="AM26">
        <v>12150</v>
      </c>
      <c r="AN26">
        <v>19</v>
      </c>
      <c r="AO26">
        <v>9234</v>
      </c>
      <c r="AP26">
        <v>21</v>
      </c>
      <c r="AQ26">
        <v>10206</v>
      </c>
      <c r="AR26">
        <v>26</v>
      </c>
      <c r="AS26">
        <v>12636</v>
      </c>
      <c r="AT26">
        <v>31</v>
      </c>
      <c r="AU26">
        <v>15066</v>
      </c>
      <c r="AV26">
        <v>16</v>
      </c>
      <c r="AW26">
        <v>7776</v>
      </c>
      <c r="AX26">
        <v>20</v>
      </c>
      <c r="AY26">
        <v>9720</v>
      </c>
      <c r="AZ26">
        <v>28</v>
      </c>
      <c r="BA26">
        <v>13608</v>
      </c>
      <c r="BB26">
        <v>18</v>
      </c>
      <c r="BC26">
        <v>8748</v>
      </c>
      <c r="BD26">
        <v>22</v>
      </c>
      <c r="BE26">
        <v>10692</v>
      </c>
      <c r="BF26">
        <v>20</v>
      </c>
      <c r="BG26">
        <v>9720</v>
      </c>
      <c r="BH26">
        <v>21</v>
      </c>
      <c r="BI26">
        <v>10206</v>
      </c>
      <c r="BJ26">
        <v>28</v>
      </c>
      <c r="BK26">
        <v>13608</v>
      </c>
      <c r="BL26">
        <v>22</v>
      </c>
      <c r="BM26">
        <v>10692</v>
      </c>
      <c r="BN26">
        <v>27</v>
      </c>
      <c r="BO26">
        <v>13122</v>
      </c>
      <c r="BP26">
        <v>23</v>
      </c>
      <c r="BQ26">
        <v>11178</v>
      </c>
      <c r="BR26">
        <v>22</v>
      </c>
      <c r="BS26">
        <v>10692</v>
      </c>
      <c r="BT26">
        <v>21</v>
      </c>
      <c r="BU26">
        <v>10206</v>
      </c>
      <c r="BV26">
        <v>18</v>
      </c>
      <c r="BW26">
        <v>8748</v>
      </c>
      <c r="BX26">
        <v>25.59080493534363</v>
      </c>
      <c r="BY26">
        <v>12437.131198577004</v>
      </c>
      <c r="BZ26">
        <v>22.121370090788531</v>
      </c>
      <c r="CA26">
        <v>10750.985864123226</v>
      </c>
      <c r="CB26">
        <v>19.920491811888336</v>
      </c>
      <c r="CC26">
        <v>9681.3590205777309</v>
      </c>
      <c r="CD26">
        <v>21.470190001296757</v>
      </c>
      <c r="CE26">
        <v>10434.512340630225</v>
      </c>
      <c r="CF26">
        <v>25.418514971091536</v>
      </c>
      <c r="CG26">
        <v>12353.398275950487</v>
      </c>
      <c r="CH26">
        <v>21.780254129481076</v>
      </c>
      <c r="CI26">
        <v>10585.203506927803</v>
      </c>
      <c r="CJ26">
        <v>18.468823906336475</v>
      </c>
      <c r="CK26">
        <v>8975.848418479527</v>
      </c>
      <c r="CL26">
        <v>16.038233420195979</v>
      </c>
      <c r="CM26">
        <v>7794.5814422152462</v>
      </c>
      <c r="CN26">
        <v>17.749034474629699</v>
      </c>
      <c r="CO26">
        <v>8626.0307546700333</v>
      </c>
      <c r="CP26">
        <v>17.79670421807096</v>
      </c>
      <c r="CQ26">
        <v>8649.1982499824862</v>
      </c>
      <c r="CR26">
        <v>25.244852194760458</v>
      </c>
      <c r="CS26">
        <v>12268.998166653582</v>
      </c>
      <c r="CT26">
        <v>24.331601727766543</v>
      </c>
      <c r="CU26">
        <v>11825.15843969454</v>
      </c>
    </row>
    <row r="27" spans="2:99">
      <c r="C27" s="99" t="s">
        <v>194</v>
      </c>
      <c r="D27">
        <v>20</v>
      </c>
      <c r="E27">
        <v>8544</v>
      </c>
      <c r="F27">
        <v>19</v>
      </c>
      <c r="G27">
        <v>8116.8</v>
      </c>
      <c r="H27">
        <v>15</v>
      </c>
      <c r="I27">
        <v>6408</v>
      </c>
      <c r="J27">
        <v>30</v>
      </c>
      <c r="K27">
        <v>12816</v>
      </c>
      <c r="L27">
        <v>24</v>
      </c>
      <c r="M27">
        <v>10252.799999999999</v>
      </c>
      <c r="N27">
        <v>17</v>
      </c>
      <c r="O27">
        <v>7262.4</v>
      </c>
      <c r="P27">
        <v>16</v>
      </c>
      <c r="Q27">
        <v>6835.2</v>
      </c>
      <c r="R27">
        <v>25</v>
      </c>
      <c r="S27">
        <v>10680</v>
      </c>
      <c r="T27">
        <v>16</v>
      </c>
      <c r="U27">
        <v>6835.2</v>
      </c>
      <c r="V27">
        <v>24</v>
      </c>
      <c r="W27">
        <v>10252.799999999999</v>
      </c>
      <c r="X27">
        <v>25</v>
      </c>
      <c r="Y27">
        <v>10680</v>
      </c>
      <c r="Z27">
        <v>20</v>
      </c>
      <c r="AA27">
        <v>8544</v>
      </c>
      <c r="AB27">
        <v>25</v>
      </c>
      <c r="AC27">
        <v>10680</v>
      </c>
      <c r="AD27">
        <v>25</v>
      </c>
      <c r="AE27">
        <v>10680</v>
      </c>
      <c r="AF27">
        <v>20</v>
      </c>
      <c r="AG27">
        <v>8544</v>
      </c>
      <c r="AH27">
        <v>21</v>
      </c>
      <c r="AI27">
        <v>8971.1999999999989</v>
      </c>
      <c r="AJ27">
        <v>28</v>
      </c>
      <c r="AK27">
        <v>11961.6</v>
      </c>
      <c r="AL27">
        <v>26</v>
      </c>
      <c r="AM27">
        <v>11107.199999999999</v>
      </c>
      <c r="AN27">
        <v>20</v>
      </c>
      <c r="AO27">
        <v>8544</v>
      </c>
      <c r="AP27">
        <v>23</v>
      </c>
      <c r="AQ27">
        <v>9825.6</v>
      </c>
      <c r="AR27">
        <v>28</v>
      </c>
      <c r="AS27">
        <v>11961.6</v>
      </c>
      <c r="AT27">
        <v>27</v>
      </c>
      <c r="AU27">
        <v>11534.4</v>
      </c>
      <c r="AV27">
        <v>16</v>
      </c>
      <c r="AW27">
        <v>6835.2</v>
      </c>
      <c r="AX27">
        <v>17</v>
      </c>
      <c r="AY27">
        <v>7262.4</v>
      </c>
      <c r="AZ27">
        <v>31</v>
      </c>
      <c r="BA27">
        <v>13243.199999999999</v>
      </c>
      <c r="BB27">
        <v>16</v>
      </c>
      <c r="BC27">
        <v>6835.2</v>
      </c>
      <c r="BD27">
        <v>23</v>
      </c>
      <c r="BE27">
        <v>9825.6</v>
      </c>
      <c r="BF27">
        <v>22</v>
      </c>
      <c r="BG27">
        <v>9398.4</v>
      </c>
      <c r="BH27">
        <v>21</v>
      </c>
      <c r="BI27">
        <v>8971.1999999999989</v>
      </c>
      <c r="BJ27">
        <v>30</v>
      </c>
      <c r="BK27">
        <v>12816</v>
      </c>
      <c r="BL27">
        <v>23</v>
      </c>
      <c r="BM27">
        <v>9825.6</v>
      </c>
      <c r="BN27">
        <v>27</v>
      </c>
      <c r="BO27">
        <v>11534.4</v>
      </c>
      <c r="BP27">
        <v>21</v>
      </c>
      <c r="BQ27">
        <v>8971.1999999999989</v>
      </c>
      <c r="BR27">
        <v>21</v>
      </c>
      <c r="BS27">
        <v>8971.1999999999989</v>
      </c>
      <c r="BT27">
        <v>19</v>
      </c>
      <c r="BU27">
        <v>8116.8</v>
      </c>
      <c r="BV27">
        <v>19</v>
      </c>
      <c r="BW27">
        <v>8116.8</v>
      </c>
      <c r="BX27">
        <v>25.59080493534363</v>
      </c>
      <c r="BY27">
        <v>10932.391868378798</v>
      </c>
      <c r="BZ27">
        <v>22.121370090788531</v>
      </c>
      <c r="CA27">
        <v>9450.2493027848595</v>
      </c>
      <c r="CB27">
        <v>19.920491811888336</v>
      </c>
      <c r="CC27">
        <v>8510.0341020386968</v>
      </c>
      <c r="CD27">
        <v>21.470190001296757</v>
      </c>
      <c r="CE27">
        <v>9172.0651685539742</v>
      </c>
      <c r="CF27">
        <v>27.058419162774861</v>
      </c>
      <c r="CG27">
        <v>11559.35666633742</v>
      </c>
      <c r="CH27">
        <v>23.393606287220415</v>
      </c>
      <c r="CI27">
        <v>9993.7486059005605</v>
      </c>
      <c r="CJ27">
        <v>17.545382711019649</v>
      </c>
      <c r="CK27">
        <v>7495.3874941475933</v>
      </c>
      <c r="CL27">
        <v>16.981658915501626</v>
      </c>
      <c r="CM27">
        <v>7254.564688702294</v>
      </c>
      <c r="CN27">
        <v>19.617353893011774</v>
      </c>
      <c r="CO27">
        <v>8380.5335830946296</v>
      </c>
      <c r="CP27">
        <v>17.79670421807096</v>
      </c>
      <c r="CQ27">
        <v>7602.7520419599141</v>
      </c>
      <c r="CR27">
        <v>22.439868617564855</v>
      </c>
      <c r="CS27">
        <v>9586.311873423705</v>
      </c>
      <c r="CT27">
        <v>20.438545451323893</v>
      </c>
      <c r="CU27">
        <v>8731.3466168055675</v>
      </c>
    </row>
    <row r="28" spans="2:99">
      <c r="C28" s="99" t="s">
        <v>195</v>
      </c>
      <c r="D28">
        <v>20</v>
      </c>
      <c r="E28">
        <v>14760</v>
      </c>
      <c r="F28">
        <v>19</v>
      </c>
      <c r="G28">
        <v>14022</v>
      </c>
      <c r="H28">
        <v>15</v>
      </c>
      <c r="I28">
        <v>11070</v>
      </c>
      <c r="J28">
        <v>24</v>
      </c>
      <c r="K28">
        <v>17712</v>
      </c>
      <c r="L28">
        <v>24</v>
      </c>
      <c r="M28">
        <v>17712</v>
      </c>
      <c r="N28">
        <v>15</v>
      </c>
      <c r="O28">
        <v>11070</v>
      </c>
      <c r="P28">
        <v>18</v>
      </c>
      <c r="Q28">
        <v>13284</v>
      </c>
      <c r="R28">
        <v>21</v>
      </c>
      <c r="S28">
        <v>15498</v>
      </c>
      <c r="T28">
        <v>17</v>
      </c>
      <c r="U28">
        <v>12546</v>
      </c>
      <c r="V28">
        <v>21</v>
      </c>
      <c r="W28">
        <v>15498</v>
      </c>
      <c r="X28">
        <v>29</v>
      </c>
      <c r="Y28">
        <v>21402</v>
      </c>
      <c r="Z28">
        <v>17</v>
      </c>
      <c r="AA28">
        <v>12546</v>
      </c>
      <c r="AB28">
        <v>25</v>
      </c>
      <c r="AC28">
        <v>18450</v>
      </c>
      <c r="AD28">
        <v>25</v>
      </c>
      <c r="AE28">
        <v>18450</v>
      </c>
      <c r="AF28">
        <v>21</v>
      </c>
      <c r="AG28">
        <v>15498</v>
      </c>
      <c r="AH28">
        <v>23</v>
      </c>
      <c r="AI28">
        <v>16974</v>
      </c>
      <c r="AJ28">
        <v>28</v>
      </c>
      <c r="AK28">
        <v>20664</v>
      </c>
      <c r="AL28">
        <v>26</v>
      </c>
      <c r="AM28">
        <v>19188</v>
      </c>
      <c r="AN28">
        <v>20</v>
      </c>
      <c r="AO28">
        <v>14760</v>
      </c>
      <c r="AP28">
        <v>21</v>
      </c>
      <c r="AQ28">
        <v>15498</v>
      </c>
      <c r="AR28">
        <v>24</v>
      </c>
      <c r="AS28">
        <v>17712</v>
      </c>
      <c r="AT28">
        <v>31</v>
      </c>
      <c r="AU28">
        <v>22878</v>
      </c>
      <c r="AV28">
        <v>14</v>
      </c>
      <c r="AW28">
        <v>10332</v>
      </c>
      <c r="AX28">
        <v>19</v>
      </c>
      <c r="AY28">
        <v>14022</v>
      </c>
      <c r="AZ28">
        <v>25</v>
      </c>
      <c r="BA28">
        <v>18450</v>
      </c>
      <c r="BB28">
        <v>19</v>
      </c>
      <c r="BC28">
        <v>14022</v>
      </c>
      <c r="BD28">
        <v>20</v>
      </c>
      <c r="BE28">
        <v>14760</v>
      </c>
      <c r="BF28">
        <v>21</v>
      </c>
      <c r="BG28">
        <v>15498</v>
      </c>
      <c r="BH28">
        <v>19</v>
      </c>
      <c r="BI28">
        <v>14022</v>
      </c>
      <c r="BJ28">
        <v>29</v>
      </c>
      <c r="BK28">
        <v>21402</v>
      </c>
      <c r="BL28">
        <v>23</v>
      </c>
      <c r="BM28">
        <v>16974</v>
      </c>
      <c r="BN28">
        <v>24</v>
      </c>
      <c r="BO28">
        <v>17712</v>
      </c>
      <c r="BP28">
        <v>23</v>
      </c>
      <c r="BQ28">
        <v>16974</v>
      </c>
      <c r="BR28">
        <v>19</v>
      </c>
      <c r="BS28">
        <v>14022</v>
      </c>
      <c r="BT28">
        <v>19</v>
      </c>
      <c r="BU28">
        <v>14022</v>
      </c>
      <c r="BV28">
        <v>18</v>
      </c>
      <c r="BW28">
        <v>13284</v>
      </c>
      <c r="BX28">
        <v>24.642997345145719</v>
      </c>
      <c r="BY28">
        <v>18186.532040717542</v>
      </c>
      <c r="BZ28">
        <v>22.121370090788531</v>
      </c>
      <c r="CA28">
        <v>16325.571127001936</v>
      </c>
      <c r="CB28">
        <v>23.384925170477612</v>
      </c>
      <c r="CC28">
        <v>17258.074775812478</v>
      </c>
      <c r="CD28">
        <v>20.644413462785344</v>
      </c>
      <c r="CE28">
        <v>15235.577135535585</v>
      </c>
      <c r="CF28">
        <v>27.058419162774861</v>
      </c>
      <c r="CG28">
        <v>19969.113342127846</v>
      </c>
      <c r="CH28">
        <v>19.360225892872066</v>
      </c>
      <c r="CI28">
        <v>14287.846708939585</v>
      </c>
      <c r="CJ28">
        <v>17.545382711019649</v>
      </c>
      <c r="CK28">
        <v>12948.4924407325</v>
      </c>
      <c r="CL28">
        <v>16.038233420195979</v>
      </c>
      <c r="CM28">
        <v>11836.216264104633</v>
      </c>
      <c r="CN28">
        <v>17.749034474629699</v>
      </c>
      <c r="CO28">
        <v>13098.787442276718</v>
      </c>
      <c r="CP28">
        <v>16.860035575014596</v>
      </c>
      <c r="CQ28">
        <v>12442.706254360772</v>
      </c>
      <c r="CR28">
        <v>21.504874091832985</v>
      </c>
      <c r="CS28">
        <v>15870.597079772742</v>
      </c>
      <c r="CT28">
        <v>21.411809520434556</v>
      </c>
      <c r="CU28">
        <v>15801.915426080703</v>
      </c>
    </row>
    <row r="29" spans="2:99">
      <c r="C29" s="99" t="s">
        <v>196</v>
      </c>
      <c r="D29">
        <v>20</v>
      </c>
      <c r="E29">
        <v>6768</v>
      </c>
      <c r="F29">
        <v>22</v>
      </c>
      <c r="G29">
        <v>7444.7999999999993</v>
      </c>
      <c r="H29">
        <v>16</v>
      </c>
      <c r="I29">
        <v>5414.4</v>
      </c>
      <c r="J29">
        <v>27</v>
      </c>
      <c r="K29">
        <v>9136.7999999999993</v>
      </c>
      <c r="L29">
        <v>26</v>
      </c>
      <c r="M29">
        <v>8798.4</v>
      </c>
      <c r="N29">
        <v>16</v>
      </c>
      <c r="O29">
        <v>5414.4</v>
      </c>
      <c r="P29">
        <v>19</v>
      </c>
      <c r="Q29">
        <v>6429.5999999999995</v>
      </c>
      <c r="R29">
        <v>26</v>
      </c>
      <c r="S29">
        <v>8798.4</v>
      </c>
      <c r="T29">
        <v>15</v>
      </c>
      <c r="U29">
        <v>5076</v>
      </c>
      <c r="V29">
        <v>25</v>
      </c>
      <c r="W29">
        <v>8460</v>
      </c>
      <c r="X29">
        <v>30</v>
      </c>
      <c r="Y29">
        <v>10152</v>
      </c>
      <c r="Z29">
        <v>19</v>
      </c>
      <c r="AA29">
        <v>6429.5999999999995</v>
      </c>
      <c r="AB29">
        <v>27</v>
      </c>
      <c r="AC29">
        <v>9136.7999999999993</v>
      </c>
      <c r="AD29">
        <v>26</v>
      </c>
      <c r="AE29">
        <v>8798.4</v>
      </c>
      <c r="AF29">
        <v>19</v>
      </c>
      <c r="AG29">
        <v>6429.5999999999995</v>
      </c>
      <c r="AH29">
        <v>23</v>
      </c>
      <c r="AI29">
        <v>7783.2</v>
      </c>
      <c r="AJ29">
        <v>26</v>
      </c>
      <c r="AK29">
        <v>8798.4</v>
      </c>
      <c r="AL29">
        <v>24</v>
      </c>
      <c r="AM29">
        <v>8121.5999999999995</v>
      </c>
      <c r="AN29">
        <v>21</v>
      </c>
      <c r="AO29">
        <v>7106.4</v>
      </c>
      <c r="AP29">
        <v>21</v>
      </c>
      <c r="AQ29">
        <v>7106.4</v>
      </c>
      <c r="AR29">
        <v>24</v>
      </c>
      <c r="AS29">
        <v>8121.5999999999995</v>
      </c>
      <c r="AT29">
        <v>28</v>
      </c>
      <c r="AU29">
        <v>9475.1999999999989</v>
      </c>
      <c r="AV29">
        <v>16</v>
      </c>
      <c r="AW29">
        <v>5414.4</v>
      </c>
      <c r="AX29">
        <v>17</v>
      </c>
      <c r="AY29">
        <v>5752.7999999999993</v>
      </c>
      <c r="AZ29">
        <v>31</v>
      </c>
      <c r="BA29">
        <v>10490.4</v>
      </c>
      <c r="BB29">
        <v>17</v>
      </c>
      <c r="BC29">
        <v>5752.7999999999993</v>
      </c>
      <c r="BD29">
        <v>22</v>
      </c>
      <c r="BE29">
        <v>7444.7999999999993</v>
      </c>
      <c r="BF29">
        <v>25</v>
      </c>
      <c r="BG29">
        <v>8460</v>
      </c>
      <c r="BH29">
        <v>23</v>
      </c>
      <c r="BI29">
        <v>7783.2</v>
      </c>
      <c r="BJ29">
        <v>28</v>
      </c>
      <c r="BK29">
        <v>9475.1999999999989</v>
      </c>
      <c r="BL29">
        <v>21</v>
      </c>
      <c r="BM29">
        <v>7106.4</v>
      </c>
      <c r="BN29">
        <v>28</v>
      </c>
      <c r="BO29">
        <v>9475.1999999999989</v>
      </c>
      <c r="BP29">
        <v>23</v>
      </c>
      <c r="BQ29">
        <v>7783.2</v>
      </c>
      <c r="BR29">
        <v>23</v>
      </c>
      <c r="BS29">
        <v>7783.2</v>
      </c>
      <c r="BT29">
        <v>20</v>
      </c>
      <c r="BU29">
        <v>6768</v>
      </c>
      <c r="BV29">
        <v>17</v>
      </c>
      <c r="BW29">
        <v>5752.7999999999993</v>
      </c>
      <c r="BX29">
        <v>28.434227705937364</v>
      </c>
      <c r="BY29">
        <v>9622.1426556892038</v>
      </c>
      <c r="BZ29">
        <v>21.302060087425993</v>
      </c>
      <c r="CA29">
        <v>7208.6171335849558</v>
      </c>
      <c r="CB29">
        <v>22.518816830830293</v>
      </c>
      <c r="CC29">
        <v>7620.3676155529702</v>
      </c>
      <c r="CD29">
        <v>23.121743078319586</v>
      </c>
      <c r="CE29">
        <v>7824.3978577033477</v>
      </c>
      <c r="CF29">
        <v>25.418514971091536</v>
      </c>
      <c r="CG29">
        <v>8601.625466217376</v>
      </c>
      <c r="CH29">
        <v>21.780254129481076</v>
      </c>
      <c r="CI29">
        <v>7370.4379974163958</v>
      </c>
      <c r="CJ29">
        <v>19.392265101653297</v>
      </c>
      <c r="CK29">
        <v>6562.342510399475</v>
      </c>
      <c r="CL29">
        <v>16.038233420195979</v>
      </c>
      <c r="CM29">
        <v>5427.3381893943188</v>
      </c>
      <c r="CN29">
        <v>20.55151360220281</v>
      </c>
      <c r="CO29">
        <v>6954.6322029854309</v>
      </c>
      <c r="CP29">
        <v>19.670041504183693</v>
      </c>
      <c r="CQ29">
        <v>6656.342045015761</v>
      </c>
      <c r="CR29">
        <v>24.309857669028592</v>
      </c>
      <c r="CS29">
        <v>8226.4558351992746</v>
      </c>
      <c r="CT29">
        <v>22.385073589545218</v>
      </c>
      <c r="CU29">
        <v>7575.1089027021017</v>
      </c>
    </row>
    <row r="30" spans="2:99">
      <c r="C30" s="99" t="s">
        <v>197</v>
      </c>
      <c r="D30">
        <v>24</v>
      </c>
      <c r="E30">
        <v>3340.7999999999997</v>
      </c>
      <c r="F30">
        <v>19</v>
      </c>
      <c r="G30">
        <v>2644.7999999999997</v>
      </c>
      <c r="H30">
        <v>15</v>
      </c>
      <c r="I30">
        <v>2088</v>
      </c>
      <c r="J30">
        <v>27</v>
      </c>
      <c r="K30">
        <v>3758.3999999999996</v>
      </c>
      <c r="L30">
        <v>26</v>
      </c>
      <c r="M30">
        <v>3619.2</v>
      </c>
      <c r="N30">
        <v>18</v>
      </c>
      <c r="O30">
        <v>2505.6</v>
      </c>
      <c r="P30">
        <v>17</v>
      </c>
      <c r="Q30">
        <v>2366.3999999999996</v>
      </c>
      <c r="R30">
        <v>23</v>
      </c>
      <c r="S30">
        <v>3201.6</v>
      </c>
      <c r="T30">
        <v>16</v>
      </c>
      <c r="U30">
        <v>2227.1999999999998</v>
      </c>
      <c r="V30">
        <v>23</v>
      </c>
      <c r="W30">
        <v>3201.6</v>
      </c>
      <c r="X30">
        <v>28</v>
      </c>
      <c r="Y30">
        <v>3897.5999999999995</v>
      </c>
      <c r="Z30">
        <v>18</v>
      </c>
      <c r="AA30">
        <v>2505.6</v>
      </c>
      <c r="AB30">
        <v>26</v>
      </c>
      <c r="AC30">
        <v>3619.2</v>
      </c>
      <c r="AD30">
        <v>25</v>
      </c>
      <c r="AE30">
        <v>3479.9999999999995</v>
      </c>
      <c r="AF30">
        <v>22</v>
      </c>
      <c r="AG30">
        <v>3062.3999999999996</v>
      </c>
      <c r="AH30">
        <v>24</v>
      </c>
      <c r="AI30">
        <v>3340.7999999999997</v>
      </c>
      <c r="AJ30">
        <v>31</v>
      </c>
      <c r="AK30">
        <v>4315.2</v>
      </c>
      <c r="AL30">
        <v>24</v>
      </c>
      <c r="AM30">
        <v>3340.7999999999997</v>
      </c>
      <c r="AN30">
        <v>20</v>
      </c>
      <c r="AO30">
        <v>2784</v>
      </c>
      <c r="AP30">
        <v>23</v>
      </c>
      <c r="AQ30">
        <v>3201.6</v>
      </c>
      <c r="AR30">
        <v>29</v>
      </c>
      <c r="AS30">
        <v>4036.7999999999997</v>
      </c>
      <c r="AT30">
        <v>32</v>
      </c>
      <c r="AU30">
        <v>4454.3999999999996</v>
      </c>
      <c r="AV30">
        <v>16</v>
      </c>
      <c r="AW30">
        <v>2227.1999999999998</v>
      </c>
      <c r="AX30">
        <v>21</v>
      </c>
      <c r="AY30">
        <v>2923.2</v>
      </c>
      <c r="AZ30">
        <v>27</v>
      </c>
      <c r="BA30">
        <v>3758.3999999999996</v>
      </c>
      <c r="BB30">
        <v>17</v>
      </c>
      <c r="BC30">
        <v>2366.3999999999996</v>
      </c>
      <c r="BD30">
        <v>22</v>
      </c>
      <c r="BE30">
        <v>3062.3999999999996</v>
      </c>
      <c r="BF30">
        <v>22</v>
      </c>
      <c r="BG30">
        <v>3062.3999999999996</v>
      </c>
      <c r="BH30">
        <v>21</v>
      </c>
      <c r="BI30">
        <v>2923.2</v>
      </c>
      <c r="BJ30">
        <v>28</v>
      </c>
      <c r="BK30">
        <v>3897.5999999999995</v>
      </c>
      <c r="BL30">
        <v>24</v>
      </c>
      <c r="BM30">
        <v>3340.7999999999997</v>
      </c>
      <c r="BN30">
        <v>24</v>
      </c>
      <c r="BO30">
        <v>3340.7999999999997</v>
      </c>
      <c r="BP30">
        <v>21</v>
      </c>
      <c r="BQ30">
        <v>2923.2</v>
      </c>
      <c r="BR30">
        <v>23</v>
      </c>
      <c r="BS30">
        <v>3201.6</v>
      </c>
      <c r="BT30">
        <v>19</v>
      </c>
      <c r="BU30">
        <v>2644.7999999999997</v>
      </c>
      <c r="BV30">
        <v>17</v>
      </c>
      <c r="BW30">
        <v>2366.3999999999996</v>
      </c>
      <c r="BX30">
        <v>25.59080493534363</v>
      </c>
      <c r="BY30">
        <v>3562.2400469998329</v>
      </c>
      <c r="BZ30">
        <v>22.121370090788531</v>
      </c>
      <c r="CA30">
        <v>3079.2947166377635</v>
      </c>
      <c r="CB30">
        <v>21.652708491182974</v>
      </c>
      <c r="CC30">
        <v>3014.0570219726696</v>
      </c>
      <c r="CD30">
        <v>23.121743078319586</v>
      </c>
      <c r="CE30">
        <v>3218.5466365020861</v>
      </c>
      <c r="CF30">
        <v>28.698323354458186</v>
      </c>
      <c r="CG30">
        <v>3994.806610940579</v>
      </c>
      <c r="CH30">
        <v>25.006958444959754</v>
      </c>
      <c r="CI30">
        <v>3480.9686155383974</v>
      </c>
      <c r="CJ30">
        <v>16.621941515702826</v>
      </c>
      <c r="CK30">
        <v>2313.7742589858331</v>
      </c>
      <c r="CL30">
        <v>16.981658915501626</v>
      </c>
      <c r="CM30">
        <v>2363.8469210378262</v>
      </c>
      <c r="CN30">
        <v>20.55151360220281</v>
      </c>
      <c r="CO30">
        <v>2860.7706934266312</v>
      </c>
      <c r="CP30">
        <v>18.733372861127329</v>
      </c>
      <c r="CQ30">
        <v>2607.6855022689238</v>
      </c>
      <c r="CR30">
        <v>24.309857669028592</v>
      </c>
      <c r="CS30">
        <v>3383.9321875287797</v>
      </c>
      <c r="CT30">
        <v>24.331601727766543</v>
      </c>
      <c r="CU30">
        <v>3386.9589605051024</v>
      </c>
    </row>
    <row r="31" spans="2:99">
      <c r="C31" s="99" t="s">
        <v>198</v>
      </c>
      <c r="D31">
        <v>23</v>
      </c>
      <c r="E31">
        <v>7838.4000000000005</v>
      </c>
      <c r="F31">
        <v>22</v>
      </c>
      <c r="G31">
        <v>7497.6</v>
      </c>
      <c r="H31">
        <v>16</v>
      </c>
      <c r="I31">
        <v>5452.8</v>
      </c>
      <c r="J31">
        <v>25</v>
      </c>
      <c r="K31">
        <v>8520</v>
      </c>
      <c r="L31">
        <v>24</v>
      </c>
      <c r="M31">
        <v>8179.2000000000007</v>
      </c>
      <c r="N31">
        <v>19</v>
      </c>
      <c r="O31">
        <v>6475.2</v>
      </c>
      <c r="P31">
        <v>19</v>
      </c>
      <c r="Q31">
        <v>6475.2</v>
      </c>
      <c r="R31">
        <v>26</v>
      </c>
      <c r="S31">
        <v>8860.8000000000011</v>
      </c>
      <c r="T31">
        <v>16</v>
      </c>
      <c r="U31">
        <v>5452.8</v>
      </c>
      <c r="V31">
        <v>25</v>
      </c>
      <c r="W31">
        <v>8520</v>
      </c>
      <c r="X31">
        <v>25</v>
      </c>
      <c r="Y31">
        <v>8520</v>
      </c>
      <c r="Z31">
        <v>20</v>
      </c>
      <c r="AA31">
        <v>6816</v>
      </c>
      <c r="AB31">
        <v>25</v>
      </c>
      <c r="AC31">
        <v>8520</v>
      </c>
      <c r="AD31">
        <v>27</v>
      </c>
      <c r="AE31">
        <v>9201.6</v>
      </c>
      <c r="AF31">
        <v>21</v>
      </c>
      <c r="AG31">
        <v>7156.8</v>
      </c>
      <c r="AH31">
        <v>21</v>
      </c>
      <c r="AI31">
        <v>7156.8</v>
      </c>
      <c r="AJ31">
        <v>28</v>
      </c>
      <c r="AK31">
        <v>9542.4</v>
      </c>
      <c r="AL31">
        <v>24</v>
      </c>
      <c r="AM31">
        <v>8179.2000000000007</v>
      </c>
      <c r="AN31">
        <v>19</v>
      </c>
      <c r="AO31">
        <v>6475.2</v>
      </c>
      <c r="AP31">
        <v>21</v>
      </c>
      <c r="AQ31">
        <v>7156.8</v>
      </c>
      <c r="AR31">
        <v>24</v>
      </c>
      <c r="AS31">
        <v>8179.2000000000007</v>
      </c>
      <c r="AT31">
        <v>33</v>
      </c>
      <c r="AU31">
        <v>11246.4</v>
      </c>
      <c r="AV31">
        <v>14</v>
      </c>
      <c r="AW31">
        <v>4771.2</v>
      </c>
      <c r="AX31">
        <v>20</v>
      </c>
      <c r="AY31">
        <v>6816</v>
      </c>
      <c r="AZ31">
        <v>31</v>
      </c>
      <c r="BA31">
        <v>10564.800000000001</v>
      </c>
      <c r="BB31">
        <v>17</v>
      </c>
      <c r="BC31">
        <v>5793.6</v>
      </c>
      <c r="BD31">
        <v>21</v>
      </c>
      <c r="BE31">
        <v>7156.8</v>
      </c>
      <c r="BF31">
        <v>25</v>
      </c>
      <c r="BG31">
        <v>8520</v>
      </c>
      <c r="BH31">
        <v>22</v>
      </c>
      <c r="BI31">
        <v>7497.6</v>
      </c>
      <c r="BJ31">
        <v>28</v>
      </c>
      <c r="BK31">
        <v>9542.4</v>
      </c>
      <c r="BL31">
        <v>21</v>
      </c>
      <c r="BM31">
        <v>7156.8</v>
      </c>
      <c r="BN31">
        <v>26</v>
      </c>
      <c r="BO31">
        <v>8860.8000000000011</v>
      </c>
      <c r="BP31">
        <v>23</v>
      </c>
      <c r="BQ31">
        <v>7838.4000000000005</v>
      </c>
      <c r="BR31">
        <v>23</v>
      </c>
      <c r="BS31">
        <v>7838.4000000000005</v>
      </c>
      <c r="BT31">
        <v>21</v>
      </c>
      <c r="BU31">
        <v>7156.8</v>
      </c>
      <c r="BV31">
        <v>17</v>
      </c>
      <c r="BW31">
        <v>5793.6</v>
      </c>
      <c r="BX31">
        <v>28.434227705937364</v>
      </c>
      <c r="BY31">
        <v>9690.3848021834547</v>
      </c>
      <c r="BZ31">
        <v>21.302060087425993</v>
      </c>
      <c r="CA31">
        <v>7259.7420777947782</v>
      </c>
      <c r="CB31">
        <v>20.786600151535655</v>
      </c>
      <c r="CC31">
        <v>7084.0733316433516</v>
      </c>
      <c r="CD31">
        <v>22.295966539808173</v>
      </c>
      <c r="CE31">
        <v>7598.4653967666254</v>
      </c>
      <c r="CF31">
        <v>26.238467066933197</v>
      </c>
      <c r="CG31">
        <v>8942.0695764108332</v>
      </c>
      <c r="CH31">
        <v>20.973578050611405</v>
      </c>
      <c r="CI31">
        <v>7147.7953996483666</v>
      </c>
      <c r="CJ31">
        <v>16.621941515702826</v>
      </c>
      <c r="CK31">
        <v>5664.7576685515232</v>
      </c>
      <c r="CL31">
        <v>16.038233420195979</v>
      </c>
      <c r="CM31">
        <v>5465.8299496027903</v>
      </c>
      <c r="CN31">
        <v>19.617353893011774</v>
      </c>
      <c r="CO31">
        <v>6685.594206738413</v>
      </c>
      <c r="CP31">
        <v>19.670041504183693</v>
      </c>
      <c r="CQ31">
        <v>6703.5501446258031</v>
      </c>
      <c r="CR31">
        <v>22.439868617564855</v>
      </c>
      <c r="CS31">
        <v>7647.5072248661027</v>
      </c>
      <c r="CT31">
        <v>21.411809520434556</v>
      </c>
      <c r="CU31">
        <v>7297.1446845640967</v>
      </c>
    </row>
    <row r="32" spans="2:99">
      <c r="C32" s="99" t="s">
        <v>199</v>
      </c>
      <c r="D32">
        <v>20</v>
      </c>
      <c r="E32">
        <v>16800</v>
      </c>
      <c r="F32">
        <v>18</v>
      </c>
      <c r="G32">
        <v>15120</v>
      </c>
      <c r="H32">
        <v>15</v>
      </c>
      <c r="I32">
        <v>12600</v>
      </c>
      <c r="J32">
        <v>25</v>
      </c>
      <c r="K32">
        <v>21000</v>
      </c>
      <c r="L32">
        <v>21</v>
      </c>
      <c r="M32">
        <v>17640</v>
      </c>
      <c r="N32">
        <v>15</v>
      </c>
      <c r="O32">
        <v>12600</v>
      </c>
      <c r="P32">
        <v>16</v>
      </c>
      <c r="Q32">
        <v>13440</v>
      </c>
      <c r="R32">
        <v>22</v>
      </c>
      <c r="S32">
        <v>18480</v>
      </c>
      <c r="T32">
        <v>15</v>
      </c>
      <c r="U32">
        <v>12600</v>
      </c>
      <c r="V32">
        <v>22</v>
      </c>
      <c r="W32">
        <v>18480</v>
      </c>
      <c r="X32">
        <v>24</v>
      </c>
      <c r="Y32">
        <v>20160</v>
      </c>
      <c r="Z32">
        <v>17</v>
      </c>
      <c r="AA32">
        <v>14280</v>
      </c>
      <c r="AB32">
        <v>23</v>
      </c>
      <c r="AC32">
        <v>19320</v>
      </c>
      <c r="AD32">
        <v>23</v>
      </c>
      <c r="AE32">
        <v>19320</v>
      </c>
      <c r="AF32">
        <v>19</v>
      </c>
      <c r="AG32">
        <v>15960</v>
      </c>
      <c r="AH32">
        <v>22</v>
      </c>
      <c r="AI32">
        <v>18480</v>
      </c>
      <c r="AJ32">
        <v>29</v>
      </c>
      <c r="AK32">
        <v>24360</v>
      </c>
      <c r="AL32">
        <v>25</v>
      </c>
      <c r="AM32">
        <v>21000</v>
      </c>
      <c r="AN32">
        <v>18</v>
      </c>
      <c r="AO32">
        <v>15120</v>
      </c>
      <c r="AP32">
        <v>21</v>
      </c>
      <c r="AQ32">
        <v>17640</v>
      </c>
      <c r="AR32">
        <v>25</v>
      </c>
      <c r="AS32">
        <v>21000</v>
      </c>
      <c r="AT32">
        <v>31</v>
      </c>
      <c r="AU32">
        <v>26040</v>
      </c>
      <c r="AV32">
        <v>15</v>
      </c>
      <c r="AW32">
        <v>12600</v>
      </c>
      <c r="AX32">
        <v>18</v>
      </c>
      <c r="AY32">
        <v>15120</v>
      </c>
      <c r="AZ32">
        <v>26</v>
      </c>
      <c r="BA32">
        <v>21840</v>
      </c>
      <c r="BB32">
        <v>15</v>
      </c>
      <c r="BC32">
        <v>12600</v>
      </c>
      <c r="BD32">
        <v>20</v>
      </c>
      <c r="BE32">
        <v>16800</v>
      </c>
      <c r="BF32">
        <v>23</v>
      </c>
      <c r="BG32">
        <v>19320</v>
      </c>
      <c r="BH32">
        <v>20</v>
      </c>
      <c r="BI32">
        <v>16800</v>
      </c>
      <c r="BJ32">
        <v>27</v>
      </c>
      <c r="BK32">
        <v>22680</v>
      </c>
      <c r="BL32">
        <v>20</v>
      </c>
      <c r="BM32">
        <v>16800</v>
      </c>
      <c r="BN32">
        <v>27</v>
      </c>
      <c r="BO32">
        <v>22680</v>
      </c>
      <c r="BP32">
        <v>19</v>
      </c>
      <c r="BQ32">
        <v>15960</v>
      </c>
      <c r="BR32">
        <v>21</v>
      </c>
      <c r="BS32">
        <v>17640</v>
      </c>
      <c r="BT32">
        <v>21</v>
      </c>
      <c r="BU32">
        <v>17640</v>
      </c>
      <c r="BV32">
        <v>17</v>
      </c>
      <c r="BW32">
        <v>14280</v>
      </c>
      <c r="BX32">
        <v>28.434227705937364</v>
      </c>
      <c r="BY32">
        <v>23884.751272987385</v>
      </c>
      <c r="BZ32">
        <v>20.482750084063458</v>
      </c>
      <c r="CA32">
        <v>17205.510070613305</v>
      </c>
      <c r="CB32">
        <v>21.652708491182974</v>
      </c>
      <c r="CC32">
        <v>18188.275132593699</v>
      </c>
      <c r="CD32">
        <v>19.818636924273932</v>
      </c>
      <c r="CE32">
        <v>16647.655016390101</v>
      </c>
      <c r="CF32">
        <v>22.138706587724887</v>
      </c>
      <c r="CG32">
        <v>18596.513533688903</v>
      </c>
      <c r="CH32">
        <v>23.393606287220415</v>
      </c>
      <c r="CI32">
        <v>19650.629281265148</v>
      </c>
      <c r="CJ32">
        <v>14.775059125069181</v>
      </c>
      <c r="CK32">
        <v>12411.049665058112</v>
      </c>
      <c r="CL32">
        <v>14.151382429584688</v>
      </c>
      <c r="CM32">
        <v>11887.161240851137</v>
      </c>
      <c r="CN32">
        <v>17.749034474629699</v>
      </c>
      <c r="CO32">
        <v>14909.188958688947</v>
      </c>
      <c r="CP32">
        <v>14.986698288901863</v>
      </c>
      <c r="CQ32">
        <v>12588.826562677565</v>
      </c>
      <c r="CR32">
        <v>21.504874091832985</v>
      </c>
      <c r="CS32">
        <v>18064.094237139707</v>
      </c>
      <c r="CT32">
        <v>22.385073589545218</v>
      </c>
      <c r="CU32">
        <v>18803.461815217983</v>
      </c>
    </row>
    <row r="33" spans="2:99">
      <c r="C33" s="99" t="s">
        <v>200</v>
      </c>
      <c r="D33">
        <v>23</v>
      </c>
      <c r="E33">
        <v>10902</v>
      </c>
      <c r="F33">
        <v>21</v>
      </c>
      <c r="G33">
        <v>9954</v>
      </c>
      <c r="H33">
        <v>17</v>
      </c>
      <c r="I33">
        <v>8058</v>
      </c>
      <c r="J33">
        <v>28</v>
      </c>
      <c r="K33">
        <v>13272</v>
      </c>
      <c r="L33">
        <v>26</v>
      </c>
      <c r="M33">
        <v>12324</v>
      </c>
      <c r="N33">
        <v>17</v>
      </c>
      <c r="O33">
        <v>8058</v>
      </c>
      <c r="P33">
        <v>18</v>
      </c>
      <c r="Q33">
        <v>8532</v>
      </c>
      <c r="R33">
        <v>25</v>
      </c>
      <c r="S33">
        <v>11850</v>
      </c>
      <c r="T33">
        <v>16</v>
      </c>
      <c r="U33">
        <v>7584</v>
      </c>
      <c r="V33">
        <v>21</v>
      </c>
      <c r="W33">
        <v>9954</v>
      </c>
      <c r="X33">
        <v>29</v>
      </c>
      <c r="Y33">
        <v>13746</v>
      </c>
      <c r="Z33">
        <v>19</v>
      </c>
      <c r="AA33">
        <v>9006</v>
      </c>
      <c r="AB33">
        <v>26</v>
      </c>
      <c r="AC33">
        <v>12324</v>
      </c>
      <c r="AD33">
        <v>27</v>
      </c>
      <c r="AE33">
        <v>12798</v>
      </c>
      <c r="AF33">
        <v>20</v>
      </c>
      <c r="AG33">
        <v>9480</v>
      </c>
      <c r="AH33">
        <v>23</v>
      </c>
      <c r="AI33">
        <v>10902</v>
      </c>
      <c r="AJ33">
        <v>30</v>
      </c>
      <c r="AK33">
        <v>14220</v>
      </c>
      <c r="AL33">
        <v>24</v>
      </c>
      <c r="AM33">
        <v>11376</v>
      </c>
      <c r="AN33">
        <v>18</v>
      </c>
      <c r="AO33">
        <v>8532</v>
      </c>
      <c r="AP33">
        <v>23</v>
      </c>
      <c r="AQ33">
        <v>10902</v>
      </c>
      <c r="AR33">
        <v>28</v>
      </c>
      <c r="AS33">
        <v>13272</v>
      </c>
      <c r="AT33">
        <v>27</v>
      </c>
      <c r="AU33">
        <v>12798</v>
      </c>
      <c r="AV33">
        <v>16</v>
      </c>
      <c r="AW33">
        <v>7584</v>
      </c>
      <c r="AX33">
        <v>19</v>
      </c>
      <c r="AY33">
        <v>9006</v>
      </c>
      <c r="AZ33">
        <v>30</v>
      </c>
      <c r="BA33">
        <v>14220</v>
      </c>
      <c r="BB33">
        <v>19</v>
      </c>
      <c r="BC33">
        <v>9006</v>
      </c>
      <c r="BD33">
        <v>22</v>
      </c>
      <c r="BE33">
        <v>10428</v>
      </c>
      <c r="BF33">
        <v>24</v>
      </c>
      <c r="BG33">
        <v>11376</v>
      </c>
      <c r="BH33">
        <v>22</v>
      </c>
      <c r="BI33">
        <v>10428</v>
      </c>
      <c r="BJ33">
        <v>27</v>
      </c>
      <c r="BK33">
        <v>12798</v>
      </c>
      <c r="BL33">
        <v>21</v>
      </c>
      <c r="BM33">
        <v>9954</v>
      </c>
      <c r="BN33">
        <v>28</v>
      </c>
      <c r="BO33">
        <v>13272</v>
      </c>
      <c r="BP33">
        <v>20</v>
      </c>
      <c r="BQ33">
        <v>9480</v>
      </c>
      <c r="BR33">
        <v>21</v>
      </c>
      <c r="BS33">
        <v>9954</v>
      </c>
      <c r="BT33">
        <v>18</v>
      </c>
      <c r="BU33">
        <v>8532</v>
      </c>
      <c r="BV33">
        <v>18</v>
      </c>
      <c r="BW33">
        <v>8532</v>
      </c>
      <c r="BX33">
        <v>25.59080493534363</v>
      </c>
      <c r="BY33">
        <v>12130.04153935288</v>
      </c>
      <c r="BZ33">
        <v>23.759990097513608</v>
      </c>
      <c r="CA33">
        <v>11262.23530622145</v>
      </c>
      <c r="CB33">
        <v>22.518816830830293</v>
      </c>
      <c r="CC33">
        <v>10673.919177813559</v>
      </c>
      <c r="CD33">
        <v>20.644413462785344</v>
      </c>
      <c r="CE33">
        <v>9785.4519813602528</v>
      </c>
      <c r="CF33">
        <v>22.958658683566547</v>
      </c>
      <c r="CG33">
        <v>10882.404216010544</v>
      </c>
      <c r="CH33">
        <v>20.166901971741737</v>
      </c>
      <c r="CI33">
        <v>9559.1115346055831</v>
      </c>
      <c r="CJ33">
        <v>16.621941515702826</v>
      </c>
      <c r="CK33">
        <v>7878.8002784431392</v>
      </c>
      <c r="CL33">
        <v>16.038233420195979</v>
      </c>
      <c r="CM33">
        <v>7602.122641172894</v>
      </c>
      <c r="CN33">
        <v>20.55151360220281</v>
      </c>
      <c r="CO33">
        <v>9741.4174474441315</v>
      </c>
      <c r="CP33">
        <v>16.860035575014596</v>
      </c>
      <c r="CQ33">
        <v>7991.656862556918</v>
      </c>
      <c r="CR33">
        <v>25.244852194760458</v>
      </c>
      <c r="CS33">
        <v>11966.059940316458</v>
      </c>
      <c r="CT33">
        <v>20.438545451323893</v>
      </c>
      <c r="CU33">
        <v>9687.8705439275254</v>
      </c>
    </row>
    <row r="34" spans="2:99">
      <c r="C34" s="99" t="s">
        <v>201</v>
      </c>
      <c r="D34">
        <v>20</v>
      </c>
      <c r="E34">
        <v>10968</v>
      </c>
      <c r="F34">
        <v>21</v>
      </c>
      <c r="G34">
        <v>11516.4</v>
      </c>
      <c r="H34">
        <v>16</v>
      </c>
      <c r="I34">
        <v>8774.4</v>
      </c>
      <c r="J34">
        <v>27</v>
      </c>
      <c r="K34">
        <v>14806.8</v>
      </c>
      <c r="L34">
        <v>25</v>
      </c>
      <c r="M34">
        <v>13710</v>
      </c>
      <c r="N34">
        <v>17</v>
      </c>
      <c r="O34">
        <v>9322.7999999999993</v>
      </c>
      <c r="P34">
        <v>16</v>
      </c>
      <c r="Q34">
        <v>8774.4</v>
      </c>
      <c r="R34">
        <v>22</v>
      </c>
      <c r="S34">
        <v>12064.8</v>
      </c>
      <c r="T34">
        <v>17</v>
      </c>
      <c r="U34">
        <v>9322.7999999999993</v>
      </c>
      <c r="V34">
        <v>23</v>
      </c>
      <c r="W34">
        <v>12613.199999999999</v>
      </c>
      <c r="X34">
        <v>28</v>
      </c>
      <c r="Y34">
        <v>15355.199999999999</v>
      </c>
      <c r="Z34">
        <v>21</v>
      </c>
      <c r="AA34">
        <v>11516.4</v>
      </c>
      <c r="AB34">
        <v>24</v>
      </c>
      <c r="AC34">
        <v>13161.599999999999</v>
      </c>
      <c r="AD34">
        <v>25</v>
      </c>
      <c r="AE34">
        <v>13710</v>
      </c>
      <c r="AF34">
        <v>18</v>
      </c>
      <c r="AG34">
        <v>9871.1999999999989</v>
      </c>
      <c r="AH34">
        <v>22</v>
      </c>
      <c r="AI34">
        <v>12064.8</v>
      </c>
      <c r="AJ34">
        <v>30</v>
      </c>
      <c r="AK34">
        <v>16452</v>
      </c>
      <c r="AL34">
        <v>24</v>
      </c>
      <c r="AM34">
        <v>13161.599999999999</v>
      </c>
      <c r="AN34">
        <v>19</v>
      </c>
      <c r="AO34">
        <v>10419.6</v>
      </c>
      <c r="AP34">
        <v>22</v>
      </c>
      <c r="AQ34">
        <v>12064.8</v>
      </c>
      <c r="AR34">
        <v>24</v>
      </c>
      <c r="AS34">
        <v>13161.599999999999</v>
      </c>
      <c r="AT34">
        <v>28</v>
      </c>
      <c r="AU34">
        <v>15355.199999999999</v>
      </c>
      <c r="AV34">
        <v>14</v>
      </c>
      <c r="AW34">
        <v>7677.5999999999995</v>
      </c>
      <c r="AX34">
        <v>19</v>
      </c>
      <c r="AY34">
        <v>10419.6</v>
      </c>
      <c r="AZ34">
        <v>27</v>
      </c>
      <c r="BA34">
        <v>14806.8</v>
      </c>
      <c r="BB34">
        <v>16</v>
      </c>
      <c r="BC34">
        <v>8774.4</v>
      </c>
      <c r="BD34">
        <v>22</v>
      </c>
      <c r="BE34">
        <v>12064.8</v>
      </c>
      <c r="BF34">
        <v>21</v>
      </c>
      <c r="BG34">
        <v>11516.4</v>
      </c>
      <c r="BH34">
        <v>20</v>
      </c>
      <c r="BI34">
        <v>10968</v>
      </c>
      <c r="BJ34">
        <v>31</v>
      </c>
      <c r="BK34">
        <v>17000.399999999998</v>
      </c>
      <c r="BL34">
        <v>23</v>
      </c>
      <c r="BM34">
        <v>12613.199999999999</v>
      </c>
      <c r="BN34">
        <v>23</v>
      </c>
      <c r="BO34">
        <v>12613.199999999999</v>
      </c>
      <c r="BP34">
        <v>20</v>
      </c>
      <c r="BQ34">
        <v>10968</v>
      </c>
      <c r="BR34">
        <v>22</v>
      </c>
      <c r="BS34">
        <v>12064.8</v>
      </c>
      <c r="BT34">
        <v>20</v>
      </c>
      <c r="BU34">
        <v>10968</v>
      </c>
      <c r="BV34">
        <v>17</v>
      </c>
      <c r="BW34">
        <v>9322.7999999999993</v>
      </c>
      <c r="BX34">
        <v>27.486420115739453</v>
      </c>
      <c r="BY34">
        <v>15073.552791471515</v>
      </c>
      <c r="BZ34">
        <v>22.121370090788531</v>
      </c>
      <c r="CA34">
        <v>12131.359357788429</v>
      </c>
      <c r="CB34">
        <v>22.518816830830293</v>
      </c>
      <c r="CC34">
        <v>12349.319150027331</v>
      </c>
      <c r="CD34">
        <v>21.470190001296757</v>
      </c>
      <c r="CE34">
        <v>11774.252196711141</v>
      </c>
      <c r="CF34">
        <v>22.958658683566547</v>
      </c>
      <c r="CG34">
        <v>12590.528422067893</v>
      </c>
      <c r="CH34">
        <v>24.200282366090082</v>
      </c>
      <c r="CI34">
        <v>13271.434849563801</v>
      </c>
      <c r="CJ34">
        <v>18.468823906336475</v>
      </c>
      <c r="CK34">
        <v>10128.303030234922</v>
      </c>
      <c r="CL34">
        <v>16.981658915501626</v>
      </c>
      <c r="CM34">
        <v>9312.7417492610912</v>
      </c>
      <c r="CN34">
        <v>17.749034474629699</v>
      </c>
      <c r="CO34">
        <v>9733.5705058869262</v>
      </c>
      <c r="CP34">
        <v>17.79670421807096</v>
      </c>
      <c r="CQ34">
        <v>9759.7125931901137</v>
      </c>
      <c r="CR34">
        <v>21.504874091832985</v>
      </c>
      <c r="CS34">
        <v>11793.272951961208</v>
      </c>
      <c r="CT34">
        <v>24.331601727766543</v>
      </c>
      <c r="CU34">
        <v>13343.450387507171</v>
      </c>
    </row>
    <row r="35" spans="2:99">
      <c r="C35" s="99" t="s">
        <v>202</v>
      </c>
      <c r="D35">
        <v>21</v>
      </c>
      <c r="E35">
        <v>10558.799999999997</v>
      </c>
      <c r="F35">
        <v>21</v>
      </c>
      <c r="G35">
        <v>10558.799999999997</v>
      </c>
      <c r="H35">
        <v>16</v>
      </c>
      <c r="I35">
        <v>8044.7999999999984</v>
      </c>
      <c r="J35">
        <v>27</v>
      </c>
      <c r="K35">
        <v>13575.599999999997</v>
      </c>
      <c r="L35">
        <v>22</v>
      </c>
      <c r="M35">
        <v>11061.599999999999</v>
      </c>
      <c r="N35">
        <v>18</v>
      </c>
      <c r="O35">
        <v>9050.3999999999978</v>
      </c>
      <c r="P35">
        <v>17</v>
      </c>
      <c r="Q35">
        <v>8547.5999999999985</v>
      </c>
      <c r="R35">
        <v>25</v>
      </c>
      <c r="S35">
        <v>12569.999999999998</v>
      </c>
      <c r="T35">
        <v>16</v>
      </c>
      <c r="U35">
        <v>8044.7999999999984</v>
      </c>
      <c r="V35">
        <v>22</v>
      </c>
      <c r="W35">
        <v>11061.599999999999</v>
      </c>
      <c r="X35">
        <v>28</v>
      </c>
      <c r="Y35">
        <v>14078.399999999998</v>
      </c>
      <c r="Z35">
        <v>21</v>
      </c>
      <c r="AA35">
        <v>10558.799999999997</v>
      </c>
      <c r="AB35">
        <v>23</v>
      </c>
      <c r="AC35">
        <v>11564.399999999998</v>
      </c>
      <c r="AD35">
        <v>26</v>
      </c>
      <c r="AE35">
        <v>13072.799999999997</v>
      </c>
      <c r="AF35">
        <v>22</v>
      </c>
      <c r="AG35">
        <v>11061.599999999999</v>
      </c>
      <c r="AH35">
        <v>22</v>
      </c>
      <c r="AI35">
        <v>11061.599999999999</v>
      </c>
      <c r="AJ35">
        <v>27</v>
      </c>
      <c r="AK35">
        <v>13575.599999999997</v>
      </c>
      <c r="AL35">
        <v>23</v>
      </c>
      <c r="AM35">
        <v>11564.399999999998</v>
      </c>
      <c r="AN35">
        <v>18</v>
      </c>
      <c r="AO35">
        <v>9050.3999999999978</v>
      </c>
      <c r="AP35">
        <v>21</v>
      </c>
      <c r="AQ35">
        <v>10558.799999999997</v>
      </c>
      <c r="AR35">
        <v>27</v>
      </c>
      <c r="AS35">
        <v>13575.599999999997</v>
      </c>
      <c r="AT35">
        <v>29</v>
      </c>
      <c r="AU35">
        <v>14581.199999999997</v>
      </c>
      <c r="AV35">
        <v>15</v>
      </c>
      <c r="AW35">
        <v>7541.9999999999982</v>
      </c>
      <c r="AX35">
        <v>17</v>
      </c>
      <c r="AY35">
        <v>8547.5999999999985</v>
      </c>
      <c r="AZ35">
        <v>28</v>
      </c>
      <c r="BA35">
        <v>14078.399999999998</v>
      </c>
      <c r="BB35">
        <v>19</v>
      </c>
      <c r="BC35">
        <v>9553.1999999999989</v>
      </c>
      <c r="BD35">
        <v>20</v>
      </c>
      <c r="BE35">
        <v>10055.999999999998</v>
      </c>
      <c r="BF35">
        <v>24</v>
      </c>
      <c r="BG35">
        <v>12067.199999999997</v>
      </c>
      <c r="BH35">
        <v>24</v>
      </c>
      <c r="BI35">
        <v>12067.199999999997</v>
      </c>
      <c r="BJ35">
        <v>29</v>
      </c>
      <c r="BK35">
        <v>14581.199999999997</v>
      </c>
      <c r="BL35">
        <v>21</v>
      </c>
      <c r="BM35">
        <v>10558.799999999997</v>
      </c>
      <c r="BN35">
        <v>27</v>
      </c>
      <c r="BO35">
        <v>13575.599999999997</v>
      </c>
      <c r="BP35">
        <v>23</v>
      </c>
      <c r="BQ35">
        <v>11564.399999999998</v>
      </c>
      <c r="BR35">
        <v>22</v>
      </c>
      <c r="BS35">
        <v>11061.599999999999</v>
      </c>
      <c r="BT35">
        <v>21</v>
      </c>
      <c r="BU35">
        <v>10558.799999999997</v>
      </c>
      <c r="BV35">
        <v>17</v>
      </c>
      <c r="BW35">
        <v>8547.5999999999985</v>
      </c>
      <c r="BX35">
        <v>24.642997345145719</v>
      </c>
      <c r="BY35">
        <v>12390.499065139265</v>
      </c>
      <c r="BZ35">
        <v>20.482750084063458</v>
      </c>
      <c r="CA35">
        <v>10298.726742267105</v>
      </c>
      <c r="CB35">
        <v>21.652708491182974</v>
      </c>
      <c r="CC35">
        <v>10886.981829366798</v>
      </c>
      <c r="CD35">
        <v>22.295966539808173</v>
      </c>
      <c r="CE35">
        <v>11210.411976215548</v>
      </c>
      <c r="CF35">
        <v>25.418514971091536</v>
      </c>
      <c r="CG35">
        <v>12780.429327464823</v>
      </c>
      <c r="CH35">
        <v>20.973578050611405</v>
      </c>
      <c r="CI35">
        <v>10545.515043847412</v>
      </c>
      <c r="CJ35">
        <v>15.698500320386003</v>
      </c>
      <c r="CK35">
        <v>7893.2059610900806</v>
      </c>
      <c r="CL35">
        <v>16.981658915501626</v>
      </c>
      <c r="CM35">
        <v>8538.3781027142159</v>
      </c>
      <c r="CN35">
        <v>20.55151360220281</v>
      </c>
      <c r="CO35">
        <v>10333.30103918757</v>
      </c>
      <c r="CP35">
        <v>15.923366931958229</v>
      </c>
      <c r="CQ35">
        <v>8006.2688933885966</v>
      </c>
      <c r="CR35">
        <v>26.179846720492332</v>
      </c>
      <c r="CS35">
        <v>13163.226931063542</v>
      </c>
      <c r="CT35">
        <v>21.411809520434556</v>
      </c>
      <c r="CU35">
        <v>10765.857826874493</v>
      </c>
    </row>
    <row r="36" spans="2:99">
      <c r="C36" s="99" t="s">
        <v>203</v>
      </c>
      <c r="D36">
        <v>19</v>
      </c>
      <c r="E36">
        <v>14455.199999999999</v>
      </c>
      <c r="F36">
        <v>20</v>
      </c>
      <c r="G36">
        <v>15216</v>
      </c>
      <c r="H36">
        <v>15</v>
      </c>
      <c r="I36">
        <v>11412</v>
      </c>
      <c r="J36">
        <v>27</v>
      </c>
      <c r="K36">
        <v>20541.599999999999</v>
      </c>
      <c r="L36">
        <v>22</v>
      </c>
      <c r="M36">
        <v>16737.599999999999</v>
      </c>
      <c r="N36">
        <v>15</v>
      </c>
      <c r="O36">
        <v>11412</v>
      </c>
      <c r="P36">
        <v>18</v>
      </c>
      <c r="Q36">
        <v>13694.4</v>
      </c>
      <c r="R36">
        <v>22</v>
      </c>
      <c r="S36">
        <v>16737.599999999999</v>
      </c>
      <c r="T36">
        <v>17</v>
      </c>
      <c r="U36">
        <v>12933.599999999999</v>
      </c>
      <c r="V36">
        <v>21</v>
      </c>
      <c r="W36">
        <v>15976.8</v>
      </c>
      <c r="X36">
        <v>26</v>
      </c>
      <c r="Y36">
        <v>19780.8</v>
      </c>
      <c r="Z36">
        <v>19</v>
      </c>
      <c r="AA36">
        <v>14455.199999999999</v>
      </c>
      <c r="AB36">
        <v>26</v>
      </c>
      <c r="AC36">
        <v>19780.8</v>
      </c>
      <c r="AD36">
        <v>27</v>
      </c>
      <c r="AE36">
        <v>20541.599999999999</v>
      </c>
      <c r="AF36">
        <v>18</v>
      </c>
      <c r="AG36">
        <v>13694.4</v>
      </c>
      <c r="AH36">
        <v>23</v>
      </c>
      <c r="AI36">
        <v>17498.399999999998</v>
      </c>
      <c r="AJ36">
        <v>24</v>
      </c>
      <c r="AK36">
        <v>18259.199999999997</v>
      </c>
      <c r="AL36">
        <v>22</v>
      </c>
      <c r="AM36">
        <v>16737.599999999999</v>
      </c>
      <c r="AN36">
        <v>17</v>
      </c>
      <c r="AO36">
        <v>12933.599999999999</v>
      </c>
      <c r="AP36">
        <v>21</v>
      </c>
      <c r="AQ36">
        <v>15976.8</v>
      </c>
      <c r="AR36">
        <v>24</v>
      </c>
      <c r="AS36">
        <v>18259.199999999997</v>
      </c>
      <c r="AT36">
        <v>29</v>
      </c>
      <c r="AU36">
        <v>22063.199999999997</v>
      </c>
      <c r="AV36">
        <v>14</v>
      </c>
      <c r="AW36">
        <v>10651.199999999999</v>
      </c>
      <c r="AX36">
        <v>19</v>
      </c>
      <c r="AY36">
        <v>14455.199999999999</v>
      </c>
      <c r="AZ36">
        <v>27</v>
      </c>
      <c r="BA36">
        <v>20541.599999999999</v>
      </c>
      <c r="BB36">
        <v>17</v>
      </c>
      <c r="BC36">
        <v>12933.599999999999</v>
      </c>
      <c r="BD36">
        <v>19</v>
      </c>
      <c r="BE36">
        <v>14455.199999999999</v>
      </c>
      <c r="BF36">
        <v>23</v>
      </c>
      <c r="BG36">
        <v>17498.399999999998</v>
      </c>
      <c r="BH36">
        <v>22</v>
      </c>
      <c r="BI36">
        <v>16737.599999999999</v>
      </c>
      <c r="BJ36">
        <v>29</v>
      </c>
      <c r="BK36">
        <v>22063.199999999997</v>
      </c>
      <c r="BL36">
        <v>21</v>
      </c>
      <c r="BM36">
        <v>15976.8</v>
      </c>
      <c r="BN36">
        <v>24</v>
      </c>
      <c r="BO36">
        <v>18259.199999999997</v>
      </c>
      <c r="BP36">
        <v>22</v>
      </c>
      <c r="BQ36">
        <v>16737.599999999999</v>
      </c>
      <c r="BR36">
        <v>19</v>
      </c>
      <c r="BS36">
        <v>14455.199999999999</v>
      </c>
      <c r="BT36">
        <v>19</v>
      </c>
      <c r="BU36">
        <v>14455.199999999999</v>
      </c>
      <c r="BV36">
        <v>16</v>
      </c>
      <c r="BW36">
        <v>12172.8</v>
      </c>
      <c r="BX36">
        <v>27.486420115739453</v>
      </c>
      <c r="BY36">
        <v>20911.668424054573</v>
      </c>
      <c r="BZ36">
        <v>20.482750084063458</v>
      </c>
      <c r="CA36">
        <v>15583.276263955478</v>
      </c>
      <c r="CB36">
        <v>21.652708491182974</v>
      </c>
      <c r="CC36">
        <v>16473.380620092004</v>
      </c>
      <c r="CD36">
        <v>19.818636924273932</v>
      </c>
      <c r="CE36">
        <v>15078.018971987607</v>
      </c>
      <c r="CF36">
        <v>25.418514971091536</v>
      </c>
      <c r="CG36">
        <v>19338.406190006441</v>
      </c>
      <c r="CH36">
        <v>21.780254129481076</v>
      </c>
      <c r="CI36">
        <v>16570.417341709202</v>
      </c>
      <c r="CJ36">
        <v>17.545382711019649</v>
      </c>
      <c r="CK36">
        <v>13348.527166543749</v>
      </c>
      <c r="CL36">
        <v>15.094807924890334</v>
      </c>
      <c r="CM36">
        <v>11484.129869256565</v>
      </c>
      <c r="CN36">
        <v>17.749034474629699</v>
      </c>
      <c r="CO36">
        <v>13503.465428298274</v>
      </c>
      <c r="CP36">
        <v>14.986698288901863</v>
      </c>
      <c r="CQ36">
        <v>11401.880058196537</v>
      </c>
      <c r="CR36">
        <v>23.374863143296722</v>
      </c>
      <c r="CS36">
        <v>17783.595879420143</v>
      </c>
      <c r="CT36">
        <v>21.411809520434556</v>
      </c>
      <c r="CU36">
        <v>16290.104683146608</v>
      </c>
    </row>
    <row r="37" spans="2:99">
      <c r="B37" s="99" t="s">
        <v>128</v>
      </c>
      <c r="C37" s="99" t="s">
        <v>204</v>
      </c>
      <c r="D37">
        <v>18</v>
      </c>
      <c r="E37">
        <v>15487.199999999999</v>
      </c>
      <c r="F37">
        <v>18</v>
      </c>
      <c r="G37">
        <v>15487.199999999999</v>
      </c>
      <c r="H37">
        <v>19</v>
      </c>
      <c r="I37">
        <v>16347.6</v>
      </c>
      <c r="J37">
        <v>15</v>
      </c>
      <c r="K37">
        <v>12906</v>
      </c>
      <c r="L37">
        <v>10</v>
      </c>
      <c r="M37">
        <v>8604</v>
      </c>
      <c r="N37">
        <v>15</v>
      </c>
      <c r="O37">
        <v>12906</v>
      </c>
      <c r="P37">
        <v>17</v>
      </c>
      <c r="Q37">
        <v>14626.8</v>
      </c>
      <c r="R37">
        <v>17</v>
      </c>
      <c r="S37">
        <v>14626.8</v>
      </c>
      <c r="T37">
        <v>11</v>
      </c>
      <c r="U37">
        <v>9464.4</v>
      </c>
      <c r="V37">
        <v>12</v>
      </c>
      <c r="W37">
        <v>10324.799999999999</v>
      </c>
      <c r="X37">
        <v>16</v>
      </c>
      <c r="Y37">
        <v>13766.4</v>
      </c>
      <c r="Z37">
        <v>11</v>
      </c>
      <c r="AA37">
        <v>9464.4</v>
      </c>
      <c r="AB37">
        <v>10</v>
      </c>
      <c r="AC37">
        <v>8604</v>
      </c>
      <c r="AD37">
        <v>12</v>
      </c>
      <c r="AE37">
        <v>10324.799999999999</v>
      </c>
      <c r="AF37">
        <v>17</v>
      </c>
      <c r="AG37">
        <v>14626.8</v>
      </c>
      <c r="AH37">
        <v>18</v>
      </c>
      <c r="AI37">
        <v>15487.199999999999</v>
      </c>
      <c r="AJ37">
        <v>17</v>
      </c>
      <c r="AK37">
        <v>14626.8</v>
      </c>
      <c r="AL37">
        <v>17</v>
      </c>
      <c r="AM37">
        <v>14626.8</v>
      </c>
      <c r="AN37">
        <v>14</v>
      </c>
      <c r="AO37">
        <v>12045.6</v>
      </c>
      <c r="AP37">
        <v>10</v>
      </c>
      <c r="AQ37">
        <v>8604</v>
      </c>
      <c r="AR37">
        <v>10</v>
      </c>
      <c r="AS37">
        <v>8604</v>
      </c>
      <c r="AT37">
        <v>18</v>
      </c>
      <c r="AU37">
        <v>15487.199999999999</v>
      </c>
      <c r="AV37">
        <v>13</v>
      </c>
      <c r="AW37">
        <v>11185.199999999999</v>
      </c>
      <c r="AX37">
        <v>12</v>
      </c>
      <c r="AY37">
        <v>10324.799999999999</v>
      </c>
      <c r="AZ37">
        <v>16</v>
      </c>
      <c r="BA37">
        <v>13766.4</v>
      </c>
      <c r="BB37">
        <v>16</v>
      </c>
      <c r="BC37">
        <v>13766.4</v>
      </c>
      <c r="BD37">
        <v>11</v>
      </c>
      <c r="BE37">
        <v>9464.4</v>
      </c>
      <c r="BF37">
        <v>11</v>
      </c>
      <c r="BG37">
        <v>9464.4</v>
      </c>
      <c r="BH37">
        <v>16</v>
      </c>
      <c r="BI37">
        <v>13766.4</v>
      </c>
      <c r="BJ37">
        <v>14</v>
      </c>
      <c r="BK37">
        <v>12045.6</v>
      </c>
      <c r="BL37">
        <v>14</v>
      </c>
      <c r="BM37">
        <v>12045.6</v>
      </c>
      <c r="BN37">
        <v>12</v>
      </c>
      <c r="BO37">
        <v>10324.799999999999</v>
      </c>
      <c r="BP37">
        <v>20</v>
      </c>
      <c r="BQ37">
        <v>17208</v>
      </c>
      <c r="BR37">
        <v>18</v>
      </c>
      <c r="BS37">
        <v>15487.199999999999</v>
      </c>
      <c r="BT37">
        <v>18</v>
      </c>
      <c r="BU37">
        <v>15487.199999999999</v>
      </c>
      <c r="BV37">
        <v>12</v>
      </c>
      <c r="BW37">
        <v>10324.799999999999</v>
      </c>
      <c r="BX37">
        <v>18.008344213760331</v>
      </c>
      <c r="BY37">
        <v>15494.379361519388</v>
      </c>
      <c r="BZ37">
        <v>13.928270057163148</v>
      </c>
      <c r="CA37">
        <v>11983.883557183173</v>
      </c>
      <c r="CB37">
        <v>16.456058453299061</v>
      </c>
      <c r="CC37">
        <v>14158.792693218511</v>
      </c>
      <c r="CD37">
        <v>15.689754231716863</v>
      </c>
      <c r="CE37">
        <v>13499.464540969189</v>
      </c>
      <c r="CF37">
        <v>10.659377245941611</v>
      </c>
      <c r="CG37">
        <v>9171.3281824081623</v>
      </c>
      <c r="CH37">
        <v>12.906817261914711</v>
      </c>
      <c r="CI37">
        <v>11105.025572151417</v>
      </c>
      <c r="CJ37">
        <v>12.928176734435533</v>
      </c>
      <c r="CK37">
        <v>11123.403262308333</v>
      </c>
      <c r="CL37">
        <v>16.038233420195979</v>
      </c>
      <c r="CM37">
        <v>13799.296034736621</v>
      </c>
      <c r="CN37">
        <v>15.880715056247627</v>
      </c>
      <c r="CO37">
        <v>13663.767234395458</v>
      </c>
      <c r="CP37">
        <v>15.923366931958229</v>
      </c>
      <c r="CQ37">
        <v>13700.464908256859</v>
      </c>
      <c r="CR37">
        <v>14.024917885978034</v>
      </c>
      <c r="CS37">
        <v>12067.039349095501</v>
      </c>
      <c r="CT37">
        <v>10.705904760217278</v>
      </c>
      <c r="CU37">
        <v>9211.3604556909449</v>
      </c>
    </row>
    <row r="38" spans="2:99">
      <c r="C38" s="99" t="s">
        <v>205</v>
      </c>
      <c r="D38">
        <v>16</v>
      </c>
      <c r="E38">
        <v>19872</v>
      </c>
      <c r="F38">
        <v>17</v>
      </c>
      <c r="G38">
        <v>21114</v>
      </c>
      <c r="H38">
        <v>17</v>
      </c>
      <c r="I38">
        <v>21114</v>
      </c>
      <c r="J38">
        <v>15</v>
      </c>
      <c r="K38">
        <v>18630</v>
      </c>
      <c r="L38">
        <v>10</v>
      </c>
      <c r="M38">
        <v>12420</v>
      </c>
      <c r="N38">
        <v>14</v>
      </c>
      <c r="O38">
        <v>17388</v>
      </c>
      <c r="P38">
        <v>18</v>
      </c>
      <c r="Q38">
        <v>22356</v>
      </c>
      <c r="R38">
        <v>14</v>
      </c>
      <c r="S38">
        <v>17388</v>
      </c>
      <c r="T38">
        <v>12</v>
      </c>
      <c r="U38">
        <v>14904</v>
      </c>
      <c r="V38">
        <v>14</v>
      </c>
      <c r="W38">
        <v>17388</v>
      </c>
      <c r="X38">
        <v>13</v>
      </c>
      <c r="Y38">
        <v>16146</v>
      </c>
      <c r="Z38">
        <v>10</v>
      </c>
      <c r="AA38">
        <v>12420</v>
      </c>
      <c r="AB38">
        <v>9</v>
      </c>
      <c r="AC38">
        <v>11178</v>
      </c>
      <c r="AD38">
        <v>11</v>
      </c>
      <c r="AE38">
        <v>13662</v>
      </c>
      <c r="AF38">
        <v>15</v>
      </c>
      <c r="AG38">
        <v>18630</v>
      </c>
      <c r="AH38">
        <v>18</v>
      </c>
      <c r="AI38">
        <v>22356</v>
      </c>
      <c r="AJ38">
        <v>14</v>
      </c>
      <c r="AK38">
        <v>17388</v>
      </c>
      <c r="AL38">
        <v>15</v>
      </c>
      <c r="AM38">
        <v>18630</v>
      </c>
      <c r="AN38">
        <v>12</v>
      </c>
      <c r="AO38">
        <v>14904</v>
      </c>
      <c r="AP38">
        <v>10</v>
      </c>
      <c r="AQ38">
        <v>12420</v>
      </c>
      <c r="AR38">
        <v>9</v>
      </c>
      <c r="AS38">
        <v>11178</v>
      </c>
      <c r="AT38">
        <v>19</v>
      </c>
      <c r="AU38">
        <v>23598</v>
      </c>
      <c r="AV38">
        <v>11</v>
      </c>
      <c r="AW38">
        <v>13662</v>
      </c>
      <c r="AX38">
        <v>11</v>
      </c>
      <c r="AY38">
        <v>13662</v>
      </c>
      <c r="AZ38">
        <v>19</v>
      </c>
      <c r="BA38">
        <v>23598</v>
      </c>
      <c r="BB38">
        <v>17</v>
      </c>
      <c r="BC38">
        <v>21114</v>
      </c>
      <c r="BD38">
        <v>11</v>
      </c>
      <c r="BE38">
        <v>13662</v>
      </c>
      <c r="BF38">
        <v>10</v>
      </c>
      <c r="BG38">
        <v>12420</v>
      </c>
      <c r="BH38">
        <v>15</v>
      </c>
      <c r="BI38">
        <v>18630</v>
      </c>
      <c r="BJ38">
        <v>13</v>
      </c>
      <c r="BK38">
        <v>16146</v>
      </c>
      <c r="BL38">
        <v>13</v>
      </c>
      <c r="BM38">
        <v>16146</v>
      </c>
      <c r="BN38">
        <v>11</v>
      </c>
      <c r="BO38">
        <v>13662</v>
      </c>
      <c r="BP38">
        <v>17</v>
      </c>
      <c r="BQ38">
        <v>21114</v>
      </c>
      <c r="BR38">
        <v>17</v>
      </c>
      <c r="BS38">
        <v>21114</v>
      </c>
      <c r="BT38">
        <v>18</v>
      </c>
      <c r="BU38">
        <v>22356</v>
      </c>
      <c r="BV38">
        <v>11</v>
      </c>
      <c r="BW38">
        <v>13662</v>
      </c>
      <c r="BX38">
        <v>17.06053662356242</v>
      </c>
      <c r="BY38">
        <v>21189.186486464525</v>
      </c>
      <c r="BZ38">
        <v>14.747580060525689</v>
      </c>
      <c r="CA38">
        <v>18316.494435172906</v>
      </c>
      <c r="CB38">
        <v>17.32216679294638</v>
      </c>
      <c r="CC38">
        <v>21514.131156839405</v>
      </c>
      <c r="CD38">
        <v>14.038201154694034</v>
      </c>
      <c r="CE38">
        <v>17435.445834129991</v>
      </c>
      <c r="CF38">
        <v>9.0194730542582864</v>
      </c>
      <c r="CG38">
        <v>11202.185533388792</v>
      </c>
      <c r="CH38">
        <v>12.906817261914711</v>
      </c>
      <c r="CI38">
        <v>16030.267039298071</v>
      </c>
      <c r="CJ38">
        <v>12.004735539118709</v>
      </c>
      <c r="CK38">
        <v>14909.881539585436</v>
      </c>
      <c r="CL38">
        <v>15.094807924890334</v>
      </c>
      <c r="CM38">
        <v>18747.751442713794</v>
      </c>
      <c r="CN38">
        <v>16.814874765438663</v>
      </c>
      <c r="CO38">
        <v>20884.074458674819</v>
      </c>
      <c r="CP38">
        <v>13.11336100278913</v>
      </c>
      <c r="CQ38">
        <v>16286.7943654641</v>
      </c>
      <c r="CR38">
        <v>12.154928834514296</v>
      </c>
      <c r="CS38">
        <v>15096.421612466755</v>
      </c>
      <c r="CT38">
        <v>11.67916882932794</v>
      </c>
      <c r="CU38">
        <v>14505.527686025302</v>
      </c>
    </row>
    <row r="39" spans="2:99">
      <c r="C39" s="99" t="s">
        <v>206</v>
      </c>
      <c r="D39">
        <v>17</v>
      </c>
      <c r="E39">
        <v>24194.400000000001</v>
      </c>
      <c r="F39">
        <v>16</v>
      </c>
      <c r="G39">
        <v>22771.200000000001</v>
      </c>
      <c r="H39">
        <v>16</v>
      </c>
      <c r="I39">
        <v>22771.200000000001</v>
      </c>
      <c r="J39">
        <v>16</v>
      </c>
      <c r="K39">
        <v>22771.200000000001</v>
      </c>
      <c r="L39">
        <v>10</v>
      </c>
      <c r="M39">
        <v>14232</v>
      </c>
      <c r="N39">
        <v>15</v>
      </c>
      <c r="O39">
        <v>21348</v>
      </c>
      <c r="P39">
        <v>17</v>
      </c>
      <c r="Q39">
        <v>24194.400000000001</v>
      </c>
      <c r="R39">
        <v>16</v>
      </c>
      <c r="S39">
        <v>22771.200000000001</v>
      </c>
      <c r="T39">
        <v>11</v>
      </c>
      <c r="U39">
        <v>15655.2</v>
      </c>
      <c r="V39">
        <v>12</v>
      </c>
      <c r="W39">
        <v>17078.400000000001</v>
      </c>
      <c r="X39">
        <v>14</v>
      </c>
      <c r="Y39">
        <v>19924.8</v>
      </c>
      <c r="Z39">
        <v>11</v>
      </c>
      <c r="AA39">
        <v>15655.2</v>
      </c>
      <c r="AB39">
        <v>10</v>
      </c>
      <c r="AC39">
        <v>14232</v>
      </c>
      <c r="AD39">
        <v>11</v>
      </c>
      <c r="AE39">
        <v>15655.2</v>
      </c>
      <c r="AF39">
        <v>15</v>
      </c>
      <c r="AG39">
        <v>21348</v>
      </c>
      <c r="AH39">
        <v>17</v>
      </c>
      <c r="AI39">
        <v>24194.400000000001</v>
      </c>
      <c r="AJ39">
        <v>14</v>
      </c>
      <c r="AK39">
        <v>19924.8</v>
      </c>
      <c r="AL39">
        <v>14</v>
      </c>
      <c r="AM39">
        <v>19924.8</v>
      </c>
      <c r="AN39">
        <v>14</v>
      </c>
      <c r="AO39">
        <v>19924.8</v>
      </c>
      <c r="AP39">
        <v>11</v>
      </c>
      <c r="AQ39">
        <v>15655.2</v>
      </c>
      <c r="AR39">
        <v>9</v>
      </c>
      <c r="AS39">
        <v>12808.800000000001</v>
      </c>
      <c r="AT39">
        <v>17</v>
      </c>
      <c r="AU39">
        <v>24194.400000000001</v>
      </c>
      <c r="AV39">
        <v>11</v>
      </c>
      <c r="AW39">
        <v>15655.2</v>
      </c>
      <c r="AX39">
        <v>12</v>
      </c>
      <c r="AY39">
        <v>17078.400000000001</v>
      </c>
      <c r="AZ39">
        <v>16</v>
      </c>
      <c r="BA39">
        <v>22771.200000000001</v>
      </c>
      <c r="BB39">
        <v>15</v>
      </c>
      <c r="BC39">
        <v>21348</v>
      </c>
      <c r="BD39">
        <v>11</v>
      </c>
      <c r="BE39">
        <v>15655.2</v>
      </c>
      <c r="BF39">
        <v>12</v>
      </c>
      <c r="BG39">
        <v>17078.400000000001</v>
      </c>
      <c r="BH39">
        <v>14</v>
      </c>
      <c r="BI39">
        <v>19924.8</v>
      </c>
      <c r="BJ39">
        <v>14</v>
      </c>
      <c r="BK39">
        <v>19924.8</v>
      </c>
      <c r="BL39">
        <v>14</v>
      </c>
      <c r="BM39">
        <v>19924.8</v>
      </c>
      <c r="BN39">
        <v>10</v>
      </c>
      <c r="BO39">
        <v>14232</v>
      </c>
      <c r="BP39">
        <v>17</v>
      </c>
      <c r="BQ39">
        <v>24194.400000000001</v>
      </c>
      <c r="BR39">
        <v>15</v>
      </c>
      <c r="BS39">
        <v>21348</v>
      </c>
      <c r="BT39">
        <v>17</v>
      </c>
      <c r="BU39">
        <v>24194.400000000001</v>
      </c>
      <c r="BV39">
        <v>10</v>
      </c>
      <c r="BW39">
        <v>14232</v>
      </c>
      <c r="BX39">
        <v>18.008344213760331</v>
      </c>
      <c r="BY39">
        <v>25629.475485023704</v>
      </c>
      <c r="BZ39">
        <v>13.928270057163148</v>
      </c>
      <c r="CA39">
        <v>19822.713945354593</v>
      </c>
      <c r="CB39">
        <v>14.723841774004423</v>
      </c>
      <c r="CC39">
        <v>20954.971612763096</v>
      </c>
      <c r="CD39">
        <v>15.689754231716863</v>
      </c>
      <c r="CE39">
        <v>22329.658222579441</v>
      </c>
      <c r="CF39">
        <v>9.8394251500999506</v>
      </c>
      <c r="CG39">
        <v>14003.469873622251</v>
      </c>
      <c r="CH39">
        <v>12.100141183045041</v>
      </c>
      <c r="CI39">
        <v>17220.920931709705</v>
      </c>
      <c r="CJ39">
        <v>12.004735539118709</v>
      </c>
      <c r="CK39">
        <v>17085.139619273748</v>
      </c>
      <c r="CL39">
        <v>15.094807924890334</v>
      </c>
      <c r="CM39">
        <v>21482.930638703925</v>
      </c>
      <c r="CN39">
        <v>14.94655534705659</v>
      </c>
      <c r="CO39">
        <v>21271.937569930938</v>
      </c>
      <c r="CP39">
        <v>14.050029645845497</v>
      </c>
      <c r="CQ39">
        <v>19996.002191967313</v>
      </c>
      <c r="CR39">
        <v>13.089923360246166</v>
      </c>
      <c r="CS39">
        <v>18629.578926302343</v>
      </c>
      <c r="CT39">
        <v>10.705904760217278</v>
      </c>
      <c r="CU39">
        <v>15236.64365474123</v>
      </c>
    </row>
    <row r="40" spans="2:99">
      <c r="C40" s="99" t="s">
        <v>207</v>
      </c>
      <c r="D40">
        <v>18</v>
      </c>
      <c r="E40">
        <v>13046.4</v>
      </c>
      <c r="F40">
        <v>16</v>
      </c>
      <c r="G40">
        <v>11596.8</v>
      </c>
      <c r="H40">
        <v>17</v>
      </c>
      <c r="I40">
        <v>12321.599999999999</v>
      </c>
      <c r="J40">
        <v>18</v>
      </c>
      <c r="K40">
        <v>13046.4</v>
      </c>
      <c r="L40">
        <v>11</v>
      </c>
      <c r="M40">
        <v>7972.7999999999993</v>
      </c>
      <c r="N40">
        <v>15</v>
      </c>
      <c r="O40">
        <v>10872</v>
      </c>
      <c r="P40">
        <v>18</v>
      </c>
      <c r="Q40">
        <v>13046.4</v>
      </c>
      <c r="R40">
        <v>15</v>
      </c>
      <c r="S40">
        <v>10872</v>
      </c>
      <c r="T40">
        <v>12</v>
      </c>
      <c r="U40">
        <v>8697.5999999999985</v>
      </c>
      <c r="V40">
        <v>14</v>
      </c>
      <c r="W40">
        <v>10147.199999999999</v>
      </c>
      <c r="X40">
        <v>14</v>
      </c>
      <c r="Y40">
        <v>10147.199999999999</v>
      </c>
      <c r="Z40">
        <v>11</v>
      </c>
      <c r="AA40">
        <v>7972.7999999999993</v>
      </c>
      <c r="AB40">
        <v>11</v>
      </c>
      <c r="AC40">
        <v>7972.7999999999993</v>
      </c>
      <c r="AD40">
        <v>12</v>
      </c>
      <c r="AE40">
        <v>8697.5999999999985</v>
      </c>
      <c r="AF40">
        <v>16</v>
      </c>
      <c r="AG40">
        <v>11596.8</v>
      </c>
      <c r="AH40">
        <v>17</v>
      </c>
      <c r="AI40">
        <v>12321.599999999999</v>
      </c>
      <c r="AJ40">
        <v>16</v>
      </c>
      <c r="AK40">
        <v>11596.8</v>
      </c>
      <c r="AL40">
        <v>16</v>
      </c>
      <c r="AM40">
        <v>11596.8</v>
      </c>
      <c r="AN40">
        <v>13</v>
      </c>
      <c r="AO40">
        <v>9422.4</v>
      </c>
      <c r="AP40">
        <v>11</v>
      </c>
      <c r="AQ40">
        <v>7972.7999999999993</v>
      </c>
      <c r="AR40">
        <v>9</v>
      </c>
      <c r="AS40">
        <v>6523.2</v>
      </c>
      <c r="AT40">
        <v>18</v>
      </c>
      <c r="AU40">
        <v>13046.4</v>
      </c>
      <c r="AV40">
        <v>13</v>
      </c>
      <c r="AW40">
        <v>9422.4</v>
      </c>
      <c r="AX40">
        <v>13</v>
      </c>
      <c r="AY40">
        <v>9422.4</v>
      </c>
      <c r="AZ40">
        <v>17</v>
      </c>
      <c r="BA40">
        <v>12321.599999999999</v>
      </c>
      <c r="BB40">
        <v>17</v>
      </c>
      <c r="BC40">
        <v>12321.599999999999</v>
      </c>
      <c r="BD40">
        <v>11</v>
      </c>
      <c r="BE40">
        <v>7972.7999999999993</v>
      </c>
      <c r="BF40">
        <v>12</v>
      </c>
      <c r="BG40">
        <v>8697.5999999999985</v>
      </c>
      <c r="BH40">
        <v>18</v>
      </c>
      <c r="BI40">
        <v>13046.4</v>
      </c>
      <c r="BJ40">
        <v>14</v>
      </c>
      <c r="BK40">
        <v>10147.199999999999</v>
      </c>
      <c r="BL40">
        <v>14</v>
      </c>
      <c r="BM40">
        <v>10147.199999999999</v>
      </c>
      <c r="BN40">
        <v>10</v>
      </c>
      <c r="BO40">
        <v>7248</v>
      </c>
      <c r="BP40">
        <v>20</v>
      </c>
      <c r="BQ40">
        <v>14496</v>
      </c>
      <c r="BR40">
        <v>16</v>
      </c>
      <c r="BS40">
        <v>11596.8</v>
      </c>
      <c r="BT40">
        <v>17</v>
      </c>
      <c r="BU40">
        <v>12321.599999999999</v>
      </c>
      <c r="BV40">
        <v>11</v>
      </c>
      <c r="BW40">
        <v>7972.7999999999993</v>
      </c>
      <c r="BX40">
        <v>17.06053662356242</v>
      </c>
      <c r="BY40">
        <v>12365.476944758042</v>
      </c>
      <c r="BZ40">
        <v>13.928270057163148</v>
      </c>
      <c r="CA40">
        <v>10095.21013743185</v>
      </c>
      <c r="CB40">
        <v>15.58995011365174</v>
      </c>
      <c r="CC40">
        <v>11299.595842374782</v>
      </c>
      <c r="CD40">
        <v>14.038201154694034</v>
      </c>
      <c r="CE40">
        <v>10174.888196922235</v>
      </c>
      <c r="CF40">
        <v>9.8394251500999506</v>
      </c>
      <c r="CG40">
        <v>7131.6153487924439</v>
      </c>
      <c r="CH40">
        <v>12.906817261914711</v>
      </c>
      <c r="CI40">
        <v>9354.8611514357817</v>
      </c>
      <c r="CJ40">
        <v>12.928176734435533</v>
      </c>
      <c r="CK40">
        <v>9370.3424971188742</v>
      </c>
      <c r="CL40">
        <v>16.981658915501626</v>
      </c>
      <c r="CM40">
        <v>12308.306381955577</v>
      </c>
      <c r="CN40">
        <v>18.683194183820735</v>
      </c>
      <c r="CO40">
        <v>13541.579144433268</v>
      </c>
      <c r="CP40">
        <v>15.923366931958229</v>
      </c>
      <c r="CQ40">
        <v>11541.256352283324</v>
      </c>
      <c r="CR40">
        <v>14.024917885978034</v>
      </c>
      <c r="CS40">
        <v>10165.260483756878</v>
      </c>
      <c r="CT40">
        <v>10.705904760217278</v>
      </c>
      <c r="CU40">
        <v>7759.6397702054828</v>
      </c>
    </row>
    <row r="41" spans="2:99">
      <c r="C41" s="99" t="s">
        <v>208</v>
      </c>
      <c r="D41">
        <v>19</v>
      </c>
      <c r="E41">
        <v>12540</v>
      </c>
      <c r="F41">
        <v>16</v>
      </c>
      <c r="G41">
        <v>10560</v>
      </c>
      <c r="H41">
        <v>19</v>
      </c>
      <c r="I41">
        <v>12540</v>
      </c>
      <c r="J41">
        <v>15</v>
      </c>
      <c r="K41">
        <v>9900</v>
      </c>
      <c r="L41">
        <v>10</v>
      </c>
      <c r="M41">
        <v>6600</v>
      </c>
      <c r="N41">
        <v>15</v>
      </c>
      <c r="O41">
        <v>9900</v>
      </c>
      <c r="P41">
        <v>18</v>
      </c>
      <c r="Q41">
        <v>11880</v>
      </c>
      <c r="R41">
        <v>15</v>
      </c>
      <c r="S41">
        <v>9900</v>
      </c>
      <c r="T41">
        <v>10</v>
      </c>
      <c r="U41">
        <v>6600</v>
      </c>
      <c r="V41">
        <v>13</v>
      </c>
      <c r="W41">
        <v>8580</v>
      </c>
      <c r="X41">
        <v>16</v>
      </c>
      <c r="Y41">
        <v>10560</v>
      </c>
      <c r="Z41">
        <v>10</v>
      </c>
      <c r="AA41">
        <v>6600</v>
      </c>
      <c r="AB41">
        <v>11</v>
      </c>
      <c r="AC41">
        <v>7260</v>
      </c>
      <c r="AD41">
        <v>11</v>
      </c>
      <c r="AE41">
        <v>7260</v>
      </c>
      <c r="AF41">
        <v>18</v>
      </c>
      <c r="AG41">
        <v>11880</v>
      </c>
      <c r="AH41">
        <v>16</v>
      </c>
      <c r="AI41">
        <v>10560</v>
      </c>
      <c r="AJ41">
        <v>15</v>
      </c>
      <c r="AK41">
        <v>9900</v>
      </c>
      <c r="AL41">
        <v>15</v>
      </c>
      <c r="AM41">
        <v>9900</v>
      </c>
      <c r="AN41">
        <v>15</v>
      </c>
      <c r="AO41">
        <v>9900</v>
      </c>
      <c r="AP41">
        <v>12</v>
      </c>
      <c r="AQ41">
        <v>7920</v>
      </c>
      <c r="AR41">
        <v>9</v>
      </c>
      <c r="AS41">
        <v>5940</v>
      </c>
      <c r="AT41">
        <v>18</v>
      </c>
      <c r="AU41">
        <v>11880</v>
      </c>
      <c r="AV41">
        <v>12</v>
      </c>
      <c r="AW41">
        <v>7920</v>
      </c>
      <c r="AX41">
        <v>13</v>
      </c>
      <c r="AY41">
        <v>8580</v>
      </c>
      <c r="AZ41">
        <v>19</v>
      </c>
      <c r="BA41">
        <v>12540</v>
      </c>
      <c r="BB41">
        <v>18</v>
      </c>
      <c r="BC41">
        <v>11880</v>
      </c>
      <c r="BD41">
        <v>11</v>
      </c>
      <c r="BE41">
        <v>7260</v>
      </c>
      <c r="BF41">
        <v>11</v>
      </c>
      <c r="BG41">
        <v>7260</v>
      </c>
      <c r="BH41">
        <v>16</v>
      </c>
      <c r="BI41">
        <v>10560</v>
      </c>
      <c r="BJ41">
        <v>14</v>
      </c>
      <c r="BK41">
        <v>9240</v>
      </c>
      <c r="BL41">
        <v>15</v>
      </c>
      <c r="BM41">
        <v>9900</v>
      </c>
      <c r="BN41">
        <v>11</v>
      </c>
      <c r="BO41">
        <v>7260</v>
      </c>
      <c r="BP41">
        <v>20</v>
      </c>
      <c r="BQ41">
        <v>13200</v>
      </c>
      <c r="BR41">
        <v>17</v>
      </c>
      <c r="BS41">
        <v>11220</v>
      </c>
      <c r="BT41">
        <v>18</v>
      </c>
      <c r="BU41">
        <v>11880</v>
      </c>
      <c r="BV41">
        <v>13</v>
      </c>
      <c r="BW41">
        <v>8580</v>
      </c>
      <c r="BX41">
        <v>19.903959394156157</v>
      </c>
      <c r="BY41">
        <v>13136.613200143063</v>
      </c>
      <c r="BZ41">
        <v>16.386200067250765</v>
      </c>
      <c r="CA41">
        <v>10814.892044385506</v>
      </c>
      <c r="CB41">
        <v>17.32216679294638</v>
      </c>
      <c r="CC41">
        <v>11432.630083344611</v>
      </c>
      <c r="CD41">
        <v>15.689754231716863</v>
      </c>
      <c r="CE41">
        <v>10355.237792933131</v>
      </c>
      <c r="CF41">
        <v>9.8394251500999506</v>
      </c>
      <c r="CG41">
        <v>6494.020599065967</v>
      </c>
      <c r="CH41">
        <v>14.520169419654049</v>
      </c>
      <c r="CI41">
        <v>9583.3118169716727</v>
      </c>
      <c r="CJ41">
        <v>11.081294343801886</v>
      </c>
      <c r="CK41">
        <v>7313.6542669092451</v>
      </c>
      <c r="CL41">
        <v>15.094807924890334</v>
      </c>
      <c r="CM41">
        <v>9962.5732304276207</v>
      </c>
      <c r="CN41">
        <v>15.880715056247627</v>
      </c>
      <c r="CO41">
        <v>10481.271937123434</v>
      </c>
      <c r="CP41">
        <v>14.050029645845497</v>
      </c>
      <c r="CQ41">
        <v>9273.0195662580281</v>
      </c>
      <c r="CR41">
        <v>14.024917885978034</v>
      </c>
      <c r="CS41">
        <v>9256.4458047455028</v>
      </c>
      <c r="CT41">
        <v>12.652432898438601</v>
      </c>
      <c r="CU41">
        <v>8350.6057129694764</v>
      </c>
    </row>
    <row r="42" spans="2:99">
      <c r="C42" s="99" t="s">
        <v>209</v>
      </c>
      <c r="D42">
        <v>19</v>
      </c>
      <c r="E42">
        <v>16074</v>
      </c>
      <c r="F42">
        <v>19</v>
      </c>
      <c r="G42">
        <v>16074</v>
      </c>
      <c r="H42">
        <v>20</v>
      </c>
      <c r="I42">
        <v>16920</v>
      </c>
      <c r="J42">
        <v>15</v>
      </c>
      <c r="K42">
        <v>12690</v>
      </c>
      <c r="L42">
        <v>10</v>
      </c>
      <c r="M42">
        <v>8460</v>
      </c>
      <c r="N42">
        <v>16</v>
      </c>
      <c r="O42">
        <v>13536</v>
      </c>
      <c r="P42">
        <v>17</v>
      </c>
      <c r="Q42">
        <v>14382</v>
      </c>
      <c r="R42">
        <v>16</v>
      </c>
      <c r="S42">
        <v>13536</v>
      </c>
      <c r="T42">
        <v>12</v>
      </c>
      <c r="U42">
        <v>10152</v>
      </c>
      <c r="V42">
        <v>12</v>
      </c>
      <c r="W42">
        <v>10152</v>
      </c>
      <c r="X42">
        <v>15</v>
      </c>
      <c r="Y42">
        <v>12690</v>
      </c>
      <c r="Z42">
        <v>11</v>
      </c>
      <c r="AA42">
        <v>9306</v>
      </c>
      <c r="AB42">
        <v>9</v>
      </c>
      <c r="AC42">
        <v>7614</v>
      </c>
      <c r="AD42">
        <v>10</v>
      </c>
      <c r="AE42">
        <v>8460</v>
      </c>
      <c r="AF42">
        <v>17</v>
      </c>
      <c r="AG42">
        <v>14382</v>
      </c>
      <c r="AH42">
        <v>16</v>
      </c>
      <c r="AI42">
        <v>13536</v>
      </c>
      <c r="AJ42">
        <v>16</v>
      </c>
      <c r="AK42">
        <v>13536</v>
      </c>
      <c r="AL42">
        <v>17</v>
      </c>
      <c r="AM42">
        <v>14382</v>
      </c>
      <c r="AN42">
        <v>15</v>
      </c>
      <c r="AO42">
        <v>12690</v>
      </c>
      <c r="AP42">
        <v>10</v>
      </c>
      <c r="AQ42">
        <v>8460</v>
      </c>
      <c r="AR42">
        <v>9</v>
      </c>
      <c r="AS42">
        <v>7614</v>
      </c>
      <c r="AT42">
        <v>18</v>
      </c>
      <c r="AU42">
        <v>15228</v>
      </c>
      <c r="AV42">
        <v>12</v>
      </c>
      <c r="AW42">
        <v>10152</v>
      </c>
      <c r="AX42">
        <v>11</v>
      </c>
      <c r="AY42">
        <v>9306</v>
      </c>
      <c r="AZ42">
        <v>19</v>
      </c>
      <c r="BA42">
        <v>16074</v>
      </c>
      <c r="BB42">
        <v>17</v>
      </c>
      <c r="BC42">
        <v>14382</v>
      </c>
      <c r="BD42">
        <v>12</v>
      </c>
      <c r="BE42">
        <v>10152</v>
      </c>
      <c r="BF42">
        <v>12</v>
      </c>
      <c r="BG42">
        <v>10152</v>
      </c>
      <c r="BH42">
        <v>17</v>
      </c>
      <c r="BI42">
        <v>14382</v>
      </c>
      <c r="BJ42">
        <v>15</v>
      </c>
      <c r="BK42">
        <v>12690</v>
      </c>
      <c r="BL42">
        <v>16</v>
      </c>
      <c r="BM42">
        <v>13536</v>
      </c>
      <c r="BN42">
        <v>10</v>
      </c>
      <c r="BO42">
        <v>8460</v>
      </c>
      <c r="BP42">
        <v>17</v>
      </c>
      <c r="BQ42">
        <v>14382</v>
      </c>
      <c r="BR42">
        <v>15</v>
      </c>
      <c r="BS42">
        <v>12690</v>
      </c>
      <c r="BT42">
        <v>19</v>
      </c>
      <c r="BU42">
        <v>16074</v>
      </c>
      <c r="BV42">
        <v>11</v>
      </c>
      <c r="BW42">
        <v>9306</v>
      </c>
      <c r="BX42">
        <v>18.008344213760331</v>
      </c>
      <c r="BY42">
        <v>15235.05920484124</v>
      </c>
      <c r="BZ42">
        <v>15.566890063888225</v>
      </c>
      <c r="CA42">
        <v>13169.588994049438</v>
      </c>
      <c r="CB42">
        <v>16.456058453299061</v>
      </c>
      <c r="CC42">
        <v>13921.825451491006</v>
      </c>
      <c r="CD42">
        <v>15.689754231716863</v>
      </c>
      <c r="CE42">
        <v>13273.532080032466</v>
      </c>
      <c r="CF42">
        <v>9.8394251500999506</v>
      </c>
      <c r="CG42">
        <v>8324.1536769845588</v>
      </c>
      <c r="CH42">
        <v>12.906817261914711</v>
      </c>
      <c r="CI42">
        <v>10919.167403579846</v>
      </c>
      <c r="CJ42">
        <v>12.004735539118709</v>
      </c>
      <c r="CK42">
        <v>10156.006266094428</v>
      </c>
      <c r="CL42">
        <v>16.981658915501626</v>
      </c>
      <c r="CM42">
        <v>14366.483442514376</v>
      </c>
      <c r="CN42">
        <v>16.814874765438663</v>
      </c>
      <c r="CO42">
        <v>14225.384051561108</v>
      </c>
      <c r="CP42">
        <v>14.050029645845497</v>
      </c>
      <c r="CQ42">
        <v>11886.32508038529</v>
      </c>
      <c r="CR42">
        <v>14.024917885978034</v>
      </c>
      <c r="CS42">
        <v>11865.080531537416</v>
      </c>
      <c r="CT42">
        <v>12.652432898438601</v>
      </c>
      <c r="CU42">
        <v>10703.958232079056</v>
      </c>
    </row>
    <row r="43" spans="2:99">
      <c r="C43" s="99" t="s">
        <v>210</v>
      </c>
      <c r="D43">
        <v>17</v>
      </c>
      <c r="E43">
        <v>17380.8</v>
      </c>
      <c r="F43">
        <v>16</v>
      </c>
      <c r="G43">
        <v>16358.4</v>
      </c>
      <c r="H43">
        <v>18</v>
      </c>
      <c r="I43">
        <v>18403.2</v>
      </c>
      <c r="J43">
        <v>15</v>
      </c>
      <c r="K43">
        <v>15336</v>
      </c>
      <c r="L43">
        <v>10</v>
      </c>
      <c r="M43">
        <v>10224</v>
      </c>
      <c r="N43">
        <v>16</v>
      </c>
      <c r="O43">
        <v>16358.4</v>
      </c>
      <c r="P43">
        <v>18</v>
      </c>
      <c r="Q43">
        <v>18403.2</v>
      </c>
      <c r="R43">
        <v>16</v>
      </c>
      <c r="S43">
        <v>16358.4</v>
      </c>
      <c r="T43">
        <v>10</v>
      </c>
      <c r="U43">
        <v>10224</v>
      </c>
      <c r="V43">
        <v>13</v>
      </c>
      <c r="W43">
        <v>13291.199999999999</v>
      </c>
      <c r="X43">
        <v>15</v>
      </c>
      <c r="Y43">
        <v>15336</v>
      </c>
      <c r="Z43">
        <v>11</v>
      </c>
      <c r="AA43">
        <v>11246.4</v>
      </c>
      <c r="AB43">
        <v>9</v>
      </c>
      <c r="AC43">
        <v>9201.6</v>
      </c>
      <c r="AD43">
        <v>10</v>
      </c>
      <c r="AE43">
        <v>10224</v>
      </c>
      <c r="AF43">
        <v>15</v>
      </c>
      <c r="AG43">
        <v>15336</v>
      </c>
      <c r="AH43">
        <v>17</v>
      </c>
      <c r="AI43">
        <v>17380.8</v>
      </c>
      <c r="AJ43">
        <v>16</v>
      </c>
      <c r="AK43">
        <v>16358.4</v>
      </c>
      <c r="AL43">
        <v>15</v>
      </c>
      <c r="AM43">
        <v>15336</v>
      </c>
      <c r="AN43">
        <v>14</v>
      </c>
      <c r="AO43">
        <v>14313.6</v>
      </c>
      <c r="AP43">
        <v>11</v>
      </c>
      <c r="AQ43">
        <v>11246.4</v>
      </c>
      <c r="AR43">
        <v>10</v>
      </c>
      <c r="AS43">
        <v>10224</v>
      </c>
      <c r="AT43">
        <v>18</v>
      </c>
      <c r="AU43">
        <v>18403.2</v>
      </c>
      <c r="AV43">
        <v>12</v>
      </c>
      <c r="AW43">
        <v>12268.8</v>
      </c>
      <c r="AX43">
        <v>11</v>
      </c>
      <c r="AY43">
        <v>11246.4</v>
      </c>
      <c r="AZ43">
        <v>17</v>
      </c>
      <c r="BA43">
        <v>17380.8</v>
      </c>
      <c r="BB43">
        <v>16</v>
      </c>
      <c r="BC43">
        <v>16358.4</v>
      </c>
      <c r="BD43">
        <v>11</v>
      </c>
      <c r="BE43">
        <v>11246.4</v>
      </c>
      <c r="BF43">
        <v>11</v>
      </c>
      <c r="BG43">
        <v>11246.4</v>
      </c>
      <c r="BH43">
        <v>14</v>
      </c>
      <c r="BI43">
        <v>14313.6</v>
      </c>
      <c r="BJ43">
        <v>14</v>
      </c>
      <c r="BK43">
        <v>14313.6</v>
      </c>
      <c r="BL43">
        <v>16</v>
      </c>
      <c r="BM43">
        <v>16358.4</v>
      </c>
      <c r="BN43">
        <v>11</v>
      </c>
      <c r="BO43">
        <v>11246.4</v>
      </c>
      <c r="BP43">
        <v>18</v>
      </c>
      <c r="BQ43">
        <v>18403.2</v>
      </c>
      <c r="BR43">
        <v>16</v>
      </c>
      <c r="BS43">
        <v>16358.4</v>
      </c>
      <c r="BT43">
        <v>18</v>
      </c>
      <c r="BU43">
        <v>18403.2</v>
      </c>
      <c r="BV43">
        <v>11</v>
      </c>
      <c r="BW43">
        <v>11246.4</v>
      </c>
      <c r="BX43">
        <v>19.903959394156157</v>
      </c>
      <c r="BY43">
        <v>20349.808084585253</v>
      </c>
      <c r="BZ43">
        <v>14.747580060525689</v>
      </c>
      <c r="CA43">
        <v>15077.925853881463</v>
      </c>
      <c r="CB43">
        <v>15.58995011365174</v>
      </c>
      <c r="CC43">
        <v>15939.16499619754</v>
      </c>
      <c r="CD43">
        <v>14.038201154694034</v>
      </c>
      <c r="CE43">
        <v>14352.65686055918</v>
      </c>
      <c r="CF43">
        <v>9.8394251500999506</v>
      </c>
      <c r="CG43">
        <v>10059.82827346219</v>
      </c>
      <c r="CH43">
        <v>13.71349334078438</v>
      </c>
      <c r="CI43">
        <v>14020.67559161795</v>
      </c>
      <c r="CJ43">
        <v>12.004735539118709</v>
      </c>
      <c r="CK43">
        <v>12273.641615194967</v>
      </c>
      <c r="CL43">
        <v>15.094807924890334</v>
      </c>
      <c r="CM43">
        <v>15432.931622407878</v>
      </c>
      <c r="CN43">
        <v>15.880715056247627</v>
      </c>
      <c r="CO43">
        <v>16236.443073507573</v>
      </c>
      <c r="CP43">
        <v>14.050029645845497</v>
      </c>
      <c r="CQ43">
        <v>14364.750309912435</v>
      </c>
      <c r="CR43">
        <v>14.024917885978034</v>
      </c>
      <c r="CS43">
        <v>14339.076046623943</v>
      </c>
      <c r="CT43">
        <v>11.67916882932794</v>
      </c>
      <c r="CU43">
        <v>11940.782211104886</v>
      </c>
    </row>
    <row r="44" spans="2:99">
      <c r="C44" s="99" t="s">
        <v>211</v>
      </c>
      <c r="D44">
        <v>18</v>
      </c>
      <c r="E44">
        <v>18403.2</v>
      </c>
      <c r="F44">
        <v>16</v>
      </c>
      <c r="G44">
        <v>16358.4</v>
      </c>
      <c r="H44">
        <v>18</v>
      </c>
      <c r="I44">
        <v>18403.2</v>
      </c>
      <c r="J44">
        <v>17</v>
      </c>
      <c r="K44">
        <v>17380.8</v>
      </c>
      <c r="L44">
        <v>10</v>
      </c>
      <c r="M44">
        <v>10224</v>
      </c>
      <c r="N44">
        <v>14</v>
      </c>
      <c r="O44">
        <v>14313.6</v>
      </c>
      <c r="P44">
        <v>18</v>
      </c>
      <c r="Q44">
        <v>18403.2</v>
      </c>
      <c r="R44">
        <v>14</v>
      </c>
      <c r="S44">
        <v>14313.6</v>
      </c>
      <c r="T44">
        <v>10</v>
      </c>
      <c r="U44">
        <v>10224</v>
      </c>
      <c r="V44">
        <v>12</v>
      </c>
      <c r="W44">
        <v>12268.8</v>
      </c>
      <c r="X44">
        <v>15</v>
      </c>
      <c r="Y44">
        <v>15336</v>
      </c>
      <c r="Z44">
        <v>11</v>
      </c>
      <c r="AA44">
        <v>11246.4</v>
      </c>
      <c r="AB44">
        <v>10</v>
      </c>
      <c r="AC44">
        <v>10224</v>
      </c>
      <c r="AD44">
        <v>10</v>
      </c>
      <c r="AE44">
        <v>10224</v>
      </c>
      <c r="AF44">
        <v>18</v>
      </c>
      <c r="AG44">
        <v>18403.2</v>
      </c>
      <c r="AH44">
        <v>17</v>
      </c>
      <c r="AI44">
        <v>17380.8</v>
      </c>
      <c r="AJ44">
        <v>15</v>
      </c>
      <c r="AK44">
        <v>15336</v>
      </c>
      <c r="AL44">
        <v>15</v>
      </c>
      <c r="AM44">
        <v>15336</v>
      </c>
      <c r="AN44">
        <v>13</v>
      </c>
      <c r="AO44">
        <v>13291.199999999999</v>
      </c>
      <c r="AP44">
        <v>12</v>
      </c>
      <c r="AQ44">
        <v>12268.8</v>
      </c>
      <c r="AR44">
        <v>10</v>
      </c>
      <c r="AS44">
        <v>10224</v>
      </c>
      <c r="AT44">
        <v>19</v>
      </c>
      <c r="AU44">
        <v>19425.599999999999</v>
      </c>
      <c r="AV44">
        <v>12</v>
      </c>
      <c r="AW44">
        <v>12268.8</v>
      </c>
      <c r="AX44">
        <v>11</v>
      </c>
      <c r="AY44">
        <v>11246.4</v>
      </c>
      <c r="AZ44">
        <v>18</v>
      </c>
      <c r="BA44">
        <v>18403.2</v>
      </c>
      <c r="BB44">
        <v>16</v>
      </c>
      <c r="BC44">
        <v>16358.4</v>
      </c>
      <c r="BD44">
        <v>10</v>
      </c>
      <c r="BE44">
        <v>10224</v>
      </c>
      <c r="BF44">
        <v>12</v>
      </c>
      <c r="BG44">
        <v>12268.8</v>
      </c>
      <c r="BH44">
        <v>16</v>
      </c>
      <c r="BI44">
        <v>16358.4</v>
      </c>
      <c r="BJ44">
        <v>14</v>
      </c>
      <c r="BK44">
        <v>14313.6</v>
      </c>
      <c r="BL44">
        <v>14</v>
      </c>
      <c r="BM44">
        <v>14313.6</v>
      </c>
      <c r="BN44">
        <v>11</v>
      </c>
      <c r="BO44">
        <v>11246.4</v>
      </c>
      <c r="BP44">
        <v>19</v>
      </c>
      <c r="BQ44">
        <v>19425.599999999999</v>
      </c>
      <c r="BR44">
        <v>15</v>
      </c>
      <c r="BS44">
        <v>15336</v>
      </c>
      <c r="BT44">
        <v>16</v>
      </c>
      <c r="BU44">
        <v>16358.4</v>
      </c>
      <c r="BV44">
        <v>11</v>
      </c>
      <c r="BW44">
        <v>11246.4</v>
      </c>
      <c r="BX44">
        <v>17.06053662356242</v>
      </c>
      <c r="BY44">
        <v>17442.692643930219</v>
      </c>
      <c r="BZ44">
        <v>13.108960053800612</v>
      </c>
      <c r="CA44">
        <v>13402.600759005745</v>
      </c>
      <c r="CB44">
        <v>15.58995011365174</v>
      </c>
      <c r="CC44">
        <v>15939.16499619754</v>
      </c>
      <c r="CD44">
        <v>16.515530770228278</v>
      </c>
      <c r="CE44">
        <v>16885.478659481392</v>
      </c>
      <c r="CF44">
        <v>9.0194730542582864</v>
      </c>
      <c r="CG44">
        <v>9221.509250673671</v>
      </c>
      <c r="CH44">
        <v>12.100141183045041</v>
      </c>
      <c r="CI44">
        <v>12371.184345545249</v>
      </c>
      <c r="CJ44">
        <v>12.004735539118709</v>
      </c>
      <c r="CK44">
        <v>12273.641615194967</v>
      </c>
      <c r="CL44">
        <v>16.981658915501626</v>
      </c>
      <c r="CM44">
        <v>17362.048075208862</v>
      </c>
      <c r="CN44">
        <v>16.814874765438663</v>
      </c>
      <c r="CO44">
        <v>17191.527960184489</v>
      </c>
      <c r="CP44">
        <v>15.923366931958229</v>
      </c>
      <c r="CQ44">
        <v>16280.050351234093</v>
      </c>
      <c r="CR44">
        <v>12.154928834514296</v>
      </c>
      <c r="CS44">
        <v>12427.199240407415</v>
      </c>
      <c r="CT44">
        <v>10.705904760217278</v>
      </c>
      <c r="CU44">
        <v>10945.717026846145</v>
      </c>
    </row>
    <row r="45" spans="2:99">
      <c r="C45" s="99" t="s">
        <v>212</v>
      </c>
      <c r="D45">
        <v>18</v>
      </c>
      <c r="E45">
        <v>22485.600000000002</v>
      </c>
      <c r="F45">
        <v>15</v>
      </c>
      <c r="G45">
        <v>18738</v>
      </c>
      <c r="H45">
        <v>18</v>
      </c>
      <c r="I45">
        <v>22485.600000000002</v>
      </c>
      <c r="J45">
        <v>14</v>
      </c>
      <c r="K45">
        <v>17488.8</v>
      </c>
      <c r="L45">
        <v>10</v>
      </c>
      <c r="M45">
        <v>12492</v>
      </c>
      <c r="N45">
        <v>15</v>
      </c>
      <c r="O45">
        <v>18738</v>
      </c>
      <c r="P45">
        <v>15</v>
      </c>
      <c r="Q45">
        <v>18738</v>
      </c>
      <c r="R45">
        <v>16</v>
      </c>
      <c r="S45">
        <v>19987.2</v>
      </c>
      <c r="T45">
        <v>10</v>
      </c>
      <c r="U45">
        <v>12492</v>
      </c>
      <c r="V45">
        <v>11</v>
      </c>
      <c r="W45">
        <v>13741.2</v>
      </c>
      <c r="X45">
        <v>15</v>
      </c>
      <c r="Y45">
        <v>18738</v>
      </c>
      <c r="Z45">
        <v>12</v>
      </c>
      <c r="AA45">
        <v>14990.400000000001</v>
      </c>
      <c r="AB45">
        <v>10</v>
      </c>
      <c r="AC45">
        <v>12492</v>
      </c>
      <c r="AD45">
        <v>12</v>
      </c>
      <c r="AE45">
        <v>14990.400000000001</v>
      </c>
      <c r="AF45">
        <v>15</v>
      </c>
      <c r="AG45">
        <v>18738</v>
      </c>
      <c r="AH45">
        <v>17</v>
      </c>
      <c r="AI45">
        <v>21236.400000000001</v>
      </c>
      <c r="AJ45">
        <v>15</v>
      </c>
      <c r="AK45">
        <v>18738</v>
      </c>
      <c r="AL45">
        <v>16</v>
      </c>
      <c r="AM45">
        <v>19987.2</v>
      </c>
      <c r="AN45">
        <v>13</v>
      </c>
      <c r="AO45">
        <v>16239.6</v>
      </c>
      <c r="AP45">
        <v>11</v>
      </c>
      <c r="AQ45">
        <v>13741.2</v>
      </c>
      <c r="AR45">
        <v>9</v>
      </c>
      <c r="AS45">
        <v>11242.800000000001</v>
      </c>
      <c r="AT45">
        <v>19</v>
      </c>
      <c r="AU45">
        <v>23734.799999999999</v>
      </c>
      <c r="AV45">
        <v>13</v>
      </c>
      <c r="AW45">
        <v>16239.6</v>
      </c>
      <c r="AX45">
        <v>11</v>
      </c>
      <c r="AY45">
        <v>13741.2</v>
      </c>
      <c r="AZ45">
        <v>17</v>
      </c>
      <c r="BA45">
        <v>21236.400000000001</v>
      </c>
      <c r="BB45">
        <v>17</v>
      </c>
      <c r="BC45">
        <v>21236.400000000001</v>
      </c>
      <c r="BD45">
        <v>10</v>
      </c>
      <c r="BE45">
        <v>12492</v>
      </c>
      <c r="BF45">
        <v>11</v>
      </c>
      <c r="BG45">
        <v>13741.2</v>
      </c>
      <c r="BH45">
        <v>15</v>
      </c>
      <c r="BI45">
        <v>18738</v>
      </c>
      <c r="BJ45">
        <v>13</v>
      </c>
      <c r="BK45">
        <v>16239.6</v>
      </c>
      <c r="BL45">
        <v>14</v>
      </c>
      <c r="BM45">
        <v>17488.8</v>
      </c>
      <c r="BN45">
        <v>11</v>
      </c>
      <c r="BO45">
        <v>13741.2</v>
      </c>
      <c r="BP45">
        <v>17</v>
      </c>
      <c r="BQ45">
        <v>21236.400000000001</v>
      </c>
      <c r="BR45">
        <v>16</v>
      </c>
      <c r="BS45">
        <v>19987.2</v>
      </c>
      <c r="BT45">
        <v>18</v>
      </c>
      <c r="BU45">
        <v>22485.600000000002</v>
      </c>
      <c r="BV45">
        <v>11</v>
      </c>
      <c r="BW45">
        <v>13741.2</v>
      </c>
      <c r="BX45">
        <v>16.112729033364506</v>
      </c>
      <c r="BY45">
        <v>20128.021108478941</v>
      </c>
      <c r="BZ45">
        <v>15.566890063888225</v>
      </c>
      <c r="CA45">
        <v>19446.159067809171</v>
      </c>
      <c r="CB45">
        <v>15.58995011365174</v>
      </c>
      <c r="CC45">
        <v>19474.965681973754</v>
      </c>
      <c r="CD45">
        <v>13.212424616182622</v>
      </c>
      <c r="CE45">
        <v>16504.960830535332</v>
      </c>
      <c r="CF45">
        <v>9.0194730542582864</v>
      </c>
      <c r="CG45">
        <v>11267.125739379451</v>
      </c>
      <c r="CH45">
        <v>13.71349334078438</v>
      </c>
      <c r="CI45">
        <v>17130.89588130785</v>
      </c>
      <c r="CJ45">
        <v>12.004735539118709</v>
      </c>
      <c r="CK45">
        <v>14996.315635467092</v>
      </c>
      <c r="CL45">
        <v>15.094807924890334</v>
      </c>
      <c r="CM45">
        <v>18856.434059773008</v>
      </c>
      <c r="CN45">
        <v>14.94655534705659</v>
      </c>
      <c r="CO45">
        <v>18671.236939543094</v>
      </c>
      <c r="CP45">
        <v>14.986698288901863</v>
      </c>
      <c r="CQ45">
        <v>18721.383502496206</v>
      </c>
      <c r="CR45">
        <v>11.219934308782427</v>
      </c>
      <c r="CS45">
        <v>14015.941938531008</v>
      </c>
      <c r="CT45">
        <v>10.705904760217278</v>
      </c>
      <c r="CU45">
        <v>13373.816226463425</v>
      </c>
    </row>
    <row r="46" spans="2:99">
      <c r="C46" s="99" t="s">
        <v>213</v>
      </c>
      <c r="D46">
        <v>17</v>
      </c>
      <c r="E46">
        <v>20604</v>
      </c>
      <c r="F46">
        <v>17</v>
      </c>
      <c r="G46">
        <v>20604</v>
      </c>
      <c r="H46">
        <v>19</v>
      </c>
      <c r="I46">
        <v>23028</v>
      </c>
      <c r="J46">
        <v>15</v>
      </c>
      <c r="K46">
        <v>18180</v>
      </c>
      <c r="L46">
        <v>9</v>
      </c>
      <c r="M46">
        <v>10908</v>
      </c>
      <c r="N46">
        <v>13</v>
      </c>
      <c r="O46">
        <v>15756</v>
      </c>
      <c r="P46">
        <v>17</v>
      </c>
      <c r="Q46">
        <v>20604</v>
      </c>
      <c r="R46">
        <v>16</v>
      </c>
      <c r="S46">
        <v>19392</v>
      </c>
      <c r="T46">
        <v>12</v>
      </c>
      <c r="U46">
        <v>14544</v>
      </c>
      <c r="V46">
        <v>12</v>
      </c>
      <c r="W46">
        <v>14544</v>
      </c>
      <c r="X46">
        <v>14</v>
      </c>
      <c r="Y46">
        <v>16968</v>
      </c>
      <c r="Z46">
        <v>12</v>
      </c>
      <c r="AA46">
        <v>14544</v>
      </c>
      <c r="AB46">
        <v>10</v>
      </c>
      <c r="AC46">
        <v>12120</v>
      </c>
      <c r="AD46">
        <v>12</v>
      </c>
      <c r="AE46">
        <v>14544</v>
      </c>
      <c r="AF46">
        <v>16</v>
      </c>
      <c r="AG46">
        <v>19392</v>
      </c>
      <c r="AH46">
        <v>18</v>
      </c>
      <c r="AI46">
        <v>21816</v>
      </c>
      <c r="AJ46">
        <v>14</v>
      </c>
      <c r="AK46">
        <v>16968</v>
      </c>
      <c r="AL46">
        <v>15</v>
      </c>
      <c r="AM46">
        <v>18180</v>
      </c>
      <c r="AN46">
        <v>14</v>
      </c>
      <c r="AO46">
        <v>16968</v>
      </c>
      <c r="AP46">
        <v>10</v>
      </c>
      <c r="AQ46">
        <v>12120</v>
      </c>
      <c r="AR46">
        <v>9</v>
      </c>
      <c r="AS46">
        <v>10908</v>
      </c>
      <c r="AT46">
        <v>19</v>
      </c>
      <c r="AU46">
        <v>23028</v>
      </c>
      <c r="AV46">
        <v>12</v>
      </c>
      <c r="AW46">
        <v>14544</v>
      </c>
      <c r="AX46">
        <v>12</v>
      </c>
      <c r="AY46">
        <v>14544</v>
      </c>
      <c r="AZ46">
        <v>17</v>
      </c>
      <c r="BA46">
        <v>20604</v>
      </c>
      <c r="BB46">
        <v>16</v>
      </c>
      <c r="BC46">
        <v>19392</v>
      </c>
      <c r="BD46">
        <v>11</v>
      </c>
      <c r="BE46">
        <v>13332</v>
      </c>
      <c r="BF46">
        <v>11</v>
      </c>
      <c r="BG46">
        <v>13332</v>
      </c>
      <c r="BH46">
        <v>16</v>
      </c>
      <c r="BI46">
        <v>19392</v>
      </c>
      <c r="BJ46">
        <v>14</v>
      </c>
      <c r="BK46">
        <v>16968</v>
      </c>
      <c r="BL46">
        <v>13</v>
      </c>
      <c r="BM46">
        <v>15756</v>
      </c>
      <c r="BN46">
        <v>11</v>
      </c>
      <c r="BO46">
        <v>13332</v>
      </c>
      <c r="BP46">
        <v>18</v>
      </c>
      <c r="BQ46">
        <v>21816</v>
      </c>
      <c r="BR46">
        <v>16</v>
      </c>
      <c r="BS46">
        <v>19392</v>
      </c>
      <c r="BT46">
        <v>17</v>
      </c>
      <c r="BU46">
        <v>20604</v>
      </c>
      <c r="BV46">
        <v>11</v>
      </c>
      <c r="BW46">
        <v>13332</v>
      </c>
      <c r="BX46">
        <v>16.112729033364506</v>
      </c>
      <c r="BY46">
        <v>19528.627588437779</v>
      </c>
      <c r="BZ46">
        <v>15.566890063888225</v>
      </c>
      <c r="CA46">
        <v>18867.070757432528</v>
      </c>
      <c r="CB46">
        <v>16.456058453299061</v>
      </c>
      <c r="CC46">
        <v>19944.742845398461</v>
      </c>
      <c r="CD46">
        <v>14.038201154694034</v>
      </c>
      <c r="CE46">
        <v>17014.29979948917</v>
      </c>
      <c r="CF46">
        <v>9.8394251500999506</v>
      </c>
      <c r="CG46">
        <v>11925.38328192114</v>
      </c>
      <c r="CH46">
        <v>13.71349334078438</v>
      </c>
      <c r="CI46">
        <v>16620.753929030667</v>
      </c>
      <c r="CJ46">
        <v>10.15785314848506</v>
      </c>
      <c r="CK46">
        <v>12311.318015963892</v>
      </c>
      <c r="CL46">
        <v>14.151382429584688</v>
      </c>
      <c r="CM46">
        <v>17151.475504656642</v>
      </c>
      <c r="CN46">
        <v>16.814874765438663</v>
      </c>
      <c r="CO46">
        <v>20379.628215711658</v>
      </c>
      <c r="CP46">
        <v>14.986698288901863</v>
      </c>
      <c r="CQ46">
        <v>18163.878326149057</v>
      </c>
      <c r="CR46">
        <v>12.154928834514296</v>
      </c>
      <c r="CS46">
        <v>14731.773747431327</v>
      </c>
      <c r="CT46">
        <v>11.67916882932794</v>
      </c>
      <c r="CU46">
        <v>14155.152621145464</v>
      </c>
    </row>
    <row r="47" spans="2:99">
      <c r="C47" s="99" t="s">
        <v>214</v>
      </c>
      <c r="D47">
        <v>17</v>
      </c>
      <c r="E47">
        <v>25969.199999999997</v>
      </c>
      <c r="F47">
        <v>15</v>
      </c>
      <c r="G47">
        <v>22914</v>
      </c>
      <c r="H47">
        <v>19</v>
      </c>
      <c r="I47">
        <v>29024.399999999998</v>
      </c>
      <c r="J47">
        <v>16</v>
      </c>
      <c r="K47">
        <v>24441.599999999999</v>
      </c>
      <c r="L47">
        <v>9</v>
      </c>
      <c r="M47">
        <v>13748.4</v>
      </c>
      <c r="N47">
        <v>14</v>
      </c>
      <c r="O47">
        <v>21386.399999999998</v>
      </c>
      <c r="P47">
        <v>16</v>
      </c>
      <c r="Q47">
        <v>24441.599999999999</v>
      </c>
      <c r="R47">
        <v>15</v>
      </c>
      <c r="S47">
        <v>22914</v>
      </c>
      <c r="T47">
        <v>11</v>
      </c>
      <c r="U47">
        <v>16803.599999999999</v>
      </c>
      <c r="V47">
        <v>13</v>
      </c>
      <c r="W47">
        <v>19858.8</v>
      </c>
      <c r="X47">
        <v>15</v>
      </c>
      <c r="Y47">
        <v>22914</v>
      </c>
      <c r="Z47">
        <v>11</v>
      </c>
      <c r="AA47">
        <v>16803.599999999999</v>
      </c>
      <c r="AB47">
        <v>9</v>
      </c>
      <c r="AC47">
        <v>13748.4</v>
      </c>
      <c r="AD47">
        <v>10</v>
      </c>
      <c r="AE47">
        <v>15276</v>
      </c>
      <c r="AF47">
        <v>16</v>
      </c>
      <c r="AG47">
        <v>24441.599999999999</v>
      </c>
      <c r="AH47">
        <v>17</v>
      </c>
      <c r="AI47">
        <v>25969.199999999997</v>
      </c>
      <c r="AJ47">
        <v>16</v>
      </c>
      <c r="AK47">
        <v>24441.599999999999</v>
      </c>
      <c r="AL47">
        <v>15</v>
      </c>
      <c r="AM47">
        <v>22914</v>
      </c>
      <c r="AN47">
        <v>13</v>
      </c>
      <c r="AO47">
        <v>19858.8</v>
      </c>
      <c r="AP47">
        <v>10</v>
      </c>
      <c r="AQ47">
        <v>15276</v>
      </c>
      <c r="AR47">
        <v>9</v>
      </c>
      <c r="AS47">
        <v>13748.4</v>
      </c>
      <c r="AT47">
        <v>19</v>
      </c>
      <c r="AU47">
        <v>29024.399999999998</v>
      </c>
      <c r="AV47">
        <v>11</v>
      </c>
      <c r="AW47">
        <v>16803.599999999999</v>
      </c>
      <c r="AX47">
        <v>10</v>
      </c>
      <c r="AY47">
        <v>15276</v>
      </c>
      <c r="AZ47">
        <v>16</v>
      </c>
      <c r="BA47">
        <v>24441.599999999999</v>
      </c>
      <c r="BB47">
        <v>15</v>
      </c>
      <c r="BC47">
        <v>22914</v>
      </c>
      <c r="BD47">
        <v>10</v>
      </c>
      <c r="BE47">
        <v>15276</v>
      </c>
      <c r="BF47">
        <v>11</v>
      </c>
      <c r="BG47">
        <v>16803.599999999999</v>
      </c>
      <c r="BH47">
        <v>15</v>
      </c>
      <c r="BI47">
        <v>22914</v>
      </c>
      <c r="BJ47">
        <v>14</v>
      </c>
      <c r="BK47">
        <v>21386.399999999998</v>
      </c>
      <c r="BL47">
        <v>14</v>
      </c>
      <c r="BM47">
        <v>21386.399999999998</v>
      </c>
      <c r="BN47">
        <v>10</v>
      </c>
      <c r="BO47">
        <v>15276</v>
      </c>
      <c r="BP47">
        <v>16</v>
      </c>
      <c r="BQ47">
        <v>24441.599999999999</v>
      </c>
      <c r="BR47">
        <v>16</v>
      </c>
      <c r="BS47">
        <v>24441.599999999999</v>
      </c>
      <c r="BT47">
        <v>17</v>
      </c>
      <c r="BU47">
        <v>25969.199999999997</v>
      </c>
      <c r="BV47">
        <v>12</v>
      </c>
      <c r="BW47">
        <v>18331.199999999997</v>
      </c>
      <c r="BX47">
        <v>18.008344213760331</v>
      </c>
      <c r="BY47">
        <v>27509.54662094028</v>
      </c>
      <c r="BZ47">
        <v>13.928270057163148</v>
      </c>
      <c r="CA47">
        <v>21276.825339322426</v>
      </c>
      <c r="CB47">
        <v>15.58995011365174</v>
      </c>
      <c r="CC47">
        <v>23815.207793614398</v>
      </c>
      <c r="CD47">
        <v>13.212424616182622</v>
      </c>
      <c r="CE47">
        <v>20183.299843680572</v>
      </c>
      <c r="CF47">
        <v>10.659377245941611</v>
      </c>
      <c r="CG47">
        <v>16283.264680900404</v>
      </c>
      <c r="CH47">
        <v>12.100141183045041</v>
      </c>
      <c r="CI47">
        <v>18484.175671219604</v>
      </c>
      <c r="CJ47">
        <v>11.081294343801886</v>
      </c>
      <c r="CK47">
        <v>16927.785239591762</v>
      </c>
      <c r="CL47">
        <v>14.151382429584688</v>
      </c>
      <c r="CM47">
        <v>21617.651799433566</v>
      </c>
      <c r="CN47">
        <v>16.814874765438663</v>
      </c>
      <c r="CO47">
        <v>25686.402691684099</v>
      </c>
      <c r="CP47">
        <v>14.986698288901863</v>
      </c>
      <c r="CQ47">
        <v>22893.680306126484</v>
      </c>
      <c r="CR47">
        <v>12.154928834514296</v>
      </c>
      <c r="CS47">
        <v>18567.869287604037</v>
      </c>
      <c r="CT47">
        <v>10.705904760217278</v>
      </c>
      <c r="CU47">
        <v>16354.340111707912</v>
      </c>
    </row>
    <row r="48" spans="2:99">
      <c r="C48" s="99" t="s">
        <v>215</v>
      </c>
      <c r="D48">
        <v>18</v>
      </c>
      <c r="E48">
        <v>15616.800000000001</v>
      </c>
      <c r="F48">
        <v>16</v>
      </c>
      <c r="G48">
        <v>13881.6</v>
      </c>
      <c r="H48">
        <v>20</v>
      </c>
      <c r="I48">
        <v>17352</v>
      </c>
      <c r="J48">
        <v>15</v>
      </c>
      <c r="K48">
        <v>13014</v>
      </c>
      <c r="L48">
        <v>9</v>
      </c>
      <c r="M48">
        <v>7808.4000000000005</v>
      </c>
      <c r="N48">
        <v>13</v>
      </c>
      <c r="O48">
        <v>11278.800000000001</v>
      </c>
      <c r="P48">
        <v>16</v>
      </c>
      <c r="Q48">
        <v>13881.6</v>
      </c>
      <c r="R48">
        <v>17</v>
      </c>
      <c r="S48">
        <v>14749.2</v>
      </c>
      <c r="T48">
        <v>11</v>
      </c>
      <c r="U48">
        <v>9543.6</v>
      </c>
      <c r="V48">
        <v>13</v>
      </c>
      <c r="W48">
        <v>11278.800000000001</v>
      </c>
      <c r="X48">
        <v>15</v>
      </c>
      <c r="Y48">
        <v>13014</v>
      </c>
      <c r="Z48">
        <v>10</v>
      </c>
      <c r="AA48">
        <v>8676</v>
      </c>
      <c r="AB48">
        <v>10</v>
      </c>
      <c r="AC48">
        <v>8676</v>
      </c>
      <c r="AD48">
        <v>10</v>
      </c>
      <c r="AE48">
        <v>8676</v>
      </c>
      <c r="AF48">
        <v>15</v>
      </c>
      <c r="AG48">
        <v>13014</v>
      </c>
      <c r="AH48">
        <v>18</v>
      </c>
      <c r="AI48">
        <v>15616.800000000001</v>
      </c>
      <c r="AJ48">
        <v>14</v>
      </c>
      <c r="AK48">
        <v>12146.4</v>
      </c>
      <c r="AL48">
        <v>16</v>
      </c>
      <c r="AM48">
        <v>13881.6</v>
      </c>
      <c r="AN48">
        <v>12</v>
      </c>
      <c r="AO48">
        <v>10411.200000000001</v>
      </c>
      <c r="AP48">
        <v>11</v>
      </c>
      <c r="AQ48">
        <v>9543.6</v>
      </c>
      <c r="AR48">
        <v>10</v>
      </c>
      <c r="AS48">
        <v>8676</v>
      </c>
      <c r="AT48">
        <v>18</v>
      </c>
      <c r="AU48">
        <v>15616.800000000001</v>
      </c>
      <c r="AV48">
        <v>11</v>
      </c>
      <c r="AW48">
        <v>9543.6</v>
      </c>
      <c r="AX48">
        <v>12</v>
      </c>
      <c r="AY48">
        <v>10411.200000000001</v>
      </c>
      <c r="AZ48">
        <v>17</v>
      </c>
      <c r="BA48">
        <v>14749.2</v>
      </c>
      <c r="BB48">
        <v>19</v>
      </c>
      <c r="BC48">
        <v>16484.400000000001</v>
      </c>
      <c r="BD48">
        <v>10</v>
      </c>
      <c r="BE48">
        <v>8676</v>
      </c>
      <c r="BF48">
        <v>11</v>
      </c>
      <c r="BG48">
        <v>9543.6</v>
      </c>
      <c r="BH48">
        <v>17</v>
      </c>
      <c r="BI48">
        <v>14749.2</v>
      </c>
      <c r="BJ48">
        <v>14</v>
      </c>
      <c r="BK48">
        <v>12146.4</v>
      </c>
      <c r="BL48">
        <v>16</v>
      </c>
      <c r="BM48">
        <v>13881.6</v>
      </c>
      <c r="BN48">
        <v>12</v>
      </c>
      <c r="BO48">
        <v>10411.200000000001</v>
      </c>
      <c r="BP48">
        <v>20</v>
      </c>
      <c r="BQ48">
        <v>17352</v>
      </c>
      <c r="BR48">
        <v>17</v>
      </c>
      <c r="BS48">
        <v>14749.2</v>
      </c>
      <c r="BT48">
        <v>16</v>
      </c>
      <c r="BU48">
        <v>13881.6</v>
      </c>
      <c r="BV48">
        <v>12</v>
      </c>
      <c r="BW48">
        <v>10411.200000000001</v>
      </c>
      <c r="BX48">
        <v>17.06053662356242</v>
      </c>
      <c r="BY48">
        <v>14801.721574602756</v>
      </c>
      <c r="BZ48">
        <v>14.747580060525689</v>
      </c>
      <c r="CA48">
        <v>12795.000460512088</v>
      </c>
      <c r="CB48">
        <v>15.58995011365174</v>
      </c>
      <c r="CC48">
        <v>13525.84071860425</v>
      </c>
      <c r="CD48">
        <v>15.689754231716863</v>
      </c>
      <c r="CE48">
        <v>13612.43077143755</v>
      </c>
      <c r="CF48">
        <v>9.8394251500999506</v>
      </c>
      <c r="CG48">
        <v>8536.6852602267172</v>
      </c>
      <c r="CH48">
        <v>12.906817261914711</v>
      </c>
      <c r="CI48">
        <v>11197.954656437203</v>
      </c>
      <c r="CJ48">
        <v>12.928176734435533</v>
      </c>
      <c r="CK48">
        <v>11216.486134796269</v>
      </c>
      <c r="CL48">
        <v>15.094807924890334</v>
      </c>
      <c r="CM48">
        <v>13096.255355634854</v>
      </c>
      <c r="CN48">
        <v>18.683194183820735</v>
      </c>
      <c r="CO48">
        <v>16209.53927388287</v>
      </c>
      <c r="CP48">
        <v>14.986698288901863</v>
      </c>
      <c r="CQ48">
        <v>13002.459435451257</v>
      </c>
      <c r="CR48">
        <v>13.089923360246166</v>
      </c>
      <c r="CS48">
        <v>11356.817507349573</v>
      </c>
      <c r="CT48">
        <v>11.67916882932794</v>
      </c>
      <c r="CU48">
        <v>10132.846876324922</v>
      </c>
    </row>
    <row r="49" spans="2:99">
      <c r="B49" s="99" t="s">
        <v>129</v>
      </c>
      <c r="C49" s="99" t="s">
        <v>216</v>
      </c>
      <c r="D49">
        <v>11</v>
      </c>
      <c r="E49">
        <v>10837.199999999999</v>
      </c>
      <c r="F49">
        <v>15</v>
      </c>
      <c r="G49">
        <v>14777.999999999998</v>
      </c>
      <c r="H49">
        <v>16</v>
      </c>
      <c r="I49">
        <v>15763.199999999999</v>
      </c>
      <c r="J49">
        <v>12.328767123287671</v>
      </c>
      <c r="K49">
        <v>12146.301369863013</v>
      </c>
      <c r="L49">
        <v>15</v>
      </c>
      <c r="M49">
        <v>14777.999999999998</v>
      </c>
      <c r="N49">
        <v>11</v>
      </c>
      <c r="O49">
        <v>10837.199999999999</v>
      </c>
      <c r="P49">
        <v>12.398843930635838</v>
      </c>
      <c r="Q49">
        <v>12215.341040462426</v>
      </c>
      <c r="R49">
        <v>16</v>
      </c>
      <c r="S49">
        <v>15763.199999999999</v>
      </c>
      <c r="T49">
        <v>10</v>
      </c>
      <c r="U49">
        <v>9852</v>
      </c>
      <c r="V49">
        <v>13</v>
      </c>
      <c r="W49">
        <v>12807.599999999999</v>
      </c>
      <c r="X49">
        <v>12</v>
      </c>
      <c r="Y49">
        <v>11822.4</v>
      </c>
      <c r="Z49">
        <v>10</v>
      </c>
      <c r="AA49">
        <v>9852</v>
      </c>
      <c r="AB49">
        <v>8.2773722627737225</v>
      </c>
      <c r="AC49">
        <v>8154.8671532846711</v>
      </c>
      <c r="AD49">
        <v>2.4990497812056555E-21</v>
      </c>
      <c r="AE49">
        <v>2.4620638444438117E-18</v>
      </c>
      <c r="AF49">
        <v>8.4616083979021216E-22</v>
      </c>
      <c r="AG49">
        <v>8.33637659361317E-19</v>
      </c>
      <c r="AH49">
        <v>9.1929331237208056E-22</v>
      </c>
      <c r="AI49">
        <v>9.0568777134897362E-19</v>
      </c>
      <c r="AJ49">
        <v>8.4705882352941178</v>
      </c>
      <c r="AK49">
        <v>8345.2235294117636</v>
      </c>
      <c r="AL49">
        <v>7.3669064748201443</v>
      </c>
      <c r="AM49">
        <v>7257.8762589928056</v>
      </c>
      <c r="AN49">
        <v>7.4322580645161294</v>
      </c>
      <c r="AO49">
        <v>7322.2606451612901</v>
      </c>
      <c r="AP49">
        <v>10.520547945205479</v>
      </c>
      <c r="AQ49">
        <v>10364.843835616437</v>
      </c>
      <c r="AR49">
        <v>12.023121387283238</v>
      </c>
      <c r="AS49">
        <v>11845.179190751445</v>
      </c>
      <c r="AT49">
        <v>16</v>
      </c>
      <c r="AU49">
        <v>15763.199999999999</v>
      </c>
      <c r="AV49">
        <v>12</v>
      </c>
      <c r="AW49">
        <v>11822.4</v>
      </c>
      <c r="AX49">
        <v>16</v>
      </c>
      <c r="AY49">
        <v>15763.199999999999</v>
      </c>
      <c r="AZ49">
        <v>15</v>
      </c>
      <c r="BA49">
        <v>14777.999999999998</v>
      </c>
      <c r="BB49">
        <v>15</v>
      </c>
      <c r="BC49">
        <v>14777.999999999998</v>
      </c>
      <c r="BD49">
        <v>14</v>
      </c>
      <c r="BE49">
        <v>13792.8</v>
      </c>
      <c r="BF49">
        <v>12</v>
      </c>
      <c r="BG49">
        <v>11822.4</v>
      </c>
      <c r="BH49">
        <v>16</v>
      </c>
      <c r="BI49">
        <v>15763.199999999999</v>
      </c>
      <c r="BJ49">
        <v>11</v>
      </c>
      <c r="BK49">
        <v>10837.199999999999</v>
      </c>
      <c r="BL49">
        <v>8</v>
      </c>
      <c r="BM49">
        <v>7881.5999999999995</v>
      </c>
      <c r="BN49">
        <v>14</v>
      </c>
      <c r="BO49">
        <v>13792.8</v>
      </c>
      <c r="BP49">
        <v>14</v>
      </c>
      <c r="BQ49">
        <v>13792.8</v>
      </c>
      <c r="BR49">
        <v>13</v>
      </c>
      <c r="BS49">
        <v>12807.599999999999</v>
      </c>
      <c r="BT49">
        <v>16</v>
      </c>
      <c r="BU49">
        <v>15763.199999999999</v>
      </c>
      <c r="BV49">
        <v>12</v>
      </c>
      <c r="BW49">
        <v>11822.4</v>
      </c>
      <c r="BX49">
        <v>17</v>
      </c>
      <c r="BY49">
        <v>16748.399999999998</v>
      </c>
      <c r="BZ49">
        <v>16</v>
      </c>
      <c r="CA49">
        <v>15763.199999999999</v>
      </c>
      <c r="CB49">
        <v>13</v>
      </c>
      <c r="CC49">
        <v>12807.599999999999</v>
      </c>
      <c r="CD49">
        <v>13</v>
      </c>
      <c r="CE49">
        <v>12807.599999999999</v>
      </c>
      <c r="CF49">
        <v>9</v>
      </c>
      <c r="CG49">
        <v>8866.7999999999993</v>
      </c>
      <c r="CH49">
        <v>9</v>
      </c>
      <c r="CI49">
        <v>8866.7999999999993</v>
      </c>
      <c r="CJ49">
        <v>17</v>
      </c>
      <c r="CK49">
        <v>16748.399999999998</v>
      </c>
      <c r="CL49">
        <v>14</v>
      </c>
      <c r="CM49">
        <v>13792.8</v>
      </c>
      <c r="CN49">
        <v>12</v>
      </c>
      <c r="CO49">
        <v>11822.4</v>
      </c>
      <c r="CP49">
        <v>15</v>
      </c>
      <c r="CQ49">
        <v>14777.999999999998</v>
      </c>
      <c r="CR49">
        <v>12</v>
      </c>
      <c r="CS49">
        <v>11822.4</v>
      </c>
      <c r="CT49">
        <v>9</v>
      </c>
      <c r="CU49">
        <v>8866.7999999999993</v>
      </c>
    </row>
    <row r="50" spans="2:99">
      <c r="C50" s="99" t="s">
        <v>217</v>
      </c>
      <c r="D50">
        <v>13</v>
      </c>
      <c r="E50">
        <v>3666</v>
      </c>
      <c r="F50">
        <v>17</v>
      </c>
      <c r="G50">
        <v>4794</v>
      </c>
      <c r="H50">
        <v>17</v>
      </c>
      <c r="I50">
        <v>4794</v>
      </c>
      <c r="J50">
        <v>15</v>
      </c>
      <c r="K50">
        <v>4230</v>
      </c>
      <c r="L50">
        <v>16</v>
      </c>
      <c r="M50">
        <v>4512</v>
      </c>
      <c r="N50">
        <v>11</v>
      </c>
      <c r="O50">
        <v>3102</v>
      </c>
      <c r="P50">
        <v>12</v>
      </c>
      <c r="Q50">
        <v>3384</v>
      </c>
      <c r="R50">
        <v>16</v>
      </c>
      <c r="S50">
        <v>4512</v>
      </c>
      <c r="T50">
        <v>10</v>
      </c>
      <c r="U50">
        <v>2820</v>
      </c>
      <c r="V50">
        <v>13</v>
      </c>
      <c r="W50">
        <v>3666</v>
      </c>
      <c r="X50">
        <v>12</v>
      </c>
      <c r="Y50">
        <v>3384</v>
      </c>
      <c r="Z50">
        <v>9</v>
      </c>
      <c r="AA50">
        <v>2538</v>
      </c>
      <c r="AB50">
        <v>16</v>
      </c>
      <c r="AC50">
        <v>4512</v>
      </c>
      <c r="AD50">
        <v>12</v>
      </c>
      <c r="AE50">
        <v>3384</v>
      </c>
      <c r="AF50">
        <v>14</v>
      </c>
      <c r="AG50">
        <v>3948</v>
      </c>
      <c r="AH50">
        <v>13</v>
      </c>
      <c r="AI50">
        <v>3666</v>
      </c>
      <c r="AJ50">
        <v>9</v>
      </c>
      <c r="AK50">
        <v>2538</v>
      </c>
      <c r="AL50">
        <v>11</v>
      </c>
      <c r="AM50">
        <v>3102</v>
      </c>
      <c r="AN50">
        <v>9</v>
      </c>
      <c r="AO50">
        <v>2538</v>
      </c>
      <c r="AP50">
        <v>11</v>
      </c>
      <c r="AQ50">
        <v>3102</v>
      </c>
      <c r="AR50">
        <v>13</v>
      </c>
      <c r="AS50">
        <v>3666</v>
      </c>
      <c r="AT50">
        <v>15</v>
      </c>
      <c r="AU50">
        <v>4230</v>
      </c>
      <c r="AV50">
        <v>13</v>
      </c>
      <c r="AW50">
        <v>3666</v>
      </c>
      <c r="AX50">
        <v>17</v>
      </c>
      <c r="AY50">
        <v>4794</v>
      </c>
      <c r="AZ50">
        <v>16</v>
      </c>
      <c r="BA50">
        <v>4512</v>
      </c>
      <c r="BB50">
        <v>17</v>
      </c>
      <c r="BC50">
        <v>4794</v>
      </c>
      <c r="BD50">
        <v>16</v>
      </c>
      <c r="BE50">
        <v>4512</v>
      </c>
      <c r="BF50">
        <v>14</v>
      </c>
      <c r="BG50">
        <v>3948</v>
      </c>
      <c r="BH50">
        <v>16</v>
      </c>
      <c r="BI50">
        <v>4512</v>
      </c>
      <c r="BJ50">
        <v>12</v>
      </c>
      <c r="BK50">
        <v>3384</v>
      </c>
      <c r="BL50">
        <v>9</v>
      </c>
      <c r="BM50">
        <v>2538</v>
      </c>
      <c r="BN50">
        <v>16</v>
      </c>
      <c r="BO50">
        <v>4512</v>
      </c>
      <c r="BP50">
        <v>16</v>
      </c>
      <c r="BQ50">
        <v>4512</v>
      </c>
      <c r="BR50">
        <v>11</v>
      </c>
      <c r="BS50">
        <v>3102</v>
      </c>
      <c r="BT50">
        <v>17</v>
      </c>
      <c r="BU50">
        <v>4794</v>
      </c>
      <c r="BV50">
        <v>13</v>
      </c>
      <c r="BW50">
        <v>3666</v>
      </c>
      <c r="BX50">
        <v>16.112729033364506</v>
      </c>
      <c r="BY50">
        <v>4543.7895874087908</v>
      </c>
      <c r="BZ50">
        <v>13.108960053800612</v>
      </c>
      <c r="CA50">
        <v>3696.7267351717724</v>
      </c>
      <c r="CB50">
        <v>13.857733434357103</v>
      </c>
      <c r="CC50">
        <v>3907.8808284887032</v>
      </c>
      <c r="CD50">
        <v>10.735095000648379</v>
      </c>
      <c r="CE50">
        <v>3027.2967901828429</v>
      </c>
      <c r="CF50">
        <v>8.199520958416624</v>
      </c>
      <c r="CG50">
        <v>2312.2649102734881</v>
      </c>
      <c r="CH50">
        <v>9.6801129464360329</v>
      </c>
      <c r="CI50">
        <v>2729.7918508949615</v>
      </c>
      <c r="CJ50">
        <v>14.775059125069181</v>
      </c>
      <c r="CK50">
        <v>4166.566673269509</v>
      </c>
      <c r="CL50">
        <v>13.207956934279043</v>
      </c>
      <c r="CM50">
        <v>3724.6438554666902</v>
      </c>
      <c r="CN50">
        <v>12.14407621948348</v>
      </c>
      <c r="CO50">
        <v>3424.6294938943415</v>
      </c>
      <c r="CP50">
        <v>14.986698288901863</v>
      </c>
      <c r="CQ50">
        <v>4226.2489174703251</v>
      </c>
      <c r="CR50">
        <v>13.089923360246166</v>
      </c>
      <c r="CS50">
        <v>3691.3583875894187</v>
      </c>
      <c r="CT50">
        <v>8.7593766219959548</v>
      </c>
      <c r="CU50">
        <v>2470.1442074028591</v>
      </c>
    </row>
    <row r="51" spans="2:99">
      <c r="C51" s="99" t="s">
        <v>218</v>
      </c>
      <c r="D51">
        <v>11</v>
      </c>
      <c r="E51">
        <v>9398.4</v>
      </c>
      <c r="F51">
        <v>14</v>
      </c>
      <c r="G51">
        <v>11961.6</v>
      </c>
      <c r="H51">
        <v>16</v>
      </c>
      <c r="I51">
        <v>13670.4</v>
      </c>
      <c r="J51">
        <v>15</v>
      </c>
      <c r="K51">
        <v>12816</v>
      </c>
      <c r="L51">
        <v>15</v>
      </c>
      <c r="M51">
        <v>12816</v>
      </c>
      <c r="N51">
        <v>11</v>
      </c>
      <c r="O51">
        <v>9398.4</v>
      </c>
      <c r="P51">
        <v>13</v>
      </c>
      <c r="Q51">
        <v>11107.199999999999</v>
      </c>
      <c r="R51">
        <v>17</v>
      </c>
      <c r="S51">
        <v>14524.8</v>
      </c>
      <c r="T51">
        <v>10</v>
      </c>
      <c r="U51">
        <v>8544</v>
      </c>
      <c r="V51">
        <v>13</v>
      </c>
      <c r="W51">
        <v>11107.199999999999</v>
      </c>
      <c r="X51">
        <v>12</v>
      </c>
      <c r="Y51">
        <v>10252.799999999999</v>
      </c>
      <c r="Z51">
        <v>9</v>
      </c>
      <c r="AA51">
        <v>7689.5999999999995</v>
      </c>
      <c r="AB51">
        <v>15</v>
      </c>
      <c r="AC51">
        <v>12816</v>
      </c>
      <c r="AD51">
        <v>13</v>
      </c>
      <c r="AE51">
        <v>11107.199999999999</v>
      </c>
      <c r="AF51">
        <v>13</v>
      </c>
      <c r="AG51">
        <v>11107.199999999999</v>
      </c>
      <c r="AH51">
        <v>14</v>
      </c>
      <c r="AI51">
        <v>11961.6</v>
      </c>
      <c r="AJ51">
        <v>9</v>
      </c>
      <c r="AK51">
        <v>7689.5999999999995</v>
      </c>
      <c r="AL51">
        <v>9</v>
      </c>
      <c r="AM51">
        <v>7689.5999999999995</v>
      </c>
      <c r="AN51">
        <v>9</v>
      </c>
      <c r="AO51">
        <v>7689.5999999999995</v>
      </c>
      <c r="AP51">
        <v>12</v>
      </c>
      <c r="AQ51">
        <v>10252.799999999999</v>
      </c>
      <c r="AR51">
        <v>14</v>
      </c>
      <c r="AS51">
        <v>11961.6</v>
      </c>
      <c r="AT51">
        <v>16</v>
      </c>
      <c r="AU51">
        <v>13670.4</v>
      </c>
      <c r="AV51">
        <v>13</v>
      </c>
      <c r="AW51">
        <v>11107.199999999999</v>
      </c>
      <c r="AX51">
        <v>15</v>
      </c>
      <c r="AY51">
        <v>12816</v>
      </c>
      <c r="AZ51">
        <v>17</v>
      </c>
      <c r="BA51">
        <v>14524.8</v>
      </c>
      <c r="BB51">
        <v>15</v>
      </c>
      <c r="BC51">
        <v>12816</v>
      </c>
      <c r="BD51">
        <v>14</v>
      </c>
      <c r="BE51">
        <v>11961.6</v>
      </c>
      <c r="BF51">
        <v>13</v>
      </c>
      <c r="BG51">
        <v>11107.199999999999</v>
      </c>
      <c r="BH51">
        <v>14</v>
      </c>
      <c r="BI51">
        <v>11961.6</v>
      </c>
      <c r="BJ51">
        <v>13</v>
      </c>
      <c r="BK51">
        <v>11107.199999999999</v>
      </c>
      <c r="BL51">
        <v>9</v>
      </c>
      <c r="BM51">
        <v>7689.5999999999995</v>
      </c>
      <c r="BN51">
        <v>13</v>
      </c>
      <c r="BO51">
        <v>11107.199999999999</v>
      </c>
      <c r="BP51">
        <v>16</v>
      </c>
      <c r="BQ51">
        <v>13670.4</v>
      </c>
      <c r="BR51">
        <v>13</v>
      </c>
      <c r="BS51">
        <v>11107.199999999999</v>
      </c>
      <c r="BT51">
        <v>16</v>
      </c>
      <c r="BU51">
        <v>13670.4</v>
      </c>
      <c r="BV51">
        <v>14</v>
      </c>
      <c r="BW51">
        <v>11961.6</v>
      </c>
      <c r="BX51">
        <v>17.06053662356242</v>
      </c>
      <c r="BY51">
        <v>14576.522491171732</v>
      </c>
      <c r="BZ51">
        <v>13.108960053800612</v>
      </c>
      <c r="CA51">
        <v>11200.295469967243</v>
      </c>
      <c r="CB51">
        <v>12.125516755062465</v>
      </c>
      <c r="CC51">
        <v>10360.04151552537</v>
      </c>
      <c r="CD51">
        <v>9.9093184621369659</v>
      </c>
      <c r="CE51">
        <v>8466.5216940498231</v>
      </c>
      <c r="CF51">
        <v>8.199520958416624</v>
      </c>
      <c r="CG51">
        <v>7005.670706871163</v>
      </c>
      <c r="CH51">
        <v>8.0667607886966941</v>
      </c>
      <c r="CI51">
        <v>6892.2404178624556</v>
      </c>
      <c r="CJ51">
        <v>15.698500320386003</v>
      </c>
      <c r="CK51">
        <v>13412.798673737801</v>
      </c>
      <c r="CL51">
        <v>14.151382429584688</v>
      </c>
      <c r="CM51">
        <v>12090.941147837157</v>
      </c>
      <c r="CN51">
        <v>12.14407621948348</v>
      </c>
      <c r="CO51">
        <v>10375.898721926686</v>
      </c>
      <c r="CP51">
        <v>15.923366931958229</v>
      </c>
      <c r="CQ51">
        <v>13604.924706665111</v>
      </c>
      <c r="CR51">
        <v>11.219934308782427</v>
      </c>
      <c r="CS51">
        <v>9586.311873423705</v>
      </c>
      <c r="CT51">
        <v>8.7593766219959548</v>
      </c>
      <c r="CU51">
        <v>7484.0113858333434</v>
      </c>
    </row>
    <row r="52" spans="2:99">
      <c r="C52" s="99" t="s">
        <v>219</v>
      </c>
      <c r="D52">
        <v>12</v>
      </c>
      <c r="E52">
        <v>6480</v>
      </c>
      <c r="F52">
        <v>14</v>
      </c>
      <c r="G52">
        <v>7560</v>
      </c>
      <c r="H52">
        <v>15</v>
      </c>
      <c r="I52">
        <v>8100</v>
      </c>
      <c r="J52">
        <v>16</v>
      </c>
      <c r="K52">
        <v>8640</v>
      </c>
      <c r="L52">
        <v>15</v>
      </c>
      <c r="M52">
        <v>8100</v>
      </c>
      <c r="N52">
        <v>10</v>
      </c>
      <c r="O52">
        <v>5400</v>
      </c>
      <c r="P52">
        <v>13</v>
      </c>
      <c r="Q52">
        <v>7020</v>
      </c>
      <c r="R52">
        <v>17</v>
      </c>
      <c r="S52">
        <v>9180</v>
      </c>
      <c r="T52">
        <v>9</v>
      </c>
      <c r="U52">
        <v>4860</v>
      </c>
      <c r="V52">
        <v>13</v>
      </c>
      <c r="W52">
        <v>7020</v>
      </c>
      <c r="X52">
        <v>13</v>
      </c>
      <c r="Y52">
        <v>7020</v>
      </c>
      <c r="Z52">
        <v>10</v>
      </c>
      <c r="AA52">
        <v>5400</v>
      </c>
      <c r="AB52">
        <v>15</v>
      </c>
      <c r="AC52">
        <v>8100</v>
      </c>
      <c r="AD52">
        <v>13</v>
      </c>
      <c r="AE52">
        <v>7020</v>
      </c>
      <c r="AF52">
        <v>11</v>
      </c>
      <c r="AG52">
        <v>5940</v>
      </c>
      <c r="AH52">
        <v>12</v>
      </c>
      <c r="AI52">
        <v>6480</v>
      </c>
      <c r="AJ52">
        <v>9</v>
      </c>
      <c r="AK52">
        <v>4860</v>
      </c>
      <c r="AL52">
        <v>10</v>
      </c>
      <c r="AM52">
        <v>5400</v>
      </c>
      <c r="AN52">
        <v>9</v>
      </c>
      <c r="AO52">
        <v>4860</v>
      </c>
      <c r="AP52">
        <v>13</v>
      </c>
      <c r="AQ52">
        <v>7020</v>
      </c>
      <c r="AR52">
        <v>12</v>
      </c>
      <c r="AS52">
        <v>6480</v>
      </c>
      <c r="AT52">
        <v>15</v>
      </c>
      <c r="AU52">
        <v>8100</v>
      </c>
      <c r="AV52">
        <v>12</v>
      </c>
      <c r="AW52">
        <v>6480</v>
      </c>
      <c r="AX52">
        <v>17</v>
      </c>
      <c r="AY52">
        <v>9180</v>
      </c>
      <c r="AZ52">
        <v>16</v>
      </c>
      <c r="BA52">
        <v>8640</v>
      </c>
      <c r="BB52">
        <v>15</v>
      </c>
      <c r="BC52">
        <v>8100</v>
      </c>
      <c r="BD52">
        <v>13</v>
      </c>
      <c r="BE52">
        <v>7020</v>
      </c>
      <c r="BF52">
        <v>14</v>
      </c>
      <c r="BG52">
        <v>7560</v>
      </c>
      <c r="BH52">
        <v>14</v>
      </c>
      <c r="BI52">
        <v>7560</v>
      </c>
      <c r="BJ52">
        <v>14</v>
      </c>
      <c r="BK52">
        <v>7560</v>
      </c>
      <c r="BL52">
        <v>9</v>
      </c>
      <c r="BM52">
        <v>4860</v>
      </c>
      <c r="BN52">
        <v>15</v>
      </c>
      <c r="BO52">
        <v>8100</v>
      </c>
      <c r="BP52">
        <v>15</v>
      </c>
      <c r="BQ52">
        <v>8100</v>
      </c>
      <c r="BR52">
        <v>13</v>
      </c>
      <c r="BS52">
        <v>7020</v>
      </c>
      <c r="BT52">
        <v>14</v>
      </c>
      <c r="BU52">
        <v>7560</v>
      </c>
      <c r="BV52">
        <v>12</v>
      </c>
      <c r="BW52">
        <v>6480</v>
      </c>
      <c r="BX52">
        <v>17.06053662356242</v>
      </c>
      <c r="BY52">
        <v>9212.6897767237078</v>
      </c>
      <c r="BZ52">
        <v>13.108960053800612</v>
      </c>
      <c r="CA52">
        <v>7078.83842905233</v>
      </c>
      <c r="CB52">
        <v>12.991625094709784</v>
      </c>
      <c r="CC52">
        <v>7015.4775511432836</v>
      </c>
      <c r="CD52">
        <v>9.9093184621369659</v>
      </c>
      <c r="CE52">
        <v>5351.031969553962</v>
      </c>
      <c r="CF52">
        <v>7.3795688625749625</v>
      </c>
      <c r="CG52">
        <v>3984.9671857904796</v>
      </c>
      <c r="CH52">
        <v>8.8734368675663635</v>
      </c>
      <c r="CI52">
        <v>4791.6559084858363</v>
      </c>
      <c r="CJ52">
        <v>13.851617929752356</v>
      </c>
      <c r="CK52">
        <v>7479.8736820662725</v>
      </c>
      <c r="CL52">
        <v>14.151382429584688</v>
      </c>
      <c r="CM52">
        <v>7641.7465119757317</v>
      </c>
      <c r="CN52">
        <v>13.078235928674516</v>
      </c>
      <c r="CO52">
        <v>7062.2474014842392</v>
      </c>
      <c r="CP52">
        <v>14.050029645845497</v>
      </c>
      <c r="CQ52">
        <v>7587.0160087565682</v>
      </c>
      <c r="CR52">
        <v>11.219934308782427</v>
      </c>
      <c r="CS52">
        <v>6058.7645267425105</v>
      </c>
      <c r="CT52">
        <v>9.7326406911066172</v>
      </c>
      <c r="CU52">
        <v>5255.6259731975733</v>
      </c>
    </row>
    <row r="53" spans="2:99">
      <c r="C53" s="99" t="s">
        <v>220</v>
      </c>
      <c r="D53">
        <v>13</v>
      </c>
      <c r="E53">
        <v>5288.4000000000005</v>
      </c>
      <c r="F53">
        <v>15</v>
      </c>
      <c r="G53">
        <v>6102</v>
      </c>
      <c r="H53">
        <v>14</v>
      </c>
      <c r="I53">
        <v>5695.2</v>
      </c>
      <c r="J53">
        <v>16</v>
      </c>
      <c r="K53">
        <v>6508.8</v>
      </c>
      <c r="L53">
        <v>16</v>
      </c>
      <c r="M53">
        <v>6508.8</v>
      </c>
      <c r="N53">
        <v>11</v>
      </c>
      <c r="O53">
        <v>4474.8</v>
      </c>
      <c r="P53">
        <v>14</v>
      </c>
      <c r="Q53">
        <v>5695.2</v>
      </c>
      <c r="R53">
        <v>17</v>
      </c>
      <c r="S53">
        <v>6915.6</v>
      </c>
      <c r="T53">
        <v>10</v>
      </c>
      <c r="U53">
        <v>4068</v>
      </c>
      <c r="V53">
        <v>14</v>
      </c>
      <c r="W53">
        <v>5695.2</v>
      </c>
      <c r="X53">
        <v>13</v>
      </c>
      <c r="Y53">
        <v>5288.4000000000005</v>
      </c>
      <c r="Z53">
        <v>9</v>
      </c>
      <c r="AA53">
        <v>3661.2000000000003</v>
      </c>
      <c r="AB53">
        <v>14</v>
      </c>
      <c r="AC53">
        <v>5695.2</v>
      </c>
      <c r="AD53">
        <v>14</v>
      </c>
      <c r="AE53">
        <v>5695.2</v>
      </c>
      <c r="AF53">
        <v>11</v>
      </c>
      <c r="AG53">
        <v>4474.8</v>
      </c>
      <c r="AH53">
        <v>14</v>
      </c>
      <c r="AI53">
        <v>5695.2</v>
      </c>
      <c r="AJ53">
        <v>10</v>
      </c>
      <c r="AK53">
        <v>4068</v>
      </c>
      <c r="AL53">
        <v>10</v>
      </c>
      <c r="AM53">
        <v>4068</v>
      </c>
      <c r="AN53">
        <v>9</v>
      </c>
      <c r="AO53">
        <v>3661.2000000000003</v>
      </c>
      <c r="AP53">
        <v>12</v>
      </c>
      <c r="AQ53">
        <v>4881.6000000000004</v>
      </c>
      <c r="AR53">
        <v>13</v>
      </c>
      <c r="AS53">
        <v>5288.4000000000005</v>
      </c>
      <c r="AT53">
        <v>14</v>
      </c>
      <c r="AU53">
        <v>5695.2</v>
      </c>
      <c r="AV53">
        <v>13</v>
      </c>
      <c r="AW53">
        <v>5288.4000000000005</v>
      </c>
      <c r="AX53">
        <v>14</v>
      </c>
      <c r="AY53">
        <v>5695.2</v>
      </c>
      <c r="AZ53">
        <v>16</v>
      </c>
      <c r="BA53">
        <v>6508.8</v>
      </c>
      <c r="BB53">
        <v>16</v>
      </c>
      <c r="BC53">
        <v>6508.8</v>
      </c>
      <c r="BD53">
        <v>14</v>
      </c>
      <c r="BE53">
        <v>5695.2</v>
      </c>
      <c r="BF53">
        <v>14</v>
      </c>
      <c r="BG53">
        <v>5695.2</v>
      </c>
      <c r="BH53">
        <v>17</v>
      </c>
      <c r="BI53">
        <v>6915.6</v>
      </c>
      <c r="BJ53">
        <v>13</v>
      </c>
      <c r="BK53">
        <v>5288.4000000000005</v>
      </c>
      <c r="BL53">
        <v>9</v>
      </c>
      <c r="BM53">
        <v>3661.2000000000003</v>
      </c>
      <c r="BN53">
        <v>14</v>
      </c>
      <c r="BO53">
        <v>5695.2</v>
      </c>
      <c r="BP53">
        <v>15</v>
      </c>
      <c r="BQ53">
        <v>6102</v>
      </c>
      <c r="BR53">
        <v>14</v>
      </c>
      <c r="BS53">
        <v>5695.2</v>
      </c>
      <c r="BT53">
        <v>17</v>
      </c>
      <c r="BU53">
        <v>6915.6</v>
      </c>
      <c r="BV53">
        <v>13</v>
      </c>
      <c r="BW53">
        <v>5288.4000000000005</v>
      </c>
      <c r="BX53">
        <v>15.164921443166593</v>
      </c>
      <c r="BY53">
        <v>6169.0900430801703</v>
      </c>
      <c r="BZ53">
        <v>13.928270057163148</v>
      </c>
      <c r="CA53">
        <v>5666.020259253969</v>
      </c>
      <c r="CB53">
        <v>13.857733434357103</v>
      </c>
      <c r="CC53">
        <v>5637.3259610964697</v>
      </c>
      <c r="CD53">
        <v>11.560871539159793</v>
      </c>
      <c r="CE53">
        <v>4702.9625421302035</v>
      </c>
      <c r="CF53">
        <v>8.199520958416624</v>
      </c>
      <c r="CG53">
        <v>3335.565125883883</v>
      </c>
      <c r="CH53">
        <v>8.8734368675663635</v>
      </c>
      <c r="CI53">
        <v>3609.7141177259969</v>
      </c>
      <c r="CJ53">
        <v>15.698500320386003</v>
      </c>
      <c r="CK53">
        <v>6386.1499303330265</v>
      </c>
      <c r="CL53">
        <v>16.038233420195979</v>
      </c>
      <c r="CM53">
        <v>6524.3533553357247</v>
      </c>
      <c r="CN53">
        <v>13.078235928674516</v>
      </c>
      <c r="CO53">
        <v>5320.2263757847932</v>
      </c>
      <c r="CP53">
        <v>15.923366931958229</v>
      </c>
      <c r="CQ53">
        <v>6477.6256679206081</v>
      </c>
      <c r="CR53">
        <v>12.154928834514296</v>
      </c>
      <c r="CS53">
        <v>4944.6250498804156</v>
      </c>
      <c r="CT53">
        <v>10.705904760217278</v>
      </c>
      <c r="CU53">
        <v>4355.1620564563891</v>
      </c>
    </row>
    <row r="54" spans="2:99">
      <c r="C54" s="99" t="s">
        <v>221</v>
      </c>
      <c r="D54">
        <v>11</v>
      </c>
      <c r="E54">
        <v>3682.8</v>
      </c>
      <c r="F54">
        <v>17</v>
      </c>
      <c r="G54">
        <v>5691.6</v>
      </c>
      <c r="H54">
        <v>16</v>
      </c>
      <c r="I54">
        <v>5356.8</v>
      </c>
      <c r="J54">
        <v>14</v>
      </c>
      <c r="K54">
        <v>4687.2</v>
      </c>
      <c r="L54">
        <v>15</v>
      </c>
      <c r="M54">
        <v>5022</v>
      </c>
      <c r="N54">
        <v>10</v>
      </c>
      <c r="O54">
        <v>3348</v>
      </c>
      <c r="P54">
        <v>12</v>
      </c>
      <c r="Q54">
        <v>4017.6000000000004</v>
      </c>
      <c r="R54">
        <v>15</v>
      </c>
      <c r="S54">
        <v>5022</v>
      </c>
      <c r="T54">
        <v>9</v>
      </c>
      <c r="U54">
        <v>3013.2000000000003</v>
      </c>
      <c r="V54">
        <v>15</v>
      </c>
      <c r="W54">
        <v>5022</v>
      </c>
      <c r="X54">
        <v>14</v>
      </c>
      <c r="Y54">
        <v>4687.2</v>
      </c>
      <c r="Z54">
        <v>10</v>
      </c>
      <c r="AA54">
        <v>3348</v>
      </c>
      <c r="AB54">
        <v>16</v>
      </c>
      <c r="AC54">
        <v>5356.8</v>
      </c>
      <c r="AD54">
        <v>12</v>
      </c>
      <c r="AE54">
        <v>4017.6000000000004</v>
      </c>
      <c r="AF54">
        <v>13</v>
      </c>
      <c r="AG54">
        <v>4352.4000000000005</v>
      </c>
      <c r="AH54">
        <v>14</v>
      </c>
      <c r="AI54">
        <v>4687.2</v>
      </c>
      <c r="AJ54">
        <v>8</v>
      </c>
      <c r="AK54">
        <v>2678.4</v>
      </c>
      <c r="AL54">
        <v>9</v>
      </c>
      <c r="AM54">
        <v>3013.2000000000003</v>
      </c>
      <c r="AN54">
        <v>9</v>
      </c>
      <c r="AO54">
        <v>3013.2000000000003</v>
      </c>
      <c r="AP54">
        <v>11</v>
      </c>
      <c r="AQ54">
        <v>3682.8</v>
      </c>
      <c r="AR54">
        <v>14</v>
      </c>
      <c r="AS54">
        <v>4687.2</v>
      </c>
      <c r="AT54">
        <v>15</v>
      </c>
      <c r="AU54">
        <v>5022</v>
      </c>
      <c r="AV54">
        <v>12</v>
      </c>
      <c r="AW54">
        <v>4017.6000000000004</v>
      </c>
      <c r="AX54">
        <v>16</v>
      </c>
      <c r="AY54">
        <v>5356.8</v>
      </c>
      <c r="AZ54">
        <v>16</v>
      </c>
      <c r="BA54">
        <v>5356.8</v>
      </c>
      <c r="BB54">
        <v>15</v>
      </c>
      <c r="BC54">
        <v>5022</v>
      </c>
      <c r="BD54">
        <v>14</v>
      </c>
      <c r="BE54">
        <v>4687.2</v>
      </c>
      <c r="BF54">
        <v>13</v>
      </c>
      <c r="BG54">
        <v>4352.4000000000005</v>
      </c>
      <c r="BH54">
        <v>16</v>
      </c>
      <c r="BI54">
        <v>5356.8</v>
      </c>
      <c r="BJ54">
        <v>13</v>
      </c>
      <c r="BK54">
        <v>4352.4000000000005</v>
      </c>
      <c r="BL54">
        <v>10</v>
      </c>
      <c r="BM54">
        <v>3348</v>
      </c>
      <c r="BN54">
        <v>14</v>
      </c>
      <c r="BO54">
        <v>4687.2</v>
      </c>
      <c r="BP54">
        <v>16</v>
      </c>
      <c r="BQ54">
        <v>5356.8</v>
      </c>
      <c r="BR54">
        <v>12</v>
      </c>
      <c r="BS54">
        <v>4017.6000000000004</v>
      </c>
      <c r="BT54">
        <v>14</v>
      </c>
      <c r="BU54">
        <v>4687.2</v>
      </c>
      <c r="BV54">
        <v>15</v>
      </c>
      <c r="BW54">
        <v>5022</v>
      </c>
      <c r="BX54">
        <v>15.164921443166593</v>
      </c>
      <c r="BY54">
        <v>5077.2156991721758</v>
      </c>
      <c r="BZ54">
        <v>13.108960053800612</v>
      </c>
      <c r="CA54">
        <v>4388.8798260124449</v>
      </c>
      <c r="CB54">
        <v>13.857733434357103</v>
      </c>
      <c r="CC54">
        <v>4639.5691538227584</v>
      </c>
      <c r="CD54">
        <v>11.560871539159793</v>
      </c>
      <c r="CE54">
        <v>3870.579791310699</v>
      </c>
      <c r="CF54">
        <v>9.0194730542582864</v>
      </c>
      <c r="CG54">
        <v>3019.7195785656745</v>
      </c>
      <c r="CH54">
        <v>8.8734368675663635</v>
      </c>
      <c r="CI54">
        <v>2970.8266632612185</v>
      </c>
      <c r="CJ54">
        <v>16.621941515702826</v>
      </c>
      <c r="CK54">
        <v>5565.0260194573066</v>
      </c>
      <c r="CL54">
        <v>16.038233420195979</v>
      </c>
      <c r="CM54">
        <v>5369.6005490816142</v>
      </c>
      <c r="CN54">
        <v>13.078235928674516</v>
      </c>
      <c r="CO54">
        <v>4378.5933889202279</v>
      </c>
      <c r="CP54">
        <v>14.050029645845497</v>
      </c>
      <c r="CQ54">
        <v>4703.9499254290722</v>
      </c>
      <c r="CR54">
        <v>12.154928834514296</v>
      </c>
      <c r="CS54">
        <v>4069.4701737953865</v>
      </c>
      <c r="CT54">
        <v>9.7326406911066172</v>
      </c>
      <c r="CU54">
        <v>3258.4881033824954</v>
      </c>
    </row>
    <row r="55" spans="2:99">
      <c r="C55" s="99" t="s">
        <v>222</v>
      </c>
      <c r="D55">
        <v>11</v>
      </c>
      <c r="E55">
        <v>7299.6</v>
      </c>
      <c r="F55">
        <v>16</v>
      </c>
      <c r="G55">
        <v>10617.6</v>
      </c>
      <c r="H55">
        <v>14</v>
      </c>
      <c r="I55">
        <v>9290.4</v>
      </c>
      <c r="J55">
        <v>13</v>
      </c>
      <c r="K55">
        <v>8626.8000000000011</v>
      </c>
      <c r="L55">
        <v>17</v>
      </c>
      <c r="M55">
        <v>11281.2</v>
      </c>
      <c r="N55">
        <v>11</v>
      </c>
      <c r="O55">
        <v>7299.6</v>
      </c>
      <c r="P55">
        <v>13</v>
      </c>
      <c r="Q55">
        <v>8626.8000000000011</v>
      </c>
      <c r="R55">
        <v>17</v>
      </c>
      <c r="S55">
        <v>11281.2</v>
      </c>
      <c r="T55">
        <v>11</v>
      </c>
      <c r="U55">
        <v>7299.6</v>
      </c>
      <c r="V55">
        <v>13</v>
      </c>
      <c r="W55">
        <v>8626.8000000000011</v>
      </c>
      <c r="X55">
        <v>12</v>
      </c>
      <c r="Y55">
        <v>7963.2000000000007</v>
      </c>
      <c r="Z55">
        <v>10</v>
      </c>
      <c r="AA55">
        <v>6636</v>
      </c>
      <c r="AB55">
        <v>14</v>
      </c>
      <c r="AC55">
        <v>9290.4</v>
      </c>
      <c r="AD55">
        <v>12</v>
      </c>
      <c r="AE55">
        <v>7963.2000000000007</v>
      </c>
      <c r="AF55">
        <v>12</v>
      </c>
      <c r="AG55">
        <v>7963.2000000000007</v>
      </c>
      <c r="AH55">
        <v>13</v>
      </c>
      <c r="AI55">
        <v>8626.8000000000011</v>
      </c>
      <c r="AJ55">
        <v>8</v>
      </c>
      <c r="AK55">
        <v>5308.8</v>
      </c>
      <c r="AL55">
        <v>9</v>
      </c>
      <c r="AM55">
        <v>5972.4000000000005</v>
      </c>
      <c r="AN55">
        <v>8</v>
      </c>
      <c r="AO55">
        <v>5308.8</v>
      </c>
      <c r="AP55">
        <v>12</v>
      </c>
      <c r="AQ55">
        <v>7963.2000000000007</v>
      </c>
      <c r="AR55">
        <v>13</v>
      </c>
      <c r="AS55">
        <v>8626.8000000000011</v>
      </c>
      <c r="AT55">
        <v>14</v>
      </c>
      <c r="AU55">
        <v>9290.4</v>
      </c>
      <c r="AV55">
        <v>14</v>
      </c>
      <c r="AW55">
        <v>9290.4</v>
      </c>
      <c r="AX55">
        <v>16</v>
      </c>
      <c r="AY55">
        <v>10617.6</v>
      </c>
      <c r="AZ55">
        <v>16</v>
      </c>
      <c r="BA55">
        <v>10617.6</v>
      </c>
      <c r="BB55">
        <v>16</v>
      </c>
      <c r="BC55">
        <v>10617.6</v>
      </c>
      <c r="BD55">
        <v>13</v>
      </c>
      <c r="BE55">
        <v>8626.8000000000011</v>
      </c>
      <c r="BF55">
        <v>12</v>
      </c>
      <c r="BG55">
        <v>7963.2000000000007</v>
      </c>
      <c r="BH55">
        <v>16</v>
      </c>
      <c r="BI55">
        <v>10617.6</v>
      </c>
      <c r="BJ55">
        <v>12</v>
      </c>
      <c r="BK55">
        <v>7963.2000000000007</v>
      </c>
      <c r="BL55">
        <v>9</v>
      </c>
      <c r="BM55">
        <v>5972.4000000000005</v>
      </c>
      <c r="BN55">
        <v>15</v>
      </c>
      <c r="BO55">
        <v>9954</v>
      </c>
      <c r="BP55">
        <v>15</v>
      </c>
      <c r="BQ55">
        <v>9954</v>
      </c>
      <c r="BR55">
        <v>12</v>
      </c>
      <c r="BS55">
        <v>7963.2000000000007</v>
      </c>
      <c r="BT55">
        <v>16</v>
      </c>
      <c r="BU55">
        <v>10617.6</v>
      </c>
      <c r="BV55">
        <v>14</v>
      </c>
      <c r="BW55">
        <v>9290.4</v>
      </c>
      <c r="BX55">
        <v>17.06053662356242</v>
      </c>
      <c r="BY55">
        <v>11321.372103396023</v>
      </c>
      <c r="BZ55">
        <v>13.108960053800612</v>
      </c>
      <c r="CA55">
        <v>8699.1058917020855</v>
      </c>
      <c r="CB55">
        <v>12.991625094709784</v>
      </c>
      <c r="CC55">
        <v>8621.2424128494131</v>
      </c>
      <c r="CD55">
        <v>11.560871539159793</v>
      </c>
      <c r="CE55">
        <v>7671.7943533864391</v>
      </c>
      <c r="CF55">
        <v>7.3795688625749625</v>
      </c>
      <c r="CG55">
        <v>4897.0818972047455</v>
      </c>
      <c r="CH55">
        <v>8.8734368675663635</v>
      </c>
      <c r="CI55">
        <v>5888.4127053170387</v>
      </c>
      <c r="CJ55">
        <v>13.851617929752356</v>
      </c>
      <c r="CK55">
        <v>9191.9336581836633</v>
      </c>
      <c r="CL55">
        <v>13.207956934279043</v>
      </c>
      <c r="CM55">
        <v>8764.8002215875731</v>
      </c>
      <c r="CN55">
        <v>12.14407621948348</v>
      </c>
      <c r="CO55">
        <v>8058.8089792492383</v>
      </c>
      <c r="CP55">
        <v>15.923366931958229</v>
      </c>
      <c r="CQ55">
        <v>10566.746296047482</v>
      </c>
      <c r="CR55">
        <v>12.154928834514296</v>
      </c>
      <c r="CS55">
        <v>8066.0107745836867</v>
      </c>
      <c r="CT55">
        <v>8.7593766219959548</v>
      </c>
      <c r="CU55">
        <v>5812.7223263565156</v>
      </c>
    </row>
    <row r="56" spans="2:99">
      <c r="C56" s="99" t="s">
        <v>223</v>
      </c>
      <c r="D56">
        <v>11</v>
      </c>
      <c r="E56">
        <v>10797.599999999999</v>
      </c>
      <c r="F56">
        <v>15</v>
      </c>
      <c r="G56">
        <v>14723.999999999998</v>
      </c>
      <c r="H56">
        <v>13</v>
      </c>
      <c r="I56">
        <v>12760.8</v>
      </c>
      <c r="J56">
        <v>14</v>
      </c>
      <c r="K56">
        <v>13742.399999999998</v>
      </c>
      <c r="L56">
        <v>16</v>
      </c>
      <c r="M56">
        <v>15705.599999999999</v>
      </c>
      <c r="N56">
        <v>11</v>
      </c>
      <c r="O56">
        <v>10797.599999999999</v>
      </c>
      <c r="P56">
        <v>12</v>
      </c>
      <c r="Q56">
        <v>11779.199999999999</v>
      </c>
      <c r="R56">
        <v>15</v>
      </c>
      <c r="S56">
        <v>14723.999999999998</v>
      </c>
      <c r="T56">
        <v>10</v>
      </c>
      <c r="U56">
        <v>9816</v>
      </c>
      <c r="V56">
        <v>13</v>
      </c>
      <c r="W56">
        <v>12760.8</v>
      </c>
      <c r="X56">
        <v>13</v>
      </c>
      <c r="Y56">
        <v>12760.8</v>
      </c>
      <c r="Z56">
        <v>10</v>
      </c>
      <c r="AA56">
        <v>9816</v>
      </c>
      <c r="AB56">
        <v>13</v>
      </c>
      <c r="AC56">
        <v>12760.8</v>
      </c>
      <c r="AD56">
        <v>13</v>
      </c>
      <c r="AE56">
        <v>12760.8</v>
      </c>
      <c r="AF56">
        <v>11</v>
      </c>
      <c r="AG56">
        <v>10797.599999999999</v>
      </c>
      <c r="AH56">
        <v>15</v>
      </c>
      <c r="AI56">
        <v>14723.999999999998</v>
      </c>
      <c r="AJ56">
        <v>9</v>
      </c>
      <c r="AK56">
        <v>8834.4</v>
      </c>
      <c r="AL56">
        <v>9</v>
      </c>
      <c r="AM56">
        <v>8834.4</v>
      </c>
      <c r="AN56">
        <v>8</v>
      </c>
      <c r="AO56">
        <v>7852.7999999999993</v>
      </c>
      <c r="AP56">
        <v>12</v>
      </c>
      <c r="AQ56">
        <v>11779.199999999999</v>
      </c>
      <c r="AR56">
        <v>12</v>
      </c>
      <c r="AS56">
        <v>11779.199999999999</v>
      </c>
      <c r="AT56">
        <v>13</v>
      </c>
      <c r="AU56">
        <v>12760.8</v>
      </c>
      <c r="AV56">
        <v>13</v>
      </c>
      <c r="AW56">
        <v>12760.8</v>
      </c>
      <c r="AX56">
        <v>15</v>
      </c>
      <c r="AY56">
        <v>14723.999999999998</v>
      </c>
      <c r="AZ56">
        <v>16</v>
      </c>
      <c r="BA56">
        <v>15705.599999999999</v>
      </c>
      <c r="BB56">
        <v>15</v>
      </c>
      <c r="BC56">
        <v>14723.999999999998</v>
      </c>
      <c r="BD56">
        <v>13</v>
      </c>
      <c r="BE56">
        <v>12760.8</v>
      </c>
      <c r="BF56">
        <v>12</v>
      </c>
      <c r="BG56">
        <v>11779.199999999999</v>
      </c>
      <c r="BH56">
        <v>16</v>
      </c>
      <c r="BI56">
        <v>15705.599999999999</v>
      </c>
      <c r="BJ56">
        <v>11</v>
      </c>
      <c r="BK56">
        <v>10797.599999999999</v>
      </c>
      <c r="BL56">
        <v>9</v>
      </c>
      <c r="BM56">
        <v>8834.4</v>
      </c>
      <c r="BN56">
        <v>14</v>
      </c>
      <c r="BO56">
        <v>13742.399999999998</v>
      </c>
      <c r="BP56">
        <v>15</v>
      </c>
      <c r="BQ56">
        <v>14723.999999999998</v>
      </c>
      <c r="BR56">
        <v>11</v>
      </c>
      <c r="BS56">
        <v>10797.599999999999</v>
      </c>
      <c r="BT56">
        <v>14</v>
      </c>
      <c r="BU56">
        <v>13742.399999999998</v>
      </c>
      <c r="BV56">
        <v>13</v>
      </c>
      <c r="BW56">
        <v>12760.8</v>
      </c>
      <c r="BX56">
        <v>17</v>
      </c>
      <c r="BY56">
        <v>16687.199999999997</v>
      </c>
      <c r="BZ56">
        <v>16</v>
      </c>
      <c r="CA56">
        <v>15705.599999999999</v>
      </c>
      <c r="CB56">
        <v>15</v>
      </c>
      <c r="CC56">
        <v>14723.999999999998</v>
      </c>
      <c r="CD56">
        <v>11</v>
      </c>
      <c r="CE56">
        <v>10797.599999999999</v>
      </c>
      <c r="CF56">
        <v>9</v>
      </c>
      <c r="CG56">
        <v>8834.4</v>
      </c>
      <c r="CH56">
        <v>11</v>
      </c>
      <c r="CI56">
        <v>10797.599999999999</v>
      </c>
      <c r="CJ56">
        <v>16</v>
      </c>
      <c r="CK56">
        <v>15705.599999999999</v>
      </c>
      <c r="CL56">
        <v>15</v>
      </c>
      <c r="CM56">
        <v>14723.999999999998</v>
      </c>
      <c r="CN56">
        <v>12</v>
      </c>
      <c r="CO56">
        <v>11779.199999999999</v>
      </c>
      <c r="CP56">
        <v>16</v>
      </c>
      <c r="CQ56">
        <v>15705.599999999999</v>
      </c>
      <c r="CR56">
        <v>13</v>
      </c>
      <c r="CS56">
        <v>12760.8</v>
      </c>
      <c r="CT56">
        <v>10</v>
      </c>
      <c r="CU56">
        <v>9816</v>
      </c>
    </row>
    <row r="57" spans="2:99">
      <c r="C57" s="99" t="s">
        <v>224</v>
      </c>
      <c r="D57">
        <v>10</v>
      </c>
      <c r="E57">
        <v>14112</v>
      </c>
      <c r="F57">
        <v>13</v>
      </c>
      <c r="G57">
        <v>18345.600000000002</v>
      </c>
      <c r="H57">
        <v>14</v>
      </c>
      <c r="I57">
        <v>19756.8</v>
      </c>
      <c r="J57">
        <v>14</v>
      </c>
      <c r="K57">
        <v>19756.8</v>
      </c>
      <c r="L57">
        <v>15</v>
      </c>
      <c r="M57">
        <v>21168</v>
      </c>
      <c r="N57">
        <v>10</v>
      </c>
      <c r="O57">
        <v>14112</v>
      </c>
      <c r="P57">
        <v>12</v>
      </c>
      <c r="Q57">
        <v>16934.400000000001</v>
      </c>
      <c r="R57">
        <v>14</v>
      </c>
      <c r="S57">
        <v>19756.8</v>
      </c>
      <c r="T57">
        <v>9</v>
      </c>
      <c r="U57">
        <v>12700.800000000001</v>
      </c>
      <c r="V57">
        <v>14</v>
      </c>
      <c r="W57">
        <v>19756.8</v>
      </c>
      <c r="X57">
        <v>13</v>
      </c>
      <c r="Y57">
        <v>18345.600000000002</v>
      </c>
      <c r="Z57">
        <v>9</v>
      </c>
      <c r="AA57">
        <v>12700.800000000001</v>
      </c>
      <c r="AB57">
        <v>13</v>
      </c>
      <c r="AC57">
        <v>18345.600000000002</v>
      </c>
      <c r="AD57">
        <v>12</v>
      </c>
      <c r="AE57">
        <v>16934.400000000001</v>
      </c>
      <c r="AF57">
        <v>12</v>
      </c>
      <c r="AG57">
        <v>16934.400000000001</v>
      </c>
      <c r="AH57">
        <v>14</v>
      </c>
      <c r="AI57">
        <v>19756.8</v>
      </c>
      <c r="AJ57">
        <v>8</v>
      </c>
      <c r="AK57">
        <v>11289.6</v>
      </c>
      <c r="AL57">
        <v>8</v>
      </c>
      <c r="AM57">
        <v>11289.6</v>
      </c>
      <c r="AN57">
        <v>9</v>
      </c>
      <c r="AO57">
        <v>12700.800000000001</v>
      </c>
      <c r="AP57">
        <v>10</v>
      </c>
      <c r="AQ57">
        <v>14112</v>
      </c>
      <c r="AR57">
        <v>12</v>
      </c>
      <c r="AS57">
        <v>16934.400000000001</v>
      </c>
      <c r="AT57">
        <v>15</v>
      </c>
      <c r="AU57">
        <v>21168</v>
      </c>
      <c r="AV57">
        <v>11</v>
      </c>
      <c r="AW57">
        <v>15523.2</v>
      </c>
      <c r="AX57">
        <v>13</v>
      </c>
      <c r="AY57">
        <v>18345.600000000002</v>
      </c>
      <c r="AZ57">
        <v>16</v>
      </c>
      <c r="BA57">
        <v>22579.200000000001</v>
      </c>
      <c r="BB57">
        <v>15</v>
      </c>
      <c r="BC57">
        <v>21168</v>
      </c>
      <c r="BD57">
        <v>13</v>
      </c>
      <c r="BE57">
        <v>18345.600000000002</v>
      </c>
      <c r="BF57">
        <v>13</v>
      </c>
      <c r="BG57">
        <v>18345.600000000002</v>
      </c>
      <c r="BH57">
        <v>15</v>
      </c>
      <c r="BI57">
        <v>21168</v>
      </c>
      <c r="BJ57">
        <v>12</v>
      </c>
      <c r="BK57">
        <v>16934.400000000001</v>
      </c>
      <c r="BL57">
        <v>8</v>
      </c>
      <c r="BM57">
        <v>11289.6</v>
      </c>
      <c r="BN57">
        <v>13</v>
      </c>
      <c r="BO57">
        <v>18345.600000000002</v>
      </c>
      <c r="BP57">
        <v>14</v>
      </c>
      <c r="BQ57">
        <v>19756.8</v>
      </c>
      <c r="BR57">
        <v>11</v>
      </c>
      <c r="BS57">
        <v>15523.2</v>
      </c>
      <c r="BT57">
        <v>14</v>
      </c>
      <c r="BU57">
        <v>19756.8</v>
      </c>
      <c r="BV57">
        <v>13</v>
      </c>
      <c r="BW57">
        <v>18345.600000000002</v>
      </c>
      <c r="BX57">
        <v>16.112729033364506</v>
      </c>
      <c r="BY57">
        <v>22738.283211883991</v>
      </c>
      <c r="BZ57">
        <v>12.289650050438073</v>
      </c>
      <c r="CA57">
        <v>17343.154151178209</v>
      </c>
      <c r="CB57">
        <v>10.393300075767828</v>
      </c>
      <c r="CC57">
        <v>14667.025066923559</v>
      </c>
      <c r="CD57">
        <v>9.0835419236255532</v>
      </c>
      <c r="CE57">
        <v>12818.694362620381</v>
      </c>
      <c r="CF57">
        <v>7.3795688625749625</v>
      </c>
      <c r="CG57">
        <v>10414.047578865788</v>
      </c>
      <c r="CH57">
        <v>8.8734368675663635</v>
      </c>
      <c r="CI57">
        <v>12522.194107509653</v>
      </c>
      <c r="CJ57">
        <v>13.851617929752356</v>
      </c>
      <c r="CK57">
        <v>19547.403222466524</v>
      </c>
      <c r="CL57">
        <v>13.207956934279043</v>
      </c>
      <c r="CM57">
        <v>18639.068825654587</v>
      </c>
      <c r="CN57">
        <v>12.14407621948348</v>
      </c>
      <c r="CO57">
        <v>17137.720360935087</v>
      </c>
      <c r="CP57">
        <v>12.176692359732764</v>
      </c>
      <c r="CQ57">
        <v>17183.748258054875</v>
      </c>
      <c r="CR57">
        <v>12.154928834514296</v>
      </c>
      <c r="CS57">
        <v>17153.035571266573</v>
      </c>
      <c r="CT57">
        <v>7.7861125528852941</v>
      </c>
      <c r="CU57">
        <v>10987.762034631727</v>
      </c>
    </row>
    <row r="58" spans="2:99">
      <c r="C58" s="99" t="s">
        <v>225</v>
      </c>
      <c r="D58">
        <v>12</v>
      </c>
      <c r="E58">
        <v>14126.400000000001</v>
      </c>
      <c r="F58">
        <v>13</v>
      </c>
      <c r="G58">
        <v>15303.6</v>
      </c>
      <c r="H58">
        <v>14</v>
      </c>
      <c r="I58">
        <v>16480.8</v>
      </c>
      <c r="J58">
        <v>10.684931506849315</v>
      </c>
      <c r="K58">
        <v>12578.301369863015</v>
      </c>
      <c r="L58">
        <v>15</v>
      </c>
      <c r="M58">
        <v>17658</v>
      </c>
      <c r="N58">
        <v>10</v>
      </c>
      <c r="O58">
        <v>11772</v>
      </c>
      <c r="P58">
        <v>11.445086705202311</v>
      </c>
      <c r="Q58">
        <v>13473.15606936416</v>
      </c>
      <c r="R58">
        <v>17</v>
      </c>
      <c r="S58">
        <v>20012.400000000001</v>
      </c>
      <c r="T58">
        <v>10</v>
      </c>
      <c r="U58">
        <v>11772</v>
      </c>
      <c r="V58">
        <v>14</v>
      </c>
      <c r="W58">
        <v>16480.8</v>
      </c>
      <c r="X58">
        <v>12</v>
      </c>
      <c r="Y58">
        <v>14126.400000000001</v>
      </c>
      <c r="Z58">
        <v>10</v>
      </c>
      <c r="AA58">
        <v>11772</v>
      </c>
      <c r="AB58">
        <v>8.8686131386861327</v>
      </c>
      <c r="AC58">
        <v>10440.131386861316</v>
      </c>
      <c r="AD58">
        <v>2.1145805840970932E-21</v>
      </c>
      <c r="AE58">
        <v>2.4892842635990983E-18</v>
      </c>
      <c r="AF58">
        <v>9.3077692376923337E-22</v>
      </c>
      <c r="AG58">
        <v>1.0957105946611415E-18</v>
      </c>
      <c r="AH58">
        <v>9.1929331237208056E-22</v>
      </c>
      <c r="AI58">
        <v>1.0821920873244133E-18</v>
      </c>
      <c r="AJ58">
        <v>8.4705882352941178</v>
      </c>
      <c r="AK58">
        <v>9971.5764705882357</v>
      </c>
      <c r="AL58">
        <v>7.3669064748201443</v>
      </c>
      <c r="AM58">
        <v>8672.3223021582744</v>
      </c>
      <c r="AN58">
        <v>7.4322580645161294</v>
      </c>
      <c r="AO58">
        <v>8749.2541935483878</v>
      </c>
      <c r="AP58">
        <v>10.520547945205479</v>
      </c>
      <c r="AQ58">
        <v>12384.78904109589</v>
      </c>
      <c r="AR58">
        <v>11.098265895953755</v>
      </c>
      <c r="AS58">
        <v>13064.87861271676</v>
      </c>
      <c r="AT58">
        <v>14</v>
      </c>
      <c r="AU58">
        <v>16480.8</v>
      </c>
      <c r="AV58">
        <v>13</v>
      </c>
      <c r="AW58">
        <v>15303.6</v>
      </c>
      <c r="AX58">
        <v>13</v>
      </c>
      <c r="AY58">
        <v>15303.6</v>
      </c>
      <c r="AZ58">
        <v>15</v>
      </c>
      <c r="BA58">
        <v>17658</v>
      </c>
      <c r="BB58">
        <v>15</v>
      </c>
      <c r="BC58">
        <v>17658</v>
      </c>
      <c r="BD58">
        <v>14</v>
      </c>
      <c r="BE58">
        <v>16480.8</v>
      </c>
      <c r="BF58">
        <v>13</v>
      </c>
      <c r="BG58">
        <v>15303.6</v>
      </c>
      <c r="BH58">
        <v>14</v>
      </c>
      <c r="BI58">
        <v>16480.8</v>
      </c>
      <c r="BJ58">
        <v>11</v>
      </c>
      <c r="BK58">
        <v>12949.2</v>
      </c>
      <c r="BL58">
        <v>9</v>
      </c>
      <c r="BM58">
        <v>10594.800000000001</v>
      </c>
      <c r="BN58">
        <v>13</v>
      </c>
      <c r="BO58">
        <v>15303.6</v>
      </c>
      <c r="BP58">
        <v>15</v>
      </c>
      <c r="BQ58">
        <v>17658</v>
      </c>
      <c r="BR58">
        <v>11</v>
      </c>
      <c r="BS58">
        <v>12949.2</v>
      </c>
      <c r="BT58">
        <v>15</v>
      </c>
      <c r="BU58">
        <v>17658</v>
      </c>
      <c r="BV58">
        <v>13</v>
      </c>
      <c r="BW58">
        <v>15303.6</v>
      </c>
      <c r="BX58">
        <v>16</v>
      </c>
      <c r="BY58">
        <v>18835.2</v>
      </c>
      <c r="BZ58">
        <v>16</v>
      </c>
      <c r="CA58">
        <v>18835.2</v>
      </c>
      <c r="CB58">
        <v>15</v>
      </c>
      <c r="CC58">
        <v>17658</v>
      </c>
      <c r="CD58">
        <v>12</v>
      </c>
      <c r="CE58">
        <v>14126.400000000001</v>
      </c>
      <c r="CF58">
        <v>8</v>
      </c>
      <c r="CG58">
        <v>9417.6</v>
      </c>
      <c r="CH58">
        <v>10</v>
      </c>
      <c r="CI58">
        <v>11772</v>
      </c>
      <c r="CJ58">
        <v>15</v>
      </c>
      <c r="CK58">
        <v>17658</v>
      </c>
      <c r="CL58">
        <v>16</v>
      </c>
      <c r="CM58">
        <v>18835.2</v>
      </c>
      <c r="CN58">
        <v>12</v>
      </c>
      <c r="CO58">
        <v>14126.400000000001</v>
      </c>
      <c r="CP58">
        <v>14</v>
      </c>
      <c r="CQ58">
        <v>16480.8</v>
      </c>
      <c r="CR58">
        <v>14</v>
      </c>
      <c r="CS58">
        <v>16480.8</v>
      </c>
      <c r="CT58">
        <v>10</v>
      </c>
      <c r="CU58">
        <v>11772</v>
      </c>
    </row>
    <row r="59" spans="2:99">
      <c r="C59" s="99" t="s">
        <v>226</v>
      </c>
      <c r="D59">
        <v>11</v>
      </c>
      <c r="E59">
        <v>3339.5999999999995</v>
      </c>
      <c r="F59">
        <v>14</v>
      </c>
      <c r="G59">
        <v>4250.3999999999996</v>
      </c>
      <c r="H59">
        <v>14</v>
      </c>
      <c r="I59">
        <v>4250.3999999999996</v>
      </c>
      <c r="J59">
        <v>16</v>
      </c>
      <c r="K59">
        <v>4857.5999999999995</v>
      </c>
      <c r="L59">
        <v>17</v>
      </c>
      <c r="M59">
        <v>5161.2</v>
      </c>
      <c r="N59">
        <v>11</v>
      </c>
      <c r="O59">
        <v>3339.5999999999995</v>
      </c>
      <c r="P59">
        <v>12</v>
      </c>
      <c r="Q59">
        <v>3643.2</v>
      </c>
      <c r="R59">
        <v>16</v>
      </c>
      <c r="S59">
        <v>4857.5999999999995</v>
      </c>
      <c r="T59">
        <v>10</v>
      </c>
      <c r="U59">
        <v>3035.9999999999995</v>
      </c>
      <c r="V59">
        <v>14</v>
      </c>
      <c r="W59">
        <v>4250.3999999999996</v>
      </c>
      <c r="X59">
        <v>12</v>
      </c>
      <c r="Y59">
        <v>3643.2</v>
      </c>
      <c r="Z59">
        <v>10</v>
      </c>
      <c r="AA59">
        <v>3035.9999999999995</v>
      </c>
      <c r="AB59">
        <v>16</v>
      </c>
      <c r="AC59">
        <v>4857.5999999999995</v>
      </c>
      <c r="AD59">
        <v>12</v>
      </c>
      <c r="AE59">
        <v>3643.2</v>
      </c>
      <c r="AF59">
        <v>13</v>
      </c>
      <c r="AG59">
        <v>3946.7999999999997</v>
      </c>
      <c r="AH59">
        <v>13</v>
      </c>
      <c r="AI59">
        <v>3946.7999999999997</v>
      </c>
      <c r="AJ59">
        <v>9</v>
      </c>
      <c r="AK59">
        <v>2732.3999999999996</v>
      </c>
      <c r="AL59">
        <v>10</v>
      </c>
      <c r="AM59">
        <v>3035.9999999999995</v>
      </c>
      <c r="AN59">
        <v>8</v>
      </c>
      <c r="AO59">
        <v>2428.7999999999997</v>
      </c>
      <c r="AP59">
        <v>13</v>
      </c>
      <c r="AQ59">
        <v>3946.7999999999997</v>
      </c>
      <c r="AR59">
        <v>14</v>
      </c>
      <c r="AS59">
        <v>4250.3999999999996</v>
      </c>
      <c r="AT59">
        <v>17</v>
      </c>
      <c r="AU59">
        <v>5161.2</v>
      </c>
      <c r="AV59">
        <v>13</v>
      </c>
      <c r="AW59">
        <v>3946.7999999999997</v>
      </c>
      <c r="AX59">
        <v>17</v>
      </c>
      <c r="AY59">
        <v>5161.2</v>
      </c>
      <c r="AZ59">
        <v>16</v>
      </c>
      <c r="BA59">
        <v>4857.5999999999995</v>
      </c>
      <c r="BB59">
        <v>17</v>
      </c>
      <c r="BC59">
        <v>5161.2</v>
      </c>
      <c r="BD59">
        <v>14</v>
      </c>
      <c r="BE59">
        <v>4250.3999999999996</v>
      </c>
      <c r="BF59">
        <v>13</v>
      </c>
      <c r="BG59">
        <v>3946.7999999999997</v>
      </c>
      <c r="BH59">
        <v>18</v>
      </c>
      <c r="BI59">
        <v>5464.7999999999993</v>
      </c>
      <c r="BJ59">
        <v>14</v>
      </c>
      <c r="BK59">
        <v>4250.3999999999996</v>
      </c>
      <c r="BL59">
        <v>10</v>
      </c>
      <c r="BM59">
        <v>3035.9999999999995</v>
      </c>
      <c r="BN59">
        <v>16</v>
      </c>
      <c r="BO59">
        <v>4857.5999999999995</v>
      </c>
      <c r="BP59">
        <v>15</v>
      </c>
      <c r="BQ59">
        <v>4553.9999999999991</v>
      </c>
      <c r="BR59">
        <v>12</v>
      </c>
      <c r="BS59">
        <v>3643.2</v>
      </c>
      <c r="BT59">
        <v>17</v>
      </c>
      <c r="BU59">
        <v>5161.2</v>
      </c>
      <c r="BV59">
        <v>14</v>
      </c>
      <c r="BW59">
        <v>4250.3999999999996</v>
      </c>
      <c r="BX59">
        <v>18.008344213760331</v>
      </c>
      <c r="BY59">
        <v>5467.3333032976361</v>
      </c>
      <c r="BZ59">
        <v>13.928270057163148</v>
      </c>
      <c r="CA59">
        <v>4228.6227893547311</v>
      </c>
      <c r="CB59">
        <v>12.991625094709784</v>
      </c>
      <c r="CC59">
        <v>3944.25737875389</v>
      </c>
      <c r="CD59">
        <v>9.9093184621369659</v>
      </c>
      <c r="CE59">
        <v>3008.4690851047826</v>
      </c>
      <c r="CF59">
        <v>9.0194730542582864</v>
      </c>
      <c r="CG59">
        <v>2738.3120192728156</v>
      </c>
      <c r="CH59">
        <v>8.8734368675663635</v>
      </c>
      <c r="CI59">
        <v>2693.9754329931475</v>
      </c>
      <c r="CJ59">
        <v>15.698500320386003</v>
      </c>
      <c r="CK59">
        <v>4766.0646972691902</v>
      </c>
      <c r="CL59">
        <v>16.038233420195979</v>
      </c>
      <c r="CM59">
        <v>4869.2076663714988</v>
      </c>
      <c r="CN59">
        <v>12.14407621948348</v>
      </c>
      <c r="CO59">
        <v>3686.9415402351842</v>
      </c>
      <c r="CP59">
        <v>16.860035575014596</v>
      </c>
      <c r="CQ59">
        <v>5118.7068005744304</v>
      </c>
      <c r="CR59">
        <v>14.024917885978034</v>
      </c>
      <c r="CS59">
        <v>4257.9650701829305</v>
      </c>
      <c r="CT59">
        <v>10.705904760217278</v>
      </c>
      <c r="CU59">
        <v>3250.312685201965</v>
      </c>
    </row>
    <row r="60" spans="2:99">
      <c r="C60" s="99" t="s">
        <v>227</v>
      </c>
      <c r="D60">
        <v>11</v>
      </c>
      <c r="E60">
        <v>7167.6</v>
      </c>
      <c r="F60">
        <v>16</v>
      </c>
      <c r="G60">
        <v>10425.6</v>
      </c>
      <c r="H60">
        <v>14</v>
      </c>
      <c r="I60">
        <v>9122.4</v>
      </c>
      <c r="J60">
        <v>15</v>
      </c>
      <c r="K60">
        <v>9774</v>
      </c>
      <c r="L60">
        <v>17</v>
      </c>
      <c r="M60">
        <v>11077.2</v>
      </c>
      <c r="N60">
        <v>10</v>
      </c>
      <c r="O60">
        <v>6516</v>
      </c>
      <c r="P60">
        <v>12</v>
      </c>
      <c r="Q60">
        <v>7819.2000000000007</v>
      </c>
      <c r="R60">
        <v>16</v>
      </c>
      <c r="S60">
        <v>10425.6</v>
      </c>
      <c r="T60">
        <v>10</v>
      </c>
      <c r="U60">
        <v>6516</v>
      </c>
      <c r="V60">
        <v>14</v>
      </c>
      <c r="W60">
        <v>9122.4</v>
      </c>
      <c r="X60">
        <v>12</v>
      </c>
      <c r="Y60">
        <v>7819.2000000000007</v>
      </c>
      <c r="Z60">
        <v>9</v>
      </c>
      <c r="AA60">
        <v>5864.4000000000005</v>
      </c>
      <c r="AB60">
        <v>15</v>
      </c>
      <c r="AC60">
        <v>9774</v>
      </c>
      <c r="AD60">
        <v>12</v>
      </c>
      <c r="AE60">
        <v>7819.2000000000007</v>
      </c>
      <c r="AF60">
        <v>12</v>
      </c>
      <c r="AG60">
        <v>7819.2000000000007</v>
      </c>
      <c r="AH60">
        <v>14</v>
      </c>
      <c r="AI60">
        <v>9122.4</v>
      </c>
      <c r="AJ60">
        <v>9</v>
      </c>
      <c r="AK60">
        <v>5864.4000000000005</v>
      </c>
      <c r="AL60">
        <v>10</v>
      </c>
      <c r="AM60">
        <v>6516</v>
      </c>
      <c r="AN60">
        <v>9</v>
      </c>
      <c r="AO60">
        <v>5864.4000000000005</v>
      </c>
      <c r="AP60">
        <v>12</v>
      </c>
      <c r="AQ60">
        <v>7819.2000000000007</v>
      </c>
      <c r="AR60">
        <v>13</v>
      </c>
      <c r="AS60">
        <v>8470.8000000000011</v>
      </c>
      <c r="AT60">
        <v>14</v>
      </c>
      <c r="AU60">
        <v>9122.4</v>
      </c>
      <c r="AV60">
        <v>13</v>
      </c>
      <c r="AW60">
        <v>8470.8000000000011</v>
      </c>
      <c r="AX60">
        <v>15</v>
      </c>
      <c r="AY60">
        <v>9774</v>
      </c>
      <c r="AZ60">
        <v>17</v>
      </c>
      <c r="BA60">
        <v>11077.2</v>
      </c>
      <c r="BB60">
        <v>17</v>
      </c>
      <c r="BC60">
        <v>11077.2</v>
      </c>
      <c r="BD60">
        <v>15</v>
      </c>
      <c r="BE60">
        <v>9774</v>
      </c>
      <c r="BF60">
        <v>14</v>
      </c>
      <c r="BG60">
        <v>9122.4</v>
      </c>
      <c r="BH60">
        <v>16</v>
      </c>
      <c r="BI60">
        <v>10425.6</v>
      </c>
      <c r="BJ60">
        <v>13</v>
      </c>
      <c r="BK60">
        <v>8470.8000000000011</v>
      </c>
      <c r="BL60">
        <v>9</v>
      </c>
      <c r="BM60">
        <v>5864.4000000000005</v>
      </c>
      <c r="BN60">
        <v>15</v>
      </c>
      <c r="BO60">
        <v>9774</v>
      </c>
      <c r="BP60">
        <v>14</v>
      </c>
      <c r="BQ60">
        <v>9122.4</v>
      </c>
      <c r="BR60">
        <v>11</v>
      </c>
      <c r="BS60">
        <v>7167.6</v>
      </c>
      <c r="BT60">
        <v>14</v>
      </c>
      <c r="BU60">
        <v>9122.4</v>
      </c>
      <c r="BV60">
        <v>14</v>
      </c>
      <c r="BW60">
        <v>9122.4</v>
      </c>
      <c r="BX60">
        <v>17.06053662356242</v>
      </c>
      <c r="BY60">
        <v>11116.645663913274</v>
      </c>
      <c r="BZ60">
        <v>14.747580060525689</v>
      </c>
      <c r="CA60">
        <v>9609.5231674385395</v>
      </c>
      <c r="CB60">
        <v>12.991625094709784</v>
      </c>
      <c r="CC60">
        <v>8465.3429117128962</v>
      </c>
      <c r="CD60">
        <v>10.735095000648379</v>
      </c>
      <c r="CE60">
        <v>6994.9879024224838</v>
      </c>
      <c r="CF60">
        <v>7.3795688625749625</v>
      </c>
      <c r="CG60">
        <v>4808.5270708538455</v>
      </c>
      <c r="CH60">
        <v>8.8734368675663635</v>
      </c>
      <c r="CI60">
        <v>5781.9314629062428</v>
      </c>
      <c r="CJ60">
        <v>15.698500320386003</v>
      </c>
      <c r="CK60">
        <v>10229.142808763519</v>
      </c>
      <c r="CL60">
        <v>16.038233420195979</v>
      </c>
      <c r="CM60">
        <v>10450.512896599701</v>
      </c>
      <c r="CN60">
        <v>12.14407621948348</v>
      </c>
      <c r="CO60">
        <v>7913.0800646154357</v>
      </c>
      <c r="CP60">
        <v>14.986698288901863</v>
      </c>
      <c r="CQ60">
        <v>9765.3326050484538</v>
      </c>
      <c r="CR60">
        <v>13.089923360246166</v>
      </c>
      <c r="CS60">
        <v>8529.3940615364027</v>
      </c>
      <c r="CT60">
        <v>8.7593766219959548</v>
      </c>
      <c r="CU60">
        <v>5707.6098068925639</v>
      </c>
    </row>
    <row r="61" spans="2:99">
      <c r="C61" s="99" t="s">
        <v>228</v>
      </c>
      <c r="D61">
        <v>11</v>
      </c>
      <c r="E61">
        <v>10467.599999999999</v>
      </c>
      <c r="F61">
        <v>15</v>
      </c>
      <c r="G61">
        <v>14273.999999999998</v>
      </c>
      <c r="H61">
        <v>14</v>
      </c>
      <c r="I61">
        <v>13322.399999999998</v>
      </c>
      <c r="J61">
        <v>14</v>
      </c>
      <c r="K61">
        <v>13322.399999999998</v>
      </c>
      <c r="L61">
        <v>15</v>
      </c>
      <c r="M61">
        <v>14273.999999999998</v>
      </c>
      <c r="N61">
        <v>10</v>
      </c>
      <c r="O61">
        <v>9516</v>
      </c>
      <c r="P61">
        <v>12</v>
      </c>
      <c r="Q61">
        <v>11419.199999999999</v>
      </c>
      <c r="R61">
        <v>15</v>
      </c>
      <c r="S61">
        <v>14273.999999999998</v>
      </c>
      <c r="T61">
        <v>9</v>
      </c>
      <c r="U61">
        <v>8564.4</v>
      </c>
      <c r="V61">
        <v>13</v>
      </c>
      <c r="W61">
        <v>12370.8</v>
      </c>
      <c r="X61">
        <v>11</v>
      </c>
      <c r="Y61">
        <v>10467.599999999999</v>
      </c>
      <c r="Z61">
        <v>10</v>
      </c>
      <c r="AA61">
        <v>9516</v>
      </c>
      <c r="AB61">
        <v>15</v>
      </c>
      <c r="AC61">
        <v>14273.999999999998</v>
      </c>
      <c r="AD61">
        <v>11</v>
      </c>
      <c r="AE61">
        <v>10467.599999999999</v>
      </c>
      <c r="AF61">
        <v>12</v>
      </c>
      <c r="AG61">
        <v>11419.199999999999</v>
      </c>
      <c r="AH61">
        <v>13</v>
      </c>
      <c r="AI61">
        <v>12370.8</v>
      </c>
      <c r="AJ61">
        <v>8</v>
      </c>
      <c r="AK61">
        <v>7612.7999999999993</v>
      </c>
      <c r="AL61">
        <v>9</v>
      </c>
      <c r="AM61">
        <v>8564.4</v>
      </c>
      <c r="AN61">
        <v>9</v>
      </c>
      <c r="AO61">
        <v>8564.4</v>
      </c>
      <c r="AP61">
        <v>11</v>
      </c>
      <c r="AQ61">
        <v>10467.599999999999</v>
      </c>
      <c r="AR61">
        <v>11</v>
      </c>
      <c r="AS61">
        <v>10467.599999999999</v>
      </c>
      <c r="AT61">
        <v>14</v>
      </c>
      <c r="AU61">
        <v>13322.399999999998</v>
      </c>
      <c r="AV61">
        <v>13</v>
      </c>
      <c r="AW61">
        <v>12370.8</v>
      </c>
      <c r="AX61">
        <v>14</v>
      </c>
      <c r="AY61">
        <v>13322.399999999998</v>
      </c>
      <c r="AZ61">
        <v>15</v>
      </c>
      <c r="BA61">
        <v>14273.999999999998</v>
      </c>
      <c r="BB61">
        <v>14</v>
      </c>
      <c r="BC61">
        <v>13322.399999999998</v>
      </c>
      <c r="BD61">
        <v>15</v>
      </c>
      <c r="BE61">
        <v>14273.999999999998</v>
      </c>
      <c r="BF61">
        <v>13</v>
      </c>
      <c r="BG61">
        <v>12370.8</v>
      </c>
      <c r="BH61">
        <v>15</v>
      </c>
      <c r="BI61">
        <v>14273.999999999998</v>
      </c>
      <c r="BJ61">
        <v>11</v>
      </c>
      <c r="BK61">
        <v>10467.599999999999</v>
      </c>
      <c r="BL61">
        <v>9</v>
      </c>
      <c r="BM61">
        <v>8564.4</v>
      </c>
      <c r="BN61">
        <v>15</v>
      </c>
      <c r="BO61">
        <v>14273.999999999998</v>
      </c>
      <c r="BP61">
        <v>15</v>
      </c>
      <c r="BQ61">
        <v>14273.999999999998</v>
      </c>
      <c r="BR61">
        <v>12</v>
      </c>
      <c r="BS61">
        <v>11419.199999999999</v>
      </c>
      <c r="BT61">
        <v>16</v>
      </c>
      <c r="BU61">
        <v>15225.599999999999</v>
      </c>
      <c r="BV61">
        <v>13</v>
      </c>
      <c r="BW61">
        <v>12370.8</v>
      </c>
      <c r="BX61">
        <v>15.164921443166593</v>
      </c>
      <c r="BY61">
        <v>14430.939245317328</v>
      </c>
      <c r="BZ61">
        <v>13.108960053800612</v>
      </c>
      <c r="CA61">
        <v>12474.486387196661</v>
      </c>
      <c r="CB61">
        <v>11.259408415415146</v>
      </c>
      <c r="CC61">
        <v>10714.453048109051</v>
      </c>
      <c r="CD61">
        <v>10.735095000648379</v>
      </c>
      <c r="CE61">
        <v>10215.516402616997</v>
      </c>
      <c r="CF61">
        <v>7.3795688625749625</v>
      </c>
      <c r="CG61">
        <v>7022.3977296263338</v>
      </c>
      <c r="CH61">
        <v>8.8734368675663635</v>
      </c>
      <c r="CI61">
        <v>8443.9625231761511</v>
      </c>
      <c r="CJ61">
        <v>13.851617929752356</v>
      </c>
      <c r="CK61">
        <v>13181.199621952341</v>
      </c>
      <c r="CL61">
        <v>14.151382429584688</v>
      </c>
      <c r="CM61">
        <v>13466.455519992787</v>
      </c>
      <c r="CN61">
        <v>12.14407621948348</v>
      </c>
      <c r="CO61">
        <v>11556.302930460479</v>
      </c>
      <c r="CP61">
        <v>13.11336100278913</v>
      </c>
      <c r="CQ61">
        <v>12478.674330254134</v>
      </c>
      <c r="CR61">
        <v>13.089923360246166</v>
      </c>
      <c r="CS61">
        <v>12456.37106961025</v>
      </c>
      <c r="CT61">
        <v>8.7593766219959548</v>
      </c>
      <c r="CU61">
        <v>8335.4227934913506</v>
      </c>
    </row>
    <row r="62" spans="2:99">
      <c r="C62" s="99" t="s">
        <v>229</v>
      </c>
      <c r="D62">
        <v>11</v>
      </c>
      <c r="E62">
        <v>18361.2</v>
      </c>
      <c r="F62">
        <v>13</v>
      </c>
      <c r="G62">
        <v>21699.600000000002</v>
      </c>
      <c r="H62">
        <v>13</v>
      </c>
      <c r="I62">
        <v>21699.600000000002</v>
      </c>
      <c r="J62">
        <v>15</v>
      </c>
      <c r="K62">
        <v>25038</v>
      </c>
      <c r="L62">
        <v>13</v>
      </c>
      <c r="M62">
        <v>21699.600000000002</v>
      </c>
      <c r="N62">
        <v>9</v>
      </c>
      <c r="O62">
        <v>15022.800000000001</v>
      </c>
      <c r="P62">
        <v>11</v>
      </c>
      <c r="Q62">
        <v>18361.2</v>
      </c>
      <c r="R62">
        <v>15</v>
      </c>
      <c r="S62">
        <v>25038</v>
      </c>
      <c r="T62">
        <v>9</v>
      </c>
      <c r="U62">
        <v>15022.800000000001</v>
      </c>
      <c r="V62">
        <v>12</v>
      </c>
      <c r="W62">
        <v>20030.400000000001</v>
      </c>
      <c r="X62">
        <v>12</v>
      </c>
      <c r="Y62">
        <v>20030.400000000001</v>
      </c>
      <c r="Z62">
        <v>9</v>
      </c>
      <c r="AA62">
        <v>15022.800000000001</v>
      </c>
      <c r="AB62">
        <v>12</v>
      </c>
      <c r="AC62">
        <v>20030.400000000001</v>
      </c>
      <c r="AD62">
        <v>11</v>
      </c>
      <c r="AE62">
        <v>18361.2</v>
      </c>
      <c r="AF62">
        <v>11</v>
      </c>
      <c r="AG62">
        <v>18361.2</v>
      </c>
      <c r="AH62">
        <v>13</v>
      </c>
      <c r="AI62">
        <v>21699.600000000002</v>
      </c>
      <c r="AJ62">
        <v>7</v>
      </c>
      <c r="AK62">
        <v>11684.4</v>
      </c>
      <c r="AL62">
        <v>9</v>
      </c>
      <c r="AM62">
        <v>15022.800000000001</v>
      </c>
      <c r="AN62">
        <v>8</v>
      </c>
      <c r="AO62">
        <v>13353.6</v>
      </c>
      <c r="AP62">
        <v>10</v>
      </c>
      <c r="AQ62">
        <v>16692</v>
      </c>
      <c r="AR62">
        <v>12</v>
      </c>
      <c r="AS62">
        <v>20030.400000000001</v>
      </c>
      <c r="AT62">
        <v>13</v>
      </c>
      <c r="AU62">
        <v>21699.600000000002</v>
      </c>
      <c r="AV62">
        <v>12</v>
      </c>
      <c r="AW62">
        <v>20030.400000000001</v>
      </c>
      <c r="AX62">
        <v>14</v>
      </c>
      <c r="AY62">
        <v>23368.799999999999</v>
      </c>
      <c r="AZ62">
        <v>15</v>
      </c>
      <c r="BA62">
        <v>25038</v>
      </c>
      <c r="BB62">
        <v>13</v>
      </c>
      <c r="BC62">
        <v>21699.600000000002</v>
      </c>
      <c r="BD62">
        <v>12</v>
      </c>
      <c r="BE62">
        <v>20030.400000000001</v>
      </c>
      <c r="BF62">
        <v>11</v>
      </c>
      <c r="BG62">
        <v>18361.2</v>
      </c>
      <c r="BH62">
        <v>14</v>
      </c>
      <c r="BI62">
        <v>23368.799999999999</v>
      </c>
      <c r="BJ62">
        <v>11</v>
      </c>
      <c r="BK62">
        <v>18361.2</v>
      </c>
      <c r="BL62">
        <v>8</v>
      </c>
      <c r="BM62">
        <v>13353.6</v>
      </c>
      <c r="BN62">
        <v>14</v>
      </c>
      <c r="BO62">
        <v>23368.799999999999</v>
      </c>
      <c r="BP62">
        <v>14</v>
      </c>
      <c r="BQ62">
        <v>23368.799999999999</v>
      </c>
      <c r="BR62">
        <v>12</v>
      </c>
      <c r="BS62">
        <v>20030.400000000001</v>
      </c>
      <c r="BT62">
        <v>14</v>
      </c>
      <c r="BU62">
        <v>23368.799999999999</v>
      </c>
      <c r="BV62">
        <v>11</v>
      </c>
      <c r="BW62">
        <v>18361.2</v>
      </c>
      <c r="BX62">
        <v>14</v>
      </c>
      <c r="BY62">
        <v>23368.799999999999</v>
      </c>
      <c r="BZ62">
        <v>16</v>
      </c>
      <c r="CA62">
        <v>26707.200000000001</v>
      </c>
      <c r="CB62">
        <v>14</v>
      </c>
      <c r="CC62">
        <v>23368.799999999999</v>
      </c>
      <c r="CD62">
        <v>12</v>
      </c>
      <c r="CE62">
        <v>20030.400000000001</v>
      </c>
      <c r="CF62">
        <v>8</v>
      </c>
      <c r="CG62">
        <v>13353.6</v>
      </c>
      <c r="CH62">
        <v>10</v>
      </c>
      <c r="CI62">
        <v>16692</v>
      </c>
      <c r="CJ62">
        <v>14</v>
      </c>
      <c r="CK62">
        <v>23368.799999999999</v>
      </c>
      <c r="CL62">
        <v>15</v>
      </c>
      <c r="CM62">
        <v>25038</v>
      </c>
      <c r="CN62">
        <v>13</v>
      </c>
      <c r="CO62">
        <v>21699.600000000002</v>
      </c>
      <c r="CP62">
        <v>15</v>
      </c>
      <c r="CQ62">
        <v>25038</v>
      </c>
      <c r="CR62">
        <v>13</v>
      </c>
      <c r="CS62">
        <v>21699.600000000002</v>
      </c>
      <c r="CT62">
        <v>8</v>
      </c>
      <c r="CU62">
        <v>13353.6</v>
      </c>
    </row>
    <row r="63" spans="2:99">
      <c r="C63" s="99" t="s">
        <v>230</v>
      </c>
      <c r="D63">
        <v>11</v>
      </c>
      <c r="E63">
        <v>8751.6</v>
      </c>
      <c r="F63">
        <v>16</v>
      </c>
      <c r="G63">
        <v>12729.6</v>
      </c>
      <c r="H63">
        <v>16</v>
      </c>
      <c r="I63">
        <v>12729.6</v>
      </c>
      <c r="J63">
        <v>16</v>
      </c>
      <c r="K63">
        <v>12729.6</v>
      </c>
      <c r="L63">
        <v>16</v>
      </c>
      <c r="M63">
        <v>12729.6</v>
      </c>
      <c r="N63">
        <v>11</v>
      </c>
      <c r="O63">
        <v>8751.6</v>
      </c>
      <c r="P63">
        <v>12</v>
      </c>
      <c r="Q63">
        <v>9547.2000000000007</v>
      </c>
      <c r="R63">
        <v>16</v>
      </c>
      <c r="S63">
        <v>12729.6</v>
      </c>
      <c r="T63">
        <v>10</v>
      </c>
      <c r="U63">
        <v>7956</v>
      </c>
      <c r="V63">
        <v>14</v>
      </c>
      <c r="W63">
        <v>11138.4</v>
      </c>
      <c r="X63">
        <v>13</v>
      </c>
      <c r="Y63">
        <v>10342.800000000001</v>
      </c>
      <c r="Z63">
        <v>10</v>
      </c>
      <c r="AA63">
        <v>7956</v>
      </c>
      <c r="AB63">
        <v>15</v>
      </c>
      <c r="AC63">
        <v>11934</v>
      </c>
      <c r="AD63">
        <v>13</v>
      </c>
      <c r="AE63">
        <v>10342.800000000001</v>
      </c>
      <c r="AF63">
        <v>11</v>
      </c>
      <c r="AG63">
        <v>8751.6</v>
      </c>
      <c r="AH63">
        <v>13</v>
      </c>
      <c r="AI63">
        <v>10342.800000000001</v>
      </c>
      <c r="AJ63">
        <v>9</v>
      </c>
      <c r="AK63">
        <v>7160.4000000000005</v>
      </c>
      <c r="AL63">
        <v>8</v>
      </c>
      <c r="AM63">
        <v>6364.8</v>
      </c>
      <c r="AN63">
        <v>9</v>
      </c>
      <c r="AO63">
        <v>7160.4000000000005</v>
      </c>
      <c r="AP63">
        <v>12</v>
      </c>
      <c r="AQ63">
        <v>9547.2000000000007</v>
      </c>
      <c r="AR63">
        <v>14</v>
      </c>
      <c r="AS63">
        <v>11138.4</v>
      </c>
      <c r="AT63">
        <v>13</v>
      </c>
      <c r="AU63">
        <v>10342.800000000001</v>
      </c>
      <c r="AV63">
        <v>13</v>
      </c>
      <c r="AW63">
        <v>10342.800000000001</v>
      </c>
      <c r="AX63">
        <v>14</v>
      </c>
      <c r="AY63">
        <v>11138.4</v>
      </c>
      <c r="AZ63">
        <v>15</v>
      </c>
      <c r="BA63">
        <v>11934</v>
      </c>
      <c r="BB63">
        <v>16</v>
      </c>
      <c r="BC63">
        <v>12729.6</v>
      </c>
      <c r="BD63">
        <v>14</v>
      </c>
      <c r="BE63">
        <v>11138.4</v>
      </c>
      <c r="BF63">
        <v>13</v>
      </c>
      <c r="BG63">
        <v>10342.800000000001</v>
      </c>
      <c r="BH63">
        <v>16</v>
      </c>
      <c r="BI63">
        <v>12729.6</v>
      </c>
      <c r="BJ63">
        <v>13</v>
      </c>
      <c r="BK63">
        <v>10342.800000000001</v>
      </c>
      <c r="BL63">
        <v>8</v>
      </c>
      <c r="BM63">
        <v>6364.8</v>
      </c>
      <c r="BN63">
        <v>15</v>
      </c>
      <c r="BO63">
        <v>11934</v>
      </c>
      <c r="BP63">
        <v>14</v>
      </c>
      <c r="BQ63">
        <v>11138.4</v>
      </c>
      <c r="BR63">
        <v>11</v>
      </c>
      <c r="BS63">
        <v>8751.6</v>
      </c>
      <c r="BT63">
        <v>14</v>
      </c>
      <c r="BU63">
        <v>11138.4</v>
      </c>
      <c r="BV63">
        <v>14</v>
      </c>
      <c r="BW63">
        <v>11138.4</v>
      </c>
      <c r="BX63">
        <v>15.164921443166593</v>
      </c>
      <c r="BY63">
        <v>12065.211500183341</v>
      </c>
      <c r="BZ63">
        <v>13.928270057163148</v>
      </c>
      <c r="CA63">
        <v>11081.331657479001</v>
      </c>
      <c r="CB63">
        <v>12.125516755062465</v>
      </c>
      <c r="CC63">
        <v>9647.0611303276983</v>
      </c>
      <c r="CD63">
        <v>9.9093184621369659</v>
      </c>
      <c r="CE63">
        <v>7883.8537684761704</v>
      </c>
      <c r="CF63">
        <v>8.199520958416624</v>
      </c>
      <c r="CG63">
        <v>6523.5388745162663</v>
      </c>
      <c r="CH63">
        <v>8.8734368675663635</v>
      </c>
      <c r="CI63">
        <v>7059.7063718357986</v>
      </c>
      <c r="CJ63">
        <v>13.851617929752356</v>
      </c>
      <c r="CK63">
        <v>11020.347224910975</v>
      </c>
      <c r="CL63">
        <v>13.207956934279043</v>
      </c>
      <c r="CM63">
        <v>10508.250536912406</v>
      </c>
      <c r="CN63">
        <v>11.209916510292443</v>
      </c>
      <c r="CO63">
        <v>8918.6095755886672</v>
      </c>
      <c r="CP63">
        <v>14.050029645845497</v>
      </c>
      <c r="CQ63">
        <v>11178.203586234677</v>
      </c>
      <c r="CR63">
        <v>12.154928834514296</v>
      </c>
      <c r="CS63">
        <v>9670.4613807395745</v>
      </c>
      <c r="CT63">
        <v>8.7593766219959548</v>
      </c>
      <c r="CU63">
        <v>6968.9600404599814</v>
      </c>
    </row>
    <row r="64" spans="2:99">
      <c r="C64" s="99" t="s">
        <v>231</v>
      </c>
      <c r="D64">
        <v>12</v>
      </c>
      <c r="E64">
        <v>12110.399999999998</v>
      </c>
      <c r="F64">
        <v>15</v>
      </c>
      <c r="G64">
        <v>15137.999999999996</v>
      </c>
      <c r="H64">
        <v>13</v>
      </c>
      <c r="I64">
        <v>13119.599999999999</v>
      </c>
      <c r="J64">
        <v>15</v>
      </c>
      <c r="K64">
        <v>15137.999999999996</v>
      </c>
      <c r="L64">
        <v>17</v>
      </c>
      <c r="M64">
        <v>17156.399999999998</v>
      </c>
      <c r="N64">
        <v>11</v>
      </c>
      <c r="O64">
        <v>11101.199999999997</v>
      </c>
      <c r="P64">
        <v>12</v>
      </c>
      <c r="Q64">
        <v>12110.399999999998</v>
      </c>
      <c r="R64">
        <v>17</v>
      </c>
      <c r="S64">
        <v>17156.399999999998</v>
      </c>
      <c r="T64">
        <v>9</v>
      </c>
      <c r="U64">
        <v>9082.7999999999993</v>
      </c>
      <c r="V64">
        <v>13</v>
      </c>
      <c r="W64">
        <v>13119.599999999999</v>
      </c>
      <c r="X64">
        <v>13</v>
      </c>
      <c r="Y64">
        <v>13119.599999999999</v>
      </c>
      <c r="Z64">
        <v>10</v>
      </c>
      <c r="AA64">
        <v>10091.999999999998</v>
      </c>
      <c r="AB64">
        <v>13</v>
      </c>
      <c r="AC64">
        <v>13119.599999999999</v>
      </c>
      <c r="AD64">
        <v>12</v>
      </c>
      <c r="AE64">
        <v>12110.399999999998</v>
      </c>
      <c r="AF64">
        <v>11</v>
      </c>
      <c r="AG64">
        <v>11101.199999999997</v>
      </c>
      <c r="AH64">
        <v>14</v>
      </c>
      <c r="AI64">
        <v>14128.799999999997</v>
      </c>
      <c r="AJ64">
        <v>8</v>
      </c>
      <c r="AK64">
        <v>8073.5999999999985</v>
      </c>
      <c r="AL64">
        <v>9</v>
      </c>
      <c r="AM64">
        <v>9082.7999999999993</v>
      </c>
      <c r="AN64">
        <v>9</v>
      </c>
      <c r="AO64">
        <v>9082.7999999999993</v>
      </c>
      <c r="AP64">
        <v>12</v>
      </c>
      <c r="AQ64">
        <v>12110.399999999998</v>
      </c>
      <c r="AR64">
        <v>11</v>
      </c>
      <c r="AS64">
        <v>11101.199999999997</v>
      </c>
      <c r="AT64">
        <v>15</v>
      </c>
      <c r="AU64">
        <v>15137.999999999996</v>
      </c>
      <c r="AV64">
        <v>11</v>
      </c>
      <c r="AW64">
        <v>11101.199999999997</v>
      </c>
      <c r="AX64">
        <v>16</v>
      </c>
      <c r="AY64">
        <v>16147.199999999997</v>
      </c>
      <c r="AZ64">
        <v>16</v>
      </c>
      <c r="BA64">
        <v>16147.199999999997</v>
      </c>
      <c r="BB64">
        <v>13</v>
      </c>
      <c r="BC64">
        <v>13119.599999999999</v>
      </c>
      <c r="BD64">
        <v>14</v>
      </c>
      <c r="BE64">
        <v>14128.799999999997</v>
      </c>
      <c r="BF64">
        <v>14</v>
      </c>
      <c r="BG64">
        <v>14128.799999999997</v>
      </c>
      <c r="BH64">
        <v>14</v>
      </c>
      <c r="BI64">
        <v>14128.799999999997</v>
      </c>
      <c r="BJ64">
        <v>13</v>
      </c>
      <c r="BK64">
        <v>13119.599999999999</v>
      </c>
      <c r="BL64">
        <v>9</v>
      </c>
      <c r="BM64">
        <v>9082.7999999999993</v>
      </c>
      <c r="BN64">
        <v>15</v>
      </c>
      <c r="BO64">
        <v>15137.999999999996</v>
      </c>
      <c r="BP64">
        <v>13</v>
      </c>
      <c r="BQ64">
        <v>13119.599999999999</v>
      </c>
      <c r="BR64">
        <v>11</v>
      </c>
      <c r="BS64">
        <v>11101.199999999997</v>
      </c>
      <c r="BT64">
        <v>16</v>
      </c>
      <c r="BU64">
        <v>16147.199999999997</v>
      </c>
      <c r="BV64">
        <v>14</v>
      </c>
      <c r="BW64">
        <v>14128.799999999997</v>
      </c>
      <c r="BX64">
        <v>17.06053662356242</v>
      </c>
      <c r="BY64">
        <v>17217.493560499192</v>
      </c>
      <c r="BZ64">
        <v>13.108960053800612</v>
      </c>
      <c r="CA64">
        <v>13229.562486295576</v>
      </c>
      <c r="CB64">
        <v>11.259408415415146</v>
      </c>
      <c r="CC64">
        <v>11362.994972836963</v>
      </c>
      <c r="CD64">
        <v>9.0835419236255532</v>
      </c>
      <c r="CE64">
        <v>9167.1105093229071</v>
      </c>
      <c r="CF64">
        <v>8.199520958416624</v>
      </c>
      <c r="CG64">
        <v>8274.956551234056</v>
      </c>
      <c r="CH64">
        <v>8.8734368675663635</v>
      </c>
      <c r="CI64">
        <v>8955.072486747973</v>
      </c>
      <c r="CJ64">
        <v>14.775059125069181</v>
      </c>
      <c r="CK64">
        <v>14910.989669019815</v>
      </c>
      <c r="CL64">
        <v>13.207956934279043</v>
      </c>
      <c r="CM64">
        <v>13329.470138074408</v>
      </c>
      <c r="CN64">
        <v>13.078235928674516</v>
      </c>
      <c r="CO64">
        <v>13198.555699218319</v>
      </c>
      <c r="CP64">
        <v>14.986698288901863</v>
      </c>
      <c r="CQ64">
        <v>15124.575913159757</v>
      </c>
      <c r="CR64">
        <v>13.089923360246166</v>
      </c>
      <c r="CS64">
        <v>13210.350655160428</v>
      </c>
      <c r="CT64">
        <v>8.7593766219959548</v>
      </c>
      <c r="CU64">
        <v>8839.9628869183161</v>
      </c>
    </row>
    <row r="65" spans="2:99">
      <c r="C65" s="99" t="s">
        <v>232</v>
      </c>
      <c r="D65">
        <v>11</v>
      </c>
      <c r="E65">
        <v>11286</v>
      </c>
      <c r="F65">
        <v>16</v>
      </c>
      <c r="G65">
        <v>16416</v>
      </c>
      <c r="H65">
        <v>14</v>
      </c>
      <c r="I65">
        <v>14364</v>
      </c>
      <c r="J65">
        <v>15</v>
      </c>
      <c r="K65">
        <v>15390</v>
      </c>
      <c r="L65">
        <v>17</v>
      </c>
      <c r="M65">
        <v>17442</v>
      </c>
      <c r="N65">
        <v>10</v>
      </c>
      <c r="O65">
        <v>10260</v>
      </c>
      <c r="P65">
        <v>11</v>
      </c>
      <c r="Q65">
        <v>11286</v>
      </c>
      <c r="R65">
        <v>15</v>
      </c>
      <c r="S65">
        <v>15390</v>
      </c>
      <c r="T65">
        <v>10</v>
      </c>
      <c r="U65">
        <v>10260</v>
      </c>
      <c r="V65">
        <v>13</v>
      </c>
      <c r="W65">
        <v>13338</v>
      </c>
      <c r="X65">
        <v>13</v>
      </c>
      <c r="Y65">
        <v>13338</v>
      </c>
      <c r="Z65">
        <v>9</v>
      </c>
      <c r="AA65">
        <v>9234</v>
      </c>
      <c r="AB65">
        <v>13</v>
      </c>
      <c r="AC65">
        <v>13338</v>
      </c>
      <c r="AD65">
        <v>13</v>
      </c>
      <c r="AE65">
        <v>13338</v>
      </c>
      <c r="AF65">
        <v>11</v>
      </c>
      <c r="AG65">
        <v>11286</v>
      </c>
      <c r="AH65">
        <v>13</v>
      </c>
      <c r="AI65">
        <v>13338</v>
      </c>
      <c r="AJ65">
        <v>8</v>
      </c>
      <c r="AK65">
        <v>8208</v>
      </c>
      <c r="AL65">
        <v>9</v>
      </c>
      <c r="AM65">
        <v>9234</v>
      </c>
      <c r="AN65">
        <v>8</v>
      </c>
      <c r="AO65">
        <v>8208</v>
      </c>
      <c r="AP65">
        <v>12</v>
      </c>
      <c r="AQ65">
        <v>12312</v>
      </c>
      <c r="AR65">
        <v>13</v>
      </c>
      <c r="AS65">
        <v>13338</v>
      </c>
      <c r="AT65">
        <v>14</v>
      </c>
      <c r="AU65">
        <v>14364</v>
      </c>
      <c r="AV65">
        <v>12</v>
      </c>
      <c r="AW65">
        <v>12312</v>
      </c>
      <c r="AX65">
        <v>14</v>
      </c>
      <c r="AY65">
        <v>14364</v>
      </c>
      <c r="AZ65">
        <v>15</v>
      </c>
      <c r="BA65">
        <v>15390</v>
      </c>
      <c r="BB65">
        <v>14</v>
      </c>
      <c r="BC65">
        <v>14364</v>
      </c>
      <c r="BD65">
        <v>14</v>
      </c>
      <c r="BE65">
        <v>14364</v>
      </c>
      <c r="BF65">
        <v>14</v>
      </c>
      <c r="BG65">
        <v>14364</v>
      </c>
      <c r="BH65">
        <v>14</v>
      </c>
      <c r="BI65">
        <v>14364</v>
      </c>
      <c r="BJ65">
        <v>11</v>
      </c>
      <c r="BK65">
        <v>11286</v>
      </c>
      <c r="BL65">
        <v>8</v>
      </c>
      <c r="BM65">
        <v>8208</v>
      </c>
      <c r="BN65">
        <v>14</v>
      </c>
      <c r="BO65">
        <v>14364</v>
      </c>
      <c r="BP65">
        <v>15</v>
      </c>
      <c r="BQ65">
        <v>15390</v>
      </c>
      <c r="BR65">
        <v>13</v>
      </c>
      <c r="BS65">
        <v>13338</v>
      </c>
      <c r="BT65">
        <v>14</v>
      </c>
      <c r="BU65">
        <v>14364</v>
      </c>
      <c r="BV65">
        <v>12</v>
      </c>
      <c r="BW65">
        <v>12312</v>
      </c>
      <c r="BX65">
        <v>17.06053662356242</v>
      </c>
      <c r="BY65">
        <v>17504.110575775045</v>
      </c>
      <c r="BZ65">
        <v>13.928270057163148</v>
      </c>
      <c r="CA65">
        <v>14290.40507864939</v>
      </c>
      <c r="CB65">
        <v>11.259408415415146</v>
      </c>
      <c r="CC65">
        <v>11552.15303421594</v>
      </c>
      <c r="CD65">
        <v>10.735095000648379</v>
      </c>
      <c r="CE65">
        <v>11014.207470665237</v>
      </c>
      <c r="CF65">
        <v>8.199520958416624</v>
      </c>
      <c r="CG65">
        <v>8412.708503335456</v>
      </c>
      <c r="CH65">
        <v>8.8734368675663635</v>
      </c>
      <c r="CI65">
        <v>9104.1462261230881</v>
      </c>
      <c r="CJ65">
        <v>14.775059125069181</v>
      </c>
      <c r="CK65">
        <v>15159.210662320978</v>
      </c>
      <c r="CL65">
        <v>12.264531438973398</v>
      </c>
      <c r="CM65">
        <v>12583.409256386707</v>
      </c>
      <c r="CN65">
        <v>13.078235928674516</v>
      </c>
      <c r="CO65">
        <v>13418.270062820053</v>
      </c>
      <c r="CP65">
        <v>13.11336100278913</v>
      </c>
      <c r="CQ65">
        <v>13454.308388861647</v>
      </c>
      <c r="CR65">
        <v>13.089923360246166</v>
      </c>
      <c r="CS65">
        <v>13430.261367612566</v>
      </c>
      <c r="CT65">
        <v>9.7326406911066172</v>
      </c>
      <c r="CU65">
        <v>9985.6893490753901</v>
      </c>
    </row>
    <row r="66" spans="2:99">
      <c r="C66" s="99" t="s">
        <v>233</v>
      </c>
      <c r="D66">
        <v>11</v>
      </c>
      <c r="E66">
        <v>13094.399999999998</v>
      </c>
      <c r="F66">
        <v>14</v>
      </c>
      <c r="G66">
        <v>16665.599999999999</v>
      </c>
      <c r="H66">
        <v>15</v>
      </c>
      <c r="I66">
        <v>17855.999999999996</v>
      </c>
      <c r="J66">
        <v>13</v>
      </c>
      <c r="K66">
        <v>15475.199999999999</v>
      </c>
      <c r="L66">
        <v>15</v>
      </c>
      <c r="M66">
        <v>17855.999999999996</v>
      </c>
      <c r="N66">
        <v>10</v>
      </c>
      <c r="O66">
        <v>11903.999999999998</v>
      </c>
      <c r="P66">
        <v>13</v>
      </c>
      <c r="Q66">
        <v>15475.199999999999</v>
      </c>
      <c r="R66">
        <v>16</v>
      </c>
      <c r="S66">
        <v>19046.399999999998</v>
      </c>
      <c r="T66">
        <v>9</v>
      </c>
      <c r="U66">
        <v>10713.599999999999</v>
      </c>
      <c r="V66">
        <v>14</v>
      </c>
      <c r="W66">
        <v>16665.599999999999</v>
      </c>
      <c r="X66">
        <v>11</v>
      </c>
      <c r="Y66">
        <v>13094.399999999998</v>
      </c>
      <c r="Z66">
        <v>10</v>
      </c>
      <c r="AA66">
        <v>11903.999999999998</v>
      </c>
      <c r="AB66">
        <v>14</v>
      </c>
      <c r="AC66">
        <v>16665.599999999999</v>
      </c>
      <c r="AD66">
        <v>11</v>
      </c>
      <c r="AE66">
        <v>13094.399999999998</v>
      </c>
      <c r="AF66">
        <v>12</v>
      </c>
      <c r="AG66">
        <v>14284.8</v>
      </c>
      <c r="AH66">
        <v>13</v>
      </c>
      <c r="AI66">
        <v>15475.199999999999</v>
      </c>
      <c r="AJ66">
        <v>8</v>
      </c>
      <c r="AK66">
        <v>9523.1999999999989</v>
      </c>
      <c r="AL66">
        <v>9</v>
      </c>
      <c r="AM66">
        <v>10713.599999999999</v>
      </c>
      <c r="AN66">
        <v>9</v>
      </c>
      <c r="AO66">
        <v>10713.599999999999</v>
      </c>
      <c r="AP66">
        <v>11</v>
      </c>
      <c r="AQ66">
        <v>13094.399999999998</v>
      </c>
      <c r="AR66">
        <v>11</v>
      </c>
      <c r="AS66">
        <v>13094.399999999998</v>
      </c>
      <c r="AT66">
        <v>14</v>
      </c>
      <c r="AU66">
        <v>16665.599999999999</v>
      </c>
      <c r="AV66">
        <v>12</v>
      </c>
      <c r="AW66">
        <v>14284.8</v>
      </c>
      <c r="AX66">
        <v>14</v>
      </c>
      <c r="AY66">
        <v>16665.599999999999</v>
      </c>
      <c r="AZ66">
        <v>17</v>
      </c>
      <c r="BA66">
        <v>20236.8</v>
      </c>
      <c r="BB66">
        <v>14</v>
      </c>
      <c r="BC66">
        <v>16665.599999999999</v>
      </c>
      <c r="BD66">
        <v>14</v>
      </c>
      <c r="BE66">
        <v>16665.599999999999</v>
      </c>
      <c r="BF66">
        <v>13</v>
      </c>
      <c r="BG66">
        <v>15475.199999999999</v>
      </c>
      <c r="BH66">
        <v>15</v>
      </c>
      <c r="BI66">
        <v>17855.999999999996</v>
      </c>
      <c r="BJ66">
        <v>13</v>
      </c>
      <c r="BK66">
        <v>15475.199999999999</v>
      </c>
      <c r="BL66">
        <v>8</v>
      </c>
      <c r="BM66">
        <v>9523.1999999999989</v>
      </c>
      <c r="BN66">
        <v>13</v>
      </c>
      <c r="BO66">
        <v>15475.199999999999</v>
      </c>
      <c r="BP66">
        <v>15</v>
      </c>
      <c r="BQ66">
        <v>17855.999999999996</v>
      </c>
      <c r="BR66">
        <v>12</v>
      </c>
      <c r="BS66">
        <v>14284.8</v>
      </c>
      <c r="BT66">
        <v>15</v>
      </c>
      <c r="BU66">
        <v>17855.999999999996</v>
      </c>
      <c r="BV66">
        <v>14</v>
      </c>
      <c r="BW66">
        <v>16665.599999999999</v>
      </c>
      <c r="BX66">
        <v>16.112729033364506</v>
      </c>
      <c r="BY66">
        <v>19180.592641317104</v>
      </c>
      <c r="BZ66">
        <v>12.289650050438073</v>
      </c>
      <c r="CA66">
        <v>14629.599420041481</v>
      </c>
      <c r="CB66">
        <v>11.259408415415146</v>
      </c>
      <c r="CC66">
        <v>13403.199777710188</v>
      </c>
      <c r="CD66">
        <v>9.0835419236255532</v>
      </c>
      <c r="CE66">
        <v>10813.048305883858</v>
      </c>
      <c r="CF66">
        <v>8.199520958416624</v>
      </c>
      <c r="CG66">
        <v>9760.7097488991476</v>
      </c>
      <c r="CH66">
        <v>8.0667607886966941</v>
      </c>
      <c r="CI66">
        <v>9602.672042864544</v>
      </c>
      <c r="CJ66">
        <v>13.851617929752356</v>
      </c>
      <c r="CK66">
        <v>16488.965983577204</v>
      </c>
      <c r="CL66">
        <v>13.207956934279043</v>
      </c>
      <c r="CM66">
        <v>15722.751934565771</v>
      </c>
      <c r="CN66">
        <v>11.209916510292443</v>
      </c>
      <c r="CO66">
        <v>13344.284613852122</v>
      </c>
      <c r="CP66">
        <v>14.050029645845497</v>
      </c>
      <c r="CQ66">
        <v>16725.155290414477</v>
      </c>
      <c r="CR66">
        <v>11.219934308782427</v>
      </c>
      <c r="CS66">
        <v>13356.2098011746</v>
      </c>
      <c r="CT66">
        <v>8.7593766219959548</v>
      </c>
      <c r="CU66">
        <v>10427.161930823984</v>
      </c>
    </row>
    <row r="67" spans="2:99">
      <c r="C67" s="99" t="s">
        <v>234</v>
      </c>
      <c r="D67">
        <v>11</v>
      </c>
      <c r="E67">
        <v>12355.2</v>
      </c>
      <c r="F67">
        <v>13</v>
      </c>
      <c r="G67">
        <v>14601.6</v>
      </c>
      <c r="H67">
        <v>16</v>
      </c>
      <c r="I67">
        <v>17971.2</v>
      </c>
      <c r="J67">
        <v>14</v>
      </c>
      <c r="K67">
        <v>15724.800000000001</v>
      </c>
      <c r="L67">
        <v>14</v>
      </c>
      <c r="M67">
        <v>15724.800000000001</v>
      </c>
      <c r="N67">
        <v>10</v>
      </c>
      <c r="O67">
        <v>11232</v>
      </c>
      <c r="P67">
        <v>13</v>
      </c>
      <c r="Q67">
        <v>14601.6</v>
      </c>
      <c r="R67">
        <v>16</v>
      </c>
      <c r="S67">
        <v>17971.2</v>
      </c>
      <c r="T67">
        <v>9</v>
      </c>
      <c r="U67">
        <v>10108.800000000001</v>
      </c>
      <c r="V67">
        <v>12</v>
      </c>
      <c r="W67">
        <v>13478.400000000001</v>
      </c>
      <c r="X67">
        <v>11</v>
      </c>
      <c r="Y67">
        <v>12355.2</v>
      </c>
      <c r="Z67">
        <v>9</v>
      </c>
      <c r="AA67">
        <v>10108.800000000001</v>
      </c>
      <c r="AB67">
        <v>13</v>
      </c>
      <c r="AC67">
        <v>14601.6</v>
      </c>
      <c r="AD67">
        <v>12</v>
      </c>
      <c r="AE67">
        <v>13478.400000000001</v>
      </c>
      <c r="AF67">
        <v>12</v>
      </c>
      <c r="AG67">
        <v>13478.400000000001</v>
      </c>
      <c r="AH67">
        <v>13</v>
      </c>
      <c r="AI67">
        <v>14601.6</v>
      </c>
      <c r="AJ67">
        <v>9</v>
      </c>
      <c r="AK67">
        <v>10108.800000000001</v>
      </c>
      <c r="AL67">
        <v>8</v>
      </c>
      <c r="AM67">
        <v>8985.6</v>
      </c>
      <c r="AN67">
        <v>8</v>
      </c>
      <c r="AO67">
        <v>8985.6</v>
      </c>
      <c r="AP67">
        <v>12</v>
      </c>
      <c r="AQ67">
        <v>13478.400000000001</v>
      </c>
      <c r="AR67">
        <v>12</v>
      </c>
      <c r="AS67">
        <v>13478.400000000001</v>
      </c>
      <c r="AT67">
        <v>15</v>
      </c>
      <c r="AU67">
        <v>16848</v>
      </c>
      <c r="AV67">
        <v>11</v>
      </c>
      <c r="AW67">
        <v>12355.2</v>
      </c>
      <c r="AX67">
        <v>14</v>
      </c>
      <c r="AY67">
        <v>15724.800000000001</v>
      </c>
      <c r="AZ67">
        <v>15</v>
      </c>
      <c r="BA67">
        <v>16848</v>
      </c>
      <c r="BB67">
        <v>16</v>
      </c>
      <c r="BC67">
        <v>17971.2</v>
      </c>
      <c r="BD67">
        <v>13</v>
      </c>
      <c r="BE67">
        <v>14601.6</v>
      </c>
      <c r="BF67">
        <v>12</v>
      </c>
      <c r="BG67">
        <v>13478.400000000001</v>
      </c>
      <c r="BH67">
        <v>13</v>
      </c>
      <c r="BI67">
        <v>14601.6</v>
      </c>
      <c r="BJ67">
        <v>11</v>
      </c>
      <c r="BK67">
        <v>12355.2</v>
      </c>
      <c r="BL67">
        <v>9</v>
      </c>
      <c r="BM67">
        <v>10108.800000000001</v>
      </c>
      <c r="BN67">
        <v>14</v>
      </c>
      <c r="BO67">
        <v>15724.800000000001</v>
      </c>
      <c r="BP67">
        <v>16</v>
      </c>
      <c r="BQ67">
        <v>17971.2</v>
      </c>
      <c r="BR67">
        <v>11</v>
      </c>
      <c r="BS67">
        <v>12355.2</v>
      </c>
      <c r="BT67">
        <v>15</v>
      </c>
      <c r="BU67">
        <v>16848</v>
      </c>
      <c r="BV67">
        <v>12</v>
      </c>
      <c r="BW67">
        <v>13478.400000000001</v>
      </c>
      <c r="BX67">
        <v>15.164921443166593</v>
      </c>
      <c r="BY67">
        <v>17033.239764964717</v>
      </c>
      <c r="BZ67">
        <v>12.289650050438073</v>
      </c>
      <c r="CA67">
        <v>13803.734936652045</v>
      </c>
      <c r="CB67">
        <v>11.259408415415146</v>
      </c>
      <c r="CC67">
        <v>12646.567532194293</v>
      </c>
      <c r="CD67">
        <v>9.9093184621369659</v>
      </c>
      <c r="CE67">
        <v>11130.14649667224</v>
      </c>
      <c r="CF67">
        <v>8.199520958416624</v>
      </c>
      <c r="CG67">
        <v>9209.7019404935527</v>
      </c>
      <c r="CH67">
        <v>8.0667607886966941</v>
      </c>
      <c r="CI67">
        <v>9060.5857178641272</v>
      </c>
      <c r="CJ67">
        <v>15.698500320386003</v>
      </c>
      <c r="CK67">
        <v>17632.555559857559</v>
      </c>
      <c r="CL67">
        <v>14.151382429584688</v>
      </c>
      <c r="CM67">
        <v>15894.832744909521</v>
      </c>
      <c r="CN67">
        <v>12.14407621948348</v>
      </c>
      <c r="CO67">
        <v>13640.226409723846</v>
      </c>
      <c r="CP67">
        <v>13.11336100278913</v>
      </c>
      <c r="CQ67">
        <v>14728.927078332752</v>
      </c>
      <c r="CR67">
        <v>11.219934308782427</v>
      </c>
      <c r="CS67">
        <v>12602.230215624422</v>
      </c>
      <c r="CT67">
        <v>8.7593766219959548</v>
      </c>
      <c r="CU67">
        <v>9838.5318218258562</v>
      </c>
    </row>
    <row r="68" spans="2:99">
      <c r="C68" s="99" t="s">
        <v>235</v>
      </c>
      <c r="D68">
        <v>11</v>
      </c>
      <c r="E68">
        <v>11365.2</v>
      </c>
      <c r="F68">
        <v>14</v>
      </c>
      <c r="G68">
        <v>14464.800000000001</v>
      </c>
      <c r="H68">
        <v>15</v>
      </c>
      <c r="I68">
        <v>15498</v>
      </c>
      <c r="J68">
        <v>16</v>
      </c>
      <c r="K68">
        <v>16531.2</v>
      </c>
      <c r="L68">
        <v>16</v>
      </c>
      <c r="M68">
        <v>16531.2</v>
      </c>
      <c r="N68">
        <v>10</v>
      </c>
      <c r="O68">
        <v>10332</v>
      </c>
      <c r="P68">
        <v>12</v>
      </c>
      <c r="Q68">
        <v>12398.400000000001</v>
      </c>
      <c r="R68">
        <v>16</v>
      </c>
      <c r="S68">
        <v>16531.2</v>
      </c>
      <c r="T68">
        <v>9</v>
      </c>
      <c r="U68">
        <v>9298.8000000000011</v>
      </c>
      <c r="V68">
        <v>13</v>
      </c>
      <c r="W68">
        <v>13431.6</v>
      </c>
      <c r="X68">
        <v>13</v>
      </c>
      <c r="Y68">
        <v>13431.6</v>
      </c>
      <c r="Z68">
        <v>9</v>
      </c>
      <c r="AA68">
        <v>9298.8000000000011</v>
      </c>
      <c r="AB68">
        <v>14</v>
      </c>
      <c r="AC68">
        <v>14464.800000000001</v>
      </c>
      <c r="AD68">
        <v>11</v>
      </c>
      <c r="AE68">
        <v>11365.2</v>
      </c>
      <c r="AF68">
        <v>12</v>
      </c>
      <c r="AG68">
        <v>12398.400000000001</v>
      </c>
      <c r="AH68">
        <v>12</v>
      </c>
      <c r="AI68">
        <v>12398.400000000001</v>
      </c>
      <c r="AJ68">
        <v>9</v>
      </c>
      <c r="AK68">
        <v>9298.8000000000011</v>
      </c>
      <c r="AL68">
        <v>9</v>
      </c>
      <c r="AM68">
        <v>9298.8000000000011</v>
      </c>
      <c r="AN68">
        <v>8</v>
      </c>
      <c r="AO68">
        <v>8265.6</v>
      </c>
      <c r="AP68">
        <v>10</v>
      </c>
      <c r="AQ68">
        <v>10332</v>
      </c>
      <c r="AR68">
        <v>12</v>
      </c>
      <c r="AS68">
        <v>12398.400000000001</v>
      </c>
      <c r="AT68">
        <v>13</v>
      </c>
      <c r="AU68">
        <v>13431.6</v>
      </c>
      <c r="AV68">
        <v>13</v>
      </c>
      <c r="AW68">
        <v>13431.6</v>
      </c>
      <c r="AX68">
        <v>14</v>
      </c>
      <c r="AY68">
        <v>14464.800000000001</v>
      </c>
      <c r="AZ68">
        <v>17</v>
      </c>
      <c r="BA68">
        <v>17564.400000000001</v>
      </c>
      <c r="BB68">
        <v>15</v>
      </c>
      <c r="BC68">
        <v>15498</v>
      </c>
      <c r="BD68">
        <v>14</v>
      </c>
      <c r="BE68">
        <v>14464.800000000001</v>
      </c>
      <c r="BF68">
        <v>13</v>
      </c>
      <c r="BG68">
        <v>13431.6</v>
      </c>
      <c r="BH68">
        <v>15</v>
      </c>
      <c r="BI68">
        <v>15498</v>
      </c>
      <c r="BJ68">
        <v>12</v>
      </c>
      <c r="BK68">
        <v>12398.400000000001</v>
      </c>
      <c r="BL68">
        <v>8</v>
      </c>
      <c r="BM68">
        <v>8265.6</v>
      </c>
      <c r="BN68">
        <v>13</v>
      </c>
      <c r="BO68">
        <v>13431.6</v>
      </c>
      <c r="BP68">
        <v>16</v>
      </c>
      <c r="BQ68">
        <v>16531.2</v>
      </c>
      <c r="BR68">
        <v>11</v>
      </c>
      <c r="BS68">
        <v>11365.2</v>
      </c>
      <c r="BT68">
        <v>14</v>
      </c>
      <c r="BU68">
        <v>14464.800000000001</v>
      </c>
      <c r="BV68">
        <v>12</v>
      </c>
      <c r="BW68">
        <v>12398.400000000001</v>
      </c>
      <c r="BX68">
        <v>16.112729033364506</v>
      </c>
      <c r="BY68">
        <v>16647.671637272208</v>
      </c>
      <c r="BZ68">
        <v>13.928270057163148</v>
      </c>
      <c r="CA68">
        <v>14390.688623060965</v>
      </c>
      <c r="CB68">
        <v>11.259408415415146</v>
      </c>
      <c r="CC68">
        <v>11633.22077480693</v>
      </c>
      <c r="CD68">
        <v>9.9093184621369659</v>
      </c>
      <c r="CE68">
        <v>10238.307835079913</v>
      </c>
      <c r="CF68">
        <v>7.3795688625749625</v>
      </c>
      <c r="CG68">
        <v>7624.5705488124513</v>
      </c>
      <c r="CH68">
        <v>8.8734368675663635</v>
      </c>
      <c r="CI68">
        <v>9168.0349715695666</v>
      </c>
      <c r="CJ68">
        <v>13.851617929752356</v>
      </c>
      <c r="CK68">
        <v>14311.491645020134</v>
      </c>
      <c r="CL68">
        <v>14.151382429584688</v>
      </c>
      <c r="CM68">
        <v>14621.2083262469</v>
      </c>
      <c r="CN68">
        <v>11.209916510292443</v>
      </c>
      <c r="CO68">
        <v>11582.085738434153</v>
      </c>
      <c r="CP68">
        <v>13.11336100278913</v>
      </c>
      <c r="CQ68">
        <v>13548.72458808173</v>
      </c>
      <c r="CR68">
        <v>13.089923360246166</v>
      </c>
      <c r="CS68">
        <v>13524.508815806339</v>
      </c>
      <c r="CT68">
        <v>8.7593766219959548</v>
      </c>
      <c r="CU68">
        <v>9050.1879258462213</v>
      </c>
    </row>
    <row r="69" spans="2:99">
      <c r="C69" s="99" t="s">
        <v>236</v>
      </c>
      <c r="D69">
        <v>12</v>
      </c>
      <c r="E69">
        <v>9100.7999999999993</v>
      </c>
      <c r="F69">
        <v>14</v>
      </c>
      <c r="G69">
        <v>10617.6</v>
      </c>
      <c r="H69">
        <v>14</v>
      </c>
      <c r="I69">
        <v>10617.6</v>
      </c>
      <c r="J69">
        <v>14</v>
      </c>
      <c r="K69">
        <v>10617.6</v>
      </c>
      <c r="L69">
        <v>15</v>
      </c>
      <c r="M69">
        <v>11376</v>
      </c>
      <c r="N69">
        <v>11</v>
      </c>
      <c r="O69">
        <v>8342.4</v>
      </c>
      <c r="P69">
        <v>12</v>
      </c>
      <c r="Q69">
        <v>9100.7999999999993</v>
      </c>
      <c r="R69">
        <v>16</v>
      </c>
      <c r="S69">
        <v>12134.4</v>
      </c>
      <c r="T69">
        <v>10</v>
      </c>
      <c r="U69">
        <v>7584</v>
      </c>
      <c r="V69">
        <v>15</v>
      </c>
      <c r="W69">
        <v>11376</v>
      </c>
      <c r="X69">
        <v>13</v>
      </c>
      <c r="Y69">
        <v>9859.1999999999989</v>
      </c>
      <c r="Z69">
        <v>9</v>
      </c>
      <c r="AA69">
        <v>6825.5999999999995</v>
      </c>
      <c r="AB69">
        <v>13</v>
      </c>
      <c r="AC69">
        <v>9859.1999999999989</v>
      </c>
      <c r="AD69">
        <v>12</v>
      </c>
      <c r="AE69">
        <v>9100.7999999999993</v>
      </c>
      <c r="AF69">
        <v>11</v>
      </c>
      <c r="AG69">
        <v>8342.4</v>
      </c>
      <c r="AH69">
        <v>15</v>
      </c>
      <c r="AI69">
        <v>11376</v>
      </c>
      <c r="AJ69">
        <v>9</v>
      </c>
      <c r="AK69">
        <v>6825.5999999999995</v>
      </c>
      <c r="AL69">
        <v>10</v>
      </c>
      <c r="AM69">
        <v>7584</v>
      </c>
      <c r="AN69">
        <v>9</v>
      </c>
      <c r="AO69">
        <v>6825.5999999999995</v>
      </c>
      <c r="AP69">
        <v>13</v>
      </c>
      <c r="AQ69">
        <v>9859.1999999999989</v>
      </c>
      <c r="AR69">
        <v>11</v>
      </c>
      <c r="AS69">
        <v>8342.4</v>
      </c>
      <c r="AT69">
        <v>13</v>
      </c>
      <c r="AU69">
        <v>9859.1999999999989</v>
      </c>
      <c r="AV69">
        <v>11</v>
      </c>
      <c r="AW69">
        <v>8342.4</v>
      </c>
      <c r="AX69">
        <v>15</v>
      </c>
      <c r="AY69">
        <v>11376</v>
      </c>
      <c r="AZ69">
        <v>15</v>
      </c>
      <c r="BA69">
        <v>11376</v>
      </c>
      <c r="BB69">
        <v>17</v>
      </c>
      <c r="BC69">
        <v>12892.8</v>
      </c>
      <c r="BD69">
        <v>13</v>
      </c>
      <c r="BE69">
        <v>9859.1999999999989</v>
      </c>
      <c r="BF69">
        <v>14</v>
      </c>
      <c r="BG69">
        <v>10617.6</v>
      </c>
      <c r="BH69">
        <v>17</v>
      </c>
      <c r="BI69">
        <v>12892.8</v>
      </c>
      <c r="BJ69">
        <v>13</v>
      </c>
      <c r="BK69">
        <v>9859.1999999999989</v>
      </c>
      <c r="BL69">
        <v>8</v>
      </c>
      <c r="BM69">
        <v>6067.2</v>
      </c>
      <c r="BN69">
        <v>14</v>
      </c>
      <c r="BO69">
        <v>10617.6</v>
      </c>
      <c r="BP69">
        <v>14</v>
      </c>
      <c r="BQ69">
        <v>10617.6</v>
      </c>
      <c r="BR69">
        <v>12</v>
      </c>
      <c r="BS69">
        <v>9100.7999999999993</v>
      </c>
      <c r="BT69">
        <v>16</v>
      </c>
      <c r="BU69">
        <v>12134.4</v>
      </c>
      <c r="BV69">
        <v>14</v>
      </c>
      <c r="BW69">
        <v>10617.6</v>
      </c>
      <c r="BX69">
        <v>16.112729033364506</v>
      </c>
      <c r="BY69">
        <v>12219.893698903641</v>
      </c>
      <c r="BZ69">
        <v>13.928270057163148</v>
      </c>
      <c r="CA69">
        <v>10563.200011352532</v>
      </c>
      <c r="CB69">
        <v>12.125516755062465</v>
      </c>
      <c r="CC69">
        <v>9195.9919070393735</v>
      </c>
      <c r="CD69">
        <v>9.9093184621369659</v>
      </c>
      <c r="CE69">
        <v>7515.2271216846748</v>
      </c>
      <c r="CF69">
        <v>7.3795688625749625</v>
      </c>
      <c r="CG69">
        <v>5596.6650253768512</v>
      </c>
      <c r="CH69">
        <v>8.0667607886966941</v>
      </c>
      <c r="CI69">
        <v>6117.8313821475722</v>
      </c>
      <c r="CJ69">
        <v>13.851617929752356</v>
      </c>
      <c r="CK69">
        <v>10505.067037924187</v>
      </c>
      <c r="CL69">
        <v>13.207956934279043</v>
      </c>
      <c r="CM69">
        <v>10016.914538957226</v>
      </c>
      <c r="CN69">
        <v>13.078235928674516</v>
      </c>
      <c r="CO69">
        <v>9918.5341283067537</v>
      </c>
      <c r="CP69">
        <v>14.050029645845497</v>
      </c>
      <c r="CQ69">
        <v>10655.542483409225</v>
      </c>
      <c r="CR69">
        <v>12.154928834514296</v>
      </c>
      <c r="CS69">
        <v>9218.2980280956417</v>
      </c>
      <c r="CT69">
        <v>8.7593766219959548</v>
      </c>
      <c r="CU69">
        <v>6643.1112301217318</v>
      </c>
    </row>
    <row r="70" spans="2:99">
      <c r="C70" s="99" t="s">
        <v>237</v>
      </c>
      <c r="D70">
        <v>11</v>
      </c>
      <c r="E70">
        <v>5887.1999999999989</v>
      </c>
      <c r="F70">
        <v>16</v>
      </c>
      <c r="G70">
        <v>8563.1999999999989</v>
      </c>
      <c r="H70">
        <v>16</v>
      </c>
      <c r="I70">
        <v>8563.1999999999989</v>
      </c>
      <c r="J70">
        <v>16</v>
      </c>
      <c r="K70">
        <v>8563.1999999999989</v>
      </c>
      <c r="L70">
        <v>15</v>
      </c>
      <c r="M70">
        <v>8027.9999999999991</v>
      </c>
      <c r="N70">
        <v>10</v>
      </c>
      <c r="O70">
        <v>5351.9999999999991</v>
      </c>
      <c r="P70">
        <v>12</v>
      </c>
      <c r="Q70">
        <v>6422.4</v>
      </c>
      <c r="R70">
        <v>18</v>
      </c>
      <c r="S70">
        <v>9633.5999999999985</v>
      </c>
      <c r="T70">
        <v>11</v>
      </c>
      <c r="U70">
        <v>5887.1999999999989</v>
      </c>
      <c r="V70">
        <v>13</v>
      </c>
      <c r="W70">
        <v>6957.5999999999995</v>
      </c>
      <c r="X70">
        <v>13</v>
      </c>
      <c r="Y70">
        <v>6957.5999999999995</v>
      </c>
      <c r="Z70">
        <v>9</v>
      </c>
      <c r="AA70">
        <v>4816.7999999999993</v>
      </c>
      <c r="AB70">
        <v>15</v>
      </c>
      <c r="AC70">
        <v>8027.9999999999991</v>
      </c>
      <c r="AD70">
        <v>13</v>
      </c>
      <c r="AE70">
        <v>6957.5999999999995</v>
      </c>
      <c r="AF70">
        <v>11</v>
      </c>
      <c r="AG70">
        <v>5887.1999999999989</v>
      </c>
      <c r="AH70">
        <v>14</v>
      </c>
      <c r="AI70">
        <v>7492.7999999999993</v>
      </c>
      <c r="AJ70">
        <v>8</v>
      </c>
      <c r="AK70">
        <v>4281.5999999999995</v>
      </c>
      <c r="AL70">
        <v>9</v>
      </c>
      <c r="AM70">
        <v>4816.7999999999993</v>
      </c>
      <c r="AN70">
        <v>9</v>
      </c>
      <c r="AO70">
        <v>4816.7999999999993</v>
      </c>
      <c r="AP70">
        <v>13</v>
      </c>
      <c r="AQ70">
        <v>6957.5999999999995</v>
      </c>
      <c r="AR70">
        <v>13</v>
      </c>
      <c r="AS70">
        <v>6957.5999999999995</v>
      </c>
      <c r="AT70">
        <v>15</v>
      </c>
      <c r="AU70">
        <v>8027.9999999999991</v>
      </c>
      <c r="AV70">
        <v>12</v>
      </c>
      <c r="AW70">
        <v>6422.4</v>
      </c>
      <c r="AX70">
        <v>17</v>
      </c>
      <c r="AY70">
        <v>9098.4</v>
      </c>
      <c r="AZ70">
        <v>16</v>
      </c>
      <c r="BA70">
        <v>8563.1999999999989</v>
      </c>
      <c r="BB70">
        <v>14</v>
      </c>
      <c r="BC70">
        <v>7492.7999999999993</v>
      </c>
      <c r="BD70">
        <v>15</v>
      </c>
      <c r="BE70">
        <v>8027.9999999999991</v>
      </c>
      <c r="BF70">
        <v>12</v>
      </c>
      <c r="BG70">
        <v>6422.4</v>
      </c>
      <c r="BH70">
        <v>16</v>
      </c>
      <c r="BI70">
        <v>8563.1999999999989</v>
      </c>
      <c r="BJ70">
        <v>11</v>
      </c>
      <c r="BK70">
        <v>5887.1999999999989</v>
      </c>
      <c r="BL70">
        <v>8</v>
      </c>
      <c r="BM70">
        <v>4281.5999999999995</v>
      </c>
      <c r="BN70">
        <v>15</v>
      </c>
      <c r="BO70">
        <v>8027.9999999999991</v>
      </c>
      <c r="BP70">
        <v>16</v>
      </c>
      <c r="BQ70">
        <v>8563.1999999999989</v>
      </c>
      <c r="BR70">
        <v>12</v>
      </c>
      <c r="BS70">
        <v>6422.4</v>
      </c>
      <c r="BT70">
        <v>16</v>
      </c>
      <c r="BU70">
        <v>8563.1999999999989</v>
      </c>
      <c r="BV70">
        <v>13</v>
      </c>
      <c r="BW70">
        <v>6957.5999999999995</v>
      </c>
      <c r="BX70">
        <v>16.112729033364506</v>
      </c>
      <c r="BY70">
        <v>8623.5325786566827</v>
      </c>
      <c r="BZ70">
        <v>13.108960053800612</v>
      </c>
      <c r="CA70">
        <v>7015.9154207940865</v>
      </c>
      <c r="CB70">
        <v>12.991625094709784</v>
      </c>
      <c r="CC70">
        <v>6953.1177506886752</v>
      </c>
      <c r="CD70">
        <v>9.9093184621369659</v>
      </c>
      <c r="CE70">
        <v>5303.4672409357036</v>
      </c>
      <c r="CF70">
        <v>7.3795688625749625</v>
      </c>
      <c r="CG70">
        <v>3949.5452552501192</v>
      </c>
      <c r="CH70">
        <v>8.8734368675663635</v>
      </c>
      <c r="CI70">
        <v>4749.0634115215171</v>
      </c>
      <c r="CJ70">
        <v>13.851617929752356</v>
      </c>
      <c r="CK70">
        <v>7413.3859160034599</v>
      </c>
      <c r="CL70">
        <v>14.151382429584688</v>
      </c>
      <c r="CM70">
        <v>7573.8198763137243</v>
      </c>
      <c r="CN70">
        <v>14.012395637865552</v>
      </c>
      <c r="CO70">
        <v>7499.4341453856423</v>
      </c>
      <c r="CP70">
        <v>14.986698288901863</v>
      </c>
      <c r="CQ70">
        <v>8020.880924220276</v>
      </c>
      <c r="CR70">
        <v>12.154928834514296</v>
      </c>
      <c r="CS70">
        <v>6505.3179122320507</v>
      </c>
      <c r="CT70">
        <v>9.7326406911066172</v>
      </c>
      <c r="CU70">
        <v>5208.909297880261</v>
      </c>
    </row>
    <row r="71" spans="2:99">
      <c r="B71" s="99" t="s">
        <v>130</v>
      </c>
      <c r="C71" s="99" t="s">
        <v>238</v>
      </c>
      <c r="D71">
        <v>6</v>
      </c>
      <c r="E71">
        <v>3384</v>
      </c>
      <c r="F71">
        <v>5</v>
      </c>
      <c r="G71">
        <v>2820</v>
      </c>
      <c r="H71">
        <v>7</v>
      </c>
      <c r="I71">
        <v>3948</v>
      </c>
      <c r="J71">
        <v>5.7534246575342465</v>
      </c>
      <c r="K71">
        <v>3244.9315068493152</v>
      </c>
      <c r="L71">
        <v>8</v>
      </c>
      <c r="M71">
        <v>4512</v>
      </c>
      <c r="N71">
        <v>9</v>
      </c>
      <c r="O71">
        <v>5076</v>
      </c>
      <c r="P71">
        <v>8.5838150289017339</v>
      </c>
      <c r="Q71">
        <v>4841.2716763005783</v>
      </c>
      <c r="R71">
        <v>5</v>
      </c>
      <c r="S71">
        <v>2820</v>
      </c>
      <c r="T71">
        <v>10</v>
      </c>
      <c r="U71">
        <v>5640</v>
      </c>
      <c r="V71">
        <v>7</v>
      </c>
      <c r="W71">
        <v>3948</v>
      </c>
      <c r="X71">
        <v>9</v>
      </c>
      <c r="Y71">
        <v>5076</v>
      </c>
      <c r="Z71">
        <v>7</v>
      </c>
      <c r="AA71">
        <v>3948</v>
      </c>
      <c r="AB71">
        <v>3.5474452554744529</v>
      </c>
      <c r="AC71">
        <v>2000.7591240875913</v>
      </c>
      <c r="AD71">
        <v>9.6117299277140605E-22</v>
      </c>
      <c r="AE71">
        <v>5.4210156792307302E-19</v>
      </c>
      <c r="AF71">
        <v>5.0769650387412729E-22</v>
      </c>
      <c r="AG71">
        <v>2.8634082818500778E-19</v>
      </c>
      <c r="AH71">
        <v>4.9500409127727411E-22</v>
      </c>
      <c r="AI71">
        <v>2.7918230748038262E-19</v>
      </c>
      <c r="AJ71">
        <v>6.5882352941176467</v>
      </c>
      <c r="AK71">
        <v>3715.7647058823527</v>
      </c>
      <c r="AL71">
        <v>7.3669064748201443</v>
      </c>
      <c r="AM71">
        <v>4154.9352517985617</v>
      </c>
      <c r="AN71">
        <v>7.4322580645161294</v>
      </c>
      <c r="AO71">
        <v>4191.793548387097</v>
      </c>
      <c r="AP71">
        <v>7.0136986301369859</v>
      </c>
      <c r="AQ71">
        <v>3955.7260273972602</v>
      </c>
      <c r="AR71">
        <v>8.3236994219653191</v>
      </c>
      <c r="AS71">
        <v>4694.5664739884396</v>
      </c>
      <c r="AT71">
        <v>8</v>
      </c>
      <c r="AU71">
        <v>4512</v>
      </c>
      <c r="AV71">
        <v>6</v>
      </c>
      <c r="AW71">
        <v>3384</v>
      </c>
      <c r="AX71">
        <v>10</v>
      </c>
      <c r="AY71">
        <v>5640</v>
      </c>
      <c r="AZ71">
        <v>7</v>
      </c>
      <c r="BA71">
        <v>3948</v>
      </c>
      <c r="BB71">
        <v>7</v>
      </c>
      <c r="BC71">
        <v>3948</v>
      </c>
      <c r="BD71">
        <v>8</v>
      </c>
      <c r="BE71">
        <v>4512</v>
      </c>
      <c r="BF71">
        <v>8</v>
      </c>
      <c r="BG71">
        <v>4512</v>
      </c>
      <c r="BH71">
        <v>8</v>
      </c>
      <c r="BI71">
        <v>4512</v>
      </c>
      <c r="BJ71">
        <v>6</v>
      </c>
      <c r="BK71">
        <v>3384</v>
      </c>
      <c r="BL71">
        <v>8</v>
      </c>
      <c r="BM71">
        <v>4512</v>
      </c>
      <c r="BN71">
        <v>9</v>
      </c>
      <c r="BO71">
        <v>5076</v>
      </c>
      <c r="BP71">
        <v>7</v>
      </c>
      <c r="BQ71">
        <v>3948</v>
      </c>
      <c r="BR71">
        <v>9</v>
      </c>
      <c r="BS71">
        <v>5076</v>
      </c>
      <c r="BT71">
        <v>8</v>
      </c>
      <c r="BU71">
        <v>4512</v>
      </c>
      <c r="BV71">
        <v>6</v>
      </c>
      <c r="BW71">
        <v>3384</v>
      </c>
      <c r="BX71">
        <v>6</v>
      </c>
      <c r="BY71">
        <v>3384</v>
      </c>
      <c r="BZ71">
        <v>10</v>
      </c>
      <c r="CA71">
        <v>5640</v>
      </c>
      <c r="CB71">
        <v>9</v>
      </c>
      <c r="CC71">
        <v>5076</v>
      </c>
      <c r="CD71">
        <v>8</v>
      </c>
      <c r="CE71">
        <v>4512</v>
      </c>
      <c r="CF71">
        <v>7</v>
      </c>
      <c r="CG71">
        <v>3948</v>
      </c>
      <c r="CH71">
        <v>6</v>
      </c>
      <c r="CI71">
        <v>3384</v>
      </c>
      <c r="CJ71">
        <v>9</v>
      </c>
      <c r="CK71">
        <v>5076</v>
      </c>
      <c r="CL71">
        <v>6</v>
      </c>
      <c r="CM71">
        <v>3384</v>
      </c>
      <c r="CN71">
        <v>8</v>
      </c>
      <c r="CO71">
        <v>4512</v>
      </c>
      <c r="CP71">
        <v>9</v>
      </c>
      <c r="CQ71">
        <v>5076</v>
      </c>
      <c r="CR71">
        <v>9</v>
      </c>
      <c r="CS71">
        <v>5076</v>
      </c>
      <c r="CT71">
        <v>10</v>
      </c>
      <c r="CU71">
        <v>5640</v>
      </c>
    </row>
    <row r="72" spans="2:99">
      <c r="C72" s="99" t="s">
        <v>239</v>
      </c>
      <c r="D72">
        <v>7</v>
      </c>
      <c r="E72">
        <v>520.79999999999995</v>
      </c>
      <c r="F72">
        <v>6</v>
      </c>
      <c r="G72">
        <v>446.4</v>
      </c>
      <c r="H72">
        <v>8</v>
      </c>
      <c r="I72">
        <v>595.19999999999993</v>
      </c>
      <c r="J72">
        <v>5.7534246575342465</v>
      </c>
      <c r="K72">
        <v>428.05479452054789</v>
      </c>
      <c r="L72">
        <v>8</v>
      </c>
      <c r="M72">
        <v>595.19999999999993</v>
      </c>
      <c r="N72">
        <v>9</v>
      </c>
      <c r="O72">
        <v>669.59999999999991</v>
      </c>
      <c r="P72">
        <v>8.5838150289017339</v>
      </c>
      <c r="Q72">
        <v>638.63583815028892</v>
      </c>
      <c r="R72">
        <v>6</v>
      </c>
      <c r="S72">
        <v>446.4</v>
      </c>
      <c r="T72">
        <v>10</v>
      </c>
      <c r="U72">
        <v>743.99999999999989</v>
      </c>
      <c r="V72">
        <v>7</v>
      </c>
      <c r="W72">
        <v>520.79999999999995</v>
      </c>
      <c r="X72">
        <v>8</v>
      </c>
      <c r="Y72">
        <v>595.19999999999993</v>
      </c>
      <c r="Z72">
        <v>8</v>
      </c>
      <c r="AA72">
        <v>595.19999999999993</v>
      </c>
      <c r="AB72">
        <v>4.1386861313868613</v>
      </c>
      <c r="AC72">
        <v>307.91824817518244</v>
      </c>
      <c r="AD72">
        <v>9.6117299277140605E-22</v>
      </c>
      <c r="AE72">
        <v>7.1511270662192603E-20</v>
      </c>
      <c r="AF72">
        <v>5.0769650387412729E-22</v>
      </c>
      <c r="AG72">
        <v>3.7772619888235068E-20</v>
      </c>
      <c r="AH72">
        <v>4.9500409127727411E-22</v>
      </c>
      <c r="AI72">
        <v>3.6828304391029188E-20</v>
      </c>
      <c r="AJ72">
        <v>6.5882352941176467</v>
      </c>
      <c r="AK72">
        <v>490.16470588235285</v>
      </c>
      <c r="AL72">
        <v>7.3669064748201443</v>
      </c>
      <c r="AM72">
        <v>548.09784172661864</v>
      </c>
      <c r="AN72">
        <v>7.4322580645161294</v>
      </c>
      <c r="AO72">
        <v>552.95999999999992</v>
      </c>
      <c r="AP72">
        <v>7.0136986301369859</v>
      </c>
      <c r="AQ72">
        <v>521.81917808219168</v>
      </c>
      <c r="AR72">
        <v>9.2485549132947966</v>
      </c>
      <c r="AS72">
        <v>688.09248554913279</v>
      </c>
      <c r="AT72">
        <v>8</v>
      </c>
      <c r="AU72">
        <v>595.19999999999993</v>
      </c>
      <c r="AV72">
        <v>6</v>
      </c>
      <c r="AW72">
        <v>446.4</v>
      </c>
      <c r="AX72">
        <v>10</v>
      </c>
      <c r="AY72">
        <v>743.99999999999989</v>
      </c>
      <c r="AZ72">
        <v>9</v>
      </c>
      <c r="BA72">
        <v>669.59999999999991</v>
      </c>
      <c r="BB72">
        <v>6</v>
      </c>
      <c r="BC72">
        <v>446.4</v>
      </c>
      <c r="BD72">
        <v>8</v>
      </c>
      <c r="BE72">
        <v>595.19999999999993</v>
      </c>
      <c r="BF72">
        <v>9</v>
      </c>
      <c r="BG72">
        <v>669.59999999999991</v>
      </c>
      <c r="BH72">
        <v>9</v>
      </c>
      <c r="BI72">
        <v>669.59999999999991</v>
      </c>
      <c r="BJ72">
        <v>5</v>
      </c>
      <c r="BK72">
        <v>371.99999999999994</v>
      </c>
      <c r="BL72">
        <v>8</v>
      </c>
      <c r="BM72">
        <v>595.19999999999993</v>
      </c>
      <c r="BN72">
        <v>9</v>
      </c>
      <c r="BO72">
        <v>669.59999999999991</v>
      </c>
      <c r="BP72">
        <v>8</v>
      </c>
      <c r="BQ72">
        <v>595.19999999999993</v>
      </c>
      <c r="BR72">
        <v>10</v>
      </c>
      <c r="BS72">
        <v>743.99999999999989</v>
      </c>
      <c r="BT72">
        <v>9</v>
      </c>
      <c r="BU72">
        <v>669.59999999999991</v>
      </c>
      <c r="BV72">
        <v>8</v>
      </c>
      <c r="BW72">
        <v>595.19999999999993</v>
      </c>
      <c r="BX72">
        <v>6</v>
      </c>
      <c r="BY72">
        <v>446.4</v>
      </c>
      <c r="BZ72">
        <v>10</v>
      </c>
      <c r="CA72">
        <v>743.99999999999989</v>
      </c>
      <c r="CB72">
        <v>11</v>
      </c>
      <c r="CC72">
        <v>818.39999999999986</v>
      </c>
      <c r="CD72">
        <v>9</v>
      </c>
      <c r="CE72">
        <v>669.59999999999991</v>
      </c>
      <c r="CF72">
        <v>8</v>
      </c>
      <c r="CG72">
        <v>595.19999999999993</v>
      </c>
      <c r="CH72">
        <v>7</v>
      </c>
      <c r="CI72">
        <v>520.79999999999995</v>
      </c>
      <c r="CJ72">
        <v>9</v>
      </c>
      <c r="CK72">
        <v>669.59999999999991</v>
      </c>
      <c r="CL72">
        <v>6</v>
      </c>
      <c r="CM72">
        <v>446.4</v>
      </c>
      <c r="CN72">
        <v>8</v>
      </c>
      <c r="CO72">
        <v>595.19999999999993</v>
      </c>
      <c r="CP72">
        <v>10</v>
      </c>
      <c r="CQ72">
        <v>743.99999999999989</v>
      </c>
      <c r="CR72">
        <v>9</v>
      </c>
      <c r="CS72">
        <v>669.59999999999991</v>
      </c>
      <c r="CT72">
        <v>9</v>
      </c>
      <c r="CU72">
        <v>669.59999999999991</v>
      </c>
    </row>
    <row r="73" spans="2:99">
      <c r="C73" s="99" t="s">
        <v>240</v>
      </c>
      <c r="D73">
        <v>6</v>
      </c>
      <c r="E73">
        <v>3355.2</v>
      </c>
      <c r="F73">
        <v>5</v>
      </c>
      <c r="G73">
        <v>2795.9999999999995</v>
      </c>
      <c r="H73">
        <v>8</v>
      </c>
      <c r="I73">
        <v>4473.5999999999995</v>
      </c>
      <c r="J73">
        <v>5.7534246575342465</v>
      </c>
      <c r="K73">
        <v>3217.3150684931502</v>
      </c>
      <c r="L73">
        <v>8</v>
      </c>
      <c r="M73">
        <v>4473.5999999999995</v>
      </c>
      <c r="N73">
        <v>9</v>
      </c>
      <c r="O73">
        <v>5032.7999999999993</v>
      </c>
      <c r="P73">
        <v>9.5375722543352595</v>
      </c>
      <c r="Q73">
        <v>5333.4104046242765</v>
      </c>
      <c r="R73">
        <v>6</v>
      </c>
      <c r="S73">
        <v>3355.2</v>
      </c>
      <c r="T73">
        <v>10</v>
      </c>
      <c r="U73">
        <v>5591.9999999999991</v>
      </c>
      <c r="V73">
        <v>7</v>
      </c>
      <c r="W73">
        <v>3914.3999999999996</v>
      </c>
      <c r="X73">
        <v>8</v>
      </c>
      <c r="Y73">
        <v>4473.5999999999995</v>
      </c>
      <c r="Z73">
        <v>8</v>
      </c>
      <c r="AA73">
        <v>4473.5999999999995</v>
      </c>
      <c r="AB73">
        <v>4.1386861313868613</v>
      </c>
      <c r="AC73">
        <v>2314.3532846715325</v>
      </c>
      <c r="AD73">
        <v>9.6117299277140605E-22</v>
      </c>
      <c r="AE73">
        <v>5.3748793755777024E-19</v>
      </c>
      <c r="AF73">
        <v>5.0769650387412729E-22</v>
      </c>
      <c r="AG73">
        <v>2.8390388496641193E-19</v>
      </c>
      <c r="AH73">
        <v>4.9500409127727411E-22</v>
      </c>
      <c r="AI73">
        <v>2.7680628784225165E-19</v>
      </c>
      <c r="AJ73">
        <v>6.5882352941176467</v>
      </c>
      <c r="AK73">
        <v>3684.1411764705877</v>
      </c>
      <c r="AL73">
        <v>6.4460431654676258</v>
      </c>
      <c r="AM73">
        <v>3604.6273381294959</v>
      </c>
      <c r="AN73">
        <v>6.6064516129032258</v>
      </c>
      <c r="AO73">
        <v>3694.3277419354836</v>
      </c>
      <c r="AP73">
        <v>6.1369863013698627</v>
      </c>
      <c r="AQ73">
        <v>3431.8027397260266</v>
      </c>
      <c r="AR73">
        <v>9.2485549132947966</v>
      </c>
      <c r="AS73">
        <v>5171.79190751445</v>
      </c>
      <c r="AT73">
        <v>8</v>
      </c>
      <c r="AU73">
        <v>4473.5999999999995</v>
      </c>
      <c r="AV73">
        <v>5</v>
      </c>
      <c r="AW73">
        <v>2795.9999999999995</v>
      </c>
      <c r="AX73">
        <v>9</v>
      </c>
      <c r="AY73">
        <v>5032.7999999999993</v>
      </c>
      <c r="AZ73">
        <v>7</v>
      </c>
      <c r="BA73">
        <v>3914.3999999999996</v>
      </c>
      <c r="BB73">
        <v>7</v>
      </c>
      <c r="BC73">
        <v>3914.3999999999996</v>
      </c>
      <c r="BD73">
        <v>8</v>
      </c>
      <c r="BE73">
        <v>4473.5999999999995</v>
      </c>
      <c r="BF73">
        <v>8</v>
      </c>
      <c r="BG73">
        <v>4473.5999999999995</v>
      </c>
      <c r="BH73">
        <v>8</v>
      </c>
      <c r="BI73">
        <v>4473.5999999999995</v>
      </c>
      <c r="BJ73">
        <v>6</v>
      </c>
      <c r="BK73">
        <v>3355.2</v>
      </c>
      <c r="BL73">
        <v>8</v>
      </c>
      <c r="BM73">
        <v>4473.5999999999995</v>
      </c>
      <c r="BN73">
        <v>9</v>
      </c>
      <c r="BO73">
        <v>5032.7999999999993</v>
      </c>
      <c r="BP73">
        <v>7</v>
      </c>
      <c r="BQ73">
        <v>3914.3999999999996</v>
      </c>
      <c r="BR73">
        <v>9</v>
      </c>
      <c r="BS73">
        <v>5032.7999999999993</v>
      </c>
      <c r="BT73">
        <v>8</v>
      </c>
      <c r="BU73">
        <v>4473.5999999999995</v>
      </c>
      <c r="BV73">
        <v>7</v>
      </c>
      <c r="BW73">
        <v>3914.3999999999996</v>
      </c>
      <c r="BX73">
        <v>6</v>
      </c>
      <c r="BY73">
        <v>3355.2</v>
      </c>
      <c r="BZ73">
        <v>9</v>
      </c>
      <c r="CA73">
        <v>5032.7999999999993</v>
      </c>
      <c r="CB73">
        <v>9</v>
      </c>
      <c r="CC73">
        <v>5032.7999999999993</v>
      </c>
      <c r="CD73">
        <v>8</v>
      </c>
      <c r="CE73">
        <v>4473.5999999999995</v>
      </c>
      <c r="CF73">
        <v>7</v>
      </c>
      <c r="CG73">
        <v>3914.3999999999996</v>
      </c>
      <c r="CH73">
        <v>6</v>
      </c>
      <c r="CI73">
        <v>3355.2</v>
      </c>
      <c r="CJ73">
        <v>8</v>
      </c>
      <c r="CK73">
        <v>4473.5999999999995</v>
      </c>
      <c r="CL73">
        <v>7</v>
      </c>
      <c r="CM73">
        <v>3914.3999999999996</v>
      </c>
      <c r="CN73">
        <v>8</v>
      </c>
      <c r="CO73">
        <v>4473.5999999999995</v>
      </c>
      <c r="CP73">
        <v>9</v>
      </c>
      <c r="CQ73">
        <v>5032.7999999999993</v>
      </c>
      <c r="CR73">
        <v>9</v>
      </c>
      <c r="CS73">
        <v>5032.7999999999993</v>
      </c>
      <c r="CT73">
        <v>10</v>
      </c>
      <c r="CU73">
        <v>5591.9999999999991</v>
      </c>
    </row>
    <row r="74" spans="2:99">
      <c r="C74" s="99" t="s">
        <v>241</v>
      </c>
      <c r="D74">
        <v>6</v>
      </c>
      <c r="E74">
        <v>2419.1999999999998</v>
      </c>
      <c r="F74">
        <v>5</v>
      </c>
      <c r="G74">
        <v>2016</v>
      </c>
      <c r="H74">
        <v>7</v>
      </c>
      <c r="I74">
        <v>2822.4</v>
      </c>
      <c r="J74">
        <v>6.5753424657534243</v>
      </c>
      <c r="K74">
        <v>2651.1780821917805</v>
      </c>
      <c r="L74">
        <v>8</v>
      </c>
      <c r="M74">
        <v>3225.6</v>
      </c>
      <c r="N74">
        <v>9</v>
      </c>
      <c r="O74">
        <v>3628.7999999999997</v>
      </c>
      <c r="P74">
        <v>9.5375722543352595</v>
      </c>
      <c r="Q74">
        <v>3845.5491329479764</v>
      </c>
      <c r="R74">
        <v>6</v>
      </c>
      <c r="S74">
        <v>2419.1999999999998</v>
      </c>
      <c r="T74">
        <v>10</v>
      </c>
      <c r="U74">
        <v>4032</v>
      </c>
      <c r="V74">
        <v>6</v>
      </c>
      <c r="W74">
        <v>2419.1999999999998</v>
      </c>
      <c r="X74">
        <v>8</v>
      </c>
      <c r="Y74">
        <v>3225.6</v>
      </c>
      <c r="Z74">
        <v>7</v>
      </c>
      <c r="AA74">
        <v>2822.4</v>
      </c>
      <c r="AB74">
        <v>4.1386861313868613</v>
      </c>
      <c r="AC74">
        <v>1668.7182481751825</v>
      </c>
      <c r="AD74">
        <v>9.6117299277140605E-22</v>
      </c>
      <c r="AE74">
        <v>3.8754495068543089E-19</v>
      </c>
      <c r="AF74">
        <v>5.9231258785314851E-22</v>
      </c>
      <c r="AG74">
        <v>2.3882043542238947E-19</v>
      </c>
      <c r="AH74">
        <v>4.9500409127727411E-22</v>
      </c>
      <c r="AI74">
        <v>1.9958564960299692E-19</v>
      </c>
      <c r="AJ74">
        <v>7.5294117647058822</v>
      </c>
      <c r="AK74">
        <v>3035.8588235294114</v>
      </c>
      <c r="AL74">
        <v>7.3669064748201443</v>
      </c>
      <c r="AM74">
        <v>2970.3366906474821</v>
      </c>
      <c r="AN74">
        <v>7.4322580645161294</v>
      </c>
      <c r="AO74">
        <v>2996.6864516129031</v>
      </c>
      <c r="AP74">
        <v>6.1369863013698627</v>
      </c>
      <c r="AQ74">
        <v>2474.4328767123284</v>
      </c>
      <c r="AR74">
        <v>8.3236994219653191</v>
      </c>
      <c r="AS74">
        <v>3356.1156069364165</v>
      </c>
      <c r="AT74">
        <v>9</v>
      </c>
      <c r="AU74">
        <v>3628.7999999999997</v>
      </c>
      <c r="AV74">
        <v>6</v>
      </c>
      <c r="AW74">
        <v>2419.1999999999998</v>
      </c>
      <c r="AX74">
        <v>10</v>
      </c>
      <c r="AY74">
        <v>4032</v>
      </c>
      <c r="AZ74">
        <v>8</v>
      </c>
      <c r="BA74">
        <v>3225.6</v>
      </c>
      <c r="BB74">
        <v>6</v>
      </c>
      <c r="BC74">
        <v>2419.1999999999998</v>
      </c>
      <c r="BD74">
        <v>8</v>
      </c>
      <c r="BE74">
        <v>3225.6</v>
      </c>
      <c r="BF74">
        <v>8</v>
      </c>
      <c r="BG74">
        <v>3225.6</v>
      </c>
      <c r="BH74">
        <v>9</v>
      </c>
      <c r="BI74">
        <v>3628.7999999999997</v>
      </c>
      <c r="BJ74">
        <v>5</v>
      </c>
      <c r="BK74">
        <v>2016</v>
      </c>
      <c r="BL74">
        <v>9</v>
      </c>
      <c r="BM74">
        <v>3628.7999999999997</v>
      </c>
      <c r="BN74">
        <v>10</v>
      </c>
      <c r="BO74">
        <v>4032</v>
      </c>
      <c r="BP74">
        <v>7</v>
      </c>
      <c r="BQ74">
        <v>2822.4</v>
      </c>
      <c r="BR74">
        <v>9</v>
      </c>
      <c r="BS74">
        <v>3628.7999999999997</v>
      </c>
      <c r="BT74">
        <v>7</v>
      </c>
      <c r="BU74">
        <v>2822.4</v>
      </c>
      <c r="BV74">
        <v>6</v>
      </c>
      <c r="BW74">
        <v>2419.1999999999998</v>
      </c>
      <c r="BX74">
        <v>5</v>
      </c>
      <c r="BY74">
        <v>2016</v>
      </c>
      <c r="BZ74">
        <v>9</v>
      </c>
      <c r="CA74">
        <v>3628.7999999999997</v>
      </c>
      <c r="CB74">
        <v>11</v>
      </c>
      <c r="CC74">
        <v>4435.2</v>
      </c>
      <c r="CD74">
        <v>8</v>
      </c>
      <c r="CE74">
        <v>3225.6</v>
      </c>
      <c r="CF74">
        <v>8</v>
      </c>
      <c r="CG74">
        <v>3225.6</v>
      </c>
      <c r="CH74">
        <v>7</v>
      </c>
      <c r="CI74">
        <v>2822.4</v>
      </c>
      <c r="CJ74">
        <v>8</v>
      </c>
      <c r="CK74">
        <v>3225.6</v>
      </c>
      <c r="CL74">
        <v>7</v>
      </c>
      <c r="CM74">
        <v>2822.4</v>
      </c>
      <c r="CN74">
        <v>8</v>
      </c>
      <c r="CO74">
        <v>3225.6</v>
      </c>
      <c r="CP74">
        <v>9</v>
      </c>
      <c r="CQ74">
        <v>3628.7999999999997</v>
      </c>
      <c r="CR74">
        <v>9</v>
      </c>
      <c r="CS74">
        <v>3628.7999999999997</v>
      </c>
      <c r="CT74">
        <v>10</v>
      </c>
      <c r="CU74">
        <v>4032</v>
      </c>
    </row>
    <row r="75" spans="2:99">
      <c r="C75" s="99" t="s">
        <v>242</v>
      </c>
      <c r="D75">
        <v>6</v>
      </c>
      <c r="E75">
        <v>3859.2</v>
      </c>
      <c r="F75">
        <v>5</v>
      </c>
      <c r="G75">
        <v>3215.9999999999995</v>
      </c>
      <c r="H75">
        <v>7</v>
      </c>
      <c r="I75">
        <v>4502.3999999999996</v>
      </c>
      <c r="J75">
        <v>6.5753424657534243</v>
      </c>
      <c r="K75">
        <v>4229.2602739726017</v>
      </c>
      <c r="L75">
        <v>9</v>
      </c>
      <c r="M75">
        <v>5788.7999999999993</v>
      </c>
      <c r="N75">
        <v>9</v>
      </c>
      <c r="O75">
        <v>5788.7999999999993</v>
      </c>
      <c r="P75">
        <v>8.5838150289017339</v>
      </c>
      <c r="Q75">
        <v>5521.1098265895944</v>
      </c>
      <c r="R75">
        <v>6</v>
      </c>
      <c r="S75">
        <v>3859.2</v>
      </c>
      <c r="T75">
        <v>10</v>
      </c>
      <c r="U75">
        <v>6431.9999999999991</v>
      </c>
      <c r="V75">
        <v>7</v>
      </c>
      <c r="W75">
        <v>4502.3999999999996</v>
      </c>
      <c r="X75">
        <v>9</v>
      </c>
      <c r="Y75">
        <v>5788.7999999999993</v>
      </c>
      <c r="Z75">
        <v>7</v>
      </c>
      <c r="AA75">
        <v>4502.3999999999996</v>
      </c>
      <c r="AB75">
        <v>3.5474452554744529</v>
      </c>
      <c r="AC75">
        <v>2281.7167883211678</v>
      </c>
      <c r="AD75">
        <v>9.6117299277140605E-22</v>
      </c>
      <c r="AE75">
        <v>6.1822646895056831E-19</v>
      </c>
      <c r="AF75">
        <v>5.0769650387412729E-22</v>
      </c>
      <c r="AG75">
        <v>3.2655039129183864E-19</v>
      </c>
      <c r="AH75">
        <v>4.9500409127727411E-22</v>
      </c>
      <c r="AI75">
        <v>3.1838663150954269E-19</v>
      </c>
      <c r="AJ75">
        <v>6.5882352941176467</v>
      </c>
      <c r="AK75">
        <v>4237.5529411764701</v>
      </c>
      <c r="AL75">
        <v>6.4460431654676258</v>
      </c>
      <c r="AM75">
        <v>4146.0949640287763</v>
      </c>
      <c r="AN75">
        <v>7.4322580645161294</v>
      </c>
      <c r="AO75">
        <v>4780.4283870967738</v>
      </c>
      <c r="AP75">
        <v>7.0136986301369859</v>
      </c>
      <c r="AQ75">
        <v>4511.2109589041092</v>
      </c>
      <c r="AR75">
        <v>7.398843930635838</v>
      </c>
      <c r="AS75">
        <v>4758.9364161849708</v>
      </c>
      <c r="AT75">
        <v>9</v>
      </c>
      <c r="AU75">
        <v>5788.7999999999993</v>
      </c>
      <c r="AV75">
        <v>5</v>
      </c>
      <c r="AW75">
        <v>3215.9999999999995</v>
      </c>
      <c r="AX75">
        <v>10</v>
      </c>
      <c r="AY75">
        <v>6431.9999999999991</v>
      </c>
      <c r="AZ75">
        <v>7</v>
      </c>
      <c r="BA75">
        <v>4502.3999999999996</v>
      </c>
      <c r="BB75">
        <v>5</v>
      </c>
      <c r="BC75">
        <v>3215.9999999999995</v>
      </c>
      <c r="BD75">
        <v>8</v>
      </c>
      <c r="BE75">
        <v>5145.5999999999995</v>
      </c>
      <c r="BF75">
        <v>8</v>
      </c>
      <c r="BG75">
        <v>5145.5999999999995</v>
      </c>
      <c r="BH75">
        <v>9</v>
      </c>
      <c r="BI75">
        <v>5788.7999999999993</v>
      </c>
      <c r="BJ75">
        <v>5</v>
      </c>
      <c r="BK75">
        <v>3215.9999999999995</v>
      </c>
      <c r="BL75">
        <v>8</v>
      </c>
      <c r="BM75">
        <v>5145.5999999999995</v>
      </c>
      <c r="BN75">
        <v>8</v>
      </c>
      <c r="BO75">
        <v>5145.5999999999995</v>
      </c>
      <c r="BP75">
        <v>7</v>
      </c>
      <c r="BQ75">
        <v>4502.3999999999996</v>
      </c>
      <c r="BR75">
        <v>9</v>
      </c>
      <c r="BS75">
        <v>5788.7999999999993</v>
      </c>
      <c r="BT75">
        <v>8</v>
      </c>
      <c r="BU75">
        <v>5145.5999999999995</v>
      </c>
      <c r="BV75">
        <v>7</v>
      </c>
      <c r="BW75">
        <v>4502.3999999999996</v>
      </c>
      <c r="BX75">
        <v>5</v>
      </c>
      <c r="BY75">
        <v>3215.9999999999995</v>
      </c>
      <c r="BZ75">
        <v>9</v>
      </c>
      <c r="CA75">
        <v>5788.7999999999993</v>
      </c>
      <c r="CB75">
        <v>10</v>
      </c>
      <c r="CC75">
        <v>6431.9999999999991</v>
      </c>
      <c r="CD75">
        <v>8</v>
      </c>
      <c r="CE75">
        <v>5145.5999999999995</v>
      </c>
      <c r="CF75">
        <v>8</v>
      </c>
      <c r="CG75">
        <v>5145.5999999999995</v>
      </c>
      <c r="CH75">
        <v>7</v>
      </c>
      <c r="CI75">
        <v>4502.3999999999996</v>
      </c>
      <c r="CJ75">
        <v>9</v>
      </c>
      <c r="CK75">
        <v>5788.7999999999993</v>
      </c>
      <c r="CL75">
        <v>6</v>
      </c>
      <c r="CM75">
        <v>3859.2</v>
      </c>
      <c r="CN75">
        <v>8</v>
      </c>
      <c r="CO75">
        <v>5145.5999999999995</v>
      </c>
      <c r="CP75">
        <v>9</v>
      </c>
      <c r="CQ75">
        <v>5788.7999999999993</v>
      </c>
      <c r="CR75">
        <v>10</v>
      </c>
      <c r="CS75">
        <v>6431.9999999999991</v>
      </c>
      <c r="CT75">
        <v>9</v>
      </c>
      <c r="CU75">
        <v>5788.7999999999993</v>
      </c>
    </row>
    <row r="76" spans="2:99">
      <c r="C76" s="99" t="s">
        <v>243</v>
      </c>
      <c r="D76">
        <v>5</v>
      </c>
      <c r="E76">
        <v>3894</v>
      </c>
      <c r="F76">
        <v>5</v>
      </c>
      <c r="G76">
        <v>3894</v>
      </c>
      <c r="H76">
        <v>7</v>
      </c>
      <c r="I76">
        <v>5451.5999999999995</v>
      </c>
      <c r="J76">
        <v>5.7534246575342465</v>
      </c>
      <c r="K76">
        <v>4480.767123287671</v>
      </c>
      <c r="L76">
        <v>8</v>
      </c>
      <c r="M76">
        <v>6230.4</v>
      </c>
      <c r="N76">
        <v>9</v>
      </c>
      <c r="O76">
        <v>7009.2</v>
      </c>
      <c r="P76">
        <v>9.5375722543352595</v>
      </c>
      <c r="Q76">
        <v>7427.8612716763</v>
      </c>
      <c r="R76">
        <v>6</v>
      </c>
      <c r="S76">
        <v>4672.7999999999993</v>
      </c>
      <c r="T76">
        <v>9</v>
      </c>
      <c r="U76">
        <v>7009.2</v>
      </c>
      <c r="V76">
        <v>7</v>
      </c>
      <c r="W76">
        <v>5451.5999999999995</v>
      </c>
      <c r="X76">
        <v>8</v>
      </c>
      <c r="Y76">
        <v>6230.4</v>
      </c>
      <c r="Z76">
        <v>7</v>
      </c>
      <c r="AA76">
        <v>5451.5999999999995</v>
      </c>
      <c r="AB76">
        <v>4.1386861313868613</v>
      </c>
      <c r="AC76">
        <v>3223.2087591240875</v>
      </c>
      <c r="AD76">
        <v>9.6117299277140605E-22</v>
      </c>
      <c r="AE76">
        <v>7.4856152677037098E-19</v>
      </c>
      <c r="AF76">
        <v>5.0769650387412729E-22</v>
      </c>
      <c r="AG76">
        <v>3.9539403721717034E-19</v>
      </c>
      <c r="AH76">
        <v>4.9500409127727411E-22</v>
      </c>
      <c r="AI76">
        <v>3.8550918628674106E-19</v>
      </c>
      <c r="AJ76">
        <v>6.5882352941176467</v>
      </c>
      <c r="AK76">
        <v>5130.9176470588227</v>
      </c>
      <c r="AL76">
        <v>7.3669064748201443</v>
      </c>
      <c r="AM76">
        <v>5737.3467625899284</v>
      </c>
      <c r="AN76">
        <v>6.6064516129032258</v>
      </c>
      <c r="AO76">
        <v>5145.1045161290322</v>
      </c>
      <c r="AP76">
        <v>7.0136986301369859</v>
      </c>
      <c r="AQ76">
        <v>5462.2684931506847</v>
      </c>
      <c r="AR76">
        <v>8.3236994219653191</v>
      </c>
      <c r="AS76">
        <v>6482.4971098265905</v>
      </c>
      <c r="AT76">
        <v>7</v>
      </c>
      <c r="AU76">
        <v>5451.5999999999995</v>
      </c>
      <c r="AV76">
        <v>5</v>
      </c>
      <c r="AW76">
        <v>3894</v>
      </c>
      <c r="AX76">
        <v>10</v>
      </c>
      <c r="AY76">
        <v>7788</v>
      </c>
      <c r="AZ76">
        <v>8</v>
      </c>
      <c r="BA76">
        <v>6230.4</v>
      </c>
      <c r="BB76">
        <v>6</v>
      </c>
      <c r="BC76">
        <v>4672.7999999999993</v>
      </c>
      <c r="BD76">
        <v>8</v>
      </c>
      <c r="BE76">
        <v>6230.4</v>
      </c>
      <c r="BF76">
        <v>8</v>
      </c>
      <c r="BG76">
        <v>6230.4</v>
      </c>
      <c r="BH76">
        <v>9</v>
      </c>
      <c r="BI76">
        <v>7009.2</v>
      </c>
      <c r="BJ76">
        <v>5</v>
      </c>
      <c r="BK76">
        <v>3894</v>
      </c>
      <c r="BL76">
        <v>8</v>
      </c>
      <c r="BM76">
        <v>6230.4</v>
      </c>
      <c r="BN76">
        <v>9</v>
      </c>
      <c r="BO76">
        <v>7009.2</v>
      </c>
      <c r="BP76">
        <v>6</v>
      </c>
      <c r="BQ76">
        <v>4672.7999999999993</v>
      </c>
      <c r="BR76">
        <v>9</v>
      </c>
      <c r="BS76">
        <v>7009.2</v>
      </c>
      <c r="BT76">
        <v>8</v>
      </c>
      <c r="BU76">
        <v>6230.4</v>
      </c>
      <c r="BV76">
        <v>7</v>
      </c>
      <c r="BW76">
        <v>5451.5999999999995</v>
      </c>
      <c r="BX76">
        <v>5</v>
      </c>
      <c r="BY76">
        <v>3894</v>
      </c>
      <c r="BZ76">
        <v>10</v>
      </c>
      <c r="CA76">
        <v>7788</v>
      </c>
      <c r="CB76">
        <v>10</v>
      </c>
      <c r="CC76">
        <v>7788</v>
      </c>
      <c r="CD76">
        <v>8</v>
      </c>
      <c r="CE76">
        <v>6230.4</v>
      </c>
      <c r="CF76">
        <v>8</v>
      </c>
      <c r="CG76">
        <v>6230.4</v>
      </c>
      <c r="CH76">
        <v>6</v>
      </c>
      <c r="CI76">
        <v>4672.7999999999993</v>
      </c>
      <c r="CJ76">
        <v>9</v>
      </c>
      <c r="CK76">
        <v>7009.2</v>
      </c>
      <c r="CL76">
        <v>5</v>
      </c>
      <c r="CM76">
        <v>3894</v>
      </c>
      <c r="CN76">
        <v>7</v>
      </c>
      <c r="CO76">
        <v>5451.5999999999995</v>
      </c>
      <c r="CP76">
        <v>9</v>
      </c>
      <c r="CQ76">
        <v>7009.2</v>
      </c>
      <c r="CR76">
        <v>9</v>
      </c>
      <c r="CS76">
        <v>7009.2</v>
      </c>
      <c r="CT76">
        <v>8</v>
      </c>
      <c r="CU76">
        <v>6230.4</v>
      </c>
    </row>
    <row r="77" spans="2:99">
      <c r="C77" s="99" t="s">
        <v>244</v>
      </c>
      <c r="D77">
        <v>5</v>
      </c>
      <c r="E77">
        <v>1392</v>
      </c>
      <c r="F77">
        <v>5</v>
      </c>
      <c r="G77">
        <v>1392</v>
      </c>
      <c r="H77">
        <v>8</v>
      </c>
      <c r="I77">
        <v>2227.1999999999998</v>
      </c>
      <c r="J77">
        <v>5.7534246575342465</v>
      </c>
      <c r="K77">
        <v>1601.7534246575342</v>
      </c>
      <c r="L77">
        <v>7</v>
      </c>
      <c r="M77">
        <v>1948.7999999999997</v>
      </c>
      <c r="N77">
        <v>10</v>
      </c>
      <c r="O77">
        <v>2784</v>
      </c>
      <c r="P77">
        <v>8.5838150289017339</v>
      </c>
      <c r="Q77">
        <v>2389.7341040462425</v>
      </c>
      <c r="R77">
        <v>6</v>
      </c>
      <c r="S77">
        <v>1670.3999999999999</v>
      </c>
      <c r="T77">
        <v>9</v>
      </c>
      <c r="U77">
        <v>2505.6</v>
      </c>
      <c r="V77">
        <v>6</v>
      </c>
      <c r="W77">
        <v>1670.3999999999999</v>
      </c>
      <c r="X77">
        <v>8</v>
      </c>
      <c r="Y77">
        <v>2227.1999999999998</v>
      </c>
      <c r="Z77">
        <v>7</v>
      </c>
      <c r="AA77">
        <v>1948.7999999999997</v>
      </c>
      <c r="AB77">
        <v>4.1386861313868613</v>
      </c>
      <c r="AC77">
        <v>1152.2102189781021</v>
      </c>
      <c r="AD77">
        <v>9.6117299277140605E-22</v>
      </c>
      <c r="AE77">
        <v>2.675905611875594E-19</v>
      </c>
      <c r="AF77">
        <v>5.0769650387412729E-22</v>
      </c>
      <c r="AG77">
        <v>1.4134270667855703E-19</v>
      </c>
      <c r="AH77">
        <v>5.6571896145974177E-22</v>
      </c>
      <c r="AI77">
        <v>1.5749615887039209E-19</v>
      </c>
      <c r="AJ77">
        <v>6.5882352941176467</v>
      </c>
      <c r="AK77">
        <v>1834.1647058823528</v>
      </c>
      <c r="AL77">
        <v>6.4460431654676258</v>
      </c>
      <c r="AM77">
        <v>1794.5784172661868</v>
      </c>
      <c r="AN77">
        <v>6.6064516129032258</v>
      </c>
      <c r="AO77">
        <v>1839.2361290322578</v>
      </c>
      <c r="AP77">
        <v>7.0136986301369859</v>
      </c>
      <c r="AQ77">
        <v>1952.6136986301367</v>
      </c>
      <c r="AR77">
        <v>9.2485549132947966</v>
      </c>
      <c r="AS77">
        <v>2574.7976878612712</v>
      </c>
      <c r="AT77">
        <v>9</v>
      </c>
      <c r="AU77">
        <v>2505.6</v>
      </c>
      <c r="AV77">
        <v>6</v>
      </c>
      <c r="AW77">
        <v>1670.3999999999999</v>
      </c>
      <c r="AX77">
        <v>10</v>
      </c>
      <c r="AY77">
        <v>2784</v>
      </c>
      <c r="AZ77">
        <v>8</v>
      </c>
      <c r="BA77">
        <v>2227.1999999999998</v>
      </c>
      <c r="BB77">
        <v>6</v>
      </c>
      <c r="BC77">
        <v>1670.3999999999999</v>
      </c>
      <c r="BD77">
        <v>8</v>
      </c>
      <c r="BE77">
        <v>2227.1999999999998</v>
      </c>
      <c r="BF77">
        <v>8</v>
      </c>
      <c r="BG77">
        <v>2227.1999999999998</v>
      </c>
      <c r="BH77">
        <v>8</v>
      </c>
      <c r="BI77">
        <v>2227.1999999999998</v>
      </c>
      <c r="BJ77">
        <v>5</v>
      </c>
      <c r="BK77">
        <v>1392</v>
      </c>
      <c r="BL77">
        <v>8</v>
      </c>
      <c r="BM77">
        <v>2227.1999999999998</v>
      </c>
      <c r="BN77">
        <v>9</v>
      </c>
      <c r="BO77">
        <v>2505.6</v>
      </c>
      <c r="BP77">
        <v>8</v>
      </c>
      <c r="BQ77">
        <v>2227.1999999999998</v>
      </c>
      <c r="BR77">
        <v>10</v>
      </c>
      <c r="BS77">
        <v>2784</v>
      </c>
      <c r="BT77">
        <v>8</v>
      </c>
      <c r="BU77">
        <v>2227.1999999999998</v>
      </c>
      <c r="BV77">
        <v>7</v>
      </c>
      <c r="BW77">
        <v>1948.7999999999997</v>
      </c>
      <c r="BX77">
        <v>5</v>
      </c>
      <c r="BY77">
        <v>1392</v>
      </c>
      <c r="BZ77">
        <v>10</v>
      </c>
      <c r="CA77">
        <v>2784</v>
      </c>
      <c r="CB77">
        <v>11</v>
      </c>
      <c r="CC77">
        <v>3062.3999999999996</v>
      </c>
      <c r="CD77">
        <v>8</v>
      </c>
      <c r="CE77">
        <v>2227.1999999999998</v>
      </c>
      <c r="CF77">
        <v>8</v>
      </c>
      <c r="CG77">
        <v>2227.1999999999998</v>
      </c>
      <c r="CH77">
        <v>6</v>
      </c>
      <c r="CI77">
        <v>1670.3999999999999</v>
      </c>
      <c r="CJ77">
        <v>9</v>
      </c>
      <c r="CK77">
        <v>2505.6</v>
      </c>
      <c r="CL77">
        <v>6</v>
      </c>
      <c r="CM77">
        <v>1670.3999999999999</v>
      </c>
      <c r="CN77">
        <v>9</v>
      </c>
      <c r="CO77">
        <v>2505.6</v>
      </c>
      <c r="CP77">
        <v>9</v>
      </c>
      <c r="CQ77">
        <v>2505.6</v>
      </c>
      <c r="CR77">
        <v>9</v>
      </c>
      <c r="CS77">
        <v>2505.6</v>
      </c>
      <c r="CT77">
        <v>10</v>
      </c>
      <c r="CU77">
        <v>2784</v>
      </c>
    </row>
    <row r="78" spans="2:99">
      <c r="C78" s="99" t="s">
        <v>245</v>
      </c>
      <c r="D78">
        <v>5</v>
      </c>
      <c r="E78">
        <v>2760</v>
      </c>
      <c r="F78">
        <v>5</v>
      </c>
      <c r="G78">
        <v>2760</v>
      </c>
      <c r="H78">
        <v>8</v>
      </c>
      <c r="I78">
        <v>4416</v>
      </c>
      <c r="J78">
        <v>5.7534246575342465</v>
      </c>
      <c r="K78">
        <v>3175.8904109589039</v>
      </c>
      <c r="L78">
        <v>8</v>
      </c>
      <c r="M78">
        <v>4416</v>
      </c>
      <c r="N78">
        <v>9</v>
      </c>
      <c r="O78">
        <v>4968</v>
      </c>
      <c r="P78">
        <v>8.5838150289017339</v>
      </c>
      <c r="Q78">
        <v>4738.2658959537575</v>
      </c>
      <c r="R78">
        <v>6</v>
      </c>
      <c r="S78">
        <v>3312</v>
      </c>
      <c r="T78">
        <v>9</v>
      </c>
      <c r="U78">
        <v>4968</v>
      </c>
      <c r="V78">
        <v>7</v>
      </c>
      <c r="W78">
        <v>3864</v>
      </c>
      <c r="X78">
        <v>9</v>
      </c>
      <c r="Y78">
        <v>4968</v>
      </c>
      <c r="Z78">
        <v>8</v>
      </c>
      <c r="AA78">
        <v>4416</v>
      </c>
      <c r="AB78">
        <v>4.1386861313868613</v>
      </c>
      <c r="AC78">
        <v>2284.5547445255474</v>
      </c>
      <c r="AD78">
        <v>9.6117299277140605E-22</v>
      </c>
      <c r="AE78">
        <v>5.3056749200981612E-19</v>
      </c>
      <c r="AF78">
        <v>5.0769650387412729E-22</v>
      </c>
      <c r="AG78">
        <v>2.8024847013851825E-19</v>
      </c>
      <c r="AH78">
        <v>4.2428922109480635E-22</v>
      </c>
      <c r="AI78">
        <v>2.3420765004433309E-19</v>
      </c>
      <c r="AJ78">
        <v>7.5294117647058822</v>
      </c>
      <c r="AK78">
        <v>4156.2352941176468</v>
      </c>
      <c r="AL78">
        <v>7.3669064748201443</v>
      </c>
      <c r="AM78">
        <v>4066.5323741007196</v>
      </c>
      <c r="AN78">
        <v>7.4322580645161294</v>
      </c>
      <c r="AO78">
        <v>4102.6064516129036</v>
      </c>
      <c r="AP78">
        <v>6.1369863013698627</v>
      </c>
      <c r="AQ78">
        <v>3387.6164383561641</v>
      </c>
      <c r="AR78">
        <v>8.3236994219653191</v>
      </c>
      <c r="AS78">
        <v>4594.6820809248566</v>
      </c>
      <c r="AT78">
        <v>8</v>
      </c>
      <c r="AU78">
        <v>4416</v>
      </c>
      <c r="AV78">
        <v>6</v>
      </c>
      <c r="AW78">
        <v>3312</v>
      </c>
      <c r="AX78">
        <v>10</v>
      </c>
      <c r="AY78">
        <v>5520</v>
      </c>
      <c r="AZ78">
        <v>7</v>
      </c>
      <c r="BA78">
        <v>3864</v>
      </c>
      <c r="BB78">
        <v>6</v>
      </c>
      <c r="BC78">
        <v>3312</v>
      </c>
      <c r="BD78">
        <v>8</v>
      </c>
      <c r="BE78">
        <v>4416</v>
      </c>
      <c r="BF78">
        <v>9</v>
      </c>
      <c r="BG78">
        <v>4968</v>
      </c>
      <c r="BH78">
        <v>9</v>
      </c>
      <c r="BI78">
        <v>4968</v>
      </c>
      <c r="BJ78">
        <v>6</v>
      </c>
      <c r="BK78">
        <v>3312</v>
      </c>
      <c r="BL78">
        <v>8</v>
      </c>
      <c r="BM78">
        <v>4416</v>
      </c>
      <c r="BN78">
        <v>10</v>
      </c>
      <c r="BO78">
        <v>5520</v>
      </c>
      <c r="BP78">
        <v>7</v>
      </c>
      <c r="BQ78">
        <v>3864</v>
      </c>
      <c r="BR78">
        <v>9</v>
      </c>
      <c r="BS78">
        <v>4968</v>
      </c>
      <c r="BT78">
        <v>8</v>
      </c>
      <c r="BU78">
        <v>4416</v>
      </c>
      <c r="BV78">
        <v>8</v>
      </c>
      <c r="BW78">
        <v>4416</v>
      </c>
      <c r="BX78">
        <v>6</v>
      </c>
      <c r="BY78">
        <v>3312</v>
      </c>
      <c r="BZ78">
        <v>10</v>
      </c>
      <c r="CA78">
        <v>5520</v>
      </c>
      <c r="CB78">
        <v>10</v>
      </c>
      <c r="CC78">
        <v>5520</v>
      </c>
      <c r="CD78">
        <v>8</v>
      </c>
      <c r="CE78">
        <v>4416</v>
      </c>
      <c r="CF78">
        <v>7</v>
      </c>
      <c r="CG78">
        <v>3864</v>
      </c>
      <c r="CH78">
        <v>7</v>
      </c>
      <c r="CI78">
        <v>3864</v>
      </c>
      <c r="CJ78">
        <v>8</v>
      </c>
      <c r="CK78">
        <v>4416</v>
      </c>
      <c r="CL78">
        <v>6</v>
      </c>
      <c r="CM78">
        <v>3312</v>
      </c>
      <c r="CN78">
        <v>7</v>
      </c>
      <c r="CO78">
        <v>3864</v>
      </c>
      <c r="CP78">
        <v>9</v>
      </c>
      <c r="CQ78">
        <v>4968</v>
      </c>
      <c r="CR78">
        <v>8</v>
      </c>
      <c r="CS78">
        <v>4416</v>
      </c>
      <c r="CT78">
        <v>8</v>
      </c>
      <c r="CU78">
        <v>4416</v>
      </c>
    </row>
    <row r="79" spans="2:99">
      <c r="C79" s="99" t="s">
        <v>246</v>
      </c>
      <c r="D79">
        <v>6</v>
      </c>
      <c r="E79">
        <v>4543.2</v>
      </c>
      <c r="F79">
        <v>5</v>
      </c>
      <c r="G79">
        <v>3785.9999999999995</v>
      </c>
      <c r="H79">
        <v>7</v>
      </c>
      <c r="I79">
        <v>5300.4</v>
      </c>
      <c r="J79">
        <v>6.5753424657534243</v>
      </c>
      <c r="K79">
        <v>4978.8493150684926</v>
      </c>
      <c r="L79">
        <v>7</v>
      </c>
      <c r="M79">
        <v>5300.4</v>
      </c>
      <c r="N79">
        <v>8</v>
      </c>
      <c r="O79">
        <v>6057.5999999999995</v>
      </c>
      <c r="P79">
        <v>7.6300578034682074</v>
      </c>
      <c r="Q79">
        <v>5777.4797687861264</v>
      </c>
      <c r="R79">
        <v>6</v>
      </c>
      <c r="S79">
        <v>4543.2</v>
      </c>
      <c r="T79">
        <v>9</v>
      </c>
      <c r="U79">
        <v>6814.7999999999993</v>
      </c>
      <c r="V79">
        <v>6</v>
      </c>
      <c r="W79">
        <v>4543.2</v>
      </c>
      <c r="X79">
        <v>9</v>
      </c>
      <c r="Y79">
        <v>6814.7999999999993</v>
      </c>
      <c r="Z79">
        <v>7</v>
      </c>
      <c r="AA79">
        <v>5300.4</v>
      </c>
      <c r="AB79">
        <v>4.1386861313868613</v>
      </c>
      <c r="AC79">
        <v>3133.813138686131</v>
      </c>
      <c r="AD79">
        <v>9.6117299277140605E-22</v>
      </c>
      <c r="AE79">
        <v>7.2780019012650862E-19</v>
      </c>
      <c r="AF79">
        <v>4.2308041989510608E-22</v>
      </c>
      <c r="AG79">
        <v>3.2035649394457432E-19</v>
      </c>
      <c r="AH79">
        <v>4.9500409127727411E-22</v>
      </c>
      <c r="AI79">
        <v>3.7481709791515193E-19</v>
      </c>
      <c r="AJ79">
        <v>6.5882352941176467</v>
      </c>
      <c r="AK79">
        <v>4988.6117647058818</v>
      </c>
      <c r="AL79">
        <v>7.3669064748201443</v>
      </c>
      <c r="AM79">
        <v>5578.2215827338123</v>
      </c>
      <c r="AN79">
        <v>7.4322580645161294</v>
      </c>
      <c r="AO79">
        <v>5627.7058064516123</v>
      </c>
      <c r="AP79">
        <v>7.0136986301369859</v>
      </c>
      <c r="AQ79">
        <v>5310.7726027397257</v>
      </c>
      <c r="AR79">
        <v>8.3236994219653191</v>
      </c>
      <c r="AS79">
        <v>6302.7052023121387</v>
      </c>
      <c r="AT79">
        <v>8</v>
      </c>
      <c r="AU79">
        <v>6057.5999999999995</v>
      </c>
      <c r="AV79">
        <v>5</v>
      </c>
      <c r="AW79">
        <v>3785.9999999999995</v>
      </c>
      <c r="AX79">
        <v>10</v>
      </c>
      <c r="AY79">
        <v>7571.9999999999991</v>
      </c>
      <c r="AZ79">
        <v>7</v>
      </c>
      <c r="BA79">
        <v>5300.4</v>
      </c>
      <c r="BB79">
        <v>6</v>
      </c>
      <c r="BC79">
        <v>4543.2</v>
      </c>
      <c r="BD79">
        <v>9</v>
      </c>
      <c r="BE79">
        <v>6814.7999999999993</v>
      </c>
      <c r="BF79">
        <v>9</v>
      </c>
      <c r="BG79">
        <v>6814.7999999999993</v>
      </c>
      <c r="BH79">
        <v>8</v>
      </c>
      <c r="BI79">
        <v>6057.5999999999995</v>
      </c>
      <c r="BJ79">
        <v>5</v>
      </c>
      <c r="BK79">
        <v>3785.9999999999995</v>
      </c>
      <c r="BL79">
        <v>8</v>
      </c>
      <c r="BM79">
        <v>6057.5999999999995</v>
      </c>
      <c r="BN79">
        <v>9</v>
      </c>
      <c r="BO79">
        <v>6814.7999999999993</v>
      </c>
      <c r="BP79">
        <v>6</v>
      </c>
      <c r="BQ79">
        <v>4543.2</v>
      </c>
      <c r="BR79">
        <v>9</v>
      </c>
      <c r="BS79">
        <v>6814.7999999999993</v>
      </c>
      <c r="BT79">
        <v>8</v>
      </c>
      <c r="BU79">
        <v>6057.5999999999995</v>
      </c>
      <c r="BV79">
        <v>7</v>
      </c>
      <c r="BW79">
        <v>5300.4</v>
      </c>
      <c r="BX79">
        <v>6</v>
      </c>
      <c r="BY79">
        <v>4543.2</v>
      </c>
      <c r="BZ79">
        <v>9</v>
      </c>
      <c r="CA79">
        <v>6814.7999999999993</v>
      </c>
      <c r="CB79">
        <v>11</v>
      </c>
      <c r="CC79">
        <v>8329.1999999999989</v>
      </c>
      <c r="CD79">
        <v>7</v>
      </c>
      <c r="CE79">
        <v>5300.4</v>
      </c>
      <c r="CF79">
        <v>8</v>
      </c>
      <c r="CG79">
        <v>6057.5999999999995</v>
      </c>
      <c r="CH79">
        <v>6</v>
      </c>
      <c r="CI79">
        <v>4543.2</v>
      </c>
      <c r="CJ79">
        <v>8</v>
      </c>
      <c r="CK79">
        <v>6057.5999999999995</v>
      </c>
      <c r="CL79">
        <v>6</v>
      </c>
      <c r="CM79">
        <v>4543.2</v>
      </c>
      <c r="CN79">
        <v>8</v>
      </c>
      <c r="CO79">
        <v>6057.5999999999995</v>
      </c>
      <c r="CP79">
        <v>9</v>
      </c>
      <c r="CQ79">
        <v>6814.7999999999993</v>
      </c>
      <c r="CR79">
        <v>9</v>
      </c>
      <c r="CS79">
        <v>6814.7999999999993</v>
      </c>
      <c r="CT79">
        <v>8</v>
      </c>
      <c r="CU79">
        <v>6057.5999999999995</v>
      </c>
    </row>
    <row r="80" spans="2:99">
      <c r="C80" s="99" t="s">
        <v>247</v>
      </c>
      <c r="D80">
        <v>5</v>
      </c>
      <c r="E80">
        <v>4025.9999999999995</v>
      </c>
      <c r="F80">
        <v>5</v>
      </c>
      <c r="G80">
        <v>4025.9999999999995</v>
      </c>
      <c r="H80">
        <v>7</v>
      </c>
      <c r="I80">
        <v>5636.4</v>
      </c>
      <c r="J80">
        <v>5.7534246575342465</v>
      </c>
      <c r="K80">
        <v>4632.6575342465749</v>
      </c>
      <c r="L80">
        <v>7</v>
      </c>
      <c r="M80">
        <v>5636.4</v>
      </c>
      <c r="N80">
        <v>9</v>
      </c>
      <c r="O80">
        <v>7246.7999999999993</v>
      </c>
      <c r="P80">
        <v>8.5838150289017339</v>
      </c>
      <c r="Q80">
        <v>6911.6878612716755</v>
      </c>
      <c r="R80">
        <v>5</v>
      </c>
      <c r="S80">
        <v>4025.9999999999995</v>
      </c>
      <c r="T80">
        <v>9</v>
      </c>
      <c r="U80">
        <v>7246.7999999999993</v>
      </c>
      <c r="V80">
        <v>6</v>
      </c>
      <c r="W80">
        <v>4831.2</v>
      </c>
      <c r="X80">
        <v>8</v>
      </c>
      <c r="Y80">
        <v>6441.5999999999995</v>
      </c>
      <c r="Z80">
        <v>7</v>
      </c>
      <c r="AA80">
        <v>5636.4</v>
      </c>
      <c r="AB80">
        <v>3.5474452554744529</v>
      </c>
      <c r="AC80">
        <v>2856.402919708029</v>
      </c>
      <c r="AD80">
        <v>7.6893839421712473E-22</v>
      </c>
      <c r="AE80">
        <v>6.1914919502362877E-19</v>
      </c>
      <c r="AF80">
        <v>4.2308041989510608E-22</v>
      </c>
      <c r="AG80">
        <v>3.4066435409953939E-19</v>
      </c>
      <c r="AH80">
        <v>4.9500409127727411E-22</v>
      </c>
      <c r="AI80">
        <v>3.9857729429646106E-19</v>
      </c>
      <c r="AJ80">
        <v>7.5294117647058822</v>
      </c>
      <c r="AK80">
        <v>6062.6823529411758</v>
      </c>
      <c r="AL80">
        <v>7.3669064748201443</v>
      </c>
      <c r="AM80">
        <v>5931.8330935251797</v>
      </c>
      <c r="AN80">
        <v>6.6064516129032258</v>
      </c>
      <c r="AO80">
        <v>5319.514838709677</v>
      </c>
      <c r="AP80">
        <v>6.1369863013698627</v>
      </c>
      <c r="AQ80">
        <v>4941.5013698630128</v>
      </c>
      <c r="AR80">
        <v>9.2485549132947966</v>
      </c>
      <c r="AS80">
        <v>7446.9364161849699</v>
      </c>
      <c r="AT80">
        <v>7</v>
      </c>
      <c r="AU80">
        <v>5636.4</v>
      </c>
      <c r="AV80">
        <v>5</v>
      </c>
      <c r="AW80">
        <v>4025.9999999999995</v>
      </c>
      <c r="AX80">
        <v>10</v>
      </c>
      <c r="AY80">
        <v>8051.9999999999991</v>
      </c>
      <c r="AZ80">
        <v>8</v>
      </c>
      <c r="BA80">
        <v>6441.5999999999995</v>
      </c>
      <c r="BB80">
        <v>6</v>
      </c>
      <c r="BC80">
        <v>4831.2</v>
      </c>
      <c r="BD80">
        <v>9</v>
      </c>
      <c r="BE80">
        <v>7246.7999999999993</v>
      </c>
      <c r="BF80">
        <v>8</v>
      </c>
      <c r="BG80">
        <v>6441.5999999999995</v>
      </c>
      <c r="BH80">
        <v>9</v>
      </c>
      <c r="BI80">
        <v>7246.7999999999993</v>
      </c>
      <c r="BJ80">
        <v>5</v>
      </c>
      <c r="BK80">
        <v>4025.9999999999995</v>
      </c>
      <c r="BL80">
        <v>8</v>
      </c>
      <c r="BM80">
        <v>6441.5999999999995</v>
      </c>
      <c r="BN80">
        <v>8</v>
      </c>
      <c r="BO80">
        <v>6441.5999999999995</v>
      </c>
      <c r="BP80">
        <v>6</v>
      </c>
      <c r="BQ80">
        <v>4831.2</v>
      </c>
      <c r="BR80">
        <v>9</v>
      </c>
      <c r="BS80">
        <v>7246.7999999999993</v>
      </c>
      <c r="BT80">
        <v>7</v>
      </c>
      <c r="BU80">
        <v>5636.4</v>
      </c>
      <c r="BV80">
        <v>7</v>
      </c>
      <c r="BW80">
        <v>5636.4</v>
      </c>
      <c r="BX80">
        <v>6</v>
      </c>
      <c r="BY80">
        <v>4831.2</v>
      </c>
      <c r="BZ80">
        <v>10</v>
      </c>
      <c r="CA80">
        <v>8051.9999999999991</v>
      </c>
      <c r="CB80">
        <v>9</v>
      </c>
      <c r="CC80">
        <v>7246.7999999999993</v>
      </c>
      <c r="CD80">
        <v>8</v>
      </c>
      <c r="CE80">
        <v>6441.5999999999995</v>
      </c>
      <c r="CF80">
        <v>7</v>
      </c>
      <c r="CG80">
        <v>5636.4</v>
      </c>
      <c r="CH80">
        <v>7</v>
      </c>
      <c r="CI80">
        <v>5636.4</v>
      </c>
      <c r="CJ80">
        <v>8</v>
      </c>
      <c r="CK80">
        <v>6441.5999999999995</v>
      </c>
      <c r="CL80">
        <v>6</v>
      </c>
      <c r="CM80">
        <v>4831.2</v>
      </c>
      <c r="CN80">
        <v>7</v>
      </c>
      <c r="CO80">
        <v>5636.4</v>
      </c>
      <c r="CP80">
        <v>9</v>
      </c>
      <c r="CQ80">
        <v>7246.7999999999993</v>
      </c>
      <c r="CR80">
        <v>9</v>
      </c>
      <c r="CS80">
        <v>7246.7999999999993</v>
      </c>
      <c r="CT80">
        <v>10</v>
      </c>
      <c r="CU80">
        <v>8051.9999999999991</v>
      </c>
    </row>
    <row r="81" spans="2:99">
      <c r="C81" s="99" t="s">
        <v>248</v>
      </c>
      <c r="D81">
        <v>6</v>
      </c>
      <c r="E81">
        <v>4521.6000000000004</v>
      </c>
      <c r="F81">
        <v>5</v>
      </c>
      <c r="G81">
        <v>3768</v>
      </c>
      <c r="H81">
        <v>7</v>
      </c>
      <c r="I81">
        <v>5275.2</v>
      </c>
      <c r="J81">
        <v>6.5753424657534243</v>
      </c>
      <c r="K81">
        <v>4955.178082191781</v>
      </c>
      <c r="L81">
        <v>7</v>
      </c>
      <c r="M81">
        <v>5275.2</v>
      </c>
      <c r="N81">
        <v>8</v>
      </c>
      <c r="O81">
        <v>6028.8</v>
      </c>
      <c r="P81">
        <v>9.5375722543352595</v>
      </c>
      <c r="Q81">
        <v>7187.5144508670519</v>
      </c>
      <c r="R81">
        <v>6</v>
      </c>
      <c r="S81">
        <v>4521.6000000000004</v>
      </c>
      <c r="T81">
        <v>8</v>
      </c>
      <c r="U81">
        <v>6028.8</v>
      </c>
      <c r="V81">
        <v>6</v>
      </c>
      <c r="W81">
        <v>4521.6000000000004</v>
      </c>
      <c r="X81">
        <v>8</v>
      </c>
      <c r="Y81">
        <v>6028.8</v>
      </c>
      <c r="Z81">
        <v>7</v>
      </c>
      <c r="AA81">
        <v>5275.2</v>
      </c>
      <c r="AB81">
        <v>4.1386861313868613</v>
      </c>
      <c r="AC81">
        <v>3118.9138686131387</v>
      </c>
      <c r="AD81">
        <v>9.6117299277140605E-22</v>
      </c>
      <c r="AE81">
        <v>7.2433996735253161E-19</v>
      </c>
      <c r="AF81">
        <v>5.0769650387412729E-22</v>
      </c>
      <c r="AG81">
        <v>3.8260008531954235E-19</v>
      </c>
      <c r="AH81">
        <v>4.9500409127727411E-22</v>
      </c>
      <c r="AI81">
        <v>3.7303508318655377E-19</v>
      </c>
      <c r="AJ81">
        <v>6.5882352941176467</v>
      </c>
      <c r="AK81">
        <v>4964.8941176470589</v>
      </c>
      <c r="AL81">
        <v>6.4460431654676258</v>
      </c>
      <c r="AM81">
        <v>4857.7381294964025</v>
      </c>
      <c r="AN81">
        <v>7.4322580645161294</v>
      </c>
      <c r="AO81">
        <v>5600.9496774193549</v>
      </c>
      <c r="AP81">
        <v>7.0136986301369859</v>
      </c>
      <c r="AQ81">
        <v>5285.5232876712325</v>
      </c>
      <c r="AR81">
        <v>8.3236994219653191</v>
      </c>
      <c r="AS81">
        <v>6272.739884393065</v>
      </c>
      <c r="AT81">
        <v>8</v>
      </c>
      <c r="AU81">
        <v>6028.8</v>
      </c>
      <c r="AV81">
        <v>5</v>
      </c>
      <c r="AW81">
        <v>3768</v>
      </c>
      <c r="AX81">
        <v>10</v>
      </c>
      <c r="AY81">
        <v>7536</v>
      </c>
      <c r="AZ81">
        <v>8</v>
      </c>
      <c r="BA81">
        <v>6028.8</v>
      </c>
      <c r="BB81">
        <v>6</v>
      </c>
      <c r="BC81">
        <v>4521.6000000000004</v>
      </c>
      <c r="BD81">
        <v>8</v>
      </c>
      <c r="BE81">
        <v>6028.8</v>
      </c>
      <c r="BF81">
        <v>8</v>
      </c>
      <c r="BG81">
        <v>6028.8</v>
      </c>
      <c r="BH81">
        <v>8</v>
      </c>
      <c r="BI81">
        <v>6028.8</v>
      </c>
      <c r="BJ81">
        <v>5</v>
      </c>
      <c r="BK81">
        <v>3768</v>
      </c>
      <c r="BL81">
        <v>7</v>
      </c>
      <c r="BM81">
        <v>5275.2</v>
      </c>
      <c r="BN81">
        <v>8</v>
      </c>
      <c r="BO81">
        <v>6028.8</v>
      </c>
      <c r="BP81">
        <v>6</v>
      </c>
      <c r="BQ81">
        <v>4521.6000000000004</v>
      </c>
      <c r="BR81">
        <v>9</v>
      </c>
      <c r="BS81">
        <v>6782.4000000000005</v>
      </c>
      <c r="BT81">
        <v>9</v>
      </c>
      <c r="BU81">
        <v>6782.4000000000005</v>
      </c>
      <c r="BV81">
        <v>7</v>
      </c>
      <c r="BW81">
        <v>5275.2</v>
      </c>
      <c r="BX81">
        <v>6</v>
      </c>
      <c r="BY81">
        <v>4521.6000000000004</v>
      </c>
      <c r="BZ81">
        <v>9</v>
      </c>
      <c r="CA81">
        <v>6782.4000000000005</v>
      </c>
      <c r="CB81">
        <v>9</v>
      </c>
      <c r="CC81">
        <v>6782.4000000000005</v>
      </c>
      <c r="CD81">
        <v>9</v>
      </c>
      <c r="CE81">
        <v>6782.4000000000005</v>
      </c>
      <c r="CF81">
        <v>8</v>
      </c>
      <c r="CG81">
        <v>6028.8</v>
      </c>
      <c r="CH81">
        <v>7</v>
      </c>
      <c r="CI81">
        <v>5275.2</v>
      </c>
      <c r="CJ81">
        <v>9</v>
      </c>
      <c r="CK81">
        <v>6782.4000000000005</v>
      </c>
      <c r="CL81">
        <v>6</v>
      </c>
      <c r="CM81">
        <v>4521.6000000000004</v>
      </c>
      <c r="CN81">
        <v>9</v>
      </c>
      <c r="CO81">
        <v>6782.4000000000005</v>
      </c>
      <c r="CP81">
        <v>9</v>
      </c>
      <c r="CQ81">
        <v>6782.4000000000005</v>
      </c>
      <c r="CR81">
        <v>9</v>
      </c>
      <c r="CS81">
        <v>6782.4000000000005</v>
      </c>
      <c r="CT81">
        <v>8</v>
      </c>
      <c r="CU81">
        <v>6028.8</v>
      </c>
    </row>
    <row r="82" spans="2:99">
      <c r="C82" s="99" t="s">
        <v>249</v>
      </c>
      <c r="D82">
        <v>5</v>
      </c>
      <c r="E82">
        <v>2543.9999999999995</v>
      </c>
      <c r="F82">
        <v>6</v>
      </c>
      <c r="G82">
        <v>3052.7999999999993</v>
      </c>
      <c r="H82">
        <v>8</v>
      </c>
      <c r="I82">
        <v>4070.3999999999992</v>
      </c>
      <c r="J82">
        <v>5.7534246575342465</v>
      </c>
      <c r="K82">
        <v>2927.3424657534242</v>
      </c>
      <c r="L82">
        <v>9</v>
      </c>
      <c r="M82">
        <v>4579.1999999999989</v>
      </c>
      <c r="N82">
        <v>8</v>
      </c>
      <c r="O82">
        <v>4070.3999999999992</v>
      </c>
      <c r="P82">
        <v>8.5838150289017339</v>
      </c>
      <c r="Q82">
        <v>4367.445086705201</v>
      </c>
      <c r="R82">
        <v>6</v>
      </c>
      <c r="S82">
        <v>3052.7999999999993</v>
      </c>
      <c r="T82">
        <v>9</v>
      </c>
      <c r="U82">
        <v>4579.1999999999989</v>
      </c>
      <c r="V82">
        <v>6</v>
      </c>
      <c r="W82">
        <v>3052.7999999999993</v>
      </c>
      <c r="X82">
        <v>8</v>
      </c>
      <c r="Y82">
        <v>4070.3999999999992</v>
      </c>
      <c r="Z82">
        <v>7</v>
      </c>
      <c r="AA82">
        <v>3561.5999999999995</v>
      </c>
      <c r="AB82">
        <v>4.1386861313868613</v>
      </c>
      <c r="AC82">
        <v>2105.7635036496345</v>
      </c>
      <c r="AD82">
        <v>9.6117299277140605E-22</v>
      </c>
      <c r="AE82">
        <v>4.8904481872209132E-19</v>
      </c>
      <c r="AF82">
        <v>5.0769650387412729E-22</v>
      </c>
      <c r="AG82">
        <v>2.5831598117115591E-19</v>
      </c>
      <c r="AH82">
        <v>5.6571896145974177E-22</v>
      </c>
      <c r="AI82">
        <v>2.8783780759071656E-19</v>
      </c>
      <c r="AJ82">
        <v>7.5294117647058822</v>
      </c>
      <c r="AK82">
        <v>3830.9647058823521</v>
      </c>
      <c r="AL82">
        <v>7.3669064748201443</v>
      </c>
      <c r="AM82">
        <v>3748.2820143884887</v>
      </c>
      <c r="AN82">
        <v>6.6064516129032258</v>
      </c>
      <c r="AO82">
        <v>3361.3625806451605</v>
      </c>
      <c r="AP82">
        <v>7.0136986301369859</v>
      </c>
      <c r="AQ82">
        <v>3568.5698630136976</v>
      </c>
      <c r="AR82">
        <v>8.3236994219653191</v>
      </c>
      <c r="AS82">
        <v>4235.0982658959538</v>
      </c>
      <c r="AT82">
        <v>8</v>
      </c>
      <c r="AU82">
        <v>4070.3999999999992</v>
      </c>
      <c r="AV82">
        <v>6</v>
      </c>
      <c r="AW82">
        <v>3052.7999999999993</v>
      </c>
      <c r="AX82">
        <v>10</v>
      </c>
      <c r="AY82">
        <v>5087.9999999999991</v>
      </c>
      <c r="AZ82">
        <v>8</v>
      </c>
      <c r="BA82">
        <v>4070.3999999999992</v>
      </c>
      <c r="BB82">
        <v>6</v>
      </c>
      <c r="BC82">
        <v>3052.7999999999993</v>
      </c>
      <c r="BD82">
        <v>9</v>
      </c>
      <c r="BE82">
        <v>4579.1999999999989</v>
      </c>
      <c r="BF82">
        <v>8</v>
      </c>
      <c r="BG82">
        <v>4070.3999999999992</v>
      </c>
      <c r="BH82">
        <v>9</v>
      </c>
      <c r="BI82">
        <v>4579.1999999999989</v>
      </c>
      <c r="BJ82">
        <v>6</v>
      </c>
      <c r="BK82">
        <v>3052.7999999999993</v>
      </c>
      <c r="BL82">
        <v>8</v>
      </c>
      <c r="BM82">
        <v>4070.3999999999992</v>
      </c>
      <c r="BN82">
        <v>9</v>
      </c>
      <c r="BO82">
        <v>4579.1999999999989</v>
      </c>
      <c r="BP82">
        <v>6</v>
      </c>
      <c r="BQ82">
        <v>3052.7999999999993</v>
      </c>
      <c r="BR82">
        <v>8</v>
      </c>
      <c r="BS82">
        <v>4070.3999999999992</v>
      </c>
      <c r="BT82">
        <v>8</v>
      </c>
      <c r="BU82">
        <v>4070.3999999999992</v>
      </c>
      <c r="BV82">
        <v>7</v>
      </c>
      <c r="BW82">
        <v>3561.5999999999995</v>
      </c>
      <c r="BX82">
        <v>6</v>
      </c>
      <c r="BY82">
        <v>3052.7999999999993</v>
      </c>
      <c r="BZ82">
        <v>10</v>
      </c>
      <c r="CA82">
        <v>5087.9999999999991</v>
      </c>
      <c r="CB82">
        <v>10</v>
      </c>
      <c r="CC82">
        <v>5087.9999999999991</v>
      </c>
      <c r="CD82">
        <v>7</v>
      </c>
      <c r="CE82">
        <v>3561.5999999999995</v>
      </c>
      <c r="CF82">
        <v>8</v>
      </c>
      <c r="CG82">
        <v>4070.3999999999992</v>
      </c>
      <c r="CH82">
        <v>7</v>
      </c>
      <c r="CI82">
        <v>3561.5999999999995</v>
      </c>
      <c r="CJ82">
        <v>8</v>
      </c>
      <c r="CK82">
        <v>4070.3999999999992</v>
      </c>
      <c r="CL82">
        <v>6</v>
      </c>
      <c r="CM82">
        <v>3052.7999999999993</v>
      </c>
      <c r="CN82">
        <v>9</v>
      </c>
      <c r="CO82">
        <v>4579.1999999999989</v>
      </c>
      <c r="CP82">
        <v>9</v>
      </c>
      <c r="CQ82">
        <v>4579.1999999999989</v>
      </c>
      <c r="CR82">
        <v>9</v>
      </c>
      <c r="CS82">
        <v>4579.1999999999989</v>
      </c>
      <c r="CT82">
        <v>9</v>
      </c>
      <c r="CU82">
        <v>4579.1999999999989</v>
      </c>
    </row>
    <row r="83" spans="2:99">
      <c r="C83" s="99" t="s">
        <v>250</v>
      </c>
      <c r="D83">
        <v>6</v>
      </c>
      <c r="E83">
        <v>5162.3999999999996</v>
      </c>
      <c r="F83">
        <v>5</v>
      </c>
      <c r="G83">
        <v>4302</v>
      </c>
      <c r="H83">
        <v>8</v>
      </c>
      <c r="I83">
        <v>6883.2</v>
      </c>
      <c r="J83">
        <v>6.5753424657534243</v>
      </c>
      <c r="K83">
        <v>5657.4246575342459</v>
      </c>
      <c r="L83">
        <v>7</v>
      </c>
      <c r="M83">
        <v>6022.8</v>
      </c>
      <c r="N83">
        <v>8</v>
      </c>
      <c r="O83">
        <v>6883.2</v>
      </c>
      <c r="P83">
        <v>8.5838150289017339</v>
      </c>
      <c r="Q83">
        <v>7385.5144508670519</v>
      </c>
      <c r="R83">
        <v>6</v>
      </c>
      <c r="S83">
        <v>5162.3999999999996</v>
      </c>
      <c r="T83">
        <v>8</v>
      </c>
      <c r="U83">
        <v>6883.2</v>
      </c>
      <c r="V83">
        <v>6</v>
      </c>
      <c r="W83">
        <v>5162.3999999999996</v>
      </c>
      <c r="X83">
        <v>8</v>
      </c>
      <c r="Y83">
        <v>6883.2</v>
      </c>
      <c r="Z83">
        <v>7</v>
      </c>
      <c r="AA83">
        <v>6022.8</v>
      </c>
      <c r="AB83">
        <v>4.1386861313868613</v>
      </c>
      <c r="AC83">
        <v>3560.9255474452552</v>
      </c>
      <c r="AD83">
        <v>9.6117299277140605E-22</v>
      </c>
      <c r="AE83">
        <v>8.2699324298051771E-19</v>
      </c>
      <c r="AF83">
        <v>5.0769650387412729E-22</v>
      </c>
      <c r="AG83">
        <v>4.3682207193329912E-19</v>
      </c>
      <c r="AH83">
        <v>4.9500409127727411E-22</v>
      </c>
      <c r="AI83">
        <v>4.2590152013496666E-19</v>
      </c>
      <c r="AJ83">
        <v>6.5882352941176467</v>
      </c>
      <c r="AK83">
        <v>5668.5176470588231</v>
      </c>
      <c r="AL83">
        <v>6.4460431654676258</v>
      </c>
      <c r="AM83">
        <v>5546.1755395683449</v>
      </c>
      <c r="AN83">
        <v>6.6064516129032258</v>
      </c>
      <c r="AO83">
        <v>5684.1909677419353</v>
      </c>
      <c r="AP83">
        <v>6.1369863013698627</v>
      </c>
      <c r="AQ83">
        <v>5280.2630136986299</v>
      </c>
      <c r="AR83">
        <v>8.3236994219653191</v>
      </c>
      <c r="AS83">
        <v>7161.7109826589603</v>
      </c>
      <c r="AT83">
        <v>8</v>
      </c>
      <c r="AU83">
        <v>6883.2</v>
      </c>
      <c r="AV83">
        <v>6</v>
      </c>
      <c r="AW83">
        <v>5162.3999999999996</v>
      </c>
      <c r="AX83">
        <v>10</v>
      </c>
      <c r="AY83">
        <v>8604</v>
      </c>
      <c r="AZ83">
        <v>8</v>
      </c>
      <c r="BA83">
        <v>6883.2</v>
      </c>
      <c r="BB83">
        <v>6</v>
      </c>
      <c r="BC83">
        <v>5162.3999999999996</v>
      </c>
      <c r="BD83">
        <v>9</v>
      </c>
      <c r="BE83">
        <v>7743.5999999999995</v>
      </c>
      <c r="BF83">
        <v>8</v>
      </c>
      <c r="BG83">
        <v>6883.2</v>
      </c>
      <c r="BH83">
        <v>8</v>
      </c>
      <c r="BI83">
        <v>6883.2</v>
      </c>
      <c r="BJ83">
        <v>5</v>
      </c>
      <c r="BK83">
        <v>4302</v>
      </c>
      <c r="BL83">
        <v>8</v>
      </c>
      <c r="BM83">
        <v>6883.2</v>
      </c>
      <c r="BN83">
        <v>8</v>
      </c>
      <c r="BO83">
        <v>6883.2</v>
      </c>
      <c r="BP83">
        <v>7</v>
      </c>
      <c r="BQ83">
        <v>6022.8</v>
      </c>
      <c r="BR83">
        <v>9</v>
      </c>
      <c r="BS83">
        <v>7743.5999999999995</v>
      </c>
      <c r="BT83">
        <v>8</v>
      </c>
      <c r="BU83">
        <v>6883.2</v>
      </c>
      <c r="BV83">
        <v>7</v>
      </c>
      <c r="BW83">
        <v>6022.8</v>
      </c>
      <c r="BX83">
        <v>5</v>
      </c>
      <c r="BY83">
        <v>4302</v>
      </c>
      <c r="BZ83">
        <v>10</v>
      </c>
      <c r="CA83">
        <v>8604</v>
      </c>
      <c r="CB83">
        <v>10</v>
      </c>
      <c r="CC83">
        <v>8604</v>
      </c>
      <c r="CD83">
        <v>8</v>
      </c>
      <c r="CE83">
        <v>6883.2</v>
      </c>
      <c r="CF83">
        <v>7</v>
      </c>
      <c r="CG83">
        <v>6022.8</v>
      </c>
      <c r="CH83">
        <v>6</v>
      </c>
      <c r="CI83">
        <v>5162.3999999999996</v>
      </c>
      <c r="CJ83">
        <v>8</v>
      </c>
      <c r="CK83">
        <v>6883.2</v>
      </c>
      <c r="CL83">
        <v>7</v>
      </c>
      <c r="CM83">
        <v>6022.8</v>
      </c>
      <c r="CN83">
        <v>8</v>
      </c>
      <c r="CO83">
        <v>6883.2</v>
      </c>
      <c r="CP83">
        <v>8</v>
      </c>
      <c r="CQ83">
        <v>6883.2</v>
      </c>
      <c r="CR83">
        <v>9</v>
      </c>
      <c r="CS83">
        <v>7743.5999999999995</v>
      </c>
      <c r="CT83">
        <v>8</v>
      </c>
      <c r="CU83">
        <v>6883.2</v>
      </c>
    </row>
    <row r="84" spans="2:99">
      <c r="C84" s="99" t="s">
        <v>251</v>
      </c>
      <c r="D84">
        <v>6</v>
      </c>
      <c r="E84">
        <v>4687.2</v>
      </c>
      <c r="F84">
        <v>5</v>
      </c>
      <c r="G84">
        <v>3905.9999999999995</v>
      </c>
      <c r="H84">
        <v>7</v>
      </c>
      <c r="I84">
        <v>5468.4</v>
      </c>
      <c r="J84">
        <v>5.7534246575342465</v>
      </c>
      <c r="K84">
        <v>4494.5753424657532</v>
      </c>
      <c r="L84">
        <v>8</v>
      </c>
      <c r="M84">
        <v>6249.5999999999995</v>
      </c>
      <c r="N84">
        <v>9</v>
      </c>
      <c r="O84">
        <v>7030.7999999999993</v>
      </c>
      <c r="P84">
        <v>8.5838150289017339</v>
      </c>
      <c r="Q84">
        <v>6705.676300578034</v>
      </c>
      <c r="R84">
        <v>6</v>
      </c>
      <c r="S84">
        <v>4687.2</v>
      </c>
      <c r="T84">
        <v>8</v>
      </c>
      <c r="U84">
        <v>6249.5999999999995</v>
      </c>
      <c r="V84">
        <v>6</v>
      </c>
      <c r="W84">
        <v>4687.2</v>
      </c>
      <c r="X84">
        <v>8</v>
      </c>
      <c r="Y84">
        <v>6249.5999999999995</v>
      </c>
      <c r="Z84">
        <v>8</v>
      </c>
      <c r="AA84">
        <v>6249.5999999999995</v>
      </c>
      <c r="AB84">
        <v>3.5474452554744529</v>
      </c>
      <c r="AC84">
        <v>2771.2642335766423</v>
      </c>
      <c r="AD84">
        <v>9.6117299277140605E-22</v>
      </c>
      <c r="AE84">
        <v>7.5086834195302232E-19</v>
      </c>
      <c r="AF84">
        <v>5.0769650387412729E-22</v>
      </c>
      <c r="AG84">
        <v>3.9661250882646821E-19</v>
      </c>
      <c r="AH84">
        <v>4.9500409127727411E-22</v>
      </c>
      <c r="AI84">
        <v>3.866971961058065E-19</v>
      </c>
      <c r="AJ84">
        <v>6.5882352941176467</v>
      </c>
      <c r="AK84">
        <v>5146.7294117647052</v>
      </c>
      <c r="AL84">
        <v>7.3669064748201443</v>
      </c>
      <c r="AM84">
        <v>5755.0273381294965</v>
      </c>
      <c r="AN84">
        <v>7.4322580645161294</v>
      </c>
      <c r="AO84">
        <v>5806.08</v>
      </c>
      <c r="AP84">
        <v>7.0136986301369859</v>
      </c>
      <c r="AQ84">
        <v>5479.1013698630131</v>
      </c>
      <c r="AR84">
        <v>8.3236994219653191</v>
      </c>
      <c r="AS84">
        <v>6502.4739884393066</v>
      </c>
      <c r="AT84">
        <v>8</v>
      </c>
      <c r="AU84">
        <v>6249.5999999999995</v>
      </c>
      <c r="AV84">
        <v>5</v>
      </c>
      <c r="AW84">
        <v>3905.9999999999995</v>
      </c>
      <c r="AX84">
        <v>9</v>
      </c>
      <c r="AY84">
        <v>7030.7999999999993</v>
      </c>
      <c r="AZ84">
        <v>7</v>
      </c>
      <c r="BA84">
        <v>5468.4</v>
      </c>
      <c r="BB84">
        <v>6</v>
      </c>
      <c r="BC84">
        <v>4687.2</v>
      </c>
      <c r="BD84">
        <v>9</v>
      </c>
      <c r="BE84">
        <v>7030.7999999999993</v>
      </c>
      <c r="BF84">
        <v>8</v>
      </c>
      <c r="BG84">
        <v>6249.5999999999995</v>
      </c>
      <c r="BH84">
        <v>8</v>
      </c>
      <c r="BI84">
        <v>6249.5999999999995</v>
      </c>
      <c r="BJ84">
        <v>5</v>
      </c>
      <c r="BK84">
        <v>3905.9999999999995</v>
      </c>
      <c r="BL84">
        <v>8</v>
      </c>
      <c r="BM84">
        <v>6249.5999999999995</v>
      </c>
      <c r="BN84">
        <v>9</v>
      </c>
      <c r="BO84">
        <v>7030.7999999999993</v>
      </c>
      <c r="BP84">
        <v>6</v>
      </c>
      <c r="BQ84">
        <v>4687.2</v>
      </c>
      <c r="BR84">
        <v>8</v>
      </c>
      <c r="BS84">
        <v>6249.5999999999995</v>
      </c>
      <c r="BT84">
        <v>8</v>
      </c>
      <c r="BU84">
        <v>6249.5999999999995</v>
      </c>
      <c r="BV84">
        <v>7</v>
      </c>
      <c r="BW84">
        <v>5468.4</v>
      </c>
      <c r="BX84">
        <v>6</v>
      </c>
      <c r="BY84">
        <v>4687.2</v>
      </c>
      <c r="BZ84">
        <v>10</v>
      </c>
      <c r="CA84">
        <v>7811.9999999999991</v>
      </c>
      <c r="CB84">
        <v>10</v>
      </c>
      <c r="CC84">
        <v>7811.9999999999991</v>
      </c>
      <c r="CD84">
        <v>7</v>
      </c>
      <c r="CE84">
        <v>5468.4</v>
      </c>
      <c r="CF84">
        <v>7</v>
      </c>
      <c r="CG84">
        <v>5468.4</v>
      </c>
      <c r="CH84">
        <v>7</v>
      </c>
      <c r="CI84">
        <v>5468.4</v>
      </c>
      <c r="CJ84">
        <v>9</v>
      </c>
      <c r="CK84">
        <v>7030.7999999999993</v>
      </c>
      <c r="CL84">
        <v>6</v>
      </c>
      <c r="CM84">
        <v>4687.2</v>
      </c>
      <c r="CN84">
        <v>8</v>
      </c>
      <c r="CO84">
        <v>6249.5999999999995</v>
      </c>
      <c r="CP84">
        <v>10</v>
      </c>
      <c r="CQ84">
        <v>7811.9999999999991</v>
      </c>
      <c r="CR84">
        <v>8</v>
      </c>
      <c r="CS84">
        <v>6249.5999999999995</v>
      </c>
      <c r="CT84">
        <v>8</v>
      </c>
      <c r="CU84">
        <v>6249.5999999999995</v>
      </c>
    </row>
    <row r="85" spans="2:99">
      <c r="C85" s="99" t="s">
        <v>252</v>
      </c>
      <c r="D85">
        <v>6</v>
      </c>
      <c r="E85">
        <v>900</v>
      </c>
      <c r="F85">
        <v>5</v>
      </c>
      <c r="G85">
        <v>750</v>
      </c>
      <c r="H85">
        <v>8</v>
      </c>
      <c r="I85">
        <v>1200</v>
      </c>
      <c r="J85">
        <v>6.5753424657534243</v>
      </c>
      <c r="K85">
        <v>986.30136986301363</v>
      </c>
      <c r="L85">
        <v>7</v>
      </c>
      <c r="M85">
        <v>1050</v>
      </c>
      <c r="N85">
        <v>9</v>
      </c>
      <c r="O85">
        <v>1350</v>
      </c>
      <c r="P85">
        <v>8.5838150289017339</v>
      </c>
      <c r="Q85">
        <v>1287.5722543352601</v>
      </c>
      <c r="R85">
        <v>6</v>
      </c>
      <c r="S85">
        <v>900</v>
      </c>
      <c r="T85">
        <v>10</v>
      </c>
      <c r="U85">
        <v>1500</v>
      </c>
      <c r="V85">
        <v>7</v>
      </c>
      <c r="W85">
        <v>1050</v>
      </c>
      <c r="X85">
        <v>9</v>
      </c>
      <c r="Y85">
        <v>1350</v>
      </c>
      <c r="Z85">
        <v>8</v>
      </c>
      <c r="AA85">
        <v>1200</v>
      </c>
      <c r="AB85">
        <v>4.7299270072992696</v>
      </c>
      <c r="AC85">
        <v>709.48905109489044</v>
      </c>
      <c r="AD85">
        <v>9.6117299277140605E-22</v>
      </c>
      <c r="AE85">
        <v>1.441759489157109E-19</v>
      </c>
      <c r="AF85">
        <v>5.0769650387412729E-22</v>
      </c>
      <c r="AG85">
        <v>7.6154475581119099E-20</v>
      </c>
      <c r="AH85">
        <v>5.6571896145974177E-22</v>
      </c>
      <c r="AI85">
        <v>8.4857844218961268E-20</v>
      </c>
      <c r="AJ85">
        <v>7.5294117647058822</v>
      </c>
      <c r="AK85">
        <v>1129.4117647058824</v>
      </c>
      <c r="AL85">
        <v>7.3669064748201443</v>
      </c>
      <c r="AM85">
        <v>1105.0359712230215</v>
      </c>
      <c r="AN85">
        <v>7.4322580645161294</v>
      </c>
      <c r="AO85">
        <v>1114.8387096774195</v>
      </c>
      <c r="AP85">
        <v>6.1369863013698627</v>
      </c>
      <c r="AQ85">
        <v>920.54794520547944</v>
      </c>
      <c r="AR85">
        <v>9.2485549132947966</v>
      </c>
      <c r="AS85">
        <v>1387.2832369942196</v>
      </c>
      <c r="AT85">
        <v>9</v>
      </c>
      <c r="AU85">
        <v>1350</v>
      </c>
      <c r="AV85">
        <v>6</v>
      </c>
      <c r="AW85">
        <v>900</v>
      </c>
      <c r="AX85">
        <v>10</v>
      </c>
      <c r="AY85">
        <v>1500</v>
      </c>
      <c r="AZ85">
        <v>9</v>
      </c>
      <c r="BA85">
        <v>1350</v>
      </c>
      <c r="BB85">
        <v>6</v>
      </c>
      <c r="BC85">
        <v>900</v>
      </c>
      <c r="BD85">
        <v>9</v>
      </c>
      <c r="BE85">
        <v>1350</v>
      </c>
      <c r="BF85">
        <v>8</v>
      </c>
      <c r="BG85">
        <v>1200</v>
      </c>
      <c r="BH85">
        <v>9</v>
      </c>
      <c r="BI85">
        <v>1350</v>
      </c>
      <c r="BJ85">
        <v>5</v>
      </c>
      <c r="BK85">
        <v>750</v>
      </c>
      <c r="BL85">
        <v>8</v>
      </c>
      <c r="BM85">
        <v>1200</v>
      </c>
      <c r="BN85">
        <v>9</v>
      </c>
      <c r="BO85">
        <v>1350</v>
      </c>
      <c r="BP85">
        <v>7</v>
      </c>
      <c r="BQ85">
        <v>1050</v>
      </c>
      <c r="BR85">
        <v>10</v>
      </c>
      <c r="BS85">
        <v>1500</v>
      </c>
      <c r="BT85">
        <v>9</v>
      </c>
      <c r="BU85">
        <v>1350</v>
      </c>
      <c r="BV85">
        <v>7</v>
      </c>
      <c r="BW85">
        <v>1050</v>
      </c>
      <c r="BX85">
        <v>6</v>
      </c>
      <c r="BY85">
        <v>900</v>
      </c>
      <c r="BZ85">
        <v>11</v>
      </c>
      <c r="CA85">
        <v>1650</v>
      </c>
      <c r="CB85">
        <v>11</v>
      </c>
      <c r="CC85">
        <v>1650</v>
      </c>
      <c r="CD85">
        <v>9</v>
      </c>
      <c r="CE85">
        <v>1350</v>
      </c>
      <c r="CF85">
        <v>7</v>
      </c>
      <c r="CG85">
        <v>1050</v>
      </c>
      <c r="CH85">
        <v>7</v>
      </c>
      <c r="CI85">
        <v>1050</v>
      </c>
      <c r="CJ85">
        <v>8</v>
      </c>
      <c r="CK85">
        <v>1200</v>
      </c>
      <c r="CL85">
        <v>6</v>
      </c>
      <c r="CM85">
        <v>900</v>
      </c>
      <c r="CN85">
        <v>8</v>
      </c>
      <c r="CO85">
        <v>1200</v>
      </c>
      <c r="CP85">
        <v>10</v>
      </c>
      <c r="CQ85">
        <v>1500</v>
      </c>
      <c r="CR85">
        <v>9</v>
      </c>
      <c r="CS85">
        <v>1350</v>
      </c>
      <c r="CT85">
        <v>10</v>
      </c>
      <c r="CU85">
        <v>1500</v>
      </c>
    </row>
    <row r="86" spans="2:99">
      <c r="C86" s="99" t="s">
        <v>253</v>
      </c>
      <c r="D86">
        <v>6</v>
      </c>
      <c r="E86">
        <v>3240</v>
      </c>
      <c r="F86">
        <v>5</v>
      </c>
      <c r="G86">
        <v>2700</v>
      </c>
      <c r="H86">
        <v>7</v>
      </c>
      <c r="I86">
        <v>3780</v>
      </c>
      <c r="J86">
        <v>5.7534246575342465</v>
      </c>
      <c r="K86">
        <v>3106.8493150684931</v>
      </c>
      <c r="L86">
        <v>7</v>
      </c>
      <c r="M86">
        <v>3780</v>
      </c>
      <c r="N86">
        <v>9</v>
      </c>
      <c r="O86">
        <v>4860</v>
      </c>
      <c r="P86">
        <v>9.5375722543352595</v>
      </c>
      <c r="Q86">
        <v>5150.2890173410397</v>
      </c>
      <c r="R86">
        <v>5</v>
      </c>
      <c r="S86">
        <v>2700</v>
      </c>
      <c r="T86">
        <v>9</v>
      </c>
      <c r="U86">
        <v>4860</v>
      </c>
      <c r="V86">
        <v>7</v>
      </c>
      <c r="W86">
        <v>3780</v>
      </c>
      <c r="X86">
        <v>8</v>
      </c>
      <c r="Y86">
        <v>4320</v>
      </c>
      <c r="Z86">
        <v>8</v>
      </c>
      <c r="AA86">
        <v>4320</v>
      </c>
      <c r="AB86">
        <v>3.5474452554744529</v>
      </c>
      <c r="AC86">
        <v>1915.6204379562046</v>
      </c>
      <c r="AD86">
        <v>9.6117299277140605E-22</v>
      </c>
      <c r="AE86">
        <v>5.1903341609655923E-19</v>
      </c>
      <c r="AF86">
        <v>5.9231258785314851E-22</v>
      </c>
      <c r="AG86">
        <v>3.1984879744070019E-19</v>
      </c>
      <c r="AH86">
        <v>4.9500409127727411E-22</v>
      </c>
      <c r="AI86">
        <v>2.6730220928972801E-19</v>
      </c>
      <c r="AJ86">
        <v>7.5294117647058822</v>
      </c>
      <c r="AK86">
        <v>4065.8823529411766</v>
      </c>
      <c r="AL86">
        <v>7.3669064748201443</v>
      </c>
      <c r="AM86">
        <v>3978.129496402878</v>
      </c>
      <c r="AN86">
        <v>6.6064516129032258</v>
      </c>
      <c r="AO86">
        <v>3567.483870967742</v>
      </c>
      <c r="AP86">
        <v>7.0136986301369859</v>
      </c>
      <c r="AQ86">
        <v>3787.3972602739723</v>
      </c>
      <c r="AR86">
        <v>8.3236994219653191</v>
      </c>
      <c r="AS86">
        <v>4494.7976878612726</v>
      </c>
      <c r="AT86">
        <v>8</v>
      </c>
      <c r="AU86">
        <v>4320</v>
      </c>
      <c r="AV86">
        <v>5</v>
      </c>
      <c r="AW86">
        <v>2700</v>
      </c>
      <c r="AX86">
        <v>10</v>
      </c>
      <c r="AY86">
        <v>5400</v>
      </c>
      <c r="AZ86">
        <v>7</v>
      </c>
      <c r="BA86">
        <v>3780</v>
      </c>
      <c r="BB86">
        <v>6</v>
      </c>
      <c r="BC86">
        <v>3240</v>
      </c>
      <c r="BD86">
        <v>8</v>
      </c>
      <c r="BE86">
        <v>4320</v>
      </c>
      <c r="BF86">
        <v>8</v>
      </c>
      <c r="BG86">
        <v>4320</v>
      </c>
      <c r="BH86">
        <v>8</v>
      </c>
      <c r="BI86">
        <v>4320</v>
      </c>
      <c r="BJ86">
        <v>6</v>
      </c>
      <c r="BK86">
        <v>3240</v>
      </c>
      <c r="BL86">
        <v>9</v>
      </c>
      <c r="BM86">
        <v>4860</v>
      </c>
      <c r="BN86">
        <v>9</v>
      </c>
      <c r="BO86">
        <v>4860</v>
      </c>
      <c r="BP86">
        <v>6</v>
      </c>
      <c r="BQ86">
        <v>3240</v>
      </c>
      <c r="BR86">
        <v>9</v>
      </c>
      <c r="BS86">
        <v>4860</v>
      </c>
      <c r="BT86">
        <v>7</v>
      </c>
      <c r="BU86">
        <v>3780</v>
      </c>
      <c r="BV86">
        <v>7</v>
      </c>
      <c r="BW86">
        <v>3780</v>
      </c>
      <c r="BX86">
        <v>6</v>
      </c>
      <c r="BY86">
        <v>3240</v>
      </c>
      <c r="BZ86">
        <v>9</v>
      </c>
      <c r="CA86">
        <v>4860</v>
      </c>
      <c r="CB86">
        <v>11</v>
      </c>
      <c r="CC86">
        <v>5940</v>
      </c>
      <c r="CD86">
        <v>8</v>
      </c>
      <c r="CE86">
        <v>4320</v>
      </c>
      <c r="CF86">
        <v>8</v>
      </c>
      <c r="CG86">
        <v>4320</v>
      </c>
      <c r="CH86">
        <v>6</v>
      </c>
      <c r="CI86">
        <v>3240</v>
      </c>
      <c r="CJ86">
        <v>9</v>
      </c>
      <c r="CK86">
        <v>4860</v>
      </c>
      <c r="CL86">
        <v>6</v>
      </c>
      <c r="CM86">
        <v>3240</v>
      </c>
      <c r="CN86">
        <v>7</v>
      </c>
      <c r="CO86">
        <v>3780</v>
      </c>
      <c r="CP86">
        <v>9</v>
      </c>
      <c r="CQ86">
        <v>4860</v>
      </c>
      <c r="CR86">
        <v>8</v>
      </c>
      <c r="CS86">
        <v>4320</v>
      </c>
      <c r="CT86">
        <v>10</v>
      </c>
      <c r="CU86">
        <v>5400</v>
      </c>
    </row>
    <row r="87" spans="2:99">
      <c r="B87" s="99" t="s">
        <v>131</v>
      </c>
      <c r="C87" s="99" t="s">
        <v>254</v>
      </c>
      <c r="D87">
        <v>12</v>
      </c>
      <c r="E87">
        <v>12888</v>
      </c>
      <c r="F87">
        <v>11</v>
      </c>
      <c r="G87">
        <v>11814</v>
      </c>
      <c r="H87">
        <v>7</v>
      </c>
      <c r="I87">
        <v>7518</v>
      </c>
      <c r="J87">
        <v>10</v>
      </c>
      <c r="K87">
        <v>10740</v>
      </c>
      <c r="L87">
        <v>7</v>
      </c>
      <c r="M87">
        <v>7518</v>
      </c>
      <c r="N87">
        <v>10</v>
      </c>
      <c r="O87">
        <v>10740</v>
      </c>
      <c r="P87">
        <v>7</v>
      </c>
      <c r="Q87">
        <v>7518</v>
      </c>
      <c r="R87">
        <v>8</v>
      </c>
      <c r="S87">
        <v>8592</v>
      </c>
      <c r="T87">
        <v>10</v>
      </c>
      <c r="U87">
        <v>10740</v>
      </c>
      <c r="V87">
        <v>10</v>
      </c>
      <c r="W87">
        <v>10740</v>
      </c>
      <c r="X87">
        <v>10</v>
      </c>
      <c r="Y87">
        <v>10740</v>
      </c>
      <c r="Z87">
        <v>7</v>
      </c>
      <c r="AA87">
        <v>7518</v>
      </c>
      <c r="AB87">
        <v>7</v>
      </c>
      <c r="AC87">
        <v>7518</v>
      </c>
      <c r="AD87">
        <v>8</v>
      </c>
      <c r="AE87">
        <v>8592</v>
      </c>
      <c r="AF87">
        <v>9</v>
      </c>
      <c r="AG87">
        <v>9666</v>
      </c>
      <c r="AH87">
        <v>12</v>
      </c>
      <c r="AI87">
        <v>12888</v>
      </c>
      <c r="AJ87">
        <v>8</v>
      </c>
      <c r="AK87">
        <v>8592</v>
      </c>
      <c r="AL87">
        <v>6</v>
      </c>
      <c r="AM87">
        <v>6444</v>
      </c>
      <c r="AN87">
        <v>8</v>
      </c>
      <c r="AO87">
        <v>8592</v>
      </c>
      <c r="AP87">
        <v>6</v>
      </c>
      <c r="AQ87">
        <v>6444</v>
      </c>
      <c r="AR87">
        <v>10</v>
      </c>
      <c r="AS87">
        <v>10740</v>
      </c>
      <c r="AT87">
        <v>10</v>
      </c>
      <c r="AU87">
        <v>10740</v>
      </c>
      <c r="AV87">
        <v>8</v>
      </c>
      <c r="AW87">
        <v>8592</v>
      </c>
      <c r="AX87">
        <v>7</v>
      </c>
      <c r="AY87">
        <v>7518</v>
      </c>
      <c r="AZ87">
        <v>13</v>
      </c>
      <c r="BA87">
        <v>13962</v>
      </c>
      <c r="BB87">
        <v>11</v>
      </c>
      <c r="BC87">
        <v>11814</v>
      </c>
      <c r="BD87">
        <v>9</v>
      </c>
      <c r="BE87">
        <v>9666</v>
      </c>
      <c r="BF87">
        <v>7</v>
      </c>
      <c r="BG87">
        <v>7518</v>
      </c>
      <c r="BH87">
        <v>7</v>
      </c>
      <c r="BI87">
        <v>7518</v>
      </c>
      <c r="BJ87">
        <v>7</v>
      </c>
      <c r="BK87">
        <v>7518</v>
      </c>
      <c r="BL87">
        <v>10</v>
      </c>
      <c r="BM87">
        <v>10740</v>
      </c>
      <c r="BN87">
        <v>8</v>
      </c>
      <c r="BO87">
        <v>8592</v>
      </c>
      <c r="BP87">
        <v>7</v>
      </c>
      <c r="BQ87">
        <v>7518</v>
      </c>
      <c r="BR87">
        <v>13</v>
      </c>
      <c r="BS87">
        <v>13962</v>
      </c>
      <c r="BT87">
        <v>10</v>
      </c>
      <c r="BU87">
        <v>10740</v>
      </c>
      <c r="BV87">
        <v>8</v>
      </c>
      <c r="BW87">
        <v>8592</v>
      </c>
      <c r="BX87">
        <v>11</v>
      </c>
      <c r="BY87">
        <v>11814</v>
      </c>
      <c r="BZ87">
        <v>8</v>
      </c>
      <c r="CA87">
        <v>8592</v>
      </c>
      <c r="CB87">
        <v>11</v>
      </c>
      <c r="CC87">
        <v>11814</v>
      </c>
      <c r="CD87">
        <v>11</v>
      </c>
      <c r="CE87">
        <v>11814</v>
      </c>
      <c r="CF87">
        <v>9</v>
      </c>
      <c r="CG87">
        <v>9666</v>
      </c>
      <c r="CH87">
        <v>8</v>
      </c>
      <c r="CI87">
        <v>8592</v>
      </c>
      <c r="CJ87">
        <v>9</v>
      </c>
      <c r="CK87">
        <v>9666</v>
      </c>
      <c r="CL87">
        <v>8</v>
      </c>
      <c r="CM87">
        <v>8592</v>
      </c>
      <c r="CN87">
        <v>13</v>
      </c>
      <c r="CO87">
        <v>13962</v>
      </c>
      <c r="CP87">
        <v>11</v>
      </c>
      <c r="CQ87">
        <v>11814</v>
      </c>
      <c r="CR87">
        <v>12</v>
      </c>
      <c r="CS87">
        <v>12888</v>
      </c>
      <c r="CT87">
        <v>12</v>
      </c>
      <c r="CU87">
        <v>12888</v>
      </c>
    </row>
    <row r="88" spans="2:99">
      <c r="C88" s="99" t="s">
        <v>255</v>
      </c>
      <c r="D88">
        <v>12</v>
      </c>
      <c r="E88">
        <v>11908.8</v>
      </c>
      <c r="F88">
        <v>10</v>
      </c>
      <c r="G88">
        <v>9924</v>
      </c>
      <c r="H88">
        <v>6</v>
      </c>
      <c r="I88">
        <v>5954.4</v>
      </c>
      <c r="J88">
        <v>10</v>
      </c>
      <c r="K88">
        <v>9924</v>
      </c>
      <c r="L88">
        <v>9</v>
      </c>
      <c r="M88">
        <v>8931.6</v>
      </c>
      <c r="N88">
        <v>10</v>
      </c>
      <c r="O88">
        <v>9924</v>
      </c>
      <c r="P88">
        <v>7</v>
      </c>
      <c r="Q88">
        <v>6946.8</v>
      </c>
      <c r="R88">
        <v>7</v>
      </c>
      <c r="S88">
        <v>6946.8</v>
      </c>
      <c r="T88">
        <v>10</v>
      </c>
      <c r="U88">
        <v>9924</v>
      </c>
      <c r="V88">
        <v>11</v>
      </c>
      <c r="W88">
        <v>10916.4</v>
      </c>
      <c r="X88">
        <v>11</v>
      </c>
      <c r="Y88">
        <v>10916.4</v>
      </c>
      <c r="Z88">
        <v>8</v>
      </c>
      <c r="AA88">
        <v>7939.2</v>
      </c>
      <c r="AB88">
        <v>6</v>
      </c>
      <c r="AC88">
        <v>5954.4</v>
      </c>
      <c r="AD88">
        <v>9</v>
      </c>
      <c r="AE88">
        <v>8931.6</v>
      </c>
      <c r="AF88">
        <v>8</v>
      </c>
      <c r="AG88">
        <v>7939.2</v>
      </c>
      <c r="AH88">
        <v>11</v>
      </c>
      <c r="AI88">
        <v>10916.4</v>
      </c>
      <c r="AJ88">
        <v>8</v>
      </c>
      <c r="AK88">
        <v>7939.2</v>
      </c>
      <c r="AL88">
        <v>6</v>
      </c>
      <c r="AM88">
        <v>5954.4</v>
      </c>
      <c r="AN88">
        <v>7</v>
      </c>
      <c r="AO88">
        <v>6946.8</v>
      </c>
      <c r="AP88">
        <v>7</v>
      </c>
      <c r="AQ88">
        <v>6946.8</v>
      </c>
      <c r="AR88">
        <v>10</v>
      </c>
      <c r="AS88">
        <v>9924</v>
      </c>
      <c r="AT88">
        <v>11</v>
      </c>
      <c r="AU88">
        <v>10916.4</v>
      </c>
      <c r="AV88">
        <v>9</v>
      </c>
      <c r="AW88">
        <v>8931.6</v>
      </c>
      <c r="AX88">
        <v>7</v>
      </c>
      <c r="AY88">
        <v>6946.8</v>
      </c>
      <c r="AZ88">
        <v>13</v>
      </c>
      <c r="BA88">
        <v>12901.199999999999</v>
      </c>
      <c r="BB88">
        <v>12</v>
      </c>
      <c r="BC88">
        <v>11908.8</v>
      </c>
      <c r="BD88">
        <v>9</v>
      </c>
      <c r="BE88">
        <v>8931.6</v>
      </c>
      <c r="BF88">
        <v>7</v>
      </c>
      <c r="BG88">
        <v>6946.8</v>
      </c>
      <c r="BH88">
        <v>7</v>
      </c>
      <c r="BI88">
        <v>6946.8</v>
      </c>
      <c r="BJ88">
        <v>7</v>
      </c>
      <c r="BK88">
        <v>6946.8</v>
      </c>
      <c r="BL88">
        <v>11</v>
      </c>
      <c r="BM88">
        <v>10916.4</v>
      </c>
      <c r="BN88">
        <v>8</v>
      </c>
      <c r="BO88">
        <v>7939.2</v>
      </c>
      <c r="BP88">
        <v>8</v>
      </c>
      <c r="BQ88">
        <v>7939.2</v>
      </c>
      <c r="BR88">
        <v>11</v>
      </c>
      <c r="BS88">
        <v>10916.4</v>
      </c>
      <c r="BT88">
        <v>10</v>
      </c>
      <c r="BU88">
        <v>9924</v>
      </c>
      <c r="BV88">
        <v>9</v>
      </c>
      <c r="BW88">
        <v>8931.6</v>
      </c>
      <c r="BX88">
        <v>11</v>
      </c>
      <c r="BY88">
        <v>10916.4</v>
      </c>
      <c r="BZ88">
        <v>7</v>
      </c>
      <c r="CA88">
        <v>6946.8</v>
      </c>
      <c r="CB88">
        <v>13</v>
      </c>
      <c r="CC88">
        <v>12901.199999999999</v>
      </c>
      <c r="CD88">
        <v>11</v>
      </c>
      <c r="CE88">
        <v>10916.4</v>
      </c>
      <c r="CF88">
        <v>11</v>
      </c>
      <c r="CG88">
        <v>10916.4</v>
      </c>
      <c r="CH88">
        <v>9</v>
      </c>
      <c r="CI88">
        <v>8931.6</v>
      </c>
      <c r="CJ88">
        <v>9</v>
      </c>
      <c r="CK88">
        <v>8931.6</v>
      </c>
      <c r="CL88">
        <v>7</v>
      </c>
      <c r="CM88">
        <v>6946.8</v>
      </c>
      <c r="CN88">
        <v>12</v>
      </c>
      <c r="CO88">
        <v>11908.8</v>
      </c>
      <c r="CP88">
        <v>10</v>
      </c>
      <c r="CQ88">
        <v>9924</v>
      </c>
      <c r="CR88">
        <v>12</v>
      </c>
      <c r="CS88">
        <v>11908.8</v>
      </c>
      <c r="CT88">
        <v>13</v>
      </c>
      <c r="CU88">
        <v>12901.199999999999</v>
      </c>
    </row>
    <row r="89" spans="2:99">
      <c r="C89" s="99" t="s">
        <v>256</v>
      </c>
      <c r="D89">
        <v>10</v>
      </c>
      <c r="E89">
        <v>10620</v>
      </c>
      <c r="F89">
        <v>11</v>
      </c>
      <c r="G89">
        <v>11682</v>
      </c>
      <c r="H89">
        <v>6</v>
      </c>
      <c r="I89">
        <v>6372</v>
      </c>
      <c r="J89">
        <v>10</v>
      </c>
      <c r="K89">
        <v>10620</v>
      </c>
      <c r="L89">
        <v>8</v>
      </c>
      <c r="M89">
        <v>8496</v>
      </c>
      <c r="N89">
        <v>10</v>
      </c>
      <c r="O89">
        <v>10620</v>
      </c>
      <c r="P89">
        <v>7</v>
      </c>
      <c r="Q89">
        <v>7434</v>
      </c>
      <c r="R89">
        <v>7</v>
      </c>
      <c r="S89">
        <v>7434</v>
      </c>
      <c r="T89">
        <v>10</v>
      </c>
      <c r="U89">
        <v>10620</v>
      </c>
      <c r="V89">
        <v>11</v>
      </c>
      <c r="W89">
        <v>11682</v>
      </c>
      <c r="X89">
        <v>9</v>
      </c>
      <c r="Y89">
        <v>9558</v>
      </c>
      <c r="Z89">
        <v>8</v>
      </c>
      <c r="AA89">
        <v>8496</v>
      </c>
      <c r="AB89">
        <v>7</v>
      </c>
      <c r="AC89">
        <v>7434</v>
      </c>
      <c r="AD89">
        <v>8</v>
      </c>
      <c r="AE89">
        <v>8496</v>
      </c>
      <c r="AF89">
        <v>10</v>
      </c>
      <c r="AG89">
        <v>10620</v>
      </c>
      <c r="AH89">
        <v>12</v>
      </c>
      <c r="AI89">
        <v>12744</v>
      </c>
      <c r="AJ89">
        <v>9</v>
      </c>
      <c r="AK89">
        <v>9558</v>
      </c>
      <c r="AL89">
        <v>7</v>
      </c>
      <c r="AM89">
        <v>7434</v>
      </c>
      <c r="AN89">
        <v>7</v>
      </c>
      <c r="AO89">
        <v>7434</v>
      </c>
      <c r="AP89">
        <v>7</v>
      </c>
      <c r="AQ89">
        <v>7434</v>
      </c>
      <c r="AR89">
        <v>9</v>
      </c>
      <c r="AS89">
        <v>9558</v>
      </c>
      <c r="AT89">
        <v>11</v>
      </c>
      <c r="AU89">
        <v>11682</v>
      </c>
      <c r="AV89">
        <v>9</v>
      </c>
      <c r="AW89">
        <v>9558</v>
      </c>
      <c r="AX89">
        <v>8</v>
      </c>
      <c r="AY89">
        <v>8496</v>
      </c>
      <c r="AZ89">
        <v>12</v>
      </c>
      <c r="BA89">
        <v>12744</v>
      </c>
      <c r="BB89">
        <v>12</v>
      </c>
      <c r="BC89">
        <v>12744</v>
      </c>
      <c r="BD89">
        <v>9</v>
      </c>
      <c r="BE89">
        <v>9558</v>
      </c>
      <c r="BF89">
        <v>6</v>
      </c>
      <c r="BG89">
        <v>6372</v>
      </c>
      <c r="BH89">
        <v>7</v>
      </c>
      <c r="BI89">
        <v>7434</v>
      </c>
      <c r="BJ89">
        <v>6</v>
      </c>
      <c r="BK89">
        <v>6372</v>
      </c>
      <c r="BL89">
        <v>11</v>
      </c>
      <c r="BM89">
        <v>11682</v>
      </c>
      <c r="BN89">
        <v>7</v>
      </c>
      <c r="BO89">
        <v>7434</v>
      </c>
      <c r="BP89">
        <v>8</v>
      </c>
      <c r="BQ89">
        <v>8496</v>
      </c>
      <c r="BR89">
        <v>11</v>
      </c>
      <c r="BS89">
        <v>11682</v>
      </c>
      <c r="BT89">
        <v>9</v>
      </c>
      <c r="BU89">
        <v>9558</v>
      </c>
      <c r="BV89">
        <v>8</v>
      </c>
      <c r="BW89">
        <v>8496</v>
      </c>
      <c r="BX89">
        <v>12</v>
      </c>
      <c r="BY89">
        <v>12744</v>
      </c>
      <c r="BZ89">
        <v>8</v>
      </c>
      <c r="CA89">
        <v>8496</v>
      </c>
      <c r="CB89">
        <v>12</v>
      </c>
      <c r="CC89">
        <v>12744</v>
      </c>
      <c r="CD89">
        <v>11</v>
      </c>
      <c r="CE89">
        <v>11682</v>
      </c>
      <c r="CF89">
        <v>10</v>
      </c>
      <c r="CG89">
        <v>10620</v>
      </c>
      <c r="CH89">
        <v>8</v>
      </c>
      <c r="CI89">
        <v>8496</v>
      </c>
      <c r="CJ89">
        <v>10</v>
      </c>
      <c r="CK89">
        <v>10620</v>
      </c>
      <c r="CL89">
        <v>9</v>
      </c>
      <c r="CM89">
        <v>9558</v>
      </c>
      <c r="CN89">
        <v>13</v>
      </c>
      <c r="CO89">
        <v>13806</v>
      </c>
      <c r="CP89">
        <v>11</v>
      </c>
      <c r="CQ89">
        <v>11682</v>
      </c>
      <c r="CR89">
        <v>11</v>
      </c>
      <c r="CS89">
        <v>11682</v>
      </c>
      <c r="CT89">
        <v>12</v>
      </c>
      <c r="CU89">
        <v>12744</v>
      </c>
    </row>
    <row r="90" spans="2:99">
      <c r="C90" s="99" t="s">
        <v>257</v>
      </c>
      <c r="D90">
        <v>11</v>
      </c>
      <c r="E90">
        <v>12196.8</v>
      </c>
      <c r="F90">
        <v>12</v>
      </c>
      <c r="G90">
        <v>13305.599999999999</v>
      </c>
      <c r="H90">
        <v>7</v>
      </c>
      <c r="I90">
        <v>7761.5999999999995</v>
      </c>
      <c r="J90">
        <v>11</v>
      </c>
      <c r="K90">
        <v>12196.8</v>
      </c>
      <c r="L90">
        <v>8</v>
      </c>
      <c r="M90">
        <v>8870.4</v>
      </c>
      <c r="N90">
        <v>11</v>
      </c>
      <c r="O90">
        <v>12196.8</v>
      </c>
      <c r="P90">
        <v>7</v>
      </c>
      <c r="Q90">
        <v>7761.5999999999995</v>
      </c>
      <c r="R90">
        <v>8</v>
      </c>
      <c r="S90">
        <v>8870.4</v>
      </c>
      <c r="T90">
        <v>10</v>
      </c>
      <c r="U90">
        <v>11088</v>
      </c>
      <c r="V90">
        <v>11</v>
      </c>
      <c r="W90">
        <v>12196.8</v>
      </c>
      <c r="X90">
        <v>9</v>
      </c>
      <c r="Y90">
        <v>9979.1999999999989</v>
      </c>
      <c r="Z90">
        <v>7</v>
      </c>
      <c r="AA90">
        <v>7761.5999999999995</v>
      </c>
      <c r="AB90">
        <v>6</v>
      </c>
      <c r="AC90">
        <v>6652.7999999999993</v>
      </c>
      <c r="AD90">
        <v>8</v>
      </c>
      <c r="AE90">
        <v>8870.4</v>
      </c>
      <c r="AF90">
        <v>9</v>
      </c>
      <c r="AG90">
        <v>9979.1999999999989</v>
      </c>
      <c r="AH90">
        <v>11</v>
      </c>
      <c r="AI90">
        <v>12196.8</v>
      </c>
      <c r="AJ90">
        <v>8</v>
      </c>
      <c r="AK90">
        <v>8870.4</v>
      </c>
      <c r="AL90">
        <v>6</v>
      </c>
      <c r="AM90">
        <v>6652.7999999999993</v>
      </c>
      <c r="AN90">
        <v>8</v>
      </c>
      <c r="AO90">
        <v>8870.4</v>
      </c>
      <c r="AP90">
        <v>7</v>
      </c>
      <c r="AQ90">
        <v>7761.5999999999995</v>
      </c>
      <c r="AR90">
        <v>10</v>
      </c>
      <c r="AS90">
        <v>11088</v>
      </c>
      <c r="AT90">
        <v>11</v>
      </c>
      <c r="AU90">
        <v>12196.8</v>
      </c>
      <c r="AV90">
        <v>9</v>
      </c>
      <c r="AW90">
        <v>9979.1999999999989</v>
      </c>
      <c r="AX90">
        <v>7</v>
      </c>
      <c r="AY90">
        <v>7761.5999999999995</v>
      </c>
      <c r="AZ90">
        <v>12</v>
      </c>
      <c r="BA90">
        <v>13305.599999999999</v>
      </c>
      <c r="BB90">
        <v>10</v>
      </c>
      <c r="BC90">
        <v>11088</v>
      </c>
      <c r="BD90">
        <v>9</v>
      </c>
      <c r="BE90">
        <v>9979.1999999999989</v>
      </c>
      <c r="BF90">
        <v>6</v>
      </c>
      <c r="BG90">
        <v>6652.7999999999993</v>
      </c>
      <c r="BH90">
        <v>7</v>
      </c>
      <c r="BI90">
        <v>7761.5999999999995</v>
      </c>
      <c r="BJ90">
        <v>6</v>
      </c>
      <c r="BK90">
        <v>6652.7999999999993</v>
      </c>
      <c r="BL90">
        <v>10</v>
      </c>
      <c r="BM90">
        <v>11088</v>
      </c>
      <c r="BN90">
        <v>8</v>
      </c>
      <c r="BO90">
        <v>8870.4</v>
      </c>
      <c r="BP90">
        <v>8</v>
      </c>
      <c r="BQ90">
        <v>8870.4</v>
      </c>
      <c r="BR90">
        <v>12</v>
      </c>
      <c r="BS90">
        <v>13305.599999999999</v>
      </c>
      <c r="BT90">
        <v>10</v>
      </c>
      <c r="BU90">
        <v>11088</v>
      </c>
      <c r="BV90">
        <v>8</v>
      </c>
      <c r="BW90">
        <v>8870.4</v>
      </c>
      <c r="BX90">
        <v>12</v>
      </c>
      <c r="BY90">
        <v>13305.599999999999</v>
      </c>
      <c r="BZ90">
        <v>8</v>
      </c>
      <c r="CA90">
        <v>8870.4</v>
      </c>
      <c r="CB90">
        <v>11</v>
      </c>
      <c r="CC90">
        <v>12196.8</v>
      </c>
      <c r="CD90">
        <v>10</v>
      </c>
      <c r="CE90">
        <v>11088</v>
      </c>
      <c r="CF90">
        <v>9</v>
      </c>
      <c r="CG90">
        <v>9979.1999999999989</v>
      </c>
      <c r="CH90">
        <v>9</v>
      </c>
      <c r="CI90">
        <v>9979.1999999999989</v>
      </c>
      <c r="CJ90">
        <v>9</v>
      </c>
      <c r="CK90">
        <v>9979.1999999999989</v>
      </c>
      <c r="CL90">
        <v>8</v>
      </c>
      <c r="CM90">
        <v>8870.4</v>
      </c>
      <c r="CN90">
        <v>13</v>
      </c>
      <c r="CO90">
        <v>14414.4</v>
      </c>
      <c r="CP90">
        <v>10</v>
      </c>
      <c r="CQ90">
        <v>11088</v>
      </c>
      <c r="CR90">
        <v>13</v>
      </c>
      <c r="CS90">
        <v>14414.4</v>
      </c>
      <c r="CT90">
        <v>12</v>
      </c>
      <c r="CU90">
        <v>13305.599999999999</v>
      </c>
    </row>
    <row r="91" spans="2:99">
      <c r="C91" s="99" t="s">
        <v>258</v>
      </c>
      <c r="D91">
        <v>11</v>
      </c>
      <c r="E91">
        <v>12500.399999999998</v>
      </c>
      <c r="F91">
        <v>10</v>
      </c>
      <c r="G91">
        <v>11363.999999999998</v>
      </c>
      <c r="H91">
        <v>6</v>
      </c>
      <c r="I91">
        <v>6818.4</v>
      </c>
      <c r="J91">
        <v>11</v>
      </c>
      <c r="K91">
        <v>12500.399999999998</v>
      </c>
      <c r="L91">
        <v>8</v>
      </c>
      <c r="M91">
        <v>9091.1999999999989</v>
      </c>
      <c r="N91">
        <v>10</v>
      </c>
      <c r="O91">
        <v>11363.999999999998</v>
      </c>
      <c r="P91">
        <v>7</v>
      </c>
      <c r="Q91">
        <v>7954.7999999999993</v>
      </c>
      <c r="R91">
        <v>8</v>
      </c>
      <c r="S91">
        <v>9091.1999999999989</v>
      </c>
      <c r="T91">
        <v>10</v>
      </c>
      <c r="U91">
        <v>11363.999999999998</v>
      </c>
      <c r="V91">
        <v>10</v>
      </c>
      <c r="W91">
        <v>11363.999999999998</v>
      </c>
      <c r="X91">
        <v>10</v>
      </c>
      <c r="Y91">
        <v>11363.999999999998</v>
      </c>
      <c r="Z91">
        <v>8</v>
      </c>
      <c r="AA91">
        <v>9091.1999999999989</v>
      </c>
      <c r="AB91">
        <v>6</v>
      </c>
      <c r="AC91">
        <v>6818.4</v>
      </c>
      <c r="AD91">
        <v>9</v>
      </c>
      <c r="AE91">
        <v>10227.599999999999</v>
      </c>
      <c r="AF91">
        <v>9</v>
      </c>
      <c r="AG91">
        <v>10227.599999999999</v>
      </c>
      <c r="AH91">
        <v>13</v>
      </c>
      <c r="AI91">
        <v>14773.199999999999</v>
      </c>
      <c r="AJ91">
        <v>9</v>
      </c>
      <c r="AK91">
        <v>10227.599999999999</v>
      </c>
      <c r="AL91">
        <v>7</v>
      </c>
      <c r="AM91">
        <v>7954.7999999999993</v>
      </c>
      <c r="AN91">
        <v>8</v>
      </c>
      <c r="AO91">
        <v>9091.1999999999989</v>
      </c>
      <c r="AP91">
        <v>7</v>
      </c>
      <c r="AQ91">
        <v>7954.7999999999993</v>
      </c>
      <c r="AR91">
        <v>9</v>
      </c>
      <c r="AS91">
        <v>10227.599999999999</v>
      </c>
      <c r="AT91">
        <v>10</v>
      </c>
      <c r="AU91">
        <v>11363.999999999998</v>
      </c>
      <c r="AV91">
        <v>7</v>
      </c>
      <c r="AW91">
        <v>7954.7999999999993</v>
      </c>
      <c r="AX91">
        <v>7</v>
      </c>
      <c r="AY91">
        <v>7954.7999999999993</v>
      </c>
      <c r="AZ91">
        <v>11</v>
      </c>
      <c r="BA91">
        <v>12500.399999999998</v>
      </c>
      <c r="BB91">
        <v>10</v>
      </c>
      <c r="BC91">
        <v>11363.999999999998</v>
      </c>
      <c r="BD91">
        <v>10</v>
      </c>
      <c r="BE91">
        <v>11363.999999999998</v>
      </c>
      <c r="BF91">
        <v>6</v>
      </c>
      <c r="BG91">
        <v>6818.4</v>
      </c>
      <c r="BH91">
        <v>7</v>
      </c>
      <c r="BI91">
        <v>7954.7999999999993</v>
      </c>
      <c r="BJ91">
        <v>6</v>
      </c>
      <c r="BK91">
        <v>6818.4</v>
      </c>
      <c r="BL91">
        <v>10</v>
      </c>
      <c r="BM91">
        <v>11363.999999999998</v>
      </c>
      <c r="BN91">
        <v>7</v>
      </c>
      <c r="BO91">
        <v>7954.7999999999993</v>
      </c>
      <c r="BP91">
        <v>8</v>
      </c>
      <c r="BQ91">
        <v>9091.1999999999989</v>
      </c>
      <c r="BR91">
        <v>11</v>
      </c>
      <c r="BS91">
        <v>12500.399999999998</v>
      </c>
      <c r="BT91">
        <v>10</v>
      </c>
      <c r="BU91">
        <v>11363.999999999998</v>
      </c>
      <c r="BV91">
        <v>9</v>
      </c>
      <c r="BW91">
        <v>10227.599999999999</v>
      </c>
      <c r="BX91">
        <v>11</v>
      </c>
      <c r="BY91">
        <v>12500.399999999998</v>
      </c>
      <c r="BZ91">
        <v>7</v>
      </c>
      <c r="CA91">
        <v>7954.7999999999993</v>
      </c>
      <c r="CB91">
        <v>11</v>
      </c>
      <c r="CC91">
        <v>12500.399999999998</v>
      </c>
      <c r="CD91">
        <v>11</v>
      </c>
      <c r="CE91">
        <v>12500.399999999998</v>
      </c>
      <c r="CF91">
        <v>11</v>
      </c>
      <c r="CG91">
        <v>12500.399999999998</v>
      </c>
      <c r="CH91">
        <v>9</v>
      </c>
      <c r="CI91">
        <v>10227.599999999999</v>
      </c>
      <c r="CJ91">
        <v>9</v>
      </c>
      <c r="CK91">
        <v>10227.599999999999</v>
      </c>
      <c r="CL91">
        <v>9</v>
      </c>
      <c r="CM91">
        <v>10227.599999999999</v>
      </c>
      <c r="CN91">
        <v>12</v>
      </c>
      <c r="CO91">
        <v>13636.8</v>
      </c>
      <c r="CP91">
        <v>10</v>
      </c>
      <c r="CQ91">
        <v>11363.999999999998</v>
      </c>
      <c r="CR91">
        <v>13</v>
      </c>
      <c r="CS91">
        <v>14773.199999999999</v>
      </c>
      <c r="CT91">
        <v>11</v>
      </c>
      <c r="CU91">
        <v>12500.399999999998</v>
      </c>
    </row>
    <row r="92" spans="2:99">
      <c r="C92" s="99" t="s">
        <v>259</v>
      </c>
      <c r="D92">
        <v>11</v>
      </c>
      <c r="E92">
        <v>8632.7999999999993</v>
      </c>
      <c r="F92">
        <v>10</v>
      </c>
      <c r="G92">
        <v>7848</v>
      </c>
      <c r="H92">
        <v>6</v>
      </c>
      <c r="I92">
        <v>4708.7999999999993</v>
      </c>
      <c r="J92">
        <v>10</v>
      </c>
      <c r="K92">
        <v>7848</v>
      </c>
      <c r="L92">
        <v>8</v>
      </c>
      <c r="M92">
        <v>6278.4</v>
      </c>
      <c r="N92">
        <v>10</v>
      </c>
      <c r="O92">
        <v>7848</v>
      </c>
      <c r="P92">
        <v>7</v>
      </c>
      <c r="Q92">
        <v>5493.5999999999995</v>
      </c>
      <c r="R92">
        <v>8</v>
      </c>
      <c r="S92">
        <v>6278.4</v>
      </c>
      <c r="T92">
        <v>10</v>
      </c>
      <c r="U92">
        <v>7848</v>
      </c>
      <c r="V92">
        <v>11</v>
      </c>
      <c r="W92">
        <v>8632.7999999999993</v>
      </c>
      <c r="X92">
        <v>11</v>
      </c>
      <c r="Y92">
        <v>8632.7999999999993</v>
      </c>
      <c r="Z92">
        <v>7</v>
      </c>
      <c r="AA92">
        <v>5493.5999999999995</v>
      </c>
      <c r="AB92">
        <v>7</v>
      </c>
      <c r="AC92">
        <v>5493.5999999999995</v>
      </c>
      <c r="AD92">
        <v>9</v>
      </c>
      <c r="AE92">
        <v>7063.2</v>
      </c>
      <c r="AF92">
        <v>10</v>
      </c>
      <c r="AG92">
        <v>7848</v>
      </c>
      <c r="AH92">
        <v>12</v>
      </c>
      <c r="AI92">
        <v>9417.5999999999985</v>
      </c>
      <c r="AJ92">
        <v>10</v>
      </c>
      <c r="AK92">
        <v>7848</v>
      </c>
      <c r="AL92">
        <v>7</v>
      </c>
      <c r="AM92">
        <v>5493.5999999999995</v>
      </c>
      <c r="AN92">
        <v>8</v>
      </c>
      <c r="AO92">
        <v>6278.4</v>
      </c>
      <c r="AP92">
        <v>7</v>
      </c>
      <c r="AQ92">
        <v>5493.5999999999995</v>
      </c>
      <c r="AR92">
        <v>9</v>
      </c>
      <c r="AS92">
        <v>7063.2</v>
      </c>
      <c r="AT92">
        <v>11</v>
      </c>
      <c r="AU92">
        <v>8632.7999999999993</v>
      </c>
      <c r="AV92">
        <v>8</v>
      </c>
      <c r="AW92">
        <v>6278.4</v>
      </c>
      <c r="AX92">
        <v>7</v>
      </c>
      <c r="AY92">
        <v>5493.5999999999995</v>
      </c>
      <c r="AZ92">
        <v>12</v>
      </c>
      <c r="BA92">
        <v>9417.5999999999985</v>
      </c>
      <c r="BB92">
        <v>12</v>
      </c>
      <c r="BC92">
        <v>9417.5999999999985</v>
      </c>
      <c r="BD92">
        <v>9</v>
      </c>
      <c r="BE92">
        <v>7063.2</v>
      </c>
      <c r="BF92">
        <v>7</v>
      </c>
      <c r="BG92">
        <v>5493.5999999999995</v>
      </c>
      <c r="BH92">
        <v>8</v>
      </c>
      <c r="BI92">
        <v>6278.4</v>
      </c>
      <c r="BJ92">
        <v>7</v>
      </c>
      <c r="BK92">
        <v>5493.5999999999995</v>
      </c>
      <c r="BL92">
        <v>9</v>
      </c>
      <c r="BM92">
        <v>7063.2</v>
      </c>
      <c r="BN92">
        <v>8</v>
      </c>
      <c r="BO92">
        <v>6278.4</v>
      </c>
      <c r="BP92">
        <v>9</v>
      </c>
      <c r="BQ92">
        <v>7063.2</v>
      </c>
      <c r="BR92">
        <v>12</v>
      </c>
      <c r="BS92">
        <v>9417.5999999999985</v>
      </c>
      <c r="BT92">
        <v>10</v>
      </c>
      <c r="BU92">
        <v>7848</v>
      </c>
      <c r="BV92">
        <v>9</v>
      </c>
      <c r="BW92">
        <v>7063.2</v>
      </c>
      <c r="BX92">
        <v>10</v>
      </c>
      <c r="BY92">
        <v>7848</v>
      </c>
      <c r="BZ92">
        <v>7</v>
      </c>
      <c r="CA92">
        <v>5493.5999999999995</v>
      </c>
      <c r="CB92">
        <v>12</v>
      </c>
      <c r="CC92">
        <v>9417.5999999999985</v>
      </c>
      <c r="CD92">
        <v>11</v>
      </c>
      <c r="CE92">
        <v>8632.7999999999993</v>
      </c>
      <c r="CF92">
        <v>11</v>
      </c>
      <c r="CG92">
        <v>8632.7999999999993</v>
      </c>
      <c r="CH92">
        <v>9</v>
      </c>
      <c r="CI92">
        <v>7063.2</v>
      </c>
      <c r="CJ92">
        <v>9</v>
      </c>
      <c r="CK92">
        <v>7063.2</v>
      </c>
      <c r="CL92">
        <v>7</v>
      </c>
      <c r="CM92">
        <v>5493.5999999999995</v>
      </c>
      <c r="CN92">
        <v>13</v>
      </c>
      <c r="CO92">
        <v>10202.4</v>
      </c>
      <c r="CP92">
        <v>10</v>
      </c>
      <c r="CQ92">
        <v>7848</v>
      </c>
      <c r="CR92">
        <v>14</v>
      </c>
      <c r="CS92">
        <v>10987.199999999999</v>
      </c>
      <c r="CT92">
        <v>11</v>
      </c>
      <c r="CU92">
        <v>8632.7999999999993</v>
      </c>
    </row>
    <row r="93" spans="2:99">
      <c r="C93" s="99" t="s">
        <v>260</v>
      </c>
      <c r="D93">
        <v>12</v>
      </c>
      <c r="E93">
        <v>8323.2000000000007</v>
      </c>
      <c r="F93">
        <v>11</v>
      </c>
      <c r="G93">
        <v>7629.6</v>
      </c>
      <c r="H93">
        <v>6</v>
      </c>
      <c r="I93">
        <v>4161.6000000000004</v>
      </c>
      <c r="J93">
        <v>12</v>
      </c>
      <c r="K93">
        <v>8323.2000000000007</v>
      </c>
      <c r="L93">
        <v>9</v>
      </c>
      <c r="M93">
        <v>6242.4000000000005</v>
      </c>
      <c r="N93">
        <v>12</v>
      </c>
      <c r="O93">
        <v>8323.2000000000007</v>
      </c>
      <c r="P93">
        <v>7</v>
      </c>
      <c r="Q93">
        <v>4855.2</v>
      </c>
      <c r="R93">
        <v>8</v>
      </c>
      <c r="S93">
        <v>5548.8</v>
      </c>
      <c r="T93">
        <v>10</v>
      </c>
      <c r="U93">
        <v>6936</v>
      </c>
      <c r="V93">
        <v>11</v>
      </c>
      <c r="W93">
        <v>7629.6</v>
      </c>
      <c r="X93">
        <v>11</v>
      </c>
      <c r="Y93">
        <v>7629.6</v>
      </c>
      <c r="Z93">
        <v>9</v>
      </c>
      <c r="AA93">
        <v>6242.4000000000005</v>
      </c>
      <c r="AB93">
        <v>7</v>
      </c>
      <c r="AC93">
        <v>4855.2</v>
      </c>
      <c r="AD93">
        <v>8</v>
      </c>
      <c r="AE93">
        <v>5548.8</v>
      </c>
      <c r="AF93">
        <v>10</v>
      </c>
      <c r="AG93">
        <v>6936</v>
      </c>
      <c r="AH93">
        <v>11</v>
      </c>
      <c r="AI93">
        <v>7629.6</v>
      </c>
      <c r="AJ93">
        <v>9</v>
      </c>
      <c r="AK93">
        <v>6242.4000000000005</v>
      </c>
      <c r="AL93">
        <v>6</v>
      </c>
      <c r="AM93">
        <v>4161.6000000000004</v>
      </c>
      <c r="AN93">
        <v>9</v>
      </c>
      <c r="AO93">
        <v>6242.4000000000005</v>
      </c>
      <c r="AP93">
        <v>6</v>
      </c>
      <c r="AQ93">
        <v>4161.6000000000004</v>
      </c>
      <c r="AR93">
        <v>10</v>
      </c>
      <c r="AS93">
        <v>6936</v>
      </c>
      <c r="AT93">
        <v>11</v>
      </c>
      <c r="AU93">
        <v>7629.6</v>
      </c>
      <c r="AV93">
        <v>9</v>
      </c>
      <c r="AW93">
        <v>6242.4000000000005</v>
      </c>
      <c r="AX93">
        <v>7</v>
      </c>
      <c r="AY93">
        <v>4855.2</v>
      </c>
      <c r="AZ93">
        <v>13</v>
      </c>
      <c r="BA93">
        <v>9016.8000000000011</v>
      </c>
      <c r="BB93">
        <v>11</v>
      </c>
      <c r="BC93">
        <v>7629.6</v>
      </c>
      <c r="BD93">
        <v>10</v>
      </c>
      <c r="BE93">
        <v>6936</v>
      </c>
      <c r="BF93">
        <v>7</v>
      </c>
      <c r="BG93">
        <v>4855.2</v>
      </c>
      <c r="BH93">
        <v>7</v>
      </c>
      <c r="BI93">
        <v>4855.2</v>
      </c>
      <c r="BJ93">
        <v>7</v>
      </c>
      <c r="BK93">
        <v>4855.2</v>
      </c>
      <c r="BL93">
        <v>10</v>
      </c>
      <c r="BM93">
        <v>6936</v>
      </c>
      <c r="BN93">
        <v>8</v>
      </c>
      <c r="BO93">
        <v>5548.8</v>
      </c>
      <c r="BP93">
        <v>8</v>
      </c>
      <c r="BQ93">
        <v>5548.8</v>
      </c>
      <c r="BR93">
        <v>13</v>
      </c>
      <c r="BS93">
        <v>9016.8000000000011</v>
      </c>
      <c r="BT93">
        <v>11</v>
      </c>
      <c r="BU93">
        <v>7629.6</v>
      </c>
      <c r="BV93">
        <v>8</v>
      </c>
      <c r="BW93">
        <v>5548.8</v>
      </c>
      <c r="BX93">
        <v>11</v>
      </c>
      <c r="BY93">
        <v>7629.6</v>
      </c>
      <c r="BZ93">
        <v>8</v>
      </c>
      <c r="CA93">
        <v>5548.8</v>
      </c>
      <c r="CB93">
        <v>11</v>
      </c>
      <c r="CC93">
        <v>7629.6</v>
      </c>
      <c r="CD93">
        <v>11</v>
      </c>
      <c r="CE93">
        <v>7629.6</v>
      </c>
      <c r="CF93">
        <v>10</v>
      </c>
      <c r="CG93">
        <v>6936</v>
      </c>
      <c r="CH93">
        <v>9</v>
      </c>
      <c r="CI93">
        <v>6242.4000000000005</v>
      </c>
      <c r="CJ93">
        <v>10</v>
      </c>
      <c r="CK93">
        <v>6936</v>
      </c>
      <c r="CL93">
        <v>8</v>
      </c>
      <c r="CM93">
        <v>5548.8</v>
      </c>
      <c r="CN93">
        <v>12</v>
      </c>
      <c r="CO93">
        <v>8323.2000000000007</v>
      </c>
      <c r="CP93">
        <v>11</v>
      </c>
      <c r="CQ93">
        <v>7629.6</v>
      </c>
      <c r="CR93">
        <v>14</v>
      </c>
      <c r="CS93">
        <v>9710.4</v>
      </c>
      <c r="CT93">
        <v>11</v>
      </c>
      <c r="CU93">
        <v>7629.6</v>
      </c>
    </row>
    <row r="94" spans="2:99">
      <c r="C94" s="99" t="s">
        <v>261</v>
      </c>
      <c r="D94">
        <v>12</v>
      </c>
      <c r="E94">
        <v>14313.599999999999</v>
      </c>
      <c r="F94">
        <v>11</v>
      </c>
      <c r="G94">
        <v>13120.8</v>
      </c>
      <c r="H94">
        <v>6</v>
      </c>
      <c r="I94">
        <v>7156.7999999999993</v>
      </c>
      <c r="J94">
        <v>12</v>
      </c>
      <c r="K94">
        <v>14313.599999999999</v>
      </c>
      <c r="L94">
        <v>8</v>
      </c>
      <c r="M94">
        <v>9542.4</v>
      </c>
      <c r="N94">
        <v>9</v>
      </c>
      <c r="O94">
        <v>10735.199999999999</v>
      </c>
      <c r="P94">
        <v>6</v>
      </c>
      <c r="Q94">
        <v>7156.7999999999993</v>
      </c>
      <c r="R94">
        <v>7</v>
      </c>
      <c r="S94">
        <v>8349.6</v>
      </c>
      <c r="T94">
        <v>10</v>
      </c>
      <c r="U94">
        <v>11928</v>
      </c>
      <c r="V94">
        <v>11</v>
      </c>
      <c r="W94">
        <v>13120.8</v>
      </c>
      <c r="X94">
        <v>10</v>
      </c>
      <c r="Y94">
        <v>11928</v>
      </c>
      <c r="Z94">
        <v>8</v>
      </c>
      <c r="AA94">
        <v>9542.4</v>
      </c>
      <c r="AB94">
        <v>7</v>
      </c>
      <c r="AC94">
        <v>8349.6</v>
      </c>
      <c r="AD94">
        <v>8</v>
      </c>
      <c r="AE94">
        <v>9542.4</v>
      </c>
      <c r="AF94">
        <v>9</v>
      </c>
      <c r="AG94">
        <v>10735.199999999999</v>
      </c>
      <c r="AH94">
        <v>11</v>
      </c>
      <c r="AI94">
        <v>13120.8</v>
      </c>
      <c r="AJ94">
        <v>9</v>
      </c>
      <c r="AK94">
        <v>10735.199999999999</v>
      </c>
      <c r="AL94">
        <v>7</v>
      </c>
      <c r="AM94">
        <v>8349.6</v>
      </c>
      <c r="AN94">
        <v>8</v>
      </c>
      <c r="AO94">
        <v>9542.4</v>
      </c>
      <c r="AP94">
        <v>6</v>
      </c>
      <c r="AQ94">
        <v>7156.7999999999993</v>
      </c>
      <c r="AR94">
        <v>8</v>
      </c>
      <c r="AS94">
        <v>9542.4</v>
      </c>
      <c r="AT94">
        <v>11</v>
      </c>
      <c r="AU94">
        <v>13120.8</v>
      </c>
      <c r="AV94">
        <v>8</v>
      </c>
      <c r="AW94">
        <v>9542.4</v>
      </c>
      <c r="AX94">
        <v>8</v>
      </c>
      <c r="AY94">
        <v>9542.4</v>
      </c>
      <c r="AZ94">
        <v>11</v>
      </c>
      <c r="BA94">
        <v>13120.8</v>
      </c>
      <c r="BB94">
        <v>12</v>
      </c>
      <c r="BC94">
        <v>14313.599999999999</v>
      </c>
      <c r="BD94">
        <v>9</v>
      </c>
      <c r="BE94">
        <v>10735.199999999999</v>
      </c>
      <c r="BF94">
        <v>7</v>
      </c>
      <c r="BG94">
        <v>8349.6</v>
      </c>
      <c r="BH94">
        <v>7</v>
      </c>
      <c r="BI94">
        <v>8349.6</v>
      </c>
      <c r="BJ94">
        <v>6</v>
      </c>
      <c r="BK94">
        <v>7156.7999999999993</v>
      </c>
      <c r="BL94">
        <v>10</v>
      </c>
      <c r="BM94">
        <v>11928</v>
      </c>
      <c r="BN94">
        <v>8</v>
      </c>
      <c r="BO94">
        <v>9542.4</v>
      </c>
      <c r="BP94">
        <v>8</v>
      </c>
      <c r="BQ94">
        <v>9542.4</v>
      </c>
      <c r="BR94">
        <v>13</v>
      </c>
      <c r="BS94">
        <v>15506.4</v>
      </c>
      <c r="BT94">
        <v>10</v>
      </c>
      <c r="BU94">
        <v>11928</v>
      </c>
      <c r="BV94">
        <v>9</v>
      </c>
      <c r="BW94">
        <v>10735.199999999999</v>
      </c>
      <c r="BX94">
        <v>12</v>
      </c>
      <c r="BY94">
        <v>14313.599999999999</v>
      </c>
      <c r="BZ94">
        <v>7</v>
      </c>
      <c r="CA94">
        <v>8349.6</v>
      </c>
      <c r="CB94">
        <v>13</v>
      </c>
      <c r="CC94">
        <v>15506.4</v>
      </c>
      <c r="CD94">
        <v>11</v>
      </c>
      <c r="CE94">
        <v>13120.8</v>
      </c>
      <c r="CF94">
        <v>10</v>
      </c>
      <c r="CG94">
        <v>11928</v>
      </c>
      <c r="CH94">
        <v>9</v>
      </c>
      <c r="CI94">
        <v>10735.199999999999</v>
      </c>
      <c r="CJ94">
        <v>9</v>
      </c>
      <c r="CK94">
        <v>10735.199999999999</v>
      </c>
      <c r="CL94">
        <v>9</v>
      </c>
      <c r="CM94">
        <v>10735.199999999999</v>
      </c>
      <c r="CN94">
        <v>13</v>
      </c>
      <c r="CO94">
        <v>15506.4</v>
      </c>
      <c r="CP94">
        <v>9</v>
      </c>
      <c r="CQ94">
        <v>10735.199999999999</v>
      </c>
      <c r="CR94">
        <v>13</v>
      </c>
      <c r="CS94">
        <v>15506.4</v>
      </c>
      <c r="CT94">
        <v>11</v>
      </c>
      <c r="CU94">
        <v>13120.8</v>
      </c>
    </row>
    <row r="95" spans="2:99">
      <c r="B95" s="99" t="s">
        <v>132</v>
      </c>
      <c r="C95" s="99" t="s">
        <v>262</v>
      </c>
      <c r="D95">
        <v>11</v>
      </c>
      <c r="E95">
        <v>3616.8</v>
      </c>
      <c r="F95">
        <v>10</v>
      </c>
      <c r="G95">
        <v>3288</v>
      </c>
      <c r="H95">
        <v>10</v>
      </c>
      <c r="I95">
        <v>3288</v>
      </c>
      <c r="J95">
        <v>11</v>
      </c>
      <c r="K95">
        <v>3616.8</v>
      </c>
      <c r="L95">
        <v>6</v>
      </c>
      <c r="M95">
        <v>1972.8000000000002</v>
      </c>
      <c r="N95">
        <v>5</v>
      </c>
      <c r="O95">
        <v>1644</v>
      </c>
      <c r="P95">
        <v>10</v>
      </c>
      <c r="Q95">
        <v>3288</v>
      </c>
      <c r="R95">
        <v>10</v>
      </c>
      <c r="S95">
        <v>3288</v>
      </c>
      <c r="T95">
        <v>7</v>
      </c>
      <c r="U95">
        <v>2301.6</v>
      </c>
      <c r="V95">
        <v>11</v>
      </c>
      <c r="W95">
        <v>3616.8</v>
      </c>
      <c r="X95">
        <v>7</v>
      </c>
      <c r="Y95">
        <v>2301.6</v>
      </c>
      <c r="Z95">
        <v>10</v>
      </c>
      <c r="AA95">
        <v>3288</v>
      </c>
      <c r="AB95">
        <v>8</v>
      </c>
      <c r="AC95">
        <v>2630.4</v>
      </c>
      <c r="AD95">
        <v>11</v>
      </c>
      <c r="AE95">
        <v>3616.8</v>
      </c>
      <c r="AF95">
        <v>9</v>
      </c>
      <c r="AG95">
        <v>2959.2000000000003</v>
      </c>
      <c r="AH95">
        <v>11</v>
      </c>
      <c r="AI95">
        <v>3616.8</v>
      </c>
      <c r="AJ95">
        <v>10</v>
      </c>
      <c r="AK95">
        <v>3288</v>
      </c>
      <c r="AL95">
        <v>11</v>
      </c>
      <c r="AM95">
        <v>3616.8</v>
      </c>
      <c r="AN95">
        <v>10</v>
      </c>
      <c r="AO95">
        <v>3288</v>
      </c>
      <c r="AP95">
        <v>9</v>
      </c>
      <c r="AQ95">
        <v>2959.2000000000003</v>
      </c>
      <c r="AR95">
        <v>11</v>
      </c>
      <c r="AS95">
        <v>3616.8</v>
      </c>
      <c r="AT95">
        <v>10</v>
      </c>
      <c r="AU95">
        <v>3288</v>
      </c>
      <c r="AV95">
        <v>8</v>
      </c>
      <c r="AW95">
        <v>2630.4</v>
      </c>
      <c r="AX95">
        <v>12</v>
      </c>
      <c r="AY95">
        <v>3945.6000000000004</v>
      </c>
      <c r="AZ95">
        <v>10</v>
      </c>
      <c r="BA95">
        <v>3288</v>
      </c>
      <c r="BB95">
        <v>8</v>
      </c>
      <c r="BC95">
        <v>2630.4</v>
      </c>
      <c r="BD95">
        <v>7</v>
      </c>
      <c r="BE95">
        <v>2301.6</v>
      </c>
      <c r="BF95">
        <v>7</v>
      </c>
      <c r="BG95">
        <v>2301.6</v>
      </c>
      <c r="BH95">
        <v>8</v>
      </c>
      <c r="BI95">
        <v>2630.4</v>
      </c>
      <c r="BJ95">
        <v>8</v>
      </c>
      <c r="BK95">
        <v>2630.4</v>
      </c>
      <c r="BL95">
        <v>11</v>
      </c>
      <c r="BM95">
        <v>3616.8</v>
      </c>
      <c r="BN95">
        <v>10</v>
      </c>
      <c r="BO95">
        <v>3288</v>
      </c>
      <c r="BP95">
        <v>6</v>
      </c>
      <c r="BQ95">
        <v>1972.8000000000002</v>
      </c>
      <c r="BR95">
        <v>7</v>
      </c>
      <c r="BS95">
        <v>2301.6</v>
      </c>
      <c r="BT95">
        <v>10</v>
      </c>
      <c r="BU95">
        <v>3288</v>
      </c>
      <c r="BV95">
        <v>9</v>
      </c>
      <c r="BW95">
        <v>2959.2000000000003</v>
      </c>
      <c r="BX95">
        <v>10</v>
      </c>
      <c r="BY95">
        <v>3288</v>
      </c>
      <c r="BZ95">
        <v>11</v>
      </c>
      <c r="CA95">
        <v>3616.8</v>
      </c>
      <c r="CB95">
        <v>8</v>
      </c>
      <c r="CC95">
        <v>2630.4</v>
      </c>
      <c r="CD95">
        <v>7</v>
      </c>
      <c r="CE95">
        <v>2301.6</v>
      </c>
      <c r="CF95">
        <v>11</v>
      </c>
      <c r="CG95">
        <v>3616.8</v>
      </c>
      <c r="CH95">
        <v>8</v>
      </c>
      <c r="CI95">
        <v>2630.4</v>
      </c>
      <c r="CJ95">
        <v>9</v>
      </c>
      <c r="CK95">
        <v>2959.2000000000003</v>
      </c>
      <c r="CL95">
        <v>9</v>
      </c>
      <c r="CM95">
        <v>2959.2000000000003</v>
      </c>
      <c r="CN95">
        <v>10</v>
      </c>
      <c r="CO95">
        <v>3288</v>
      </c>
      <c r="CP95">
        <v>9</v>
      </c>
      <c r="CQ95">
        <v>2959.2000000000003</v>
      </c>
      <c r="CR95">
        <v>7</v>
      </c>
      <c r="CS95">
        <v>2301.6</v>
      </c>
      <c r="CT95">
        <v>8</v>
      </c>
      <c r="CU95">
        <v>2630.4</v>
      </c>
    </row>
    <row r="96" spans="2:99">
      <c r="C96" s="99" t="s">
        <v>263</v>
      </c>
      <c r="D96">
        <v>11</v>
      </c>
      <c r="E96">
        <v>7642.7999999999993</v>
      </c>
      <c r="F96">
        <v>10</v>
      </c>
      <c r="G96">
        <v>6948</v>
      </c>
      <c r="H96">
        <v>10</v>
      </c>
      <c r="I96">
        <v>6948</v>
      </c>
      <c r="J96">
        <v>10</v>
      </c>
      <c r="K96">
        <v>6948</v>
      </c>
      <c r="L96">
        <v>6</v>
      </c>
      <c r="M96">
        <v>4168.7999999999993</v>
      </c>
      <c r="N96">
        <v>6</v>
      </c>
      <c r="O96">
        <v>4168.7999999999993</v>
      </c>
      <c r="P96">
        <v>9</v>
      </c>
      <c r="Q96">
        <v>6253.2</v>
      </c>
      <c r="R96">
        <v>9</v>
      </c>
      <c r="S96">
        <v>6253.2</v>
      </c>
      <c r="T96">
        <v>7</v>
      </c>
      <c r="U96">
        <v>4863.5999999999995</v>
      </c>
      <c r="V96">
        <v>12</v>
      </c>
      <c r="W96">
        <v>8337.5999999999985</v>
      </c>
      <c r="X96">
        <v>7</v>
      </c>
      <c r="Y96">
        <v>4863.5999999999995</v>
      </c>
      <c r="Z96">
        <v>9</v>
      </c>
      <c r="AA96">
        <v>6253.2</v>
      </c>
      <c r="AB96">
        <v>8</v>
      </c>
      <c r="AC96">
        <v>5558.4</v>
      </c>
      <c r="AD96">
        <v>11</v>
      </c>
      <c r="AE96">
        <v>7642.7999999999993</v>
      </c>
      <c r="AF96">
        <v>8</v>
      </c>
      <c r="AG96">
        <v>5558.4</v>
      </c>
      <c r="AH96">
        <v>10</v>
      </c>
      <c r="AI96">
        <v>6948</v>
      </c>
      <c r="AJ96">
        <v>9</v>
      </c>
      <c r="AK96">
        <v>6253.2</v>
      </c>
      <c r="AL96">
        <v>11</v>
      </c>
      <c r="AM96">
        <v>7642.7999999999993</v>
      </c>
      <c r="AN96">
        <v>9</v>
      </c>
      <c r="AO96">
        <v>6253.2</v>
      </c>
      <c r="AP96">
        <v>9</v>
      </c>
      <c r="AQ96">
        <v>6253.2</v>
      </c>
      <c r="AR96">
        <v>10</v>
      </c>
      <c r="AS96">
        <v>6948</v>
      </c>
      <c r="AT96">
        <v>10</v>
      </c>
      <c r="AU96">
        <v>6948</v>
      </c>
      <c r="AV96">
        <v>7</v>
      </c>
      <c r="AW96">
        <v>4863.5999999999995</v>
      </c>
      <c r="AX96">
        <v>11</v>
      </c>
      <c r="AY96">
        <v>7642.7999999999993</v>
      </c>
      <c r="AZ96">
        <v>8</v>
      </c>
      <c r="BA96">
        <v>5558.4</v>
      </c>
      <c r="BB96">
        <v>7</v>
      </c>
      <c r="BC96">
        <v>4863.5999999999995</v>
      </c>
      <c r="BD96">
        <v>8</v>
      </c>
      <c r="BE96">
        <v>5558.4</v>
      </c>
      <c r="BF96">
        <v>7</v>
      </c>
      <c r="BG96">
        <v>4863.5999999999995</v>
      </c>
      <c r="BH96">
        <v>8</v>
      </c>
      <c r="BI96">
        <v>5558.4</v>
      </c>
      <c r="BJ96">
        <v>8</v>
      </c>
      <c r="BK96">
        <v>5558.4</v>
      </c>
      <c r="BL96">
        <v>10</v>
      </c>
      <c r="BM96">
        <v>6948</v>
      </c>
      <c r="BN96">
        <v>11</v>
      </c>
      <c r="BO96">
        <v>7642.7999999999993</v>
      </c>
      <c r="BP96">
        <v>6</v>
      </c>
      <c r="BQ96">
        <v>4168.7999999999993</v>
      </c>
      <c r="BR96">
        <v>6</v>
      </c>
      <c r="BS96">
        <v>4168.7999999999993</v>
      </c>
      <c r="BT96">
        <v>9</v>
      </c>
      <c r="BU96">
        <v>6253.2</v>
      </c>
      <c r="BV96">
        <v>9</v>
      </c>
      <c r="BW96">
        <v>6253.2</v>
      </c>
      <c r="BX96">
        <v>10</v>
      </c>
      <c r="BY96">
        <v>6948</v>
      </c>
      <c r="BZ96">
        <v>10</v>
      </c>
      <c r="CA96">
        <v>6948</v>
      </c>
      <c r="CB96">
        <v>7</v>
      </c>
      <c r="CC96">
        <v>4863.5999999999995</v>
      </c>
      <c r="CD96">
        <v>6</v>
      </c>
      <c r="CE96">
        <v>4168.7999999999993</v>
      </c>
      <c r="CF96">
        <v>10</v>
      </c>
      <c r="CG96">
        <v>6948</v>
      </c>
      <c r="CH96">
        <v>9</v>
      </c>
      <c r="CI96">
        <v>6253.2</v>
      </c>
      <c r="CJ96">
        <v>8</v>
      </c>
      <c r="CK96">
        <v>5558.4</v>
      </c>
      <c r="CL96">
        <v>9</v>
      </c>
      <c r="CM96">
        <v>6253.2</v>
      </c>
      <c r="CN96">
        <v>9</v>
      </c>
      <c r="CO96">
        <v>6253.2</v>
      </c>
      <c r="CP96">
        <v>9</v>
      </c>
      <c r="CQ96">
        <v>6253.2</v>
      </c>
      <c r="CR96">
        <v>8</v>
      </c>
      <c r="CS96">
        <v>5558.4</v>
      </c>
      <c r="CT96">
        <v>8</v>
      </c>
      <c r="CU96">
        <v>5558.4</v>
      </c>
    </row>
    <row r="97" spans="2:99">
      <c r="C97" s="99" t="s">
        <v>264</v>
      </c>
      <c r="D97">
        <v>10</v>
      </c>
      <c r="E97">
        <v>3924</v>
      </c>
      <c r="F97">
        <v>10</v>
      </c>
      <c r="G97">
        <v>3924</v>
      </c>
      <c r="H97">
        <v>10</v>
      </c>
      <c r="I97">
        <v>3924</v>
      </c>
      <c r="J97">
        <v>10</v>
      </c>
      <c r="K97">
        <v>3924</v>
      </c>
      <c r="L97">
        <v>6</v>
      </c>
      <c r="M97">
        <v>2354.3999999999996</v>
      </c>
      <c r="N97">
        <v>6</v>
      </c>
      <c r="O97">
        <v>2354.3999999999996</v>
      </c>
      <c r="P97">
        <v>9</v>
      </c>
      <c r="Q97">
        <v>3531.6</v>
      </c>
      <c r="R97">
        <v>10</v>
      </c>
      <c r="S97">
        <v>3924</v>
      </c>
      <c r="T97">
        <v>8</v>
      </c>
      <c r="U97">
        <v>3139.2</v>
      </c>
      <c r="V97">
        <v>11</v>
      </c>
      <c r="W97">
        <v>4316.3999999999996</v>
      </c>
      <c r="X97">
        <v>8</v>
      </c>
      <c r="Y97">
        <v>3139.2</v>
      </c>
      <c r="Z97">
        <v>10</v>
      </c>
      <c r="AA97">
        <v>3924</v>
      </c>
      <c r="AB97">
        <v>8</v>
      </c>
      <c r="AC97">
        <v>3139.2</v>
      </c>
      <c r="AD97">
        <v>10</v>
      </c>
      <c r="AE97">
        <v>3924</v>
      </c>
      <c r="AF97">
        <v>10</v>
      </c>
      <c r="AG97">
        <v>3924</v>
      </c>
      <c r="AH97">
        <v>9</v>
      </c>
      <c r="AI97">
        <v>3531.6</v>
      </c>
      <c r="AJ97">
        <v>10</v>
      </c>
      <c r="AK97">
        <v>3924</v>
      </c>
      <c r="AL97">
        <v>11</v>
      </c>
      <c r="AM97">
        <v>4316.3999999999996</v>
      </c>
      <c r="AN97">
        <v>10</v>
      </c>
      <c r="AO97">
        <v>3924</v>
      </c>
      <c r="AP97">
        <v>10</v>
      </c>
      <c r="AQ97">
        <v>3924</v>
      </c>
      <c r="AR97">
        <v>12</v>
      </c>
      <c r="AS97">
        <v>4708.7999999999993</v>
      </c>
      <c r="AT97">
        <v>10</v>
      </c>
      <c r="AU97">
        <v>3924</v>
      </c>
      <c r="AV97">
        <v>8</v>
      </c>
      <c r="AW97">
        <v>3139.2</v>
      </c>
      <c r="AX97">
        <v>13</v>
      </c>
      <c r="AY97">
        <v>5101.2</v>
      </c>
      <c r="AZ97">
        <v>8</v>
      </c>
      <c r="BA97">
        <v>3139.2</v>
      </c>
      <c r="BB97">
        <v>7</v>
      </c>
      <c r="BC97">
        <v>2746.7999999999997</v>
      </c>
      <c r="BD97">
        <v>8</v>
      </c>
      <c r="BE97">
        <v>3139.2</v>
      </c>
      <c r="BF97">
        <v>8</v>
      </c>
      <c r="BG97">
        <v>3139.2</v>
      </c>
      <c r="BH97">
        <v>7</v>
      </c>
      <c r="BI97">
        <v>2746.7999999999997</v>
      </c>
      <c r="BJ97">
        <v>9</v>
      </c>
      <c r="BK97">
        <v>3531.6</v>
      </c>
      <c r="BL97">
        <v>12</v>
      </c>
      <c r="BM97">
        <v>4708.7999999999993</v>
      </c>
      <c r="BN97">
        <v>10</v>
      </c>
      <c r="BO97">
        <v>3924</v>
      </c>
      <c r="BP97">
        <v>6</v>
      </c>
      <c r="BQ97">
        <v>2354.3999999999996</v>
      </c>
      <c r="BR97">
        <v>7</v>
      </c>
      <c r="BS97">
        <v>2746.7999999999997</v>
      </c>
      <c r="BT97">
        <v>11</v>
      </c>
      <c r="BU97">
        <v>4316.3999999999996</v>
      </c>
      <c r="BV97">
        <v>9</v>
      </c>
      <c r="BW97">
        <v>3531.6</v>
      </c>
      <c r="BX97">
        <v>10</v>
      </c>
      <c r="BY97">
        <v>3924</v>
      </c>
      <c r="BZ97">
        <v>10</v>
      </c>
      <c r="CA97">
        <v>3924</v>
      </c>
      <c r="CB97">
        <v>8</v>
      </c>
      <c r="CC97">
        <v>3139.2</v>
      </c>
      <c r="CD97">
        <v>6</v>
      </c>
      <c r="CE97">
        <v>2354.3999999999996</v>
      </c>
      <c r="CF97">
        <v>11</v>
      </c>
      <c r="CG97">
        <v>4316.3999999999996</v>
      </c>
      <c r="CH97">
        <v>9</v>
      </c>
      <c r="CI97">
        <v>3531.6</v>
      </c>
      <c r="CJ97">
        <v>8</v>
      </c>
      <c r="CK97">
        <v>3139.2</v>
      </c>
      <c r="CL97">
        <v>9</v>
      </c>
      <c r="CM97">
        <v>3531.6</v>
      </c>
      <c r="CN97">
        <v>10</v>
      </c>
      <c r="CO97">
        <v>3924</v>
      </c>
      <c r="CP97">
        <v>11</v>
      </c>
      <c r="CQ97">
        <v>4316.3999999999996</v>
      </c>
      <c r="CR97">
        <v>8</v>
      </c>
      <c r="CS97">
        <v>3139.2</v>
      </c>
      <c r="CT97">
        <v>8</v>
      </c>
      <c r="CU97">
        <v>3139.2</v>
      </c>
    </row>
    <row r="98" spans="2:99">
      <c r="C98" s="99" t="s">
        <v>265</v>
      </c>
      <c r="D98">
        <v>11</v>
      </c>
      <c r="E98">
        <v>5781.6</v>
      </c>
      <c r="F98">
        <v>10</v>
      </c>
      <c r="G98">
        <v>5256</v>
      </c>
      <c r="H98">
        <v>9</v>
      </c>
      <c r="I98">
        <v>4730.4000000000005</v>
      </c>
      <c r="J98">
        <v>12</v>
      </c>
      <c r="K98">
        <v>6307.2000000000007</v>
      </c>
      <c r="L98">
        <v>5</v>
      </c>
      <c r="M98">
        <v>2628</v>
      </c>
      <c r="N98">
        <v>6</v>
      </c>
      <c r="O98">
        <v>3153.6000000000004</v>
      </c>
      <c r="P98">
        <v>10</v>
      </c>
      <c r="Q98">
        <v>5256</v>
      </c>
      <c r="R98">
        <v>10</v>
      </c>
      <c r="S98">
        <v>5256</v>
      </c>
      <c r="T98">
        <v>7</v>
      </c>
      <c r="U98">
        <v>3679.2000000000003</v>
      </c>
      <c r="V98">
        <v>10</v>
      </c>
      <c r="W98">
        <v>5256</v>
      </c>
      <c r="X98">
        <v>7</v>
      </c>
      <c r="Y98">
        <v>3679.2000000000003</v>
      </c>
      <c r="Z98">
        <v>10</v>
      </c>
      <c r="AA98">
        <v>5256</v>
      </c>
      <c r="AB98">
        <v>8</v>
      </c>
      <c r="AC98">
        <v>4204.8</v>
      </c>
      <c r="AD98">
        <v>9</v>
      </c>
      <c r="AE98">
        <v>4730.4000000000005</v>
      </c>
      <c r="AF98">
        <v>10</v>
      </c>
      <c r="AG98">
        <v>5256</v>
      </c>
      <c r="AH98">
        <v>9</v>
      </c>
      <c r="AI98">
        <v>4730.4000000000005</v>
      </c>
      <c r="AJ98">
        <v>10</v>
      </c>
      <c r="AK98">
        <v>5256</v>
      </c>
      <c r="AL98">
        <v>11</v>
      </c>
      <c r="AM98">
        <v>5781.6</v>
      </c>
      <c r="AN98">
        <v>8</v>
      </c>
      <c r="AO98">
        <v>4204.8</v>
      </c>
      <c r="AP98">
        <v>9</v>
      </c>
      <c r="AQ98">
        <v>4730.4000000000005</v>
      </c>
      <c r="AR98">
        <v>10</v>
      </c>
      <c r="AS98">
        <v>5256</v>
      </c>
      <c r="AT98">
        <v>9</v>
      </c>
      <c r="AU98">
        <v>4730.4000000000005</v>
      </c>
      <c r="AV98">
        <v>8</v>
      </c>
      <c r="AW98">
        <v>4204.8</v>
      </c>
      <c r="AX98">
        <v>11</v>
      </c>
      <c r="AY98">
        <v>5781.6</v>
      </c>
      <c r="AZ98">
        <v>10</v>
      </c>
      <c r="BA98">
        <v>5256</v>
      </c>
      <c r="BB98">
        <v>7</v>
      </c>
      <c r="BC98">
        <v>3679.2000000000003</v>
      </c>
      <c r="BD98">
        <v>8</v>
      </c>
      <c r="BE98">
        <v>4204.8</v>
      </c>
      <c r="BF98">
        <v>8</v>
      </c>
      <c r="BG98">
        <v>4204.8</v>
      </c>
      <c r="BH98">
        <v>7</v>
      </c>
      <c r="BI98">
        <v>3679.2000000000003</v>
      </c>
      <c r="BJ98">
        <v>9</v>
      </c>
      <c r="BK98">
        <v>4730.4000000000005</v>
      </c>
      <c r="BL98">
        <v>11</v>
      </c>
      <c r="BM98">
        <v>5781.6</v>
      </c>
      <c r="BN98">
        <v>11</v>
      </c>
      <c r="BO98">
        <v>5781.6</v>
      </c>
      <c r="BP98">
        <v>6</v>
      </c>
      <c r="BQ98">
        <v>3153.6000000000004</v>
      </c>
      <c r="BR98">
        <v>7</v>
      </c>
      <c r="BS98">
        <v>3679.2000000000003</v>
      </c>
      <c r="BT98">
        <v>11</v>
      </c>
      <c r="BU98">
        <v>5781.6</v>
      </c>
      <c r="BV98">
        <v>8</v>
      </c>
      <c r="BW98">
        <v>4204.8</v>
      </c>
      <c r="BX98">
        <v>8</v>
      </c>
      <c r="BY98">
        <v>4204.8</v>
      </c>
      <c r="BZ98">
        <v>11</v>
      </c>
      <c r="CA98">
        <v>5781.6</v>
      </c>
      <c r="CB98">
        <v>8</v>
      </c>
      <c r="CC98">
        <v>4204.8</v>
      </c>
      <c r="CD98">
        <v>7</v>
      </c>
      <c r="CE98">
        <v>3679.2000000000003</v>
      </c>
      <c r="CF98">
        <v>10</v>
      </c>
      <c r="CG98">
        <v>5256</v>
      </c>
      <c r="CH98">
        <v>8</v>
      </c>
      <c r="CI98">
        <v>4204.8</v>
      </c>
      <c r="CJ98">
        <v>8</v>
      </c>
      <c r="CK98">
        <v>4204.8</v>
      </c>
      <c r="CL98">
        <v>9</v>
      </c>
      <c r="CM98">
        <v>4730.4000000000005</v>
      </c>
      <c r="CN98">
        <v>9</v>
      </c>
      <c r="CO98">
        <v>4730.4000000000005</v>
      </c>
      <c r="CP98">
        <v>10</v>
      </c>
      <c r="CQ98">
        <v>5256</v>
      </c>
      <c r="CR98">
        <v>8</v>
      </c>
      <c r="CS98">
        <v>4204.8</v>
      </c>
      <c r="CT98">
        <v>9</v>
      </c>
      <c r="CU98">
        <v>4730.4000000000005</v>
      </c>
    </row>
    <row r="99" spans="2:99">
      <c r="C99" s="99" t="s">
        <v>266</v>
      </c>
      <c r="D99">
        <v>7</v>
      </c>
      <c r="E99">
        <v>29458.799999999996</v>
      </c>
      <c r="F99">
        <v>8</v>
      </c>
      <c r="G99">
        <v>33667.199999999997</v>
      </c>
      <c r="H99">
        <v>8</v>
      </c>
      <c r="I99">
        <v>33667.199999999997</v>
      </c>
      <c r="J99">
        <v>8</v>
      </c>
      <c r="K99">
        <v>33667.199999999997</v>
      </c>
      <c r="L99">
        <v>4</v>
      </c>
      <c r="M99">
        <v>16833.599999999999</v>
      </c>
      <c r="N99">
        <v>5</v>
      </c>
      <c r="O99">
        <v>21042</v>
      </c>
      <c r="P99">
        <v>7</v>
      </c>
      <c r="Q99">
        <v>29458.799999999996</v>
      </c>
      <c r="R99">
        <v>7</v>
      </c>
      <c r="S99">
        <v>29458.799999999996</v>
      </c>
      <c r="T99">
        <v>6</v>
      </c>
      <c r="U99">
        <v>25250.399999999998</v>
      </c>
      <c r="V99">
        <v>9</v>
      </c>
      <c r="W99">
        <v>37875.599999999999</v>
      </c>
      <c r="X99">
        <v>5</v>
      </c>
      <c r="Y99">
        <v>21042</v>
      </c>
      <c r="Z99">
        <v>7</v>
      </c>
      <c r="AA99">
        <v>29458.799999999996</v>
      </c>
      <c r="AB99">
        <v>7</v>
      </c>
      <c r="AC99">
        <v>29458.799999999996</v>
      </c>
      <c r="AD99">
        <v>7</v>
      </c>
      <c r="AE99">
        <v>29458.799999999996</v>
      </c>
      <c r="AF99">
        <v>6</v>
      </c>
      <c r="AG99">
        <v>25250.399999999998</v>
      </c>
      <c r="AH99">
        <v>7</v>
      </c>
      <c r="AI99">
        <v>29458.799999999996</v>
      </c>
      <c r="AJ99">
        <v>8</v>
      </c>
      <c r="AK99">
        <v>33667.199999999997</v>
      </c>
      <c r="AL99">
        <v>8</v>
      </c>
      <c r="AM99">
        <v>33667.199999999997</v>
      </c>
      <c r="AN99">
        <v>7</v>
      </c>
      <c r="AO99">
        <v>29458.799999999996</v>
      </c>
      <c r="AP99">
        <v>8</v>
      </c>
      <c r="AQ99">
        <v>33667.199999999997</v>
      </c>
      <c r="AR99">
        <v>7</v>
      </c>
      <c r="AS99">
        <v>29458.799999999996</v>
      </c>
      <c r="AT99">
        <v>7</v>
      </c>
      <c r="AU99">
        <v>29458.799999999996</v>
      </c>
      <c r="AV99">
        <v>5</v>
      </c>
      <c r="AW99">
        <v>21042</v>
      </c>
      <c r="AX99">
        <v>8</v>
      </c>
      <c r="AY99">
        <v>33667.199999999997</v>
      </c>
      <c r="AZ99">
        <v>7</v>
      </c>
      <c r="BA99">
        <v>29458.799999999996</v>
      </c>
      <c r="BB99">
        <v>5</v>
      </c>
      <c r="BC99">
        <v>21042</v>
      </c>
      <c r="BD99">
        <v>6</v>
      </c>
      <c r="BE99">
        <v>25250.399999999998</v>
      </c>
      <c r="BF99">
        <v>6</v>
      </c>
      <c r="BG99">
        <v>25250.399999999998</v>
      </c>
      <c r="BH99">
        <v>6</v>
      </c>
      <c r="BI99">
        <v>25250.399999999998</v>
      </c>
      <c r="BJ99">
        <v>7</v>
      </c>
      <c r="BK99">
        <v>29458.799999999996</v>
      </c>
      <c r="BL99">
        <v>8</v>
      </c>
      <c r="BM99">
        <v>33667.199999999997</v>
      </c>
      <c r="BN99">
        <v>7</v>
      </c>
      <c r="BO99">
        <v>29458.799999999996</v>
      </c>
      <c r="BP99">
        <v>4</v>
      </c>
      <c r="BQ99">
        <v>16833.599999999999</v>
      </c>
      <c r="BR99">
        <v>5</v>
      </c>
      <c r="BS99">
        <v>21042</v>
      </c>
      <c r="BT99">
        <v>7</v>
      </c>
      <c r="BU99">
        <v>29458.799999999996</v>
      </c>
      <c r="BV99">
        <v>6</v>
      </c>
      <c r="BW99">
        <v>25250.399999999998</v>
      </c>
      <c r="BX99">
        <v>6</v>
      </c>
      <c r="BY99">
        <v>25250.399999999998</v>
      </c>
      <c r="BZ99">
        <v>7</v>
      </c>
      <c r="CA99">
        <v>29458.799999999996</v>
      </c>
      <c r="CB99">
        <v>5</v>
      </c>
      <c r="CC99">
        <v>21042</v>
      </c>
      <c r="CD99">
        <v>4</v>
      </c>
      <c r="CE99">
        <v>16833.599999999999</v>
      </c>
      <c r="CF99">
        <v>7</v>
      </c>
      <c r="CG99">
        <v>29458.799999999996</v>
      </c>
      <c r="CH99">
        <v>6</v>
      </c>
      <c r="CI99">
        <v>25250.399999999998</v>
      </c>
      <c r="CJ99">
        <v>7</v>
      </c>
      <c r="CK99">
        <v>29458.799999999996</v>
      </c>
      <c r="CL99">
        <v>7</v>
      </c>
      <c r="CM99">
        <v>29458.799999999996</v>
      </c>
      <c r="CN99">
        <v>7</v>
      </c>
      <c r="CO99">
        <v>29458.799999999996</v>
      </c>
      <c r="CP99">
        <v>7</v>
      </c>
      <c r="CQ99">
        <v>29458.799999999996</v>
      </c>
      <c r="CR99">
        <v>6</v>
      </c>
      <c r="CS99">
        <v>25250.399999999998</v>
      </c>
      <c r="CT99">
        <v>6</v>
      </c>
      <c r="CU99">
        <v>25250.399999999998</v>
      </c>
    </row>
    <row r="100" spans="2:99">
      <c r="C100" s="99" t="s">
        <v>267</v>
      </c>
      <c r="D100">
        <v>12</v>
      </c>
      <c r="E100">
        <v>3888</v>
      </c>
      <c r="F100">
        <v>11</v>
      </c>
      <c r="G100">
        <v>3564</v>
      </c>
      <c r="H100">
        <v>10</v>
      </c>
      <c r="I100">
        <v>3240</v>
      </c>
      <c r="J100">
        <v>11</v>
      </c>
      <c r="K100">
        <v>3564</v>
      </c>
      <c r="L100">
        <v>6</v>
      </c>
      <c r="M100">
        <v>1944</v>
      </c>
      <c r="N100">
        <v>6</v>
      </c>
      <c r="O100">
        <v>1944</v>
      </c>
      <c r="P100">
        <v>10</v>
      </c>
      <c r="Q100">
        <v>3240</v>
      </c>
      <c r="R100">
        <v>9</v>
      </c>
      <c r="S100">
        <v>2916</v>
      </c>
      <c r="T100">
        <v>8</v>
      </c>
      <c r="U100">
        <v>2592</v>
      </c>
      <c r="V100">
        <v>10</v>
      </c>
      <c r="W100">
        <v>3240</v>
      </c>
      <c r="X100">
        <v>7</v>
      </c>
      <c r="Y100">
        <v>2268</v>
      </c>
      <c r="Z100">
        <v>9</v>
      </c>
      <c r="AA100">
        <v>2916</v>
      </c>
      <c r="AB100">
        <v>8</v>
      </c>
      <c r="AC100">
        <v>2592</v>
      </c>
      <c r="AD100">
        <v>10</v>
      </c>
      <c r="AE100">
        <v>3240</v>
      </c>
      <c r="AF100">
        <v>8</v>
      </c>
      <c r="AG100">
        <v>2592</v>
      </c>
      <c r="AH100">
        <v>9</v>
      </c>
      <c r="AI100">
        <v>2916</v>
      </c>
      <c r="AJ100">
        <v>10</v>
      </c>
      <c r="AK100">
        <v>3240</v>
      </c>
      <c r="AL100">
        <v>10</v>
      </c>
      <c r="AM100">
        <v>3240</v>
      </c>
      <c r="AN100">
        <v>8</v>
      </c>
      <c r="AO100">
        <v>2592</v>
      </c>
      <c r="AP100">
        <v>10</v>
      </c>
      <c r="AQ100">
        <v>3240</v>
      </c>
      <c r="AR100">
        <v>10</v>
      </c>
      <c r="AS100">
        <v>3240</v>
      </c>
      <c r="AT100">
        <v>10</v>
      </c>
      <c r="AU100">
        <v>3240</v>
      </c>
      <c r="AV100">
        <v>7</v>
      </c>
      <c r="AW100">
        <v>2268</v>
      </c>
      <c r="AX100">
        <v>13</v>
      </c>
      <c r="AY100">
        <v>4212</v>
      </c>
      <c r="AZ100">
        <v>9</v>
      </c>
      <c r="BA100">
        <v>2916</v>
      </c>
      <c r="BB100">
        <v>8</v>
      </c>
      <c r="BC100">
        <v>2592</v>
      </c>
      <c r="BD100">
        <v>7</v>
      </c>
      <c r="BE100">
        <v>2268</v>
      </c>
      <c r="BF100">
        <v>9</v>
      </c>
      <c r="BG100">
        <v>2916</v>
      </c>
      <c r="BH100">
        <v>8</v>
      </c>
      <c r="BI100">
        <v>2592</v>
      </c>
      <c r="BJ100">
        <v>9</v>
      </c>
      <c r="BK100">
        <v>2916</v>
      </c>
      <c r="BL100">
        <v>11</v>
      </c>
      <c r="BM100">
        <v>3564</v>
      </c>
      <c r="BN100">
        <v>10</v>
      </c>
      <c r="BO100">
        <v>3240</v>
      </c>
      <c r="BP100">
        <v>6</v>
      </c>
      <c r="BQ100">
        <v>1944</v>
      </c>
      <c r="BR100">
        <v>6</v>
      </c>
      <c r="BS100">
        <v>1944</v>
      </c>
      <c r="BT100">
        <v>11</v>
      </c>
      <c r="BU100">
        <v>3564</v>
      </c>
      <c r="BV100">
        <v>9</v>
      </c>
      <c r="BW100">
        <v>2916</v>
      </c>
      <c r="BX100">
        <v>10</v>
      </c>
      <c r="BY100">
        <v>3240</v>
      </c>
      <c r="BZ100">
        <v>11</v>
      </c>
      <c r="CA100">
        <v>3564</v>
      </c>
      <c r="CB100">
        <v>7</v>
      </c>
      <c r="CC100">
        <v>2268</v>
      </c>
      <c r="CD100">
        <v>6</v>
      </c>
      <c r="CE100">
        <v>1944</v>
      </c>
      <c r="CF100">
        <v>12</v>
      </c>
      <c r="CG100">
        <v>3888</v>
      </c>
      <c r="CH100">
        <v>9</v>
      </c>
      <c r="CI100">
        <v>2916</v>
      </c>
      <c r="CJ100">
        <v>10</v>
      </c>
      <c r="CK100">
        <v>3240</v>
      </c>
      <c r="CL100">
        <v>9</v>
      </c>
      <c r="CM100">
        <v>2916</v>
      </c>
      <c r="CN100">
        <v>10</v>
      </c>
      <c r="CO100">
        <v>3240</v>
      </c>
      <c r="CP100">
        <v>11</v>
      </c>
      <c r="CQ100">
        <v>3564</v>
      </c>
      <c r="CR100">
        <v>7</v>
      </c>
      <c r="CS100">
        <v>2268</v>
      </c>
      <c r="CT100">
        <v>9</v>
      </c>
      <c r="CU100">
        <v>2916</v>
      </c>
    </row>
    <row r="101" spans="2:99">
      <c r="C101" s="99" t="s">
        <v>268</v>
      </c>
      <c r="D101">
        <v>11</v>
      </c>
      <c r="E101">
        <v>7959.6</v>
      </c>
      <c r="F101">
        <v>10</v>
      </c>
      <c r="G101">
        <v>7236</v>
      </c>
      <c r="H101">
        <v>10</v>
      </c>
      <c r="I101">
        <v>7236</v>
      </c>
      <c r="J101">
        <v>11</v>
      </c>
      <c r="K101">
        <v>7959.6</v>
      </c>
      <c r="L101">
        <v>6</v>
      </c>
      <c r="M101">
        <v>4341.6000000000004</v>
      </c>
      <c r="N101">
        <v>6</v>
      </c>
      <c r="O101">
        <v>4341.6000000000004</v>
      </c>
      <c r="P101">
        <v>9</v>
      </c>
      <c r="Q101">
        <v>6512.4000000000005</v>
      </c>
      <c r="R101">
        <v>10</v>
      </c>
      <c r="S101">
        <v>7236</v>
      </c>
      <c r="T101">
        <v>7</v>
      </c>
      <c r="U101">
        <v>5065.2</v>
      </c>
      <c r="V101">
        <v>11</v>
      </c>
      <c r="W101">
        <v>7959.6</v>
      </c>
      <c r="X101">
        <v>7</v>
      </c>
      <c r="Y101">
        <v>5065.2</v>
      </c>
      <c r="Z101">
        <v>10</v>
      </c>
      <c r="AA101">
        <v>7236</v>
      </c>
      <c r="AB101">
        <v>8</v>
      </c>
      <c r="AC101">
        <v>5788.8</v>
      </c>
      <c r="AD101">
        <v>10</v>
      </c>
      <c r="AE101">
        <v>7236</v>
      </c>
      <c r="AF101">
        <v>8</v>
      </c>
      <c r="AG101">
        <v>5788.8</v>
      </c>
      <c r="AH101">
        <v>10</v>
      </c>
      <c r="AI101">
        <v>7236</v>
      </c>
      <c r="AJ101">
        <v>10</v>
      </c>
      <c r="AK101">
        <v>7236</v>
      </c>
      <c r="AL101">
        <v>11</v>
      </c>
      <c r="AM101">
        <v>7959.6</v>
      </c>
      <c r="AN101">
        <v>9</v>
      </c>
      <c r="AO101">
        <v>6512.4000000000005</v>
      </c>
      <c r="AP101">
        <v>10</v>
      </c>
      <c r="AQ101">
        <v>7236</v>
      </c>
      <c r="AR101">
        <v>10</v>
      </c>
      <c r="AS101">
        <v>7236</v>
      </c>
      <c r="AT101">
        <v>10</v>
      </c>
      <c r="AU101">
        <v>7236</v>
      </c>
      <c r="AV101">
        <v>7</v>
      </c>
      <c r="AW101">
        <v>5065.2</v>
      </c>
      <c r="AX101">
        <v>12</v>
      </c>
      <c r="AY101">
        <v>8683.2000000000007</v>
      </c>
      <c r="AZ101">
        <v>8</v>
      </c>
      <c r="BA101">
        <v>5788.8</v>
      </c>
      <c r="BB101">
        <v>8</v>
      </c>
      <c r="BC101">
        <v>5788.8</v>
      </c>
      <c r="BD101">
        <v>7</v>
      </c>
      <c r="BE101">
        <v>5065.2</v>
      </c>
      <c r="BF101">
        <v>8</v>
      </c>
      <c r="BG101">
        <v>5788.8</v>
      </c>
      <c r="BH101">
        <v>8</v>
      </c>
      <c r="BI101">
        <v>5788.8</v>
      </c>
      <c r="BJ101">
        <v>9</v>
      </c>
      <c r="BK101">
        <v>6512.4000000000005</v>
      </c>
      <c r="BL101">
        <v>10</v>
      </c>
      <c r="BM101">
        <v>7236</v>
      </c>
      <c r="BN101">
        <v>9</v>
      </c>
      <c r="BO101">
        <v>6512.4000000000005</v>
      </c>
      <c r="BP101">
        <v>5</v>
      </c>
      <c r="BQ101">
        <v>3618</v>
      </c>
      <c r="BR101">
        <v>6</v>
      </c>
      <c r="BS101">
        <v>4341.6000000000004</v>
      </c>
      <c r="BT101">
        <v>9</v>
      </c>
      <c r="BU101">
        <v>6512.4000000000005</v>
      </c>
      <c r="BV101">
        <v>9</v>
      </c>
      <c r="BW101">
        <v>6512.4000000000005</v>
      </c>
      <c r="BX101">
        <v>8</v>
      </c>
      <c r="BY101">
        <v>5788.8</v>
      </c>
      <c r="BZ101">
        <v>9</v>
      </c>
      <c r="CA101">
        <v>6512.4000000000005</v>
      </c>
      <c r="CB101">
        <v>8</v>
      </c>
      <c r="CC101">
        <v>5788.8</v>
      </c>
      <c r="CD101">
        <v>6</v>
      </c>
      <c r="CE101">
        <v>4341.6000000000004</v>
      </c>
      <c r="CF101">
        <v>11</v>
      </c>
      <c r="CG101">
        <v>7959.6</v>
      </c>
      <c r="CH101">
        <v>9</v>
      </c>
      <c r="CI101">
        <v>6512.4000000000005</v>
      </c>
      <c r="CJ101">
        <v>8</v>
      </c>
      <c r="CK101">
        <v>5788.8</v>
      </c>
      <c r="CL101">
        <v>8</v>
      </c>
      <c r="CM101">
        <v>5788.8</v>
      </c>
      <c r="CN101">
        <v>9</v>
      </c>
      <c r="CO101">
        <v>6512.4000000000005</v>
      </c>
      <c r="CP101">
        <v>10</v>
      </c>
      <c r="CQ101">
        <v>7236</v>
      </c>
      <c r="CR101">
        <v>8</v>
      </c>
      <c r="CS101">
        <v>5788.8</v>
      </c>
      <c r="CT101">
        <v>9</v>
      </c>
      <c r="CU101">
        <v>6512.4000000000005</v>
      </c>
    </row>
    <row r="102" spans="2:99">
      <c r="C102" s="99" t="s">
        <v>269</v>
      </c>
      <c r="D102">
        <v>10</v>
      </c>
      <c r="E102">
        <v>5316</v>
      </c>
      <c r="F102">
        <v>11</v>
      </c>
      <c r="G102">
        <v>5847.6</v>
      </c>
      <c r="H102">
        <v>10</v>
      </c>
      <c r="I102">
        <v>5316</v>
      </c>
      <c r="J102">
        <v>12</v>
      </c>
      <c r="K102">
        <v>6379.2000000000007</v>
      </c>
      <c r="L102">
        <v>6</v>
      </c>
      <c r="M102">
        <v>3189.6000000000004</v>
      </c>
      <c r="N102">
        <v>6</v>
      </c>
      <c r="O102">
        <v>3189.6000000000004</v>
      </c>
      <c r="P102">
        <v>10</v>
      </c>
      <c r="Q102">
        <v>5316</v>
      </c>
      <c r="R102">
        <v>9</v>
      </c>
      <c r="S102">
        <v>4784.4000000000005</v>
      </c>
      <c r="T102">
        <v>7</v>
      </c>
      <c r="U102">
        <v>3721.2000000000003</v>
      </c>
      <c r="V102">
        <v>10</v>
      </c>
      <c r="W102">
        <v>5316</v>
      </c>
      <c r="X102">
        <v>7</v>
      </c>
      <c r="Y102">
        <v>3721.2000000000003</v>
      </c>
      <c r="Z102">
        <v>9</v>
      </c>
      <c r="AA102">
        <v>4784.4000000000005</v>
      </c>
      <c r="AB102">
        <v>8</v>
      </c>
      <c r="AC102">
        <v>4252.8</v>
      </c>
      <c r="AD102">
        <v>10</v>
      </c>
      <c r="AE102">
        <v>5316</v>
      </c>
      <c r="AF102">
        <v>9</v>
      </c>
      <c r="AG102">
        <v>4784.4000000000005</v>
      </c>
      <c r="AH102">
        <v>9</v>
      </c>
      <c r="AI102">
        <v>4784.4000000000005</v>
      </c>
      <c r="AJ102">
        <v>10</v>
      </c>
      <c r="AK102">
        <v>5316</v>
      </c>
      <c r="AL102">
        <v>9</v>
      </c>
      <c r="AM102">
        <v>4784.4000000000005</v>
      </c>
      <c r="AN102">
        <v>9</v>
      </c>
      <c r="AO102">
        <v>4784.4000000000005</v>
      </c>
      <c r="AP102">
        <v>9</v>
      </c>
      <c r="AQ102">
        <v>4784.4000000000005</v>
      </c>
      <c r="AR102">
        <v>11</v>
      </c>
      <c r="AS102">
        <v>5847.6</v>
      </c>
      <c r="AT102">
        <v>10</v>
      </c>
      <c r="AU102">
        <v>5316</v>
      </c>
      <c r="AV102">
        <v>6</v>
      </c>
      <c r="AW102">
        <v>3189.6000000000004</v>
      </c>
      <c r="AX102">
        <v>11</v>
      </c>
      <c r="AY102">
        <v>5847.6</v>
      </c>
      <c r="AZ102">
        <v>8</v>
      </c>
      <c r="BA102">
        <v>4252.8</v>
      </c>
      <c r="BB102">
        <v>8</v>
      </c>
      <c r="BC102">
        <v>4252.8</v>
      </c>
      <c r="BD102">
        <v>7</v>
      </c>
      <c r="BE102">
        <v>3721.2000000000003</v>
      </c>
      <c r="BF102">
        <v>9</v>
      </c>
      <c r="BG102">
        <v>4784.4000000000005</v>
      </c>
      <c r="BH102">
        <v>8</v>
      </c>
      <c r="BI102">
        <v>4252.8</v>
      </c>
      <c r="BJ102">
        <v>8</v>
      </c>
      <c r="BK102">
        <v>4252.8</v>
      </c>
      <c r="BL102">
        <v>10</v>
      </c>
      <c r="BM102">
        <v>5316</v>
      </c>
      <c r="BN102">
        <v>10</v>
      </c>
      <c r="BO102">
        <v>5316</v>
      </c>
      <c r="BP102">
        <v>6</v>
      </c>
      <c r="BQ102">
        <v>3189.6000000000004</v>
      </c>
      <c r="BR102">
        <v>7</v>
      </c>
      <c r="BS102">
        <v>3721.2000000000003</v>
      </c>
      <c r="BT102">
        <v>10</v>
      </c>
      <c r="BU102">
        <v>5316</v>
      </c>
      <c r="BV102">
        <v>8</v>
      </c>
      <c r="BW102">
        <v>4252.8</v>
      </c>
      <c r="BX102">
        <v>9</v>
      </c>
      <c r="BY102">
        <v>4784.4000000000005</v>
      </c>
      <c r="BZ102">
        <v>11</v>
      </c>
      <c r="CA102">
        <v>5847.6</v>
      </c>
      <c r="CB102">
        <v>7</v>
      </c>
      <c r="CC102">
        <v>3721.2000000000003</v>
      </c>
      <c r="CD102">
        <v>7</v>
      </c>
      <c r="CE102">
        <v>3721.2000000000003</v>
      </c>
      <c r="CF102">
        <v>10</v>
      </c>
      <c r="CG102">
        <v>5316</v>
      </c>
      <c r="CH102">
        <v>9</v>
      </c>
      <c r="CI102">
        <v>4784.4000000000005</v>
      </c>
      <c r="CJ102">
        <v>9</v>
      </c>
      <c r="CK102">
        <v>4784.4000000000005</v>
      </c>
      <c r="CL102">
        <v>8</v>
      </c>
      <c r="CM102">
        <v>4252.8</v>
      </c>
      <c r="CN102">
        <v>10</v>
      </c>
      <c r="CO102">
        <v>5316</v>
      </c>
      <c r="CP102">
        <v>10</v>
      </c>
      <c r="CQ102">
        <v>5316</v>
      </c>
      <c r="CR102">
        <v>8</v>
      </c>
      <c r="CS102">
        <v>4252.8</v>
      </c>
      <c r="CT102">
        <v>8</v>
      </c>
      <c r="CU102">
        <v>4252.8</v>
      </c>
    </row>
    <row r="103" spans="2:99">
      <c r="C103" s="99" t="s">
        <v>270</v>
      </c>
      <c r="D103">
        <v>12</v>
      </c>
      <c r="E103">
        <v>7070.4</v>
      </c>
      <c r="F103">
        <v>10</v>
      </c>
      <c r="G103">
        <v>5891.9999999999991</v>
      </c>
      <c r="H103">
        <v>9</v>
      </c>
      <c r="I103">
        <v>5302.7999999999993</v>
      </c>
      <c r="J103">
        <v>10</v>
      </c>
      <c r="K103">
        <v>5891.9999999999991</v>
      </c>
      <c r="L103">
        <v>6</v>
      </c>
      <c r="M103">
        <v>3535.2</v>
      </c>
      <c r="N103">
        <v>6</v>
      </c>
      <c r="O103">
        <v>3535.2</v>
      </c>
      <c r="P103">
        <v>9</v>
      </c>
      <c r="Q103">
        <v>5302.7999999999993</v>
      </c>
      <c r="R103">
        <v>10</v>
      </c>
      <c r="S103">
        <v>5891.9999999999991</v>
      </c>
      <c r="T103">
        <v>8</v>
      </c>
      <c r="U103">
        <v>4713.5999999999995</v>
      </c>
      <c r="V103">
        <v>12</v>
      </c>
      <c r="W103">
        <v>7070.4</v>
      </c>
      <c r="X103">
        <v>8</v>
      </c>
      <c r="Y103">
        <v>4713.5999999999995</v>
      </c>
      <c r="Z103">
        <v>9</v>
      </c>
      <c r="AA103">
        <v>5302.7999999999993</v>
      </c>
      <c r="AB103">
        <v>8</v>
      </c>
      <c r="AC103">
        <v>4713.5999999999995</v>
      </c>
      <c r="AD103">
        <v>11</v>
      </c>
      <c r="AE103">
        <v>6481.1999999999989</v>
      </c>
      <c r="AF103">
        <v>9</v>
      </c>
      <c r="AG103">
        <v>5302.7999999999993</v>
      </c>
      <c r="AH103">
        <v>9</v>
      </c>
      <c r="AI103">
        <v>5302.7999999999993</v>
      </c>
      <c r="AJ103">
        <v>9</v>
      </c>
      <c r="AK103">
        <v>5302.7999999999993</v>
      </c>
      <c r="AL103">
        <v>10</v>
      </c>
      <c r="AM103">
        <v>5891.9999999999991</v>
      </c>
      <c r="AN103">
        <v>8</v>
      </c>
      <c r="AO103">
        <v>4713.5999999999995</v>
      </c>
      <c r="AP103">
        <v>9</v>
      </c>
      <c r="AQ103">
        <v>5302.7999999999993</v>
      </c>
      <c r="AR103">
        <v>11</v>
      </c>
      <c r="AS103">
        <v>6481.1999999999989</v>
      </c>
      <c r="AT103">
        <v>9</v>
      </c>
      <c r="AU103">
        <v>5302.7999999999993</v>
      </c>
      <c r="AV103">
        <v>8</v>
      </c>
      <c r="AW103">
        <v>4713.5999999999995</v>
      </c>
      <c r="AX103">
        <v>12</v>
      </c>
      <c r="AY103">
        <v>7070.4</v>
      </c>
      <c r="AZ103">
        <v>10</v>
      </c>
      <c r="BA103">
        <v>5891.9999999999991</v>
      </c>
      <c r="BB103">
        <v>8</v>
      </c>
      <c r="BC103">
        <v>4713.5999999999995</v>
      </c>
      <c r="BD103">
        <v>8</v>
      </c>
      <c r="BE103">
        <v>4713.5999999999995</v>
      </c>
      <c r="BF103">
        <v>7</v>
      </c>
      <c r="BG103">
        <v>4124.3999999999996</v>
      </c>
      <c r="BH103">
        <v>8</v>
      </c>
      <c r="BI103">
        <v>4713.5999999999995</v>
      </c>
      <c r="BJ103">
        <v>9</v>
      </c>
      <c r="BK103">
        <v>5302.7999999999993</v>
      </c>
      <c r="BL103">
        <v>11</v>
      </c>
      <c r="BM103">
        <v>6481.1999999999989</v>
      </c>
      <c r="BN103">
        <v>10</v>
      </c>
      <c r="BO103">
        <v>5891.9999999999991</v>
      </c>
      <c r="BP103">
        <v>6</v>
      </c>
      <c r="BQ103">
        <v>3535.2</v>
      </c>
      <c r="BR103">
        <v>7</v>
      </c>
      <c r="BS103">
        <v>4124.3999999999996</v>
      </c>
      <c r="BT103">
        <v>9</v>
      </c>
      <c r="BU103">
        <v>5302.7999999999993</v>
      </c>
      <c r="BV103">
        <v>10</v>
      </c>
      <c r="BW103">
        <v>5891.9999999999991</v>
      </c>
      <c r="BX103">
        <v>9</v>
      </c>
      <c r="BY103">
        <v>5302.7999999999993</v>
      </c>
      <c r="BZ103">
        <v>11</v>
      </c>
      <c r="CA103">
        <v>6481.1999999999989</v>
      </c>
      <c r="CB103">
        <v>8</v>
      </c>
      <c r="CC103">
        <v>4713.5999999999995</v>
      </c>
      <c r="CD103">
        <v>7</v>
      </c>
      <c r="CE103">
        <v>4124.3999999999996</v>
      </c>
      <c r="CF103">
        <v>10</v>
      </c>
      <c r="CG103">
        <v>5891.9999999999991</v>
      </c>
      <c r="CH103">
        <v>8</v>
      </c>
      <c r="CI103">
        <v>4713.5999999999995</v>
      </c>
      <c r="CJ103">
        <v>9</v>
      </c>
      <c r="CK103">
        <v>5302.7999999999993</v>
      </c>
      <c r="CL103">
        <v>8</v>
      </c>
      <c r="CM103">
        <v>4713.5999999999995</v>
      </c>
      <c r="CN103">
        <v>10</v>
      </c>
      <c r="CO103">
        <v>5891.9999999999991</v>
      </c>
      <c r="CP103">
        <v>9</v>
      </c>
      <c r="CQ103">
        <v>5302.7999999999993</v>
      </c>
      <c r="CR103">
        <v>7</v>
      </c>
      <c r="CS103">
        <v>4124.3999999999996</v>
      </c>
      <c r="CT103">
        <v>8</v>
      </c>
      <c r="CU103">
        <v>4713.5999999999995</v>
      </c>
    </row>
    <row r="104" spans="2:99">
      <c r="C104" s="99" t="s">
        <v>271</v>
      </c>
      <c r="D104">
        <v>11</v>
      </c>
      <c r="E104">
        <v>6956.4</v>
      </c>
      <c r="F104">
        <v>10</v>
      </c>
      <c r="G104">
        <v>6324</v>
      </c>
      <c r="H104">
        <v>11</v>
      </c>
      <c r="I104">
        <v>6956.4</v>
      </c>
      <c r="J104">
        <v>10</v>
      </c>
      <c r="K104">
        <v>6324</v>
      </c>
      <c r="L104">
        <v>6</v>
      </c>
      <c r="M104">
        <v>3794.3999999999996</v>
      </c>
      <c r="N104">
        <v>6</v>
      </c>
      <c r="O104">
        <v>3794.3999999999996</v>
      </c>
      <c r="P104">
        <v>9</v>
      </c>
      <c r="Q104">
        <v>5691.5999999999995</v>
      </c>
      <c r="R104">
        <v>9</v>
      </c>
      <c r="S104">
        <v>5691.5999999999995</v>
      </c>
      <c r="T104">
        <v>7</v>
      </c>
      <c r="U104">
        <v>4426.8</v>
      </c>
      <c r="V104">
        <v>11</v>
      </c>
      <c r="W104">
        <v>6956.4</v>
      </c>
      <c r="X104">
        <v>8</v>
      </c>
      <c r="Y104">
        <v>5059.2</v>
      </c>
      <c r="Z104">
        <v>9</v>
      </c>
      <c r="AA104">
        <v>5691.5999999999995</v>
      </c>
      <c r="AB104">
        <v>8</v>
      </c>
      <c r="AC104">
        <v>5059.2</v>
      </c>
      <c r="AD104">
        <v>10</v>
      </c>
      <c r="AE104">
        <v>6324</v>
      </c>
      <c r="AF104">
        <v>8</v>
      </c>
      <c r="AG104">
        <v>5059.2</v>
      </c>
      <c r="AH104">
        <v>10</v>
      </c>
      <c r="AI104">
        <v>6324</v>
      </c>
      <c r="AJ104">
        <v>10</v>
      </c>
      <c r="AK104">
        <v>6324</v>
      </c>
      <c r="AL104">
        <v>11</v>
      </c>
      <c r="AM104">
        <v>6956.4</v>
      </c>
      <c r="AN104">
        <v>9</v>
      </c>
      <c r="AO104">
        <v>5691.5999999999995</v>
      </c>
      <c r="AP104">
        <v>9</v>
      </c>
      <c r="AQ104">
        <v>5691.5999999999995</v>
      </c>
      <c r="AR104">
        <v>11</v>
      </c>
      <c r="AS104">
        <v>6956.4</v>
      </c>
      <c r="AT104">
        <v>10</v>
      </c>
      <c r="AU104">
        <v>6324</v>
      </c>
      <c r="AV104">
        <v>7</v>
      </c>
      <c r="AW104">
        <v>4426.8</v>
      </c>
      <c r="AX104">
        <v>10</v>
      </c>
      <c r="AY104">
        <v>6324</v>
      </c>
      <c r="AZ104">
        <v>8</v>
      </c>
      <c r="BA104">
        <v>5059.2</v>
      </c>
      <c r="BB104">
        <v>7</v>
      </c>
      <c r="BC104">
        <v>4426.8</v>
      </c>
      <c r="BD104">
        <v>8</v>
      </c>
      <c r="BE104">
        <v>5059.2</v>
      </c>
      <c r="BF104">
        <v>8</v>
      </c>
      <c r="BG104">
        <v>5059.2</v>
      </c>
      <c r="BH104">
        <v>8</v>
      </c>
      <c r="BI104">
        <v>5059.2</v>
      </c>
      <c r="BJ104">
        <v>9</v>
      </c>
      <c r="BK104">
        <v>5691.5999999999995</v>
      </c>
      <c r="BL104">
        <v>11</v>
      </c>
      <c r="BM104">
        <v>6956.4</v>
      </c>
      <c r="BN104">
        <v>10</v>
      </c>
      <c r="BO104">
        <v>6324</v>
      </c>
      <c r="BP104">
        <v>5</v>
      </c>
      <c r="BQ104">
        <v>3162</v>
      </c>
      <c r="BR104">
        <v>7</v>
      </c>
      <c r="BS104">
        <v>4426.8</v>
      </c>
      <c r="BT104">
        <v>9</v>
      </c>
      <c r="BU104">
        <v>5691.5999999999995</v>
      </c>
      <c r="BV104">
        <v>8</v>
      </c>
      <c r="BW104">
        <v>5059.2</v>
      </c>
      <c r="BX104">
        <v>8</v>
      </c>
      <c r="BY104">
        <v>5059.2</v>
      </c>
      <c r="BZ104">
        <v>9</v>
      </c>
      <c r="CA104">
        <v>5691.5999999999995</v>
      </c>
      <c r="CB104">
        <v>7</v>
      </c>
      <c r="CC104">
        <v>4426.8</v>
      </c>
      <c r="CD104">
        <v>6</v>
      </c>
      <c r="CE104">
        <v>3794.3999999999996</v>
      </c>
      <c r="CF104">
        <v>11</v>
      </c>
      <c r="CG104">
        <v>6956.4</v>
      </c>
      <c r="CH104">
        <v>8</v>
      </c>
      <c r="CI104">
        <v>5059.2</v>
      </c>
      <c r="CJ104">
        <v>8</v>
      </c>
      <c r="CK104">
        <v>5059.2</v>
      </c>
      <c r="CL104">
        <v>8</v>
      </c>
      <c r="CM104">
        <v>5059.2</v>
      </c>
      <c r="CN104">
        <v>10</v>
      </c>
      <c r="CO104">
        <v>6324</v>
      </c>
      <c r="CP104">
        <v>10</v>
      </c>
      <c r="CQ104">
        <v>6324</v>
      </c>
      <c r="CR104">
        <v>8</v>
      </c>
      <c r="CS104">
        <v>5059.2</v>
      </c>
      <c r="CT104">
        <v>9</v>
      </c>
      <c r="CU104">
        <v>5691.5999999999995</v>
      </c>
    </row>
    <row r="105" spans="2:99">
      <c r="C105" s="99" t="s">
        <v>272</v>
      </c>
      <c r="D105">
        <v>11</v>
      </c>
      <c r="E105">
        <v>6124.7999999999993</v>
      </c>
      <c r="F105">
        <v>11</v>
      </c>
      <c r="G105">
        <v>6124.7999999999993</v>
      </c>
      <c r="H105">
        <v>10</v>
      </c>
      <c r="I105">
        <v>5568</v>
      </c>
      <c r="J105">
        <v>12</v>
      </c>
      <c r="K105">
        <v>6681.5999999999995</v>
      </c>
      <c r="L105">
        <v>6</v>
      </c>
      <c r="M105">
        <v>3340.7999999999997</v>
      </c>
      <c r="N105">
        <v>7</v>
      </c>
      <c r="O105">
        <v>3897.5999999999995</v>
      </c>
      <c r="P105">
        <v>10</v>
      </c>
      <c r="Q105">
        <v>5568</v>
      </c>
      <c r="R105">
        <v>9</v>
      </c>
      <c r="S105">
        <v>5011.2</v>
      </c>
      <c r="T105">
        <v>6</v>
      </c>
      <c r="U105">
        <v>3340.7999999999997</v>
      </c>
      <c r="V105">
        <v>11</v>
      </c>
      <c r="W105">
        <v>6124.7999999999993</v>
      </c>
      <c r="X105">
        <v>7</v>
      </c>
      <c r="Y105">
        <v>3897.5999999999995</v>
      </c>
      <c r="Z105">
        <v>9</v>
      </c>
      <c r="AA105">
        <v>5011.2</v>
      </c>
      <c r="AB105">
        <v>9</v>
      </c>
      <c r="AC105">
        <v>5011.2</v>
      </c>
      <c r="AD105">
        <v>11</v>
      </c>
      <c r="AE105">
        <v>6124.7999999999993</v>
      </c>
      <c r="AF105">
        <v>9</v>
      </c>
      <c r="AG105">
        <v>5011.2</v>
      </c>
      <c r="AH105">
        <v>9</v>
      </c>
      <c r="AI105">
        <v>5011.2</v>
      </c>
      <c r="AJ105">
        <v>11</v>
      </c>
      <c r="AK105">
        <v>6124.7999999999993</v>
      </c>
      <c r="AL105">
        <v>9</v>
      </c>
      <c r="AM105">
        <v>5011.2</v>
      </c>
      <c r="AN105">
        <v>10</v>
      </c>
      <c r="AO105">
        <v>5568</v>
      </c>
      <c r="AP105">
        <v>10</v>
      </c>
      <c r="AQ105">
        <v>5568</v>
      </c>
      <c r="AR105">
        <v>10</v>
      </c>
      <c r="AS105">
        <v>5568</v>
      </c>
      <c r="AT105">
        <v>10</v>
      </c>
      <c r="AU105">
        <v>5568</v>
      </c>
      <c r="AV105">
        <v>7</v>
      </c>
      <c r="AW105">
        <v>3897.5999999999995</v>
      </c>
      <c r="AX105">
        <v>12</v>
      </c>
      <c r="AY105">
        <v>6681.5999999999995</v>
      </c>
      <c r="AZ105">
        <v>9</v>
      </c>
      <c r="BA105">
        <v>5011.2</v>
      </c>
      <c r="BB105">
        <v>7</v>
      </c>
      <c r="BC105">
        <v>3897.5999999999995</v>
      </c>
      <c r="BD105">
        <v>8</v>
      </c>
      <c r="BE105">
        <v>4454.3999999999996</v>
      </c>
      <c r="BF105">
        <v>8</v>
      </c>
      <c r="BG105">
        <v>4454.3999999999996</v>
      </c>
      <c r="BH105">
        <v>8</v>
      </c>
      <c r="BI105">
        <v>4454.3999999999996</v>
      </c>
      <c r="BJ105">
        <v>8</v>
      </c>
      <c r="BK105">
        <v>4454.3999999999996</v>
      </c>
      <c r="BL105">
        <v>10</v>
      </c>
      <c r="BM105">
        <v>5568</v>
      </c>
      <c r="BN105">
        <v>10</v>
      </c>
      <c r="BO105">
        <v>5568</v>
      </c>
      <c r="BP105">
        <v>6</v>
      </c>
      <c r="BQ105">
        <v>3340.7999999999997</v>
      </c>
      <c r="BR105">
        <v>7</v>
      </c>
      <c r="BS105">
        <v>3897.5999999999995</v>
      </c>
      <c r="BT105">
        <v>9</v>
      </c>
      <c r="BU105">
        <v>5011.2</v>
      </c>
      <c r="BV105">
        <v>10</v>
      </c>
      <c r="BW105">
        <v>5568</v>
      </c>
      <c r="BX105">
        <v>10</v>
      </c>
      <c r="BY105">
        <v>5568</v>
      </c>
      <c r="BZ105">
        <v>10</v>
      </c>
      <c r="CA105">
        <v>5568</v>
      </c>
      <c r="CB105">
        <v>8</v>
      </c>
      <c r="CC105">
        <v>4454.3999999999996</v>
      </c>
      <c r="CD105">
        <v>7</v>
      </c>
      <c r="CE105">
        <v>3897.5999999999995</v>
      </c>
      <c r="CF105">
        <v>10</v>
      </c>
      <c r="CG105">
        <v>5568</v>
      </c>
      <c r="CH105">
        <v>9</v>
      </c>
      <c r="CI105">
        <v>5011.2</v>
      </c>
      <c r="CJ105">
        <v>9</v>
      </c>
      <c r="CK105">
        <v>5011.2</v>
      </c>
      <c r="CL105">
        <v>9</v>
      </c>
      <c r="CM105">
        <v>5011.2</v>
      </c>
      <c r="CN105">
        <v>9</v>
      </c>
      <c r="CO105">
        <v>5011.2</v>
      </c>
      <c r="CP105">
        <v>10</v>
      </c>
      <c r="CQ105">
        <v>5568</v>
      </c>
      <c r="CR105">
        <v>8</v>
      </c>
      <c r="CS105">
        <v>4454.3999999999996</v>
      </c>
      <c r="CT105">
        <v>9</v>
      </c>
      <c r="CU105">
        <v>5011.2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1105</v>
      </c>
      <c r="E109">
        <f>SUM(L$6:L$19)+SUM(N$6:N$19)+SUM(P$6:P$19)+SUM(R$6:R$19)</f>
        <v>1028</v>
      </c>
      <c r="F109">
        <f>SUM(T$6:T$19)+SUM(V$6:V$19)+SUM(X$6:X$19)+SUM(Z$6:Z$19)</f>
        <v>1270</v>
      </c>
      <c r="G109">
        <f>SUM(AB$6:AB$19)+SUM(AD$6:AD$19)+SUM(AF$6:AF$19)+SUM(AH$6:AH$19)</f>
        <v>1265</v>
      </c>
      <c r="H109">
        <f>SUM(AJ$6:AJ$19)+SUM(AL$6:AL$19)+SUM(AN$6:AN$19)+SUM(AP$6:AP$19)</f>
        <v>1027</v>
      </c>
      <c r="I109">
        <f>SUM(AR$6:AR$19)+SUM(AT$6:AT$19)+SUM(AV$6:AV$19)+SUM(AX$6:AX$19)</f>
        <v>1224</v>
      </c>
      <c r="J109">
        <f>SUM(AZ$6:AZ$19)+SUM(BB$6:BB$19)+SUM(BD$6:BD$19)+SUM(BF$6:BF$19)</f>
        <v>1168</v>
      </c>
      <c r="K109">
        <f>SUM(BH$6:BH$19)+SUM(BJ$6:BJ$19)+SUM(BL$6:BL$19)+SUM(BN$6:BN$19)</f>
        <v>1207</v>
      </c>
      <c r="L109">
        <f>SUM(BP$6:BP$19)+SUM(BR$6:BR$19)+SUM(BT$6:BT$19)+SUM(BV$6:BV$19)</f>
        <v>1256</v>
      </c>
      <c r="M109">
        <f>SUM(BX$6:BX$19)+SUM(BZ$6:BZ$19)+SUM(CB$6:CB$19)+SUM(CD$6:CD$19)</f>
        <v>1218.7986589104653</v>
      </c>
      <c r="N109">
        <f>SUM(CF$6:CF$19)+SUM(CH$6:CH$19)+SUM(CJ$6:CJ$19)+SUM(CL$6:CL$19)</f>
        <v>1371.2824526991576</v>
      </c>
      <c r="O109">
        <f>SUM(CN$6:CN$19)+SUM(CP$6:CP$19)+SUM(CR$6:CR$19)+SUM(CT$6:CT$19)</f>
        <v>1231.0659393170654</v>
      </c>
    </row>
    <row r="110" spans="2:99">
      <c r="C110" s="99" t="s">
        <v>127</v>
      </c>
      <c r="D110">
        <f>SUM(D$20:D$36)+SUM(F$20:F$36)+SUM(H$20:H$36)+SUM(J$20:J$36)</f>
        <v>1435</v>
      </c>
      <c r="E110">
        <f>SUM(L$20:L$36)+SUM(N$20:N$36)+SUM(P$20:P$36)+SUM(R$20:R$36)</f>
        <v>1393</v>
      </c>
      <c r="F110">
        <f>SUM(T$20:T$36)+SUM(V$20:V$36)+SUM(X$20:X$36)+SUM(Z$20:Z$36)</f>
        <v>1457</v>
      </c>
      <c r="G110">
        <f>SUM(AB$20:AB$36)+SUM(AD$20:AD$36)+SUM(AF$20:AF$36)+SUM(AH$20:AH$36)</f>
        <v>1576</v>
      </c>
      <c r="H110">
        <f>SUM(AJ$20:AJ$36)+SUM(AL$20:AL$36)+SUM(AN$20:AN$36)+SUM(AP$20:AP$36)</f>
        <v>1580</v>
      </c>
      <c r="I110">
        <f>SUM(AR$20:AR$36)+SUM(AT$20:AT$36)+SUM(AV$20:AV$36)+SUM(AX$20:AX$36)</f>
        <v>1534</v>
      </c>
      <c r="J110">
        <f>SUM(AZ$20:AZ$36)+SUM(BB$20:BB$36)+SUM(BD$20:BD$36)+SUM(BF$20:BF$36)</f>
        <v>1548</v>
      </c>
      <c r="K110">
        <f>SUM(BH$20:BH$36)+SUM(BJ$20:BJ$36)+SUM(BL$20:BL$36)+SUM(BN$20:BN$36)</f>
        <v>1670</v>
      </c>
      <c r="L110">
        <f>SUM(BP$20:BP$36)+SUM(BR$20:BR$36)+SUM(BT$20:BT$36)+SUM(BV$20:BV$36)</f>
        <v>1380</v>
      </c>
      <c r="M110">
        <f>SUM(BX$20:BX$36)+SUM(BZ$20:BZ$36)+SUM(CB$20:CB$36)+SUM(CD$20:CD$36)</f>
        <v>1578.1802812008082</v>
      </c>
      <c r="N110">
        <f>SUM(CF$20:CF$36)+SUM(CH$20:CH$36)+SUM(CJ$20:CJ$36)+SUM(CL$20:CL$36)</f>
        <v>1393.1573874674291</v>
      </c>
      <c r="O110">
        <f>SUM(CN$20:CN$36)+SUM(CP$20:CP$36)+SUM(CR$20:CR$36)+SUM(CT$20:CT$36)</f>
        <v>1415.8304013635629</v>
      </c>
    </row>
    <row r="111" spans="2:99">
      <c r="C111" s="99" t="s">
        <v>128</v>
      </c>
      <c r="D111">
        <f>SUM(D$37:D$48)+SUM(F$37:F$48)+SUM(H$37:H$48)+SUM(J$37:J$48)</f>
        <v>815</v>
      </c>
      <c r="E111">
        <f>SUM(L$37:L$48)+SUM(N$37:N$48)+SUM(P$37:P$48)+SUM(R$37:R$48)</f>
        <v>685</v>
      </c>
      <c r="F111">
        <f>SUM(T$37:T$48)+SUM(V$37:V$48)+SUM(X$37:X$48)+SUM(Z$37:Z$48)</f>
        <v>591</v>
      </c>
      <c r="G111">
        <f>SUM(AB$37:AB$48)+SUM(AD$37:AD$48)+SUM(AF$37:AF$48)+SUM(AH$37:AH$48)</f>
        <v>648</v>
      </c>
      <c r="H111">
        <f>SUM(AJ$37:AJ$48)+SUM(AL$37:AL$48)+SUM(AN$37:AN$48)+SUM(AP$37:AP$48)</f>
        <v>659</v>
      </c>
      <c r="I111">
        <f>SUM(AR$37:AR$48)+SUM(AT$37:AT$48)+SUM(AV$37:AV$48)+SUM(AX$37:AX$48)</f>
        <v>614</v>
      </c>
      <c r="J111">
        <f>SUM(AZ$37:AZ$48)+SUM(BB$37:BB$48)+SUM(BD$37:BD$48)+SUM(BF$37:BF$48)</f>
        <v>671</v>
      </c>
      <c r="K111">
        <f>SUM(BH$37:BH$48)+SUM(BJ$37:BJ$48)+SUM(BL$37:BL$48)+SUM(BN$37:BN$48)</f>
        <v>659</v>
      </c>
      <c r="L111">
        <f>SUM(BP$37:BP$48)+SUM(BR$37:BR$48)+SUM(BT$37:BT$48)+SUM(BV$37:BV$48)</f>
        <v>758</v>
      </c>
      <c r="M111">
        <f>SUM(BX$37:BX$48)+SUM(BZ$37:BZ$48)+SUM(CB$37:CB$48)+SUM(CD$37:CD$48)</f>
        <v>758.27855810893698</v>
      </c>
      <c r="N111">
        <f>SUM(CF$37:CF$48)+SUM(CH$37:CH$48)+SUM(CJ$37:CJ$48)+SUM(CL$37:CL$48)</f>
        <v>602.73651685539357</v>
      </c>
      <c r="O111">
        <f>SUM(CN$37:CN$48)+SUM(CP$37:CP$48)+SUM(CR$37:CR$48)+SUM(CT$37:CT$48)</f>
        <v>668.4074470680589</v>
      </c>
    </row>
    <row r="112" spans="2:99">
      <c r="C112" s="99" t="s">
        <v>129</v>
      </c>
      <c r="D112">
        <f>SUM(D$49:D$70)+SUM(F$49:F$70)+SUM(H$49:H$70)+SUM(J$49:J$70)</f>
        <v>1216.013698630137</v>
      </c>
      <c r="E112">
        <f>SUM(L$49:L$70)+SUM(N$49:N$70)+SUM(P$49:P$70)+SUM(R$49:R$70)</f>
        <v>1192.8439306358382</v>
      </c>
      <c r="F112">
        <f>SUM(T$49:T$70)+SUM(V$49:V$70)+SUM(X$49:X$70)+SUM(Z$49:Z$70)</f>
        <v>990</v>
      </c>
      <c r="G112">
        <f>SUM(AB$49:AB$70)+SUM(AD$49:AD$70)+SUM(AF$49:AF$70)+SUM(AH$49:AH$70)</f>
        <v>1050.1459854014597</v>
      </c>
      <c r="H112">
        <f>SUM(AJ$49:AJ$70)+SUM(AL$49:AL$70)+SUM(AN$49:AN$70)+SUM(AP$49:AP$70)</f>
        <v>829.58060143967168</v>
      </c>
      <c r="I112">
        <f>SUM(AR$49:AR$70)+SUM(AT$49:AT$70)+SUM(AV$49:AV$70)+SUM(AX$49:AX$70)</f>
        <v>1192.121387283237</v>
      </c>
      <c r="J112">
        <f>SUM(AZ$49:AZ$70)+SUM(BB$49:BB$70)+SUM(BD$49:BD$70)+SUM(BF$49:BF$70)</f>
        <v>1273</v>
      </c>
      <c r="K112">
        <f>SUM(BH$49:BH$70)+SUM(BJ$49:BJ$70)+SUM(BL$49:BL$70)+SUM(BN$49:BN$70)</f>
        <v>1110</v>
      </c>
      <c r="L112">
        <f>SUM(BP$49:BP$70)+SUM(BR$49:BR$70)+SUM(BT$49:BT$70)+SUM(BV$49:BV$70)</f>
        <v>1212</v>
      </c>
      <c r="M112">
        <f>SUM(BX$49:BX$70)+SUM(BZ$49:BZ$70)+SUM(CB$49:CB$70)+SUM(CD$49:CD$70)</f>
        <v>1170.9361710544904</v>
      </c>
      <c r="N112">
        <f>SUM(CF$49:CF$70)+SUM(CH$49:CH$70)+SUM(CJ$49:CJ$70)+SUM(CL$49:CL$70)</f>
        <v>1013.8591401538654</v>
      </c>
      <c r="O112">
        <f>SUM(CN$49:CN$70)+SUM(CP$49:CP$70)+SUM(CR$49:CR$70)+SUM(CT$49:CT$70)</f>
        <v>1067.731709427158</v>
      </c>
    </row>
    <row r="113" spans="2:15">
      <c r="C113" s="99" t="s">
        <v>130</v>
      </c>
      <c r="D113">
        <f>SUM(D$71:D$86)+SUM(F$71:F$86)+SUM(H$71:H$86)+SUM(J$71:J$86)</f>
        <v>389.98630136986299</v>
      </c>
      <c r="E113">
        <f>SUM(L$71:L$86)+SUM(N$71:N$86)+SUM(P$71:P$86)+SUM(R$71:R$86)</f>
        <v>498.15606936416185</v>
      </c>
      <c r="F113">
        <f>SUM(T$71:T$86)+SUM(V$71:V$86)+SUM(X$71:X$86)+SUM(Z$71:Z$86)</f>
        <v>502</v>
      </c>
      <c r="G113">
        <f>SUM(AB$71:AB$86)+SUM(AD$71:AD$86)+SUM(AF$71:AF$86)+SUM(AH$71:AH$86)</f>
        <v>63.85401459854014</v>
      </c>
      <c r="H113">
        <f>SUM(AJ$71:AJ$86)+SUM(AL$71:AL$86)+SUM(AN$71:AN$86)+SUM(AP$71:AP$86)</f>
        <v>444.41939856032826</v>
      </c>
      <c r="I113">
        <f>SUM(AR$71:AR$86)+SUM(AT$71:AT$86)+SUM(AV$71:AV$86)+SUM(AX$71:AX$86)</f>
        <v>512.87861271676297</v>
      </c>
      <c r="J113">
        <f>SUM(AZ$71:AZ$86)+SUM(BB$71:BB$86)+SUM(BD$71:BD$86)+SUM(BF$71:BF$86)</f>
        <v>485</v>
      </c>
      <c r="K113">
        <f>SUM(BH$71:BH$86)+SUM(BJ$71:BJ$86)+SUM(BL$71:BL$86)+SUM(BN$71:BN$86)</f>
        <v>492</v>
      </c>
      <c r="L113">
        <f>SUM(BP$71:BP$86)+SUM(BR$71:BR$86)+SUM(BT$71:BT$86)+SUM(BV$71:BV$86)</f>
        <v>492</v>
      </c>
      <c r="M113">
        <f>SUM(BX$71:BX$86)+SUM(BZ$71:BZ$86)+SUM(CB$71:CB$86)+SUM(CD$71:CD$86)</f>
        <v>536</v>
      </c>
      <c r="N113">
        <f>SUM(CF$71:CF$86)+SUM(CH$71:CH$86)+SUM(CJ$71:CJ$86)+SUM(CL$71:CL$86)</f>
        <v>460</v>
      </c>
      <c r="O113">
        <f>SUM(CN$71:CN$86)+SUM(CP$71:CP$86)+SUM(CR$71:CR$86)+SUM(CT$71:CT$86)</f>
        <v>560</v>
      </c>
    </row>
    <row r="114" spans="2:15">
      <c r="C114" s="99" t="s">
        <v>131</v>
      </c>
      <c r="D114">
        <f>SUM(D$87:D$94)+SUM(F$87:F$94)+SUM(H$87:H$94)+SUM(J$87:J$94)</f>
        <v>313</v>
      </c>
      <c r="E114">
        <f>SUM(L$87:L$94)+SUM(N$87:N$94)+SUM(P$87:P$94)+SUM(R$87:R$94)</f>
        <v>263</v>
      </c>
      <c r="F114">
        <f>SUM(T$87:T$94)+SUM(V$87:V$94)+SUM(X$87:X$94)+SUM(Z$87:Z$94)</f>
        <v>309</v>
      </c>
      <c r="G114">
        <f>SUM(AB$87:AB$94)+SUM(AD$87:AD$94)+SUM(AF$87:AF$94)+SUM(AH$87:AH$94)</f>
        <v>287</v>
      </c>
      <c r="H114">
        <f>SUM(AJ$87:AJ$94)+SUM(AL$87:AL$94)+SUM(AN$87:AN$94)+SUM(AP$87:AP$94)</f>
        <v>238</v>
      </c>
      <c r="I114">
        <f>SUM(AR$87:AR$94)+SUM(AT$87:AT$94)+SUM(AV$87:AV$94)+SUM(AX$87:AX$94)</f>
        <v>286</v>
      </c>
      <c r="J114">
        <f>SUM(AZ$87:AZ$94)+SUM(BB$87:BB$94)+SUM(BD$87:BD$94)+SUM(BF$87:BF$94)</f>
        <v>314</v>
      </c>
      <c r="K114">
        <f>SUM(BH$87:BH$94)+SUM(BJ$87:BJ$94)+SUM(BL$87:BL$94)+SUM(BN$87:BN$94)</f>
        <v>252</v>
      </c>
      <c r="L114">
        <f>SUM(BP$87:BP$94)+SUM(BR$87:BR$94)+SUM(BT$87:BT$94)+SUM(BV$87:BV$94)</f>
        <v>308</v>
      </c>
      <c r="M114">
        <f>SUM(BX$87:BX$94)+SUM(BZ$87:BZ$94)+SUM(CB$87:CB$94)+SUM(CD$87:CD$94)</f>
        <v>331</v>
      </c>
      <c r="N114">
        <f>SUM(CF$87:CF$94)+SUM(CH$87:CH$94)+SUM(CJ$87:CJ$94)+SUM(CL$87:CL$94)</f>
        <v>290</v>
      </c>
      <c r="O114">
        <f>SUM(CN$87:CN$94)+SUM(CP$87:CP$94)+SUM(CR$87:CR$94)+SUM(CT$87:CT$94)</f>
        <v>378</v>
      </c>
    </row>
    <row r="115" spans="2:15">
      <c r="C115" s="99" t="s">
        <v>132</v>
      </c>
      <c r="D115">
        <f>SUM(D$95:D$105)+SUM(F$95:F$105)+SUM(H$95:H$105)+SUM(J$95:J$105)</f>
        <v>452</v>
      </c>
      <c r="E115">
        <f>SUM(L$95:L$105)+SUM(N$95:N$105)+SUM(P$95:P$105)+SUM(R$95:R$105)</f>
        <v>332</v>
      </c>
      <c r="F115">
        <f>SUM(T$95:T$105)+SUM(V$95:V$105)+SUM(X$95:X$105)+SUM(Z$95:Z$105)</f>
        <v>375</v>
      </c>
      <c r="G115">
        <f>SUM(AB$95:AB$105)+SUM(AD$95:AD$105)+SUM(AF$95:AF$105)+SUM(AH$95:AH$105)</f>
        <v>394</v>
      </c>
      <c r="H115">
        <f>SUM(AJ$95:AJ$105)+SUM(AL$95:AL$105)+SUM(AN$95:AN$105)+SUM(AP$95:AP$105)</f>
        <v>418</v>
      </c>
      <c r="I115">
        <f>SUM(AR$95:AR$105)+SUM(AT$95:AT$105)+SUM(AV$95:AV$105)+SUM(AX$95:AX$105)</f>
        <v>421</v>
      </c>
      <c r="J115">
        <f>SUM(AZ$95:AZ$105)+SUM(BB$95:BB$105)+SUM(BD$95:BD$105)+SUM(BF$95:BF$105)</f>
        <v>342</v>
      </c>
      <c r="K115">
        <f>SUM(BH$95:BH$105)+SUM(BJ$95:BJ$105)+SUM(BL$95:BL$105)+SUM(BN$95:BN$105)</f>
        <v>400</v>
      </c>
      <c r="L115">
        <f>SUM(BP$95:BP$105)+SUM(BR$95:BR$105)+SUM(BT$95:BT$105)+SUM(BV$95:BV$105)</f>
        <v>334</v>
      </c>
      <c r="M115">
        <f>SUM(BX$95:BX$105)+SUM(BZ$95:BZ$105)+SUM(CB$95:CB$105)+SUM(CD$95:CD$105)</f>
        <v>358</v>
      </c>
      <c r="N115">
        <f>SUM(CF$95:CF$105)+SUM(CH$95:CH$105)+SUM(CJ$95:CJ$105)+SUM(CL$95:CL$105)</f>
        <v>391</v>
      </c>
      <c r="O115">
        <f>SUM(CN$95:CN$105)+SUM(CP$95:CP$105)+SUM(CR$95:CR$105)+SUM(CT$95:CT$105)</f>
        <v>383</v>
      </c>
    </row>
    <row r="116" spans="2:15">
      <c r="C116" s="99" t="s">
        <v>279</v>
      </c>
      <c r="D116">
        <f t="shared" ref="D116:O116" si="0">SUM(D$109:D$115)</f>
        <v>5726</v>
      </c>
      <c r="E116">
        <f t="shared" si="0"/>
        <v>5392</v>
      </c>
      <c r="F116">
        <f t="shared" si="0"/>
        <v>5494</v>
      </c>
      <c r="G116">
        <f t="shared" si="0"/>
        <v>5283.9999999999991</v>
      </c>
      <c r="H116">
        <f t="shared" si="0"/>
        <v>5196</v>
      </c>
      <c r="I116">
        <f t="shared" si="0"/>
        <v>5784</v>
      </c>
      <c r="J116">
        <f t="shared" si="0"/>
        <v>5801</v>
      </c>
      <c r="K116">
        <f t="shared" si="0"/>
        <v>5790</v>
      </c>
      <c r="L116">
        <f t="shared" si="0"/>
        <v>5740</v>
      </c>
      <c r="M116">
        <f t="shared" si="0"/>
        <v>5951.1936692747004</v>
      </c>
      <c r="N116">
        <f t="shared" si="0"/>
        <v>5522.0354971758452</v>
      </c>
      <c r="O116">
        <f t="shared" si="0"/>
        <v>5704.0354971758452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D109*pricing!D6*2000</f>
        <v>3757000</v>
      </c>
      <c r="E120">
        <f>E109*pricing!E6*2000</f>
        <v>3495200</v>
      </c>
      <c r="F120">
        <f>F109*pricing!F6*2000</f>
        <v>4318000</v>
      </c>
      <c r="G120">
        <f>G109*pricing!G6*2000</f>
        <v>4301000</v>
      </c>
      <c r="H120">
        <f>H109*pricing!H6*2000</f>
        <v>3491799.9999999995</v>
      </c>
      <c r="I120">
        <f>I109*pricing!I6*2000</f>
        <v>4161599.9999999995</v>
      </c>
      <c r="J120">
        <f>J109*pricing!J6*2000</f>
        <v>3971200</v>
      </c>
      <c r="K120">
        <f>K109*pricing!K6*2000</f>
        <v>4103800</v>
      </c>
      <c r="L120">
        <f>L109*pricing!L6*2000</f>
        <v>4270400</v>
      </c>
      <c r="M120">
        <f>M109*pricing!M6*2000</f>
        <v>4143915.4402955817</v>
      </c>
      <c r="N120">
        <f>N109*pricing!N6*2000</f>
        <v>4662360.3391771354</v>
      </c>
      <c r="O120">
        <f>O109*pricing!O6*2000</f>
        <v>4185624.1936780224</v>
      </c>
    </row>
    <row r="121" spans="2:15">
      <c r="C121" s="99" t="s">
        <v>127</v>
      </c>
      <c r="D121">
        <f>D110*pricing!D7*2000</f>
        <v>5740000</v>
      </c>
      <c r="E121">
        <f>E110*pricing!E7*2000</f>
        <v>5572000</v>
      </c>
      <c r="F121">
        <f>F110*pricing!F7*2000</f>
        <v>5828000</v>
      </c>
      <c r="G121">
        <f>G110*pricing!G7*2000</f>
        <v>6304000</v>
      </c>
      <c r="H121">
        <f>H110*pricing!H7*2000</f>
        <v>6320000</v>
      </c>
      <c r="I121">
        <f>I110*pricing!I7*2000</f>
        <v>6136000</v>
      </c>
      <c r="J121">
        <f>J110*pricing!J7*2000</f>
        <v>6192000</v>
      </c>
      <c r="K121">
        <f>K110*pricing!K7*2000</f>
        <v>6680000</v>
      </c>
      <c r="L121">
        <f>L110*pricing!L7*2000</f>
        <v>5520000</v>
      </c>
      <c r="M121">
        <f>M110*pricing!M7*2000</f>
        <v>6312721.124803233</v>
      </c>
      <c r="N121">
        <f>N110*pricing!N7*2000</f>
        <v>5572629.5498697162</v>
      </c>
      <c r="O121">
        <f>O110*pricing!O7*2000</f>
        <v>5663321.6054542521</v>
      </c>
    </row>
    <row r="122" spans="2:15">
      <c r="C122" s="99" t="s">
        <v>128</v>
      </c>
      <c r="D122">
        <f>D111*pricing!D8*2000</f>
        <v>3667500</v>
      </c>
      <c r="E122">
        <f>E111*pricing!E8*2000</f>
        <v>3082500</v>
      </c>
      <c r="F122">
        <f>F111*pricing!F8*2000</f>
        <v>2659500</v>
      </c>
      <c r="G122">
        <f>G111*pricing!G8*2000</f>
        <v>2916000</v>
      </c>
      <c r="H122">
        <f>H111*pricing!H8*2000</f>
        <v>2965500</v>
      </c>
      <c r="I122">
        <f>I111*pricing!I8*2000</f>
        <v>2763000</v>
      </c>
      <c r="J122">
        <f>J111*pricing!J8*2000</f>
        <v>3019500</v>
      </c>
      <c r="K122">
        <f>K111*pricing!K8*2000</f>
        <v>2965500</v>
      </c>
      <c r="L122">
        <f>L111*pricing!L8*2000</f>
        <v>3411000</v>
      </c>
      <c r="M122">
        <f>M111*pricing!M8*2000</f>
        <v>3412253.5114902165</v>
      </c>
      <c r="N122">
        <f>N111*pricing!N8*2000</f>
        <v>2712314.3258492709</v>
      </c>
      <c r="O122">
        <f>O111*pricing!O8*2000</f>
        <v>3007833.511806265</v>
      </c>
    </row>
    <row r="123" spans="2:15">
      <c r="C123" s="99" t="s">
        <v>129</v>
      </c>
      <c r="D123">
        <f>D112*pricing!D9*2000</f>
        <v>5472061.6438356163</v>
      </c>
      <c r="E123">
        <f>E112*pricing!E9*2000</f>
        <v>5367797.6878612721</v>
      </c>
      <c r="F123">
        <f>F112*pricing!F9*2000</f>
        <v>4455000</v>
      </c>
      <c r="G123">
        <f>G112*pricing!G9*2000</f>
        <v>4725656.9343065685</v>
      </c>
      <c r="H123">
        <f>H112*pricing!H9*2000</f>
        <v>3733112.7064785222</v>
      </c>
      <c r="I123">
        <f>I112*pricing!I9*2000</f>
        <v>5364546.2427745666</v>
      </c>
      <c r="J123">
        <f>J112*pricing!J9*2000</f>
        <v>5728500</v>
      </c>
      <c r="K123">
        <f>K112*pricing!K9*2000</f>
        <v>4995000</v>
      </c>
      <c r="L123">
        <f>L112*pricing!L9*2000</f>
        <v>5454000</v>
      </c>
      <c r="M123">
        <f>M112*pricing!M9*2000</f>
        <v>5269212.7697452074</v>
      </c>
      <c r="N123">
        <f>N112*pricing!N9*2000</f>
        <v>4562366.1306923945</v>
      </c>
      <c r="O123">
        <f>O112*pricing!O9*2000</f>
        <v>4804792.6924222112</v>
      </c>
    </row>
    <row r="124" spans="2:15">
      <c r="C124" s="99" t="s">
        <v>130</v>
      </c>
      <c r="D124">
        <f>D113*pricing!D10*2000</f>
        <v>1949931.506849315</v>
      </c>
      <c r="E124">
        <f>E113*pricing!E10*2000</f>
        <v>2490780.3468208094</v>
      </c>
      <c r="F124">
        <f>F113*pricing!F10*2000</f>
        <v>2510000</v>
      </c>
      <c r="G124">
        <f>G113*pricing!G10*2000</f>
        <v>319270.07299270068</v>
      </c>
      <c r="H124">
        <f>H113*pricing!H10*2000</f>
        <v>2222096.9928016411</v>
      </c>
      <c r="I124">
        <f>I113*pricing!I10*2000</f>
        <v>2564393.063583815</v>
      </c>
      <c r="J124">
        <f>J113*pricing!J10*2000</f>
        <v>2425000</v>
      </c>
      <c r="K124">
        <f>K113*pricing!K10*2000</f>
        <v>2460000</v>
      </c>
      <c r="L124">
        <f>L113*pricing!L10*2000</f>
        <v>2460000</v>
      </c>
      <c r="M124">
        <f>M113*pricing!M10*2000</f>
        <v>2680000</v>
      </c>
      <c r="N124">
        <f>N113*pricing!N10*2000</f>
        <v>2300000</v>
      </c>
      <c r="O124">
        <f>O113*pricing!O10*2000</f>
        <v>2800000</v>
      </c>
    </row>
    <row r="125" spans="2:15">
      <c r="C125" s="99" t="s">
        <v>131</v>
      </c>
      <c r="D125">
        <f>D114*pricing!D11*2000</f>
        <v>1627600.0000000002</v>
      </c>
      <c r="E125">
        <f>E114*pricing!E11*2000</f>
        <v>1367600.0000000002</v>
      </c>
      <c r="F125">
        <f>F114*pricing!F11*2000</f>
        <v>1606800</v>
      </c>
      <c r="G125">
        <f>G114*pricing!G11*2000</f>
        <v>1492400</v>
      </c>
      <c r="H125">
        <f>H114*pricing!H11*2000</f>
        <v>1237600.0000000002</v>
      </c>
      <c r="I125">
        <f>I114*pricing!I11*2000</f>
        <v>1487200</v>
      </c>
      <c r="J125">
        <f>J114*pricing!J11*2000</f>
        <v>1632800</v>
      </c>
      <c r="K125">
        <f>K114*pricing!K11*2000</f>
        <v>1310400</v>
      </c>
      <c r="L125">
        <f>L114*pricing!L11*2000</f>
        <v>1601600.0000000002</v>
      </c>
      <c r="M125">
        <f>M114*pricing!M11*2000</f>
        <v>1721200</v>
      </c>
      <c r="N125">
        <f>N114*pricing!N11*2000</f>
        <v>1508000</v>
      </c>
      <c r="O125">
        <f>O114*pricing!O11*2000</f>
        <v>1965600.0000000002</v>
      </c>
    </row>
    <row r="126" spans="2:15">
      <c r="C126" s="99" t="s">
        <v>132</v>
      </c>
      <c r="D126">
        <f>D115*pricing!D12*2000</f>
        <v>2440800</v>
      </c>
      <c r="E126">
        <f>E115*pricing!E12*2000</f>
        <v>1792800.0000000002</v>
      </c>
      <c r="F126">
        <f>F115*pricing!F12*2000</f>
        <v>2025000.0000000002</v>
      </c>
      <c r="G126">
        <f>G115*pricing!G12*2000</f>
        <v>2127600.0000000005</v>
      </c>
      <c r="H126">
        <f>H115*pricing!H12*2000</f>
        <v>2257200.0000000005</v>
      </c>
      <c r="I126">
        <f>I115*pricing!I12*2000</f>
        <v>2273400</v>
      </c>
      <c r="J126">
        <f>J115*pricing!J12*2000</f>
        <v>1846800.0000000002</v>
      </c>
      <c r="K126">
        <f>K115*pricing!K12*2000</f>
        <v>2160000</v>
      </c>
      <c r="L126">
        <f>L115*pricing!L12*2000</f>
        <v>1803600.0000000002</v>
      </c>
      <c r="M126">
        <f>M115*pricing!M12*2000</f>
        <v>1933200</v>
      </c>
      <c r="N126">
        <f>N115*pricing!N12*2000</f>
        <v>2111400</v>
      </c>
      <c r="O126">
        <f>O115*pricing!O12*2000</f>
        <v>2068200.0000000002</v>
      </c>
    </row>
    <row r="127" spans="2:15">
      <c r="C127" s="99" t="s">
        <v>279</v>
      </c>
      <c r="D127">
        <f t="shared" ref="D127:O127" si="1">SUM(D$120:D$126)</f>
        <v>24654893.15068493</v>
      </c>
      <c r="E127">
        <f t="shared" si="1"/>
        <v>23168678.03468208</v>
      </c>
      <c r="F127">
        <f t="shared" si="1"/>
        <v>23402300</v>
      </c>
      <c r="G127">
        <f t="shared" si="1"/>
        <v>22185927.00729927</v>
      </c>
      <c r="H127">
        <f t="shared" si="1"/>
        <v>22227309.699280161</v>
      </c>
      <c r="I127">
        <f t="shared" si="1"/>
        <v>24750139.306358382</v>
      </c>
      <c r="J127">
        <f t="shared" si="1"/>
        <v>24815800</v>
      </c>
      <c r="K127">
        <f t="shared" si="1"/>
        <v>24674700</v>
      </c>
      <c r="L127">
        <f t="shared" si="1"/>
        <v>24520600</v>
      </c>
      <c r="M127">
        <f t="shared" si="1"/>
        <v>25472502.846334238</v>
      </c>
      <c r="N127">
        <f t="shared" si="1"/>
        <v>23429070.345588516</v>
      </c>
      <c r="O127">
        <f t="shared" si="1"/>
        <v>24495372.003360748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557540.39999999991</v>
      </c>
      <c r="E131" s="104">
        <f>SUM(M$6:M$19)+SUM(O$6:O$19)+SUM(Q$6:Q$19)+SUM(S$6:S$19)</f>
        <v>518565.6</v>
      </c>
      <c r="F131" s="104">
        <f>SUM(U$6:U$19)+SUM(W$6:W$19)+SUM(Y$6:Y$19)+SUM(AA$6:AA$19)</f>
        <v>640450.79999999993</v>
      </c>
      <c r="G131" s="104">
        <f>SUM(AC$6:AC$19)+SUM(AE$6:AE$19)+SUM(AG$6:AG$19)+SUM(AI$6:AI$19)</f>
        <v>635608.79999999993</v>
      </c>
      <c r="H131" s="104">
        <f>SUM(AK$6:AK$19)+SUM(AM$6:AM$19)+SUM(AO$6:AO$19)+SUM(AQ$6:AQ$19)</f>
        <v>516022.79999999993</v>
      </c>
      <c r="I131" s="104">
        <f>SUM(AS$6:AS$19)+SUM(AU$6:AU$19)+SUM(AW$6:AW$19)+SUM(AY$6:AY$19)</f>
        <v>613663.19999999995</v>
      </c>
      <c r="J131" s="104">
        <f>SUM(BA$6:BA$19)+SUM(BC$6:BC$19)+SUM(BE$6:BE$19)+SUM(BG$6:BG$19)</f>
        <v>585706.80000000005</v>
      </c>
      <c r="K131" s="104">
        <f>SUM(BI$6:BI$19)+SUM(BK$6:BK$19)+SUM(BM$6:BM$19)+SUM(BO$6:BO$19)</f>
        <v>606562.79999999993</v>
      </c>
      <c r="L131" s="104">
        <f>SUM(BQ$6:BQ$19)+SUM(BS$6:BS$19)+SUM(BU$6:BU$19)+SUM(BW$6:BW$19)</f>
        <v>629649.6</v>
      </c>
      <c r="M131" s="104">
        <f>SUM(BY$6:BY$19)+SUM(CA$6:CA$19)+SUM(CC$6:CC$19)+SUM(CE$6:CE$19)</f>
        <v>608390.81206532614</v>
      </c>
      <c r="N131" s="104">
        <f>SUM(CG$6:CG$19)+SUM(CI$6:CI$19)+SUM(CK$6:CK$19)+SUM(CM$6:CM$19)</f>
        <v>686640.83650590526</v>
      </c>
      <c r="O131" s="104">
        <f>SUM(CO$6:CO$19)+SUM(CQ$6:CQ$19)+SUM(CS$6:CS$19)+SUM(CU$6:CU$19)</f>
        <v>620513.68812243245</v>
      </c>
    </row>
    <row r="132" spans="2:15">
      <c r="C132" s="103" t="s">
        <v>127</v>
      </c>
      <c r="D132" s="104">
        <f>SUM(E$20:E$36)+SUM(G$20:G$36)+SUM(I$20:I$36)+SUM(K$20:K$36)</f>
        <v>608740.80000000005</v>
      </c>
      <c r="E132" s="104">
        <f>SUM(M$20:M$36)+SUM(O$20:O$36)+SUM(Q$20:Q$36)+SUM(S$20:S$36)</f>
        <v>590635.19999999995</v>
      </c>
      <c r="F132" s="104">
        <f>SUM(U$20:U$36)+SUM(W$20:W$36)+SUM(Y$20:Y$36)+SUM(AA$20:AA$36)</f>
        <v>622700.39999999991</v>
      </c>
      <c r="G132" s="104">
        <f>SUM(AC$20:AC$36)+SUM(AE$20:AE$36)+SUM(AG$20:AG$36)+SUM(AI$20:AI$36)</f>
        <v>674380.79999999993</v>
      </c>
      <c r="H132" s="104">
        <f>SUM(AK$20:AK$36)+SUM(AM$20:AM$36)+SUM(AO$20:AO$36)+SUM(AQ$20:AQ$36)</f>
        <v>675594</v>
      </c>
      <c r="I132" s="104">
        <f>SUM(AS$20:AS$36)+SUM(AU$20:AU$36)+SUM(AW$20:AW$36)+SUM(AY$20:AY$36)</f>
        <v>653754</v>
      </c>
      <c r="J132" s="104">
        <f>SUM(BA$20:BA$36)+SUM(BC$20:BC$36)+SUM(BE$20:BE$36)+SUM(BG$20:BG$36)</f>
        <v>655960.80000000005</v>
      </c>
      <c r="K132" s="104">
        <f>SUM(BI$20:BI$36)+SUM(BK$20:BK$36)+SUM(BM$20:BM$36)+SUM(BO$20:BO$36)</f>
        <v>712568.4</v>
      </c>
      <c r="L132" s="104">
        <f>SUM(BQ$20:BQ$36)+SUM(BS$20:BS$36)+SUM(BU$20:BU$36)+SUM(BW$20:BW$36)</f>
        <v>590158.80000000005</v>
      </c>
      <c r="M132" s="104">
        <f>SUM(BY$20:BY$36)+SUM(CA$20:CA$36)+SUM(CC$20:CC$36)+SUM(CE$20:CE$36)</f>
        <v>672772.07681779179</v>
      </c>
      <c r="N132" s="104">
        <f>SUM(CG$20:CG$36)+SUM(CI$20:CI$36)+SUM(CK$20:CK$36)+SUM(CM$20:CM$36)</f>
        <v>591177.44936201768</v>
      </c>
      <c r="O132" s="104">
        <f>SUM(CO$20:CO$36)+SUM(CQ$20:CQ$36)+SUM(CS$20:CS$36)+SUM(CU$20:CU$36)</f>
        <v>599741.92072880338</v>
      </c>
    </row>
    <row r="133" spans="2:15">
      <c r="C133" s="103" t="s">
        <v>128</v>
      </c>
      <c r="D133" s="104">
        <f>SUM(E$37:E$48)+SUM(G$37:G$48)+SUM(I$37:I$48)+SUM(K$37:K$48)</f>
        <v>854626.8</v>
      </c>
      <c r="E133" s="104">
        <f>SUM(M$37:M$48)+SUM(O$37:O$48)+SUM(Q$37:Q$48)+SUM(S$37:S$48)</f>
        <v>719240.4</v>
      </c>
      <c r="F133" s="104">
        <f>SUM(U$37:U$48)+SUM(W$37:W$48)+SUM(Y$37:Y$48)+SUM(AA$37:AA$48)</f>
        <v>622423.19999999995</v>
      </c>
      <c r="G133" s="104">
        <f>SUM(AC$37:AC$48)+SUM(AE$37:AE$48)+SUM(AG$37:AG$48)+SUM(AI$37:AI$48)</f>
        <v>680960.39999999991</v>
      </c>
      <c r="H133" s="104">
        <f>SUM(AK$37:AK$48)+SUM(AM$37:AM$48)+SUM(AO$37:AO$48)+SUM(AQ$37:AQ$48)</f>
        <v>690853.2</v>
      </c>
      <c r="I133" s="104">
        <f>SUM(AS$37:AS$48)+SUM(AU$37:AU$48)+SUM(AW$37:AW$48)+SUM(AY$37:AY$48)</f>
        <v>644862</v>
      </c>
      <c r="J133" s="104">
        <f>SUM(BA$37:BA$48)+SUM(BC$37:BC$48)+SUM(BE$37:BE$48)+SUM(BG$37:BG$48)</f>
        <v>702862.8</v>
      </c>
      <c r="K133" s="104">
        <f>SUM(BI$37:BI$48)+SUM(BK$37:BK$48)+SUM(BM$37:BM$48)+SUM(BO$37:BO$48)</f>
        <v>689660.4</v>
      </c>
      <c r="L133" s="104">
        <f>SUM(BQ$37:BQ$48)+SUM(BS$37:BS$48)+SUM(BU$37:BU$48)+SUM(BW$37:BW$48)</f>
        <v>793390.79999999993</v>
      </c>
      <c r="M133" s="104">
        <f>SUM(BY$37:BY$48)+SUM(CA$37:CA$48)+SUM(CC$37:CC$48)+SUM(CE$37:CE$48)</f>
        <v>795421.36096003302</v>
      </c>
      <c r="N133" s="104">
        <f>SUM(CG$37:CG$48)+SUM(CI$37:CI$48)+SUM(CK$37:CK$48)+SUM(CM$37:CM$48)</f>
        <v>631801.51698679652</v>
      </c>
      <c r="O133" s="104">
        <f>SUM(CO$37:CO$48)+SUM(CQ$37:CQ$48)+SUM(CS$37:CS$48)+SUM(CU$37:CU$48)</f>
        <v>699741.7523077731</v>
      </c>
    </row>
    <row r="134" spans="2:15">
      <c r="C134" s="103" t="s">
        <v>129</v>
      </c>
      <c r="D134" s="104">
        <f>SUM(E$49:E$70)+SUM(G$49:G$70)+SUM(I$49:I$70)+SUM(K$49:K$70)</f>
        <v>1016375.8027397261</v>
      </c>
      <c r="E134" s="104">
        <f>SUM(M$49:M$70)+SUM(O$49:O$70)+SUM(Q$49:Q$70)+SUM(S$49:S$70)</f>
        <v>1002134.4971098265</v>
      </c>
      <c r="F134" s="104">
        <f>SUM(U$49:U$70)+SUM(W$49:W$70)+SUM(Y$49:Y$70)+SUM(AA$49:AA$70)</f>
        <v>834196.79999999993</v>
      </c>
      <c r="G134" s="104">
        <f>SUM(AC$49:AC$70)+SUM(AE$49:AE$70)+SUM(AG$49:AG$70)+SUM(AI$49:AI$70)</f>
        <v>859864.5985401459</v>
      </c>
      <c r="H134" s="104">
        <f>SUM(AK$49:AK$70)+SUM(AM$49:AM$70)+SUM(AO$49:AO$70)+SUM(AQ$49:AQ$70)</f>
        <v>691602.14627657307</v>
      </c>
      <c r="I134" s="104">
        <f>SUM(AS$49:AS$70)+SUM(AU$49:AU$70)+SUM(AW$49:AW$70)+SUM(AY$49:AY$70)</f>
        <v>995437.65780346817</v>
      </c>
      <c r="J134" s="104">
        <f>SUM(BA$49:BA$70)+SUM(BC$49:BC$70)+SUM(BE$49:BE$70)+SUM(BG$49:BG$70)</f>
        <v>1067768.4000000001</v>
      </c>
      <c r="K134" s="104">
        <f>SUM(BI$49:BI$70)+SUM(BK$49:BK$70)+SUM(BM$49:BM$70)+SUM(BO$49:BO$70)</f>
        <v>925273.20000000007</v>
      </c>
      <c r="L134" s="104">
        <f>SUM(BQ$49:BQ$70)+SUM(BS$49:BS$70)+SUM(BU$49:BU$70)+SUM(BW$49:BW$70)</f>
        <v>1017397.2000000001</v>
      </c>
      <c r="M134" s="104">
        <f>SUM(BY$49:BY$70)+SUM(CA$49:CA$70)+SUM(CC$49:CC$70)+SUM(CE$49:CE$70)</f>
        <v>991067.06417393463</v>
      </c>
      <c r="N134" s="104">
        <f>SUM(CG$49:CG$70)+SUM(CI$49:CI$70)+SUM(CK$49:CK$70)+SUM(CM$49:CM$70)</f>
        <v>856664.52864033612</v>
      </c>
      <c r="O134" s="104">
        <f>SUM(CO$49:CO$70)+SUM(CQ$49:CQ$70)+SUM(CS$49:CS$70)+SUM(CU$49:CU$70)</f>
        <v>897796.46199062641</v>
      </c>
    </row>
    <row r="135" spans="2:15">
      <c r="C135" s="103" t="s">
        <v>130</v>
      </c>
      <c r="D135" s="104">
        <f>SUM(E$71:E$86)+SUM(G$71:G$86)+SUM(I$71:I$86)+SUM(K$71:K$86)</f>
        <v>217658.72876712328</v>
      </c>
      <c r="E135" s="104">
        <f>SUM(M$71:M$86)+SUM(O$71:O$86)+SUM(Q$71:Q$86)+SUM(S$71:S$86)</f>
        <v>279226.21734104049</v>
      </c>
      <c r="F135" s="104">
        <f>SUM(U$71:U$86)+SUM(W$71:W$86)+SUM(Y$71:Y$86)+SUM(AA$71:AA$86)</f>
        <v>279471.60000000003</v>
      </c>
      <c r="G135" s="104">
        <f>SUM(AC$71:AC$86)+SUM(AE$71:AE$86)+SUM(AG$71:AG$86)+SUM(AI$71:AI$86)</f>
        <v>35405.632116788314</v>
      </c>
      <c r="H135" s="104">
        <f>SUM(AK$71:AK$86)+SUM(AM$71:AM$86)+SUM(AO$71:AO$86)+SUM(AQ$71:AQ$86)</f>
        <v>249321.92372410945</v>
      </c>
      <c r="I135" s="104">
        <f>SUM(AS$71:AS$86)+SUM(AU$71:AU$86)+SUM(AW$71:AW$86)+SUM(AY$71:AY$86)</f>
        <v>285287.625433526</v>
      </c>
      <c r="J135" s="104">
        <f>SUM(BA$71:BA$86)+SUM(BC$71:BC$86)+SUM(BE$71:BE$86)+SUM(BG$71:BG$86)</f>
        <v>271842</v>
      </c>
      <c r="K135" s="104">
        <f>SUM(BI$71:BI$86)+SUM(BK$71:BK$86)+SUM(BM$71:BM$86)+SUM(BO$71:BO$86)</f>
        <v>275010</v>
      </c>
      <c r="L135" s="104">
        <f>SUM(BQ$71:BQ$86)+SUM(BS$71:BS$86)+SUM(BU$71:BU$86)+SUM(BW$71:BW$86)</f>
        <v>272827.20000000007</v>
      </c>
      <c r="M135" s="104">
        <f>SUM(BY$71:BY$86)+SUM(CA$71:CA$86)+SUM(CC$71:CC$86)+SUM(CE$71:CE$86)</f>
        <v>298308</v>
      </c>
      <c r="N135" s="104">
        <f>SUM(CG$71:CG$86)+SUM(CI$71:CI$86)+SUM(CK$71:CK$86)+SUM(CM$71:CM$86)</f>
        <v>258126.00000000003</v>
      </c>
      <c r="O135" s="104">
        <f>SUM(CO$71:CO$86)+SUM(CQ$71:CQ$86)+SUM(CS$71:CS$86)+SUM(CU$71:CU$86)</f>
        <v>311932.80000000005</v>
      </c>
    </row>
    <row r="136" spans="2:15">
      <c r="C136" s="103" t="s">
        <v>131</v>
      </c>
      <c r="D136" s="104">
        <f>SUM(E$87:E$94)+SUM(G$87:G$94)+SUM(I$87:I$94)+SUM(K$87:K$94)</f>
        <v>314989.2</v>
      </c>
      <c r="E136" s="104">
        <f>SUM(M$87:M$94)+SUM(O$87:O$94)+SUM(Q$87:Q$94)+SUM(S$87:S$94)</f>
        <v>262953.59999999998</v>
      </c>
      <c r="F136" s="104">
        <f>SUM(U$87:U$94)+SUM(W$87:W$94)+SUM(Y$87:Y$94)+SUM(AA$87:AA$94)</f>
        <v>309562.80000000005</v>
      </c>
      <c r="G136" s="104">
        <f>SUM(AC$87:AC$94)+SUM(AE$87:AE$94)+SUM(AG$87:AG$94)+SUM(AI$87:AI$94)</f>
        <v>287985.60000000003</v>
      </c>
      <c r="H136" s="104">
        <f>SUM(AK$87:AK$94)+SUM(AM$87:AM$94)+SUM(AO$87:AO$94)+SUM(AQ$87:AQ$94)</f>
        <v>238808.40000000002</v>
      </c>
      <c r="I136" s="104">
        <f>SUM(AS$87:AS$94)+SUM(AU$87:AU$94)+SUM(AW$87:AW$94)+SUM(AY$87:AY$94)</f>
        <v>287008.79999999993</v>
      </c>
      <c r="J136" s="104">
        <f>SUM(BA$87:BA$94)+SUM(BC$87:BC$94)+SUM(BE$87:BE$94)+SUM(BG$87:BG$94)</f>
        <v>314487.59999999998</v>
      </c>
      <c r="K136" s="104">
        <f>SUM(BI$87:BI$94)+SUM(BK$87:BK$94)+SUM(BM$87:BM$94)+SUM(BO$87:BO$94)</f>
        <v>252789.59999999998</v>
      </c>
      <c r="L136" s="104">
        <f>SUM(BQ$87:BQ$94)+SUM(BS$87:BS$94)+SUM(BU$87:BU$94)+SUM(BW$87:BW$94)</f>
        <v>308920.8</v>
      </c>
      <c r="M136" s="104">
        <f>SUM(BY$87:BY$94)+SUM(CA$87:CA$94)+SUM(CC$87:CC$94)+SUM(CE$87:CE$94)</f>
        <v>333417.60000000003</v>
      </c>
      <c r="N136" s="104">
        <f>SUM(CG$87:CG$94)+SUM(CI$87:CI$94)+SUM(CK$87:CK$94)+SUM(CM$87:CM$94)</f>
        <v>291577.19999999995</v>
      </c>
      <c r="O136" s="104">
        <f>SUM(CO$87:CO$94)+SUM(CQ$87:CQ$94)+SUM(CS$87:CS$94)+SUM(CU$87:CU$94)</f>
        <v>379437.6</v>
      </c>
    </row>
    <row r="137" spans="2:15">
      <c r="C137" s="103" t="s">
        <v>132</v>
      </c>
      <c r="D137" s="104">
        <f>SUM(E$95:E$105)+SUM(G$95:G$105)+SUM(I$95:I$105)+SUM(K$95:K$105)</f>
        <v>353251.19999999995</v>
      </c>
      <c r="E137" s="104">
        <f>SUM(M$95:M$105)+SUM(O$95:O$105)+SUM(Q$95:Q$105)+SUM(S$95:S$105)</f>
        <v>260298</v>
      </c>
      <c r="F137" s="104">
        <f>SUM(U$95:U$105)+SUM(W$95:W$105)+SUM(Y$95:Y$105)+SUM(AA$95:AA$105)</f>
        <v>298035.59999999998</v>
      </c>
      <c r="G137" s="104">
        <f>SUM(AC$95:AC$105)+SUM(AE$95:AE$105)+SUM(AG$95:AG$105)+SUM(AI$95:AI$105)</f>
        <v>307850.39999999997</v>
      </c>
      <c r="H137" s="104">
        <f>SUM(AK$95:AK$105)+SUM(AM$95:AM$105)+SUM(AO$95:AO$105)+SUM(AQ$95:AQ$105)</f>
        <v>335147.99999999994</v>
      </c>
      <c r="I137" s="104">
        <f>SUM(AS$95:AS$105)+SUM(AU$95:AU$105)+SUM(AW$95:AW$105)+SUM(AY$95:AY$105)</f>
        <v>321051.59999999998</v>
      </c>
      <c r="J137" s="104">
        <f>SUM(BA$95:BA$105)+SUM(BC$95:BC$105)+SUM(BE$95:BE$105)+SUM(BG$95:BG$105)</f>
        <v>268876.79999999999</v>
      </c>
      <c r="K137" s="104">
        <f>SUM(BI$95:BI$105)+SUM(BK$95:BK$105)+SUM(BM$95:BM$105)+SUM(BO$95:BO$105)</f>
        <v>314557.19999999995</v>
      </c>
      <c r="L137" s="104">
        <f>SUM(BQ$95:BQ$105)+SUM(BS$95:BS$105)+SUM(BU$95:BU$105)+SUM(BW$95:BW$105)</f>
        <v>256562.4</v>
      </c>
      <c r="M137" s="104">
        <f>SUM(BY$95:BY$105)+SUM(CA$95:CA$105)+SUM(CC$95:CC$105)+SUM(CE$95:CE$105)</f>
        <v>269166</v>
      </c>
      <c r="N137" s="104">
        <f>SUM(CG$95:CG$105)+SUM(CI$95:CI$105)+SUM(CK$95:CK$105)+SUM(CM$95:CM$105)</f>
        <v>305224.8</v>
      </c>
      <c r="O137" s="104">
        <f>SUM(CO$95:CO$105)+SUM(CQ$95:CQ$105)+SUM(CS$95:CS$105)+SUM(CU$95:CU$105)</f>
        <v>298312.8</v>
      </c>
    </row>
    <row r="138" spans="2:15">
      <c r="C138" s="103" t="s">
        <v>279</v>
      </c>
      <c r="D138">
        <f t="shared" ref="D138:O138" si="2">SUM(D$131:D$137)</f>
        <v>3923182.9315068498</v>
      </c>
      <c r="E138">
        <f t="shared" si="2"/>
        <v>3633053.5144508672</v>
      </c>
      <c r="F138">
        <f t="shared" si="2"/>
        <v>3606841.1999999997</v>
      </c>
      <c r="G138">
        <f t="shared" si="2"/>
        <v>3482056.2306569344</v>
      </c>
      <c r="H138">
        <f t="shared" si="2"/>
        <v>3397350.4700006819</v>
      </c>
      <c r="I138">
        <f t="shared" si="2"/>
        <v>3801064.883236994</v>
      </c>
      <c r="J138">
        <f t="shared" si="2"/>
        <v>3867505.2</v>
      </c>
      <c r="K138">
        <f t="shared" si="2"/>
        <v>3776421.6000000006</v>
      </c>
      <c r="L138">
        <f t="shared" si="2"/>
        <v>3868906.8</v>
      </c>
      <c r="M138">
        <f t="shared" si="2"/>
        <v>3968542.9140170859</v>
      </c>
      <c r="N138">
        <f t="shared" si="2"/>
        <v>3621212.3314950559</v>
      </c>
      <c r="O138">
        <f t="shared" si="2"/>
        <v>3807477.0231496352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283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4.3230498580592513</v>
      </c>
      <c r="E6">
        <v>2500.4520379014707</v>
      </c>
      <c r="F6">
        <v>6</v>
      </c>
      <c r="G6">
        <v>3470.3999999999996</v>
      </c>
      <c r="H6">
        <v>7</v>
      </c>
      <c r="I6">
        <v>4048.7999999999997</v>
      </c>
      <c r="J6">
        <v>6</v>
      </c>
      <c r="K6">
        <v>3470.3999999999996</v>
      </c>
      <c r="L6">
        <v>6</v>
      </c>
      <c r="M6">
        <v>3470.3999999999996</v>
      </c>
      <c r="N6">
        <v>7</v>
      </c>
      <c r="O6">
        <v>4048.7999999999997</v>
      </c>
      <c r="P6">
        <v>5.5048941734271839</v>
      </c>
      <c r="Q6">
        <v>3184.0307899102831</v>
      </c>
      <c r="R6">
        <v>10</v>
      </c>
      <c r="S6">
        <v>5784</v>
      </c>
      <c r="T6">
        <v>7</v>
      </c>
      <c r="U6">
        <v>4048.7999999999997</v>
      </c>
      <c r="V6">
        <v>6</v>
      </c>
      <c r="W6">
        <v>3470.3999999999996</v>
      </c>
      <c r="X6">
        <v>10</v>
      </c>
      <c r="Y6">
        <v>5784</v>
      </c>
      <c r="Z6">
        <v>7</v>
      </c>
      <c r="AA6">
        <v>4048.7999999999997</v>
      </c>
      <c r="AB6">
        <v>7</v>
      </c>
      <c r="AC6">
        <v>4048.7999999999997</v>
      </c>
      <c r="AD6">
        <v>8</v>
      </c>
      <c r="AE6">
        <v>4627.2</v>
      </c>
      <c r="AF6">
        <v>5.7658600588453961</v>
      </c>
      <c r="AG6">
        <v>3334.9734580361769</v>
      </c>
      <c r="AH6">
        <v>8</v>
      </c>
      <c r="AI6">
        <v>4627.2</v>
      </c>
      <c r="AJ6">
        <v>9</v>
      </c>
      <c r="AK6">
        <v>5205.5999999999995</v>
      </c>
      <c r="AL6">
        <v>0.82814428300332388</v>
      </c>
      <c r="AM6">
        <v>478.9986532891225</v>
      </c>
      <c r="AN6">
        <v>7</v>
      </c>
      <c r="AO6">
        <v>4048.7999999999997</v>
      </c>
      <c r="AP6">
        <v>11</v>
      </c>
      <c r="AQ6">
        <v>6362.4</v>
      </c>
      <c r="AR6">
        <v>9</v>
      </c>
      <c r="AS6">
        <v>5205.5999999999995</v>
      </c>
      <c r="AT6">
        <v>8</v>
      </c>
      <c r="AU6">
        <v>4627.2</v>
      </c>
      <c r="AV6">
        <v>8</v>
      </c>
      <c r="AW6">
        <v>4627.2</v>
      </c>
      <c r="AX6">
        <v>7</v>
      </c>
      <c r="AY6">
        <v>4048.7999999999997</v>
      </c>
      <c r="AZ6">
        <v>11</v>
      </c>
      <c r="BA6">
        <v>6362.4</v>
      </c>
      <c r="BB6">
        <v>6</v>
      </c>
      <c r="BC6">
        <v>3470.3999999999996</v>
      </c>
      <c r="BD6">
        <v>7</v>
      </c>
      <c r="BE6">
        <v>4048.7999999999997</v>
      </c>
      <c r="BF6">
        <v>11</v>
      </c>
      <c r="BG6">
        <v>6362.4</v>
      </c>
      <c r="BH6">
        <v>8</v>
      </c>
      <c r="BI6">
        <v>4627.2</v>
      </c>
      <c r="BJ6">
        <v>12</v>
      </c>
      <c r="BK6">
        <v>6940.7999999999993</v>
      </c>
      <c r="BL6">
        <v>9</v>
      </c>
      <c r="BM6">
        <v>5205.5999999999995</v>
      </c>
      <c r="BN6">
        <v>8</v>
      </c>
      <c r="BO6">
        <v>4627.2</v>
      </c>
      <c r="BP6">
        <v>11</v>
      </c>
      <c r="BQ6">
        <v>6362.4</v>
      </c>
      <c r="BR6">
        <v>7</v>
      </c>
      <c r="BS6">
        <v>4048.7999999999997</v>
      </c>
      <c r="BT6">
        <v>11</v>
      </c>
      <c r="BU6">
        <v>6362.4</v>
      </c>
      <c r="BV6">
        <v>7</v>
      </c>
      <c r="BW6">
        <v>4048.7999999999997</v>
      </c>
      <c r="BX6">
        <v>10</v>
      </c>
      <c r="BY6">
        <v>5784</v>
      </c>
      <c r="BZ6">
        <v>10</v>
      </c>
      <c r="CA6">
        <v>5784</v>
      </c>
      <c r="CB6">
        <v>11</v>
      </c>
      <c r="CC6">
        <v>6362.4</v>
      </c>
      <c r="CD6">
        <v>9.9460638024068491</v>
      </c>
      <c r="CE6">
        <v>5752.803303312121</v>
      </c>
      <c r="CF6">
        <v>9</v>
      </c>
      <c r="CG6">
        <v>5205.5999999999995</v>
      </c>
      <c r="CH6">
        <v>9</v>
      </c>
      <c r="CI6">
        <v>5205.5999999999995</v>
      </c>
      <c r="CJ6">
        <v>9</v>
      </c>
      <c r="CK6">
        <v>5205.5999999999995</v>
      </c>
      <c r="CL6">
        <v>8.5049196993312552</v>
      </c>
      <c r="CM6">
        <v>4919.2455540931978</v>
      </c>
      <c r="CN6">
        <v>9</v>
      </c>
      <c r="CO6">
        <v>5205.5999999999995</v>
      </c>
      <c r="CP6">
        <v>9</v>
      </c>
      <c r="CQ6">
        <v>5205.5999999999995</v>
      </c>
      <c r="CR6">
        <v>10.408875790790423</v>
      </c>
      <c r="CS6">
        <v>6020.4937573931811</v>
      </c>
      <c r="CT6">
        <v>8</v>
      </c>
      <c r="CU6">
        <v>4627.2</v>
      </c>
    </row>
    <row r="7" spans="1:99">
      <c r="C7" s="99" t="s">
        <v>174</v>
      </c>
      <c r="D7">
        <v>3.9300453255084107</v>
      </c>
      <c r="E7">
        <v>3098.4477346308308</v>
      </c>
      <c r="F7">
        <v>6</v>
      </c>
      <c r="G7">
        <v>4730.3999999999996</v>
      </c>
      <c r="H7">
        <v>7</v>
      </c>
      <c r="I7">
        <v>5518.8</v>
      </c>
      <c r="J7">
        <v>5</v>
      </c>
      <c r="K7">
        <v>3942</v>
      </c>
      <c r="L7">
        <v>6</v>
      </c>
      <c r="M7">
        <v>4730.3999999999996</v>
      </c>
      <c r="N7">
        <v>7</v>
      </c>
      <c r="O7">
        <v>5518.8</v>
      </c>
      <c r="P7">
        <v>5.5048941734271839</v>
      </c>
      <c r="Q7">
        <v>4340.0585663299917</v>
      </c>
      <c r="R7">
        <v>10</v>
      </c>
      <c r="S7">
        <v>7884</v>
      </c>
      <c r="T7">
        <v>7</v>
      </c>
      <c r="U7">
        <v>5518.8</v>
      </c>
      <c r="V7">
        <v>6</v>
      </c>
      <c r="W7">
        <v>4730.3999999999996</v>
      </c>
      <c r="X7">
        <v>10</v>
      </c>
      <c r="Y7">
        <v>7884</v>
      </c>
      <c r="Z7">
        <v>6</v>
      </c>
      <c r="AA7">
        <v>4730.3999999999996</v>
      </c>
      <c r="AB7">
        <v>7</v>
      </c>
      <c r="AC7">
        <v>5518.8</v>
      </c>
      <c r="AD7">
        <v>7</v>
      </c>
      <c r="AE7">
        <v>5518.8</v>
      </c>
      <c r="AF7">
        <v>5.1892740529608563</v>
      </c>
      <c r="AG7">
        <v>4091.2236633543389</v>
      </c>
      <c r="AH7">
        <v>7</v>
      </c>
      <c r="AI7">
        <v>5518.8</v>
      </c>
      <c r="AJ7">
        <v>10</v>
      </c>
      <c r="AK7">
        <v>7884</v>
      </c>
      <c r="AL7">
        <v>0.72462624762790839</v>
      </c>
      <c r="AM7">
        <v>571.29533362984296</v>
      </c>
      <c r="AN7">
        <v>7</v>
      </c>
      <c r="AO7">
        <v>5518.8</v>
      </c>
      <c r="AP7">
        <v>9</v>
      </c>
      <c r="AQ7">
        <v>7095.5999999999995</v>
      </c>
      <c r="AR7">
        <v>11</v>
      </c>
      <c r="AS7">
        <v>8672.4</v>
      </c>
      <c r="AT7">
        <v>7</v>
      </c>
      <c r="AU7">
        <v>5518.8</v>
      </c>
      <c r="AV7">
        <v>8</v>
      </c>
      <c r="AW7">
        <v>6307.2</v>
      </c>
      <c r="AX7">
        <v>7</v>
      </c>
      <c r="AY7">
        <v>5518.8</v>
      </c>
      <c r="AZ7">
        <v>11</v>
      </c>
      <c r="BA7">
        <v>8672.4</v>
      </c>
      <c r="BB7">
        <v>6</v>
      </c>
      <c r="BC7">
        <v>4730.3999999999996</v>
      </c>
      <c r="BD7">
        <v>7</v>
      </c>
      <c r="BE7">
        <v>5518.8</v>
      </c>
      <c r="BF7">
        <v>11</v>
      </c>
      <c r="BG7">
        <v>8672.4</v>
      </c>
      <c r="BH7">
        <v>8</v>
      </c>
      <c r="BI7">
        <v>6307.2</v>
      </c>
      <c r="BJ7">
        <v>11</v>
      </c>
      <c r="BK7">
        <v>8672.4</v>
      </c>
      <c r="BL7">
        <v>9</v>
      </c>
      <c r="BM7">
        <v>7095.5999999999995</v>
      </c>
      <c r="BN7">
        <v>8</v>
      </c>
      <c r="BO7">
        <v>6307.2</v>
      </c>
      <c r="BP7">
        <v>12</v>
      </c>
      <c r="BQ7">
        <v>9460.7999999999993</v>
      </c>
      <c r="BR7">
        <v>6</v>
      </c>
      <c r="BS7">
        <v>4730.3999999999996</v>
      </c>
      <c r="BT7">
        <v>11</v>
      </c>
      <c r="BU7">
        <v>8672.4</v>
      </c>
      <c r="BV7">
        <v>7</v>
      </c>
      <c r="BW7">
        <v>5518.8</v>
      </c>
      <c r="BX7">
        <v>11</v>
      </c>
      <c r="BY7">
        <v>8672.4</v>
      </c>
      <c r="BZ7">
        <v>10</v>
      </c>
      <c r="CA7">
        <v>7884</v>
      </c>
      <c r="CB7">
        <v>11</v>
      </c>
      <c r="CC7">
        <v>8672.4</v>
      </c>
      <c r="CD7">
        <v>9.9460638024068491</v>
      </c>
      <c r="CE7">
        <v>7841.4767018175598</v>
      </c>
      <c r="CF7">
        <v>9</v>
      </c>
      <c r="CG7">
        <v>7095.5999999999995</v>
      </c>
      <c r="CH7">
        <v>9</v>
      </c>
      <c r="CI7">
        <v>7095.5999999999995</v>
      </c>
      <c r="CJ7">
        <v>9</v>
      </c>
      <c r="CK7">
        <v>7095.5999999999995</v>
      </c>
      <c r="CL7">
        <v>7.5599286216277815</v>
      </c>
      <c r="CM7">
        <v>5960.2477252913432</v>
      </c>
      <c r="CN7">
        <v>9</v>
      </c>
      <c r="CO7">
        <v>7095.5999999999995</v>
      </c>
      <c r="CP7">
        <v>8</v>
      </c>
      <c r="CQ7">
        <v>6307.2</v>
      </c>
      <c r="CR7">
        <v>10.408875790790423</v>
      </c>
      <c r="CS7">
        <v>8206.3576734591697</v>
      </c>
      <c r="CT7">
        <v>8</v>
      </c>
      <c r="CU7">
        <v>6307.2</v>
      </c>
    </row>
    <row r="8" spans="1:99">
      <c r="C8" s="99" t="s">
        <v>175</v>
      </c>
      <c r="D8">
        <v>3.5370407929575691</v>
      </c>
      <c r="E8">
        <v>1095.0678294996633</v>
      </c>
      <c r="F8">
        <v>7</v>
      </c>
      <c r="G8">
        <v>2167.1999999999998</v>
      </c>
      <c r="H8">
        <v>7</v>
      </c>
      <c r="I8">
        <v>2167.1999999999998</v>
      </c>
      <c r="J8">
        <v>6</v>
      </c>
      <c r="K8">
        <v>1857.6</v>
      </c>
      <c r="L8">
        <v>7</v>
      </c>
      <c r="M8">
        <v>2167.1999999999998</v>
      </c>
      <c r="N8">
        <v>7</v>
      </c>
      <c r="O8">
        <v>2167.1999999999998</v>
      </c>
      <c r="P8">
        <v>5.5048941734271839</v>
      </c>
      <c r="Q8">
        <v>1704.315236093056</v>
      </c>
      <c r="R8">
        <v>11</v>
      </c>
      <c r="S8">
        <v>3405.5999999999995</v>
      </c>
      <c r="T8">
        <v>8</v>
      </c>
      <c r="U8">
        <v>2476.7999999999997</v>
      </c>
      <c r="V8">
        <v>6</v>
      </c>
      <c r="W8">
        <v>1857.6</v>
      </c>
      <c r="X8">
        <v>10</v>
      </c>
      <c r="Y8">
        <v>3095.9999999999995</v>
      </c>
      <c r="Z8">
        <v>6</v>
      </c>
      <c r="AA8">
        <v>1857.6</v>
      </c>
      <c r="AB8">
        <v>6</v>
      </c>
      <c r="AC8">
        <v>1857.6</v>
      </c>
      <c r="AD8">
        <v>7</v>
      </c>
      <c r="AE8">
        <v>2167.1999999999998</v>
      </c>
      <c r="AF8">
        <v>5.1892740529608563</v>
      </c>
      <c r="AG8">
        <v>1606.599246796681</v>
      </c>
      <c r="AH8">
        <v>6</v>
      </c>
      <c r="AI8">
        <v>1857.6</v>
      </c>
      <c r="AJ8">
        <v>9</v>
      </c>
      <c r="AK8">
        <v>2786.3999999999996</v>
      </c>
      <c r="AL8">
        <v>0.72462624762790839</v>
      </c>
      <c r="AM8">
        <v>224.3442862656004</v>
      </c>
      <c r="AN8">
        <v>6</v>
      </c>
      <c r="AO8">
        <v>1857.6</v>
      </c>
      <c r="AP8">
        <v>10</v>
      </c>
      <c r="AQ8">
        <v>3095.9999999999995</v>
      </c>
      <c r="AR8">
        <v>11</v>
      </c>
      <c r="AS8">
        <v>3405.5999999999995</v>
      </c>
      <c r="AT8">
        <v>8</v>
      </c>
      <c r="AU8">
        <v>2476.7999999999997</v>
      </c>
      <c r="AV8">
        <v>8</v>
      </c>
      <c r="AW8">
        <v>2476.7999999999997</v>
      </c>
      <c r="AX8">
        <v>7</v>
      </c>
      <c r="AY8">
        <v>2167.1999999999998</v>
      </c>
      <c r="AZ8">
        <v>11</v>
      </c>
      <c r="BA8">
        <v>3405.5999999999995</v>
      </c>
      <c r="BB8">
        <v>7</v>
      </c>
      <c r="BC8">
        <v>2167.1999999999998</v>
      </c>
      <c r="BD8">
        <v>8</v>
      </c>
      <c r="BE8">
        <v>2476.7999999999997</v>
      </c>
      <c r="BF8">
        <v>12</v>
      </c>
      <c r="BG8">
        <v>3715.2</v>
      </c>
      <c r="BH8">
        <v>7</v>
      </c>
      <c r="BI8">
        <v>2167.1999999999998</v>
      </c>
      <c r="BJ8">
        <v>12</v>
      </c>
      <c r="BK8">
        <v>3715.2</v>
      </c>
      <c r="BL8">
        <v>11</v>
      </c>
      <c r="BM8">
        <v>3405.5999999999995</v>
      </c>
      <c r="BN8">
        <v>8</v>
      </c>
      <c r="BO8">
        <v>2476.7999999999997</v>
      </c>
      <c r="BP8">
        <v>11</v>
      </c>
      <c r="BQ8">
        <v>3405.5999999999995</v>
      </c>
      <c r="BR8">
        <v>6</v>
      </c>
      <c r="BS8">
        <v>1857.6</v>
      </c>
      <c r="BT8">
        <v>11</v>
      </c>
      <c r="BU8">
        <v>3405.5999999999995</v>
      </c>
      <c r="BV8">
        <v>7</v>
      </c>
      <c r="BW8">
        <v>2167.1999999999998</v>
      </c>
      <c r="BX8">
        <v>12</v>
      </c>
      <c r="BY8">
        <v>3715.2</v>
      </c>
      <c r="BZ8">
        <v>11</v>
      </c>
      <c r="CA8">
        <v>3405.5999999999995</v>
      </c>
      <c r="CB8">
        <v>13</v>
      </c>
      <c r="CC8">
        <v>4024.7999999999997</v>
      </c>
      <c r="CD8">
        <v>10.850251420807473</v>
      </c>
      <c r="CE8">
        <v>3359.2378398819933</v>
      </c>
      <c r="CF8">
        <v>9</v>
      </c>
      <c r="CG8">
        <v>2786.3999999999996</v>
      </c>
      <c r="CH8">
        <v>10</v>
      </c>
      <c r="CI8">
        <v>3095.9999999999995</v>
      </c>
      <c r="CJ8">
        <v>8</v>
      </c>
      <c r="CK8">
        <v>2476.7999999999997</v>
      </c>
      <c r="CL8">
        <v>7.5599286216277815</v>
      </c>
      <c r="CM8">
        <v>2340.5539012559607</v>
      </c>
      <c r="CN8">
        <v>8</v>
      </c>
      <c r="CO8">
        <v>2476.7999999999997</v>
      </c>
      <c r="CP8">
        <v>9</v>
      </c>
      <c r="CQ8">
        <v>2786.3999999999996</v>
      </c>
      <c r="CR8">
        <v>10.408875790790423</v>
      </c>
      <c r="CS8">
        <v>3222.5879448287146</v>
      </c>
      <c r="CT8">
        <v>8</v>
      </c>
      <c r="CU8">
        <v>2476.7999999999997</v>
      </c>
    </row>
    <row r="9" spans="1:99">
      <c r="C9" s="99" t="s">
        <v>176</v>
      </c>
      <c r="D9">
        <v>3.9300453255084107</v>
      </c>
      <c r="E9">
        <v>2758.8918185069042</v>
      </c>
      <c r="F9">
        <v>6</v>
      </c>
      <c r="G9">
        <v>4212</v>
      </c>
      <c r="H9">
        <v>7</v>
      </c>
      <c r="I9">
        <v>4914</v>
      </c>
      <c r="J9">
        <v>5</v>
      </c>
      <c r="K9">
        <v>3510</v>
      </c>
      <c r="L9">
        <v>6</v>
      </c>
      <c r="M9">
        <v>4212</v>
      </c>
      <c r="N9">
        <v>7</v>
      </c>
      <c r="O9">
        <v>4914</v>
      </c>
      <c r="P9">
        <v>5.5048941734271839</v>
      </c>
      <c r="Q9">
        <v>3864.4357097458833</v>
      </c>
      <c r="R9">
        <v>11</v>
      </c>
      <c r="S9">
        <v>7722</v>
      </c>
      <c r="T9">
        <v>7</v>
      </c>
      <c r="U9">
        <v>4914</v>
      </c>
      <c r="V9">
        <v>6</v>
      </c>
      <c r="W9">
        <v>4212</v>
      </c>
      <c r="X9">
        <v>11</v>
      </c>
      <c r="Y9">
        <v>7722</v>
      </c>
      <c r="Z9">
        <v>7</v>
      </c>
      <c r="AA9">
        <v>4914</v>
      </c>
      <c r="AB9">
        <v>6</v>
      </c>
      <c r="AC9">
        <v>4212</v>
      </c>
      <c r="AD9">
        <v>8</v>
      </c>
      <c r="AE9">
        <v>5616</v>
      </c>
      <c r="AF9">
        <v>5.7658600588453961</v>
      </c>
      <c r="AG9">
        <v>4047.6337613094679</v>
      </c>
      <c r="AH9">
        <v>7</v>
      </c>
      <c r="AI9">
        <v>4914</v>
      </c>
      <c r="AJ9">
        <v>9</v>
      </c>
      <c r="AK9">
        <v>6318</v>
      </c>
      <c r="AL9">
        <v>0.72462624762790839</v>
      </c>
      <c r="AM9">
        <v>508.68762583479167</v>
      </c>
      <c r="AN9">
        <v>7</v>
      </c>
      <c r="AO9">
        <v>4914</v>
      </c>
      <c r="AP9">
        <v>11</v>
      </c>
      <c r="AQ9">
        <v>7722</v>
      </c>
      <c r="AR9">
        <v>11</v>
      </c>
      <c r="AS9">
        <v>7722</v>
      </c>
      <c r="AT9">
        <v>7</v>
      </c>
      <c r="AU9">
        <v>4914</v>
      </c>
      <c r="AV9">
        <v>9</v>
      </c>
      <c r="AW9">
        <v>6318</v>
      </c>
      <c r="AX9">
        <v>7</v>
      </c>
      <c r="AY9">
        <v>4914</v>
      </c>
      <c r="AZ9">
        <v>10</v>
      </c>
      <c r="BA9">
        <v>7020</v>
      </c>
      <c r="BB9">
        <v>6</v>
      </c>
      <c r="BC9">
        <v>4212</v>
      </c>
      <c r="BD9">
        <v>8</v>
      </c>
      <c r="BE9">
        <v>5616</v>
      </c>
      <c r="BF9">
        <v>11</v>
      </c>
      <c r="BG9">
        <v>7722</v>
      </c>
      <c r="BH9">
        <v>9</v>
      </c>
      <c r="BI9">
        <v>6318</v>
      </c>
      <c r="BJ9">
        <v>12</v>
      </c>
      <c r="BK9">
        <v>8424</v>
      </c>
      <c r="BL9">
        <v>10</v>
      </c>
      <c r="BM9">
        <v>7020</v>
      </c>
      <c r="BN9">
        <v>9</v>
      </c>
      <c r="BO9">
        <v>6318</v>
      </c>
      <c r="BP9">
        <v>11</v>
      </c>
      <c r="BQ9">
        <v>7722</v>
      </c>
      <c r="BR9">
        <v>6</v>
      </c>
      <c r="BS9">
        <v>4212</v>
      </c>
      <c r="BT9">
        <v>12</v>
      </c>
      <c r="BU9">
        <v>8424</v>
      </c>
      <c r="BV9">
        <v>8</v>
      </c>
      <c r="BW9">
        <v>5616</v>
      </c>
      <c r="BX9">
        <v>10</v>
      </c>
      <c r="BY9">
        <v>7020</v>
      </c>
      <c r="BZ9">
        <v>10</v>
      </c>
      <c r="CA9">
        <v>7020</v>
      </c>
      <c r="CB9">
        <v>13</v>
      </c>
      <c r="CC9">
        <v>9126</v>
      </c>
      <c r="CD9">
        <v>10.850251420807473</v>
      </c>
      <c r="CE9">
        <v>7616.8764974068454</v>
      </c>
      <c r="CF9">
        <v>9</v>
      </c>
      <c r="CG9">
        <v>6318</v>
      </c>
      <c r="CH9">
        <v>8</v>
      </c>
      <c r="CI9">
        <v>5616</v>
      </c>
      <c r="CJ9">
        <v>9</v>
      </c>
      <c r="CK9">
        <v>6318</v>
      </c>
      <c r="CL9">
        <v>7.5599286216277815</v>
      </c>
      <c r="CM9">
        <v>5307.0698923827022</v>
      </c>
      <c r="CN9">
        <v>9</v>
      </c>
      <c r="CO9">
        <v>6318</v>
      </c>
      <c r="CP9">
        <v>8</v>
      </c>
      <c r="CQ9">
        <v>5616</v>
      </c>
      <c r="CR9">
        <v>11.355137226316824</v>
      </c>
      <c r="CS9">
        <v>7971.3063328744101</v>
      </c>
      <c r="CT9">
        <v>8</v>
      </c>
      <c r="CU9">
        <v>5616</v>
      </c>
    </row>
    <row r="10" spans="1:99">
      <c r="C10" s="99" t="s">
        <v>177</v>
      </c>
      <c r="D10">
        <v>3.5370407929575691</v>
      </c>
      <c r="E10">
        <v>1926.9798240032835</v>
      </c>
      <c r="F10">
        <v>7</v>
      </c>
      <c r="G10">
        <v>3813.5999999999995</v>
      </c>
      <c r="H10">
        <v>8</v>
      </c>
      <c r="I10">
        <v>4358.3999999999996</v>
      </c>
      <c r="J10">
        <v>6</v>
      </c>
      <c r="K10">
        <v>3268.7999999999997</v>
      </c>
      <c r="L10">
        <v>7</v>
      </c>
      <c r="M10">
        <v>3813.5999999999995</v>
      </c>
      <c r="N10">
        <v>7</v>
      </c>
      <c r="O10">
        <v>3813.5999999999995</v>
      </c>
      <c r="P10">
        <v>5.5048941734271839</v>
      </c>
      <c r="Q10">
        <v>2999.0663456831294</v>
      </c>
      <c r="R10">
        <v>12</v>
      </c>
      <c r="S10">
        <v>6537.5999999999995</v>
      </c>
      <c r="T10">
        <v>7</v>
      </c>
      <c r="U10">
        <v>3813.5999999999995</v>
      </c>
      <c r="V10">
        <v>6</v>
      </c>
      <c r="W10">
        <v>3268.7999999999997</v>
      </c>
      <c r="X10">
        <v>10</v>
      </c>
      <c r="Y10">
        <v>5448</v>
      </c>
      <c r="Z10">
        <v>7</v>
      </c>
      <c r="AA10">
        <v>3813.5999999999995</v>
      </c>
      <c r="AB10">
        <v>6</v>
      </c>
      <c r="AC10">
        <v>3268.7999999999997</v>
      </c>
      <c r="AD10">
        <v>7</v>
      </c>
      <c r="AE10">
        <v>3813.5999999999995</v>
      </c>
      <c r="AF10">
        <v>6.3424460647299359</v>
      </c>
      <c r="AG10">
        <v>3455.3646160648686</v>
      </c>
      <c r="AH10">
        <v>7</v>
      </c>
      <c r="AI10">
        <v>3813.5999999999995</v>
      </c>
      <c r="AJ10">
        <v>9</v>
      </c>
      <c r="AK10">
        <v>4903.2</v>
      </c>
      <c r="AL10">
        <v>0.72462624762790839</v>
      </c>
      <c r="AM10">
        <v>394.77637970768444</v>
      </c>
      <c r="AN10">
        <v>6</v>
      </c>
      <c r="AO10">
        <v>3268.7999999999997</v>
      </c>
      <c r="AP10">
        <v>11</v>
      </c>
      <c r="AQ10">
        <v>5992.7999999999993</v>
      </c>
      <c r="AR10">
        <v>10</v>
      </c>
      <c r="AS10">
        <v>5448</v>
      </c>
      <c r="AT10">
        <v>7</v>
      </c>
      <c r="AU10">
        <v>3813.5999999999995</v>
      </c>
      <c r="AV10">
        <v>9</v>
      </c>
      <c r="AW10">
        <v>4903.2</v>
      </c>
      <c r="AX10">
        <v>6</v>
      </c>
      <c r="AY10">
        <v>3268.7999999999997</v>
      </c>
      <c r="AZ10">
        <v>10</v>
      </c>
      <c r="BA10">
        <v>5448</v>
      </c>
      <c r="BB10">
        <v>6</v>
      </c>
      <c r="BC10">
        <v>3268.7999999999997</v>
      </c>
      <c r="BD10">
        <v>7</v>
      </c>
      <c r="BE10">
        <v>3813.5999999999995</v>
      </c>
      <c r="BF10">
        <v>10</v>
      </c>
      <c r="BG10">
        <v>5448</v>
      </c>
      <c r="BH10">
        <v>8</v>
      </c>
      <c r="BI10">
        <v>4358.3999999999996</v>
      </c>
      <c r="BJ10">
        <v>11</v>
      </c>
      <c r="BK10">
        <v>5992.7999999999993</v>
      </c>
      <c r="BL10">
        <v>10</v>
      </c>
      <c r="BM10">
        <v>5448</v>
      </c>
      <c r="BN10">
        <v>8</v>
      </c>
      <c r="BO10">
        <v>4358.3999999999996</v>
      </c>
      <c r="BP10">
        <v>12</v>
      </c>
      <c r="BQ10">
        <v>6537.5999999999995</v>
      </c>
      <c r="BR10">
        <v>7</v>
      </c>
      <c r="BS10">
        <v>3813.5999999999995</v>
      </c>
      <c r="BT10">
        <v>12</v>
      </c>
      <c r="BU10">
        <v>6537.5999999999995</v>
      </c>
      <c r="BV10">
        <v>7</v>
      </c>
      <c r="BW10">
        <v>3813.5999999999995</v>
      </c>
      <c r="BX10">
        <v>10</v>
      </c>
      <c r="BY10">
        <v>5448</v>
      </c>
      <c r="BZ10">
        <v>10</v>
      </c>
      <c r="CA10">
        <v>5448</v>
      </c>
      <c r="CB10">
        <v>12</v>
      </c>
      <c r="CC10">
        <v>6537.5999999999995</v>
      </c>
      <c r="CD10">
        <v>10.850251420807473</v>
      </c>
      <c r="CE10">
        <v>5911.2169740559102</v>
      </c>
      <c r="CF10">
        <v>9</v>
      </c>
      <c r="CG10">
        <v>4903.2</v>
      </c>
      <c r="CH10">
        <v>9</v>
      </c>
      <c r="CI10">
        <v>4903.2</v>
      </c>
      <c r="CJ10">
        <v>9</v>
      </c>
      <c r="CK10">
        <v>4903.2</v>
      </c>
      <c r="CL10">
        <v>7.5599286216277815</v>
      </c>
      <c r="CM10">
        <v>4118.6491130628146</v>
      </c>
      <c r="CN10">
        <v>9</v>
      </c>
      <c r="CO10">
        <v>4903.2</v>
      </c>
      <c r="CP10">
        <v>8</v>
      </c>
      <c r="CQ10">
        <v>4358.3999999999996</v>
      </c>
      <c r="CR10">
        <v>10.408875790790423</v>
      </c>
      <c r="CS10">
        <v>5670.7555308226219</v>
      </c>
      <c r="CT10">
        <v>7</v>
      </c>
      <c r="CU10">
        <v>3813.5999999999995</v>
      </c>
    </row>
    <row r="11" spans="1:99">
      <c r="C11" s="99" t="s">
        <v>178</v>
      </c>
      <c r="D11">
        <v>4.3230498580592513</v>
      </c>
      <c r="E11">
        <v>2303.3209643739688</v>
      </c>
      <c r="F11">
        <v>6</v>
      </c>
      <c r="G11">
        <v>3196.7999999999997</v>
      </c>
      <c r="H11">
        <v>8</v>
      </c>
      <c r="I11">
        <v>4262.3999999999996</v>
      </c>
      <c r="J11">
        <v>5</v>
      </c>
      <c r="K11">
        <v>2664</v>
      </c>
      <c r="L11">
        <v>6</v>
      </c>
      <c r="M11">
        <v>3196.7999999999997</v>
      </c>
      <c r="N11">
        <v>7</v>
      </c>
      <c r="O11">
        <v>3729.5999999999995</v>
      </c>
      <c r="P11">
        <v>6.4223765356650482</v>
      </c>
      <c r="Q11">
        <v>3421.8422182023373</v>
      </c>
      <c r="R11">
        <v>10</v>
      </c>
      <c r="S11">
        <v>5328</v>
      </c>
      <c r="T11">
        <v>8</v>
      </c>
      <c r="U11">
        <v>4262.3999999999996</v>
      </c>
      <c r="V11">
        <v>6</v>
      </c>
      <c r="W11">
        <v>3196.7999999999997</v>
      </c>
      <c r="X11">
        <v>9</v>
      </c>
      <c r="Y11">
        <v>4795.2</v>
      </c>
      <c r="Z11">
        <v>7</v>
      </c>
      <c r="AA11">
        <v>3729.5999999999995</v>
      </c>
      <c r="AB11">
        <v>7</v>
      </c>
      <c r="AC11">
        <v>3729.5999999999995</v>
      </c>
      <c r="AD11">
        <v>8</v>
      </c>
      <c r="AE11">
        <v>4262.3999999999996</v>
      </c>
      <c r="AF11">
        <v>6.3424460647299359</v>
      </c>
      <c r="AG11">
        <v>3379.2552632881097</v>
      </c>
      <c r="AH11">
        <v>7</v>
      </c>
      <c r="AI11">
        <v>3729.5999999999995</v>
      </c>
      <c r="AJ11">
        <v>9</v>
      </c>
      <c r="AK11">
        <v>4795.2</v>
      </c>
      <c r="AL11">
        <v>0.82814428300332388</v>
      </c>
      <c r="AM11">
        <v>441.23527398417093</v>
      </c>
      <c r="AN11">
        <v>6</v>
      </c>
      <c r="AO11">
        <v>3196.7999999999997</v>
      </c>
      <c r="AP11">
        <v>10</v>
      </c>
      <c r="AQ11">
        <v>5328</v>
      </c>
      <c r="AR11">
        <v>9</v>
      </c>
      <c r="AS11">
        <v>4795.2</v>
      </c>
      <c r="AT11">
        <v>8</v>
      </c>
      <c r="AU11">
        <v>4262.3999999999996</v>
      </c>
      <c r="AV11">
        <v>8</v>
      </c>
      <c r="AW11">
        <v>4262.3999999999996</v>
      </c>
      <c r="AX11">
        <v>7</v>
      </c>
      <c r="AY11">
        <v>3729.5999999999995</v>
      </c>
      <c r="AZ11">
        <v>10</v>
      </c>
      <c r="BA11">
        <v>5328</v>
      </c>
      <c r="BB11">
        <v>6</v>
      </c>
      <c r="BC11">
        <v>3196.7999999999997</v>
      </c>
      <c r="BD11">
        <v>8</v>
      </c>
      <c r="BE11">
        <v>4262.3999999999996</v>
      </c>
      <c r="BF11">
        <v>12</v>
      </c>
      <c r="BG11">
        <v>6393.5999999999995</v>
      </c>
      <c r="BH11">
        <v>8</v>
      </c>
      <c r="BI11">
        <v>4262.3999999999996</v>
      </c>
      <c r="BJ11">
        <v>11</v>
      </c>
      <c r="BK11">
        <v>5860.7999999999993</v>
      </c>
      <c r="BL11">
        <v>9</v>
      </c>
      <c r="BM11">
        <v>4795.2</v>
      </c>
      <c r="BN11">
        <v>8</v>
      </c>
      <c r="BO11">
        <v>4262.3999999999996</v>
      </c>
      <c r="BP11">
        <v>11</v>
      </c>
      <c r="BQ11">
        <v>5860.7999999999993</v>
      </c>
      <c r="BR11">
        <v>7</v>
      </c>
      <c r="BS11">
        <v>3729.5999999999995</v>
      </c>
      <c r="BT11">
        <v>12</v>
      </c>
      <c r="BU11">
        <v>6393.5999999999995</v>
      </c>
      <c r="BV11">
        <v>7</v>
      </c>
      <c r="BW11">
        <v>3729.5999999999995</v>
      </c>
      <c r="BX11">
        <v>10</v>
      </c>
      <c r="BY11">
        <v>5328</v>
      </c>
      <c r="BZ11">
        <v>10</v>
      </c>
      <c r="CA11">
        <v>5328</v>
      </c>
      <c r="CB11">
        <v>13</v>
      </c>
      <c r="CC11">
        <v>6926.4</v>
      </c>
      <c r="CD11">
        <v>10.850251420807473</v>
      </c>
      <c r="CE11">
        <v>5781.0139570062211</v>
      </c>
      <c r="CF11">
        <v>10</v>
      </c>
      <c r="CG11">
        <v>5328</v>
      </c>
      <c r="CH11">
        <v>8</v>
      </c>
      <c r="CI11">
        <v>4262.3999999999996</v>
      </c>
      <c r="CJ11">
        <v>8</v>
      </c>
      <c r="CK11">
        <v>4262.3999999999996</v>
      </c>
      <c r="CL11">
        <v>6.6149375439243094</v>
      </c>
      <c r="CM11">
        <v>3524.4387234028718</v>
      </c>
      <c r="CN11">
        <v>9</v>
      </c>
      <c r="CO11">
        <v>4795.2</v>
      </c>
      <c r="CP11">
        <v>9</v>
      </c>
      <c r="CQ11">
        <v>4795.2</v>
      </c>
      <c r="CR11">
        <v>9.4626143552640212</v>
      </c>
      <c r="CS11">
        <v>5041.6809284846704</v>
      </c>
      <c r="CT11">
        <v>8</v>
      </c>
      <c r="CU11">
        <v>4262.3999999999996</v>
      </c>
    </row>
    <row r="12" spans="1:99">
      <c r="C12" s="99" t="s">
        <v>179</v>
      </c>
      <c r="D12">
        <v>3.9300453255084107</v>
      </c>
      <c r="E12">
        <v>2211.8295091961331</v>
      </c>
      <c r="F12">
        <v>6</v>
      </c>
      <c r="G12">
        <v>3376.7999999999997</v>
      </c>
      <c r="H12">
        <v>7</v>
      </c>
      <c r="I12">
        <v>3939.5999999999995</v>
      </c>
      <c r="J12">
        <v>6</v>
      </c>
      <c r="K12">
        <v>3376.7999999999997</v>
      </c>
      <c r="L12">
        <v>6</v>
      </c>
      <c r="M12">
        <v>3376.7999999999997</v>
      </c>
      <c r="N12">
        <v>7</v>
      </c>
      <c r="O12">
        <v>3939.5999999999995</v>
      </c>
      <c r="P12">
        <v>6.4223765356650482</v>
      </c>
      <c r="Q12">
        <v>3614.5135142722888</v>
      </c>
      <c r="R12">
        <v>10</v>
      </c>
      <c r="S12">
        <v>5628</v>
      </c>
      <c r="T12">
        <v>7</v>
      </c>
      <c r="U12">
        <v>3939.5999999999995</v>
      </c>
      <c r="V12">
        <v>6</v>
      </c>
      <c r="W12">
        <v>3376.7999999999997</v>
      </c>
      <c r="X12">
        <v>11</v>
      </c>
      <c r="Y12">
        <v>6190.7999999999993</v>
      </c>
      <c r="Z12">
        <v>7</v>
      </c>
      <c r="AA12">
        <v>3939.5999999999995</v>
      </c>
      <c r="AB12">
        <v>7</v>
      </c>
      <c r="AC12">
        <v>3939.5999999999995</v>
      </c>
      <c r="AD12">
        <v>7</v>
      </c>
      <c r="AE12">
        <v>3939.5999999999995</v>
      </c>
      <c r="AF12">
        <v>5.1892740529608563</v>
      </c>
      <c r="AG12">
        <v>2920.5234370063695</v>
      </c>
      <c r="AH12">
        <v>7</v>
      </c>
      <c r="AI12">
        <v>3939.5999999999995</v>
      </c>
      <c r="AJ12">
        <v>9</v>
      </c>
      <c r="AK12">
        <v>5065.2</v>
      </c>
      <c r="AL12">
        <v>0.82814428300332388</v>
      </c>
      <c r="AM12">
        <v>466.07960247427064</v>
      </c>
      <c r="AN12">
        <v>7</v>
      </c>
      <c r="AO12">
        <v>3939.5999999999995</v>
      </c>
      <c r="AP12">
        <v>9</v>
      </c>
      <c r="AQ12">
        <v>5065.2</v>
      </c>
      <c r="AR12">
        <v>11</v>
      </c>
      <c r="AS12">
        <v>6190.7999999999993</v>
      </c>
      <c r="AT12">
        <v>7</v>
      </c>
      <c r="AU12">
        <v>3939.5999999999995</v>
      </c>
      <c r="AV12">
        <v>9</v>
      </c>
      <c r="AW12">
        <v>5065.2</v>
      </c>
      <c r="AX12">
        <v>7</v>
      </c>
      <c r="AY12">
        <v>3939.5999999999995</v>
      </c>
      <c r="AZ12">
        <v>10</v>
      </c>
      <c r="BA12">
        <v>5628</v>
      </c>
      <c r="BB12">
        <v>6</v>
      </c>
      <c r="BC12">
        <v>3376.7999999999997</v>
      </c>
      <c r="BD12">
        <v>7</v>
      </c>
      <c r="BE12">
        <v>3939.5999999999995</v>
      </c>
      <c r="BF12">
        <v>11</v>
      </c>
      <c r="BG12">
        <v>6190.7999999999993</v>
      </c>
      <c r="BH12">
        <v>8</v>
      </c>
      <c r="BI12">
        <v>4502.3999999999996</v>
      </c>
      <c r="BJ12">
        <v>11</v>
      </c>
      <c r="BK12">
        <v>6190.7999999999993</v>
      </c>
      <c r="BL12">
        <v>10</v>
      </c>
      <c r="BM12">
        <v>5628</v>
      </c>
      <c r="BN12">
        <v>8</v>
      </c>
      <c r="BO12">
        <v>4502.3999999999996</v>
      </c>
      <c r="BP12">
        <v>10</v>
      </c>
      <c r="BQ12">
        <v>5628</v>
      </c>
      <c r="BR12">
        <v>7</v>
      </c>
      <c r="BS12">
        <v>3939.5999999999995</v>
      </c>
      <c r="BT12">
        <v>11</v>
      </c>
      <c r="BU12">
        <v>6190.7999999999993</v>
      </c>
      <c r="BV12">
        <v>7</v>
      </c>
      <c r="BW12">
        <v>3939.5999999999995</v>
      </c>
      <c r="BX12">
        <v>11</v>
      </c>
      <c r="BY12">
        <v>6190.7999999999993</v>
      </c>
      <c r="BZ12">
        <v>9</v>
      </c>
      <c r="CA12">
        <v>5065.2</v>
      </c>
      <c r="CB12">
        <v>11</v>
      </c>
      <c r="CC12">
        <v>6190.7999999999993</v>
      </c>
      <c r="CD12">
        <v>10.850251420807473</v>
      </c>
      <c r="CE12">
        <v>6106.5214996304449</v>
      </c>
      <c r="CF12">
        <v>11</v>
      </c>
      <c r="CG12">
        <v>6190.7999999999993</v>
      </c>
      <c r="CH12">
        <v>8</v>
      </c>
      <c r="CI12">
        <v>4502.3999999999996</v>
      </c>
      <c r="CJ12">
        <v>9</v>
      </c>
      <c r="CK12">
        <v>5065.2</v>
      </c>
      <c r="CL12">
        <v>7.5599286216277815</v>
      </c>
      <c r="CM12">
        <v>4254.7278282521147</v>
      </c>
      <c r="CN12">
        <v>8</v>
      </c>
      <c r="CO12">
        <v>4502.3999999999996</v>
      </c>
      <c r="CP12">
        <v>9</v>
      </c>
      <c r="CQ12">
        <v>5065.2</v>
      </c>
      <c r="CR12">
        <v>10.408875790790423</v>
      </c>
      <c r="CS12">
        <v>5858.1152950568503</v>
      </c>
      <c r="CT12">
        <v>8</v>
      </c>
      <c r="CU12">
        <v>4502.3999999999996</v>
      </c>
    </row>
    <row r="13" spans="1:99">
      <c r="C13" s="99" t="s">
        <v>180</v>
      </c>
      <c r="D13">
        <v>3.5370407929575691</v>
      </c>
      <c r="E13">
        <v>301.3558755599849</v>
      </c>
      <c r="F13">
        <v>7</v>
      </c>
      <c r="G13">
        <v>596.4</v>
      </c>
      <c r="H13">
        <v>8</v>
      </c>
      <c r="I13">
        <v>681.6</v>
      </c>
      <c r="J13">
        <v>6</v>
      </c>
      <c r="K13">
        <v>511.20000000000005</v>
      </c>
      <c r="L13">
        <v>6</v>
      </c>
      <c r="M13">
        <v>511.20000000000005</v>
      </c>
      <c r="N13">
        <v>7</v>
      </c>
      <c r="O13">
        <v>596.4</v>
      </c>
      <c r="P13">
        <v>6.4223765356650482</v>
      </c>
      <c r="Q13">
        <v>547.18648083866208</v>
      </c>
      <c r="R13">
        <v>11</v>
      </c>
      <c r="S13">
        <v>937.2</v>
      </c>
      <c r="T13">
        <v>7</v>
      </c>
      <c r="U13">
        <v>596.4</v>
      </c>
      <c r="V13">
        <v>6</v>
      </c>
      <c r="W13">
        <v>511.20000000000005</v>
      </c>
      <c r="X13">
        <v>11</v>
      </c>
      <c r="Y13">
        <v>937.2</v>
      </c>
      <c r="Z13">
        <v>7</v>
      </c>
      <c r="AA13">
        <v>596.4</v>
      </c>
      <c r="AB13">
        <v>7</v>
      </c>
      <c r="AC13">
        <v>596.4</v>
      </c>
      <c r="AD13">
        <v>7</v>
      </c>
      <c r="AE13">
        <v>596.4</v>
      </c>
      <c r="AF13">
        <v>5.1892740529608563</v>
      </c>
      <c r="AG13">
        <v>442.126149312265</v>
      </c>
      <c r="AH13">
        <v>8</v>
      </c>
      <c r="AI13">
        <v>681.6</v>
      </c>
      <c r="AJ13">
        <v>9</v>
      </c>
      <c r="AK13">
        <v>766.80000000000007</v>
      </c>
      <c r="AL13">
        <v>0.72462624762790839</v>
      </c>
      <c r="AM13">
        <v>61.738156297897795</v>
      </c>
      <c r="AN13">
        <v>7</v>
      </c>
      <c r="AO13">
        <v>596.4</v>
      </c>
      <c r="AP13">
        <v>11</v>
      </c>
      <c r="AQ13">
        <v>937.2</v>
      </c>
      <c r="AR13">
        <v>10</v>
      </c>
      <c r="AS13">
        <v>852</v>
      </c>
      <c r="AT13">
        <v>8</v>
      </c>
      <c r="AU13">
        <v>681.6</v>
      </c>
      <c r="AV13">
        <v>8</v>
      </c>
      <c r="AW13">
        <v>681.6</v>
      </c>
      <c r="AX13">
        <v>7</v>
      </c>
      <c r="AY13">
        <v>596.4</v>
      </c>
      <c r="AZ13">
        <v>10</v>
      </c>
      <c r="BA13">
        <v>852</v>
      </c>
      <c r="BB13">
        <v>7</v>
      </c>
      <c r="BC13">
        <v>596.4</v>
      </c>
      <c r="BD13">
        <v>8</v>
      </c>
      <c r="BE13">
        <v>681.6</v>
      </c>
      <c r="BF13">
        <v>11</v>
      </c>
      <c r="BG13">
        <v>937.2</v>
      </c>
      <c r="BH13">
        <v>8</v>
      </c>
      <c r="BI13">
        <v>681.6</v>
      </c>
      <c r="BJ13">
        <v>12</v>
      </c>
      <c r="BK13">
        <v>1022.4000000000001</v>
      </c>
      <c r="BL13">
        <v>10</v>
      </c>
      <c r="BM13">
        <v>852</v>
      </c>
      <c r="BN13">
        <v>9</v>
      </c>
      <c r="BO13">
        <v>766.80000000000007</v>
      </c>
      <c r="BP13">
        <v>11</v>
      </c>
      <c r="BQ13">
        <v>937.2</v>
      </c>
      <c r="BR13">
        <v>7</v>
      </c>
      <c r="BS13">
        <v>596.4</v>
      </c>
      <c r="BT13">
        <v>12</v>
      </c>
      <c r="BU13">
        <v>1022.4000000000001</v>
      </c>
      <c r="BV13">
        <v>7</v>
      </c>
      <c r="BW13">
        <v>596.4</v>
      </c>
      <c r="BX13">
        <v>12</v>
      </c>
      <c r="BY13">
        <v>1022.4000000000001</v>
      </c>
      <c r="BZ13">
        <v>10</v>
      </c>
      <c r="CA13">
        <v>852</v>
      </c>
      <c r="CB13">
        <v>13</v>
      </c>
      <c r="CC13">
        <v>1107.6000000000001</v>
      </c>
      <c r="CD13">
        <v>9.9460638024068491</v>
      </c>
      <c r="CE13">
        <v>847.40463596506356</v>
      </c>
      <c r="CF13">
        <v>10</v>
      </c>
      <c r="CG13">
        <v>852</v>
      </c>
      <c r="CH13">
        <v>9</v>
      </c>
      <c r="CI13">
        <v>766.80000000000007</v>
      </c>
      <c r="CJ13">
        <v>10</v>
      </c>
      <c r="CK13">
        <v>852</v>
      </c>
      <c r="CL13">
        <v>6.6149375439243094</v>
      </c>
      <c r="CM13">
        <v>563.59267874235115</v>
      </c>
      <c r="CN13">
        <v>10</v>
      </c>
      <c r="CO13">
        <v>852</v>
      </c>
      <c r="CP13">
        <v>9</v>
      </c>
      <c r="CQ13">
        <v>766.80000000000007</v>
      </c>
      <c r="CR13">
        <v>11.355137226316824</v>
      </c>
      <c r="CS13">
        <v>967.4576916821934</v>
      </c>
      <c r="CT13">
        <v>7</v>
      </c>
      <c r="CU13">
        <v>596.4</v>
      </c>
    </row>
    <row r="14" spans="1:99">
      <c r="C14" s="99" t="s">
        <v>181</v>
      </c>
      <c r="D14">
        <v>3.9300453255084107</v>
      </c>
      <c r="E14">
        <v>1919.4341369783076</v>
      </c>
      <c r="F14">
        <v>6</v>
      </c>
      <c r="G14">
        <v>2930.3999999999996</v>
      </c>
      <c r="H14">
        <v>7</v>
      </c>
      <c r="I14">
        <v>3418.7999999999997</v>
      </c>
      <c r="J14">
        <v>6</v>
      </c>
      <c r="K14">
        <v>2930.3999999999996</v>
      </c>
      <c r="L14">
        <v>6</v>
      </c>
      <c r="M14">
        <v>2930.3999999999996</v>
      </c>
      <c r="N14">
        <v>8</v>
      </c>
      <c r="O14">
        <v>3907.2</v>
      </c>
      <c r="P14">
        <v>6.4223765356650482</v>
      </c>
      <c r="Q14">
        <v>3136.6887000188094</v>
      </c>
      <c r="R14">
        <v>11</v>
      </c>
      <c r="S14">
        <v>5372.4</v>
      </c>
      <c r="T14">
        <v>7</v>
      </c>
      <c r="U14">
        <v>3418.7999999999997</v>
      </c>
      <c r="V14">
        <v>6</v>
      </c>
      <c r="W14">
        <v>2930.3999999999996</v>
      </c>
      <c r="X14">
        <v>10</v>
      </c>
      <c r="Y14">
        <v>4884</v>
      </c>
      <c r="Z14">
        <v>7</v>
      </c>
      <c r="AA14">
        <v>3418.7999999999997</v>
      </c>
      <c r="AB14">
        <v>6</v>
      </c>
      <c r="AC14">
        <v>2930.3999999999996</v>
      </c>
      <c r="AD14">
        <v>8</v>
      </c>
      <c r="AE14">
        <v>3907.2</v>
      </c>
      <c r="AF14">
        <v>5.7658600588453961</v>
      </c>
      <c r="AG14">
        <v>2816.0460527400915</v>
      </c>
      <c r="AH14">
        <v>7</v>
      </c>
      <c r="AI14">
        <v>3418.7999999999997</v>
      </c>
      <c r="AJ14">
        <v>9</v>
      </c>
      <c r="AK14">
        <v>4395.5999999999995</v>
      </c>
      <c r="AL14">
        <v>0.82814428300332388</v>
      </c>
      <c r="AM14">
        <v>404.46566781882336</v>
      </c>
      <c r="AN14">
        <v>6</v>
      </c>
      <c r="AO14">
        <v>2930.3999999999996</v>
      </c>
      <c r="AP14">
        <v>10</v>
      </c>
      <c r="AQ14">
        <v>4884</v>
      </c>
      <c r="AR14">
        <v>11</v>
      </c>
      <c r="AS14">
        <v>5372.4</v>
      </c>
      <c r="AT14">
        <v>8</v>
      </c>
      <c r="AU14">
        <v>3907.2</v>
      </c>
      <c r="AV14">
        <v>9</v>
      </c>
      <c r="AW14">
        <v>4395.5999999999995</v>
      </c>
      <c r="AX14">
        <v>7</v>
      </c>
      <c r="AY14">
        <v>3418.7999999999997</v>
      </c>
      <c r="AZ14">
        <v>11</v>
      </c>
      <c r="BA14">
        <v>5372.4</v>
      </c>
      <c r="BB14">
        <v>6</v>
      </c>
      <c r="BC14">
        <v>2930.3999999999996</v>
      </c>
      <c r="BD14">
        <v>8</v>
      </c>
      <c r="BE14">
        <v>3907.2</v>
      </c>
      <c r="BF14">
        <v>11</v>
      </c>
      <c r="BG14">
        <v>5372.4</v>
      </c>
      <c r="BH14">
        <v>7</v>
      </c>
      <c r="BI14">
        <v>3418.7999999999997</v>
      </c>
      <c r="BJ14">
        <v>13</v>
      </c>
      <c r="BK14">
        <v>6349.2</v>
      </c>
      <c r="BL14">
        <v>9</v>
      </c>
      <c r="BM14">
        <v>4395.5999999999995</v>
      </c>
      <c r="BN14">
        <v>9</v>
      </c>
      <c r="BO14">
        <v>4395.5999999999995</v>
      </c>
      <c r="BP14">
        <v>12</v>
      </c>
      <c r="BQ14">
        <v>5860.7999999999993</v>
      </c>
      <c r="BR14">
        <v>6</v>
      </c>
      <c r="BS14">
        <v>2930.3999999999996</v>
      </c>
      <c r="BT14">
        <v>12</v>
      </c>
      <c r="BU14">
        <v>5860.7999999999993</v>
      </c>
      <c r="BV14">
        <v>7</v>
      </c>
      <c r="BW14">
        <v>3418.7999999999997</v>
      </c>
      <c r="BX14">
        <v>10</v>
      </c>
      <c r="BY14">
        <v>4884</v>
      </c>
      <c r="BZ14">
        <v>11</v>
      </c>
      <c r="CA14">
        <v>5372.4</v>
      </c>
      <c r="CB14">
        <v>12</v>
      </c>
      <c r="CC14">
        <v>5860.7999999999993</v>
      </c>
      <c r="CD14">
        <v>9.0418761840062256</v>
      </c>
      <c r="CE14">
        <v>4416.0523282686399</v>
      </c>
      <c r="CF14">
        <v>10</v>
      </c>
      <c r="CG14">
        <v>4884</v>
      </c>
      <c r="CH14">
        <v>8</v>
      </c>
      <c r="CI14">
        <v>3907.2</v>
      </c>
      <c r="CJ14">
        <v>9</v>
      </c>
      <c r="CK14">
        <v>4395.5999999999995</v>
      </c>
      <c r="CL14">
        <v>7.5599286216277815</v>
      </c>
      <c r="CM14">
        <v>3692.2691388030084</v>
      </c>
      <c r="CN14">
        <v>9</v>
      </c>
      <c r="CO14">
        <v>4395.5999999999995</v>
      </c>
      <c r="CP14">
        <v>9</v>
      </c>
      <c r="CQ14">
        <v>4395.5999999999995</v>
      </c>
      <c r="CR14">
        <v>10.408875790790423</v>
      </c>
      <c r="CS14">
        <v>5083.694936222043</v>
      </c>
      <c r="CT14">
        <v>7</v>
      </c>
      <c r="CU14">
        <v>3418.7999999999997</v>
      </c>
    </row>
    <row r="15" spans="1:99">
      <c r="C15" s="99" t="s">
        <v>182</v>
      </c>
      <c r="D15">
        <v>3.5370407929575691</v>
      </c>
      <c r="E15">
        <v>2699.4695331852167</v>
      </c>
      <c r="F15">
        <v>7</v>
      </c>
      <c r="G15">
        <v>5342.4</v>
      </c>
      <c r="H15">
        <v>7</v>
      </c>
      <c r="I15">
        <v>5342.4</v>
      </c>
      <c r="J15">
        <v>6</v>
      </c>
      <c r="K15">
        <v>4579.2</v>
      </c>
      <c r="L15">
        <v>7</v>
      </c>
      <c r="M15">
        <v>5342.4</v>
      </c>
      <c r="N15">
        <v>8</v>
      </c>
      <c r="O15">
        <v>6105.5999999999995</v>
      </c>
      <c r="P15">
        <v>6.4223765356650482</v>
      </c>
      <c r="Q15">
        <v>4901.5577720195643</v>
      </c>
      <c r="R15">
        <v>11</v>
      </c>
      <c r="S15">
        <v>8395.1999999999989</v>
      </c>
      <c r="T15">
        <v>8</v>
      </c>
      <c r="U15">
        <v>6105.5999999999995</v>
      </c>
      <c r="V15">
        <v>6</v>
      </c>
      <c r="W15">
        <v>4579.2</v>
      </c>
      <c r="X15">
        <v>10</v>
      </c>
      <c r="Y15">
        <v>7631.9999999999991</v>
      </c>
      <c r="Z15">
        <v>7</v>
      </c>
      <c r="AA15">
        <v>5342.4</v>
      </c>
      <c r="AB15">
        <v>6</v>
      </c>
      <c r="AC15">
        <v>4579.2</v>
      </c>
      <c r="AD15">
        <v>8</v>
      </c>
      <c r="AE15">
        <v>6105.5999999999995</v>
      </c>
      <c r="AF15">
        <v>5.1892740529608563</v>
      </c>
      <c r="AG15">
        <v>3960.453957219725</v>
      </c>
      <c r="AH15">
        <v>7</v>
      </c>
      <c r="AI15">
        <v>5342.4</v>
      </c>
      <c r="AJ15">
        <v>9</v>
      </c>
      <c r="AK15">
        <v>6868.7999999999993</v>
      </c>
      <c r="AL15">
        <v>0.82814428300332388</v>
      </c>
      <c r="AM15">
        <v>632.03971678813673</v>
      </c>
      <c r="AN15">
        <v>6</v>
      </c>
      <c r="AO15">
        <v>4579.2</v>
      </c>
      <c r="AP15">
        <v>9</v>
      </c>
      <c r="AQ15">
        <v>6868.7999999999993</v>
      </c>
      <c r="AR15">
        <v>10</v>
      </c>
      <c r="AS15">
        <v>7631.9999999999991</v>
      </c>
      <c r="AT15">
        <v>7</v>
      </c>
      <c r="AU15">
        <v>5342.4</v>
      </c>
      <c r="AV15">
        <v>9</v>
      </c>
      <c r="AW15">
        <v>6868.7999999999993</v>
      </c>
      <c r="AX15">
        <v>7</v>
      </c>
      <c r="AY15">
        <v>5342.4</v>
      </c>
      <c r="AZ15">
        <v>11</v>
      </c>
      <c r="BA15">
        <v>8395.1999999999989</v>
      </c>
      <c r="BB15">
        <v>6</v>
      </c>
      <c r="BC15">
        <v>4579.2</v>
      </c>
      <c r="BD15">
        <v>8</v>
      </c>
      <c r="BE15">
        <v>6105.5999999999995</v>
      </c>
      <c r="BF15">
        <v>11</v>
      </c>
      <c r="BG15">
        <v>8395.1999999999989</v>
      </c>
      <c r="BH15">
        <v>8</v>
      </c>
      <c r="BI15">
        <v>6105.5999999999995</v>
      </c>
      <c r="BJ15">
        <v>12</v>
      </c>
      <c r="BK15">
        <v>9158.4</v>
      </c>
      <c r="BL15">
        <v>9</v>
      </c>
      <c r="BM15">
        <v>6868.7999999999993</v>
      </c>
      <c r="BN15">
        <v>9</v>
      </c>
      <c r="BO15">
        <v>6868.7999999999993</v>
      </c>
      <c r="BP15">
        <v>11</v>
      </c>
      <c r="BQ15">
        <v>8395.1999999999989</v>
      </c>
      <c r="BR15">
        <v>7</v>
      </c>
      <c r="BS15">
        <v>5342.4</v>
      </c>
      <c r="BT15">
        <v>11</v>
      </c>
      <c r="BU15">
        <v>8395.1999999999989</v>
      </c>
      <c r="BV15">
        <v>7</v>
      </c>
      <c r="BW15">
        <v>5342.4</v>
      </c>
      <c r="BX15">
        <v>10</v>
      </c>
      <c r="BY15">
        <v>7631.9999999999991</v>
      </c>
      <c r="BZ15">
        <v>10</v>
      </c>
      <c r="CA15">
        <v>7631.9999999999991</v>
      </c>
      <c r="CB15">
        <v>12</v>
      </c>
      <c r="CC15">
        <v>9158.4</v>
      </c>
      <c r="CD15">
        <v>9.0418761840062256</v>
      </c>
      <c r="CE15">
        <v>6900.7599036335505</v>
      </c>
      <c r="CF15">
        <v>9</v>
      </c>
      <c r="CG15">
        <v>6868.7999999999993</v>
      </c>
      <c r="CH15">
        <v>9</v>
      </c>
      <c r="CI15">
        <v>6868.7999999999993</v>
      </c>
      <c r="CJ15">
        <v>9</v>
      </c>
      <c r="CK15">
        <v>6868.7999999999993</v>
      </c>
      <c r="CL15">
        <v>7.5599286216277815</v>
      </c>
      <c r="CM15">
        <v>5769.7375240263227</v>
      </c>
      <c r="CN15">
        <v>10</v>
      </c>
      <c r="CO15">
        <v>7631.9999999999991</v>
      </c>
      <c r="CP15">
        <v>8</v>
      </c>
      <c r="CQ15">
        <v>6105.5999999999995</v>
      </c>
      <c r="CR15">
        <v>9.4626143552640212</v>
      </c>
      <c r="CS15">
        <v>7221.8672759375004</v>
      </c>
      <c r="CT15">
        <v>8</v>
      </c>
      <c r="CU15">
        <v>6105.5999999999995</v>
      </c>
    </row>
    <row r="16" spans="1:99">
      <c r="C16" s="99" t="s">
        <v>183</v>
      </c>
      <c r="D16">
        <v>3.5370407929575691</v>
      </c>
      <c r="E16">
        <v>1205.4235022399396</v>
      </c>
      <c r="F16">
        <v>7</v>
      </c>
      <c r="G16">
        <v>2385.6</v>
      </c>
      <c r="H16">
        <v>8</v>
      </c>
      <c r="I16">
        <v>2726.4</v>
      </c>
      <c r="J16">
        <v>6</v>
      </c>
      <c r="K16">
        <v>2044.8000000000002</v>
      </c>
      <c r="L16">
        <v>6</v>
      </c>
      <c r="M16">
        <v>2044.8000000000002</v>
      </c>
      <c r="N16">
        <v>8</v>
      </c>
      <c r="O16">
        <v>2726.4</v>
      </c>
      <c r="P16">
        <v>6.4223765356650482</v>
      </c>
      <c r="Q16">
        <v>2188.7459233546483</v>
      </c>
      <c r="R16">
        <v>10</v>
      </c>
      <c r="S16">
        <v>3408</v>
      </c>
      <c r="T16">
        <v>8</v>
      </c>
      <c r="U16">
        <v>2726.4</v>
      </c>
      <c r="V16">
        <v>7</v>
      </c>
      <c r="W16">
        <v>2385.6</v>
      </c>
      <c r="X16">
        <v>11</v>
      </c>
      <c r="Y16">
        <v>3748.8</v>
      </c>
      <c r="Z16">
        <v>6</v>
      </c>
      <c r="AA16">
        <v>2044.8000000000002</v>
      </c>
      <c r="AB16">
        <v>7</v>
      </c>
      <c r="AC16">
        <v>2385.6</v>
      </c>
      <c r="AD16">
        <v>8</v>
      </c>
      <c r="AE16">
        <v>2726.4</v>
      </c>
      <c r="AF16">
        <v>5.7658600588453961</v>
      </c>
      <c r="AG16">
        <v>1965.0051080545111</v>
      </c>
      <c r="AH16">
        <v>7</v>
      </c>
      <c r="AI16">
        <v>2385.6</v>
      </c>
      <c r="AJ16">
        <v>9</v>
      </c>
      <c r="AK16">
        <v>3067.2000000000003</v>
      </c>
      <c r="AL16">
        <v>0.82814428300332388</v>
      </c>
      <c r="AM16">
        <v>282.2315716475328</v>
      </c>
      <c r="AN16">
        <v>6</v>
      </c>
      <c r="AO16">
        <v>2044.8000000000002</v>
      </c>
      <c r="AP16">
        <v>11</v>
      </c>
      <c r="AQ16">
        <v>3748.8</v>
      </c>
      <c r="AR16">
        <v>11</v>
      </c>
      <c r="AS16">
        <v>3748.8</v>
      </c>
      <c r="AT16">
        <v>7</v>
      </c>
      <c r="AU16">
        <v>2385.6</v>
      </c>
      <c r="AV16">
        <v>9</v>
      </c>
      <c r="AW16">
        <v>3067.2000000000003</v>
      </c>
      <c r="AX16">
        <v>6</v>
      </c>
      <c r="AY16">
        <v>2044.8000000000002</v>
      </c>
      <c r="AZ16">
        <v>11</v>
      </c>
      <c r="BA16">
        <v>3748.8</v>
      </c>
      <c r="BB16">
        <v>6</v>
      </c>
      <c r="BC16">
        <v>2044.8000000000002</v>
      </c>
      <c r="BD16">
        <v>7</v>
      </c>
      <c r="BE16">
        <v>2385.6</v>
      </c>
      <c r="BF16">
        <v>12</v>
      </c>
      <c r="BG16">
        <v>4089.6000000000004</v>
      </c>
      <c r="BH16">
        <v>9</v>
      </c>
      <c r="BI16">
        <v>3067.2000000000003</v>
      </c>
      <c r="BJ16">
        <v>12</v>
      </c>
      <c r="BK16">
        <v>4089.6000000000004</v>
      </c>
      <c r="BL16">
        <v>11</v>
      </c>
      <c r="BM16">
        <v>3748.8</v>
      </c>
      <c r="BN16">
        <v>8</v>
      </c>
      <c r="BO16">
        <v>2726.4</v>
      </c>
      <c r="BP16">
        <v>11</v>
      </c>
      <c r="BQ16">
        <v>3748.8</v>
      </c>
      <c r="BR16">
        <v>6</v>
      </c>
      <c r="BS16">
        <v>2044.8000000000002</v>
      </c>
      <c r="BT16">
        <v>10</v>
      </c>
      <c r="BU16">
        <v>3408</v>
      </c>
      <c r="BV16">
        <v>7</v>
      </c>
      <c r="BW16">
        <v>2385.6</v>
      </c>
      <c r="BX16">
        <v>10</v>
      </c>
      <c r="BY16">
        <v>3408</v>
      </c>
      <c r="BZ16">
        <v>10</v>
      </c>
      <c r="CA16">
        <v>3408</v>
      </c>
      <c r="CB16">
        <v>11</v>
      </c>
      <c r="CC16">
        <v>3748.8</v>
      </c>
      <c r="CD16">
        <v>9.9460638024068491</v>
      </c>
      <c r="CE16">
        <v>3389.6185438602542</v>
      </c>
      <c r="CF16">
        <v>9</v>
      </c>
      <c r="CG16">
        <v>3067.2000000000003</v>
      </c>
      <c r="CH16">
        <v>10</v>
      </c>
      <c r="CI16">
        <v>3408</v>
      </c>
      <c r="CJ16">
        <v>8</v>
      </c>
      <c r="CK16">
        <v>2726.4</v>
      </c>
      <c r="CL16">
        <v>7.5599286216277815</v>
      </c>
      <c r="CM16">
        <v>2576.4236742507478</v>
      </c>
      <c r="CN16">
        <v>8</v>
      </c>
      <c r="CO16">
        <v>2726.4</v>
      </c>
      <c r="CP16">
        <v>9</v>
      </c>
      <c r="CQ16">
        <v>3067.2000000000003</v>
      </c>
      <c r="CR16">
        <v>10.408875790790423</v>
      </c>
      <c r="CS16">
        <v>3547.3448695013763</v>
      </c>
      <c r="CT16">
        <v>7</v>
      </c>
      <c r="CU16">
        <v>2385.6</v>
      </c>
    </row>
    <row r="17" spans="2:99">
      <c r="C17" s="99" t="s">
        <v>184</v>
      </c>
      <c r="D17">
        <v>4.3230498580592513</v>
      </c>
      <c r="E17">
        <v>1826.0562600442277</v>
      </c>
      <c r="F17">
        <v>7</v>
      </c>
      <c r="G17">
        <v>2956.7999999999997</v>
      </c>
      <c r="H17">
        <v>7</v>
      </c>
      <c r="I17">
        <v>2956.7999999999997</v>
      </c>
      <c r="J17">
        <v>6</v>
      </c>
      <c r="K17">
        <v>2534.3999999999996</v>
      </c>
      <c r="L17">
        <v>6</v>
      </c>
      <c r="M17">
        <v>2534.3999999999996</v>
      </c>
      <c r="N17">
        <v>7</v>
      </c>
      <c r="O17">
        <v>2956.7999999999997</v>
      </c>
      <c r="P17">
        <v>6.4223765356650482</v>
      </c>
      <c r="Q17">
        <v>2712.8118486649164</v>
      </c>
      <c r="R17">
        <v>11</v>
      </c>
      <c r="S17">
        <v>4646.3999999999996</v>
      </c>
      <c r="T17">
        <v>7</v>
      </c>
      <c r="U17">
        <v>2956.7999999999997</v>
      </c>
      <c r="V17">
        <v>6</v>
      </c>
      <c r="W17">
        <v>2534.3999999999996</v>
      </c>
      <c r="X17">
        <v>11</v>
      </c>
      <c r="Y17">
        <v>4646.3999999999996</v>
      </c>
      <c r="Z17">
        <v>7</v>
      </c>
      <c r="AA17">
        <v>2956.7999999999997</v>
      </c>
      <c r="AB17">
        <v>7</v>
      </c>
      <c r="AC17">
        <v>2956.7999999999997</v>
      </c>
      <c r="AD17">
        <v>7</v>
      </c>
      <c r="AE17">
        <v>2956.7999999999997</v>
      </c>
      <c r="AF17">
        <v>5.7658600588453961</v>
      </c>
      <c r="AG17">
        <v>2435.4992888562952</v>
      </c>
      <c r="AH17">
        <v>8</v>
      </c>
      <c r="AI17">
        <v>3379.2</v>
      </c>
      <c r="AJ17">
        <v>9</v>
      </c>
      <c r="AK17">
        <v>3801.6</v>
      </c>
      <c r="AL17">
        <v>0.82814428300332388</v>
      </c>
      <c r="AM17">
        <v>349.80814514060398</v>
      </c>
      <c r="AN17">
        <v>7</v>
      </c>
      <c r="AO17">
        <v>2956.7999999999997</v>
      </c>
      <c r="AP17">
        <v>10</v>
      </c>
      <c r="AQ17">
        <v>4224</v>
      </c>
      <c r="AR17">
        <v>10</v>
      </c>
      <c r="AS17">
        <v>4224</v>
      </c>
      <c r="AT17">
        <v>8</v>
      </c>
      <c r="AU17">
        <v>3379.2</v>
      </c>
      <c r="AV17">
        <v>9</v>
      </c>
      <c r="AW17">
        <v>3801.6</v>
      </c>
      <c r="AX17">
        <v>7</v>
      </c>
      <c r="AY17">
        <v>2956.7999999999997</v>
      </c>
      <c r="AZ17">
        <v>10</v>
      </c>
      <c r="BA17">
        <v>4224</v>
      </c>
      <c r="BB17">
        <v>7</v>
      </c>
      <c r="BC17">
        <v>2956.7999999999997</v>
      </c>
      <c r="BD17">
        <v>7</v>
      </c>
      <c r="BE17">
        <v>2956.7999999999997</v>
      </c>
      <c r="BF17">
        <v>11</v>
      </c>
      <c r="BG17">
        <v>4646.3999999999996</v>
      </c>
      <c r="BH17">
        <v>7</v>
      </c>
      <c r="BI17">
        <v>2956.7999999999997</v>
      </c>
      <c r="BJ17">
        <v>13</v>
      </c>
      <c r="BK17">
        <v>5491.2</v>
      </c>
      <c r="BL17">
        <v>10</v>
      </c>
      <c r="BM17">
        <v>4224</v>
      </c>
      <c r="BN17">
        <v>8</v>
      </c>
      <c r="BO17">
        <v>3379.2</v>
      </c>
      <c r="BP17">
        <v>12</v>
      </c>
      <c r="BQ17">
        <v>5068.7999999999993</v>
      </c>
      <c r="BR17">
        <v>6</v>
      </c>
      <c r="BS17">
        <v>2534.3999999999996</v>
      </c>
      <c r="BT17">
        <v>12</v>
      </c>
      <c r="BU17">
        <v>5068.7999999999993</v>
      </c>
      <c r="BV17">
        <v>8</v>
      </c>
      <c r="BW17">
        <v>3379.2</v>
      </c>
      <c r="BX17">
        <v>10</v>
      </c>
      <c r="BY17">
        <v>4224</v>
      </c>
      <c r="BZ17">
        <v>9</v>
      </c>
      <c r="CA17">
        <v>3801.6</v>
      </c>
      <c r="CB17">
        <v>12</v>
      </c>
      <c r="CC17">
        <v>5068.7999999999993</v>
      </c>
      <c r="CD17">
        <v>10.850251420807473</v>
      </c>
      <c r="CE17">
        <v>4583.1462001490763</v>
      </c>
      <c r="CF17">
        <v>9</v>
      </c>
      <c r="CG17">
        <v>3801.6</v>
      </c>
      <c r="CH17">
        <v>8</v>
      </c>
      <c r="CI17">
        <v>3379.2</v>
      </c>
      <c r="CJ17">
        <v>9</v>
      </c>
      <c r="CK17">
        <v>3801.6</v>
      </c>
      <c r="CL17">
        <v>7.5599286216277815</v>
      </c>
      <c r="CM17">
        <v>3193.3138497755749</v>
      </c>
      <c r="CN17">
        <v>9</v>
      </c>
      <c r="CO17">
        <v>3801.6</v>
      </c>
      <c r="CP17">
        <v>8</v>
      </c>
      <c r="CQ17">
        <v>3379.2</v>
      </c>
      <c r="CR17">
        <v>9.4626143552640212</v>
      </c>
      <c r="CS17">
        <v>3997.0083036635224</v>
      </c>
      <c r="CT17">
        <v>8</v>
      </c>
      <c r="CU17">
        <v>3379.2</v>
      </c>
    </row>
    <row r="18" spans="2:99">
      <c r="C18" s="99" t="s">
        <v>185</v>
      </c>
      <c r="D18">
        <v>4.3230498580592513</v>
      </c>
      <c r="E18">
        <v>2822.0869473410789</v>
      </c>
      <c r="F18">
        <v>6</v>
      </c>
      <c r="G18">
        <v>3916.7999999999997</v>
      </c>
      <c r="H18">
        <v>7</v>
      </c>
      <c r="I18">
        <v>4569.5999999999995</v>
      </c>
      <c r="J18">
        <v>5</v>
      </c>
      <c r="K18">
        <v>3264</v>
      </c>
      <c r="L18">
        <v>7</v>
      </c>
      <c r="M18">
        <v>4569.5999999999995</v>
      </c>
      <c r="N18">
        <v>7</v>
      </c>
      <c r="O18">
        <v>4569.5999999999995</v>
      </c>
      <c r="P18">
        <v>5.5048941734271839</v>
      </c>
      <c r="Q18">
        <v>3593.5949164132653</v>
      </c>
      <c r="R18">
        <v>10</v>
      </c>
      <c r="S18">
        <v>6528</v>
      </c>
      <c r="T18">
        <v>8</v>
      </c>
      <c r="U18">
        <v>5222.3999999999996</v>
      </c>
      <c r="V18">
        <v>5</v>
      </c>
      <c r="W18">
        <v>3264</v>
      </c>
      <c r="X18">
        <v>11</v>
      </c>
      <c r="Y18">
        <v>7180.7999999999993</v>
      </c>
      <c r="Z18">
        <v>7</v>
      </c>
      <c r="AA18">
        <v>4569.5999999999995</v>
      </c>
      <c r="AB18">
        <v>6</v>
      </c>
      <c r="AC18">
        <v>3916.7999999999997</v>
      </c>
      <c r="AD18">
        <v>7</v>
      </c>
      <c r="AE18">
        <v>4569.5999999999995</v>
      </c>
      <c r="AF18">
        <v>5.7658600588453961</v>
      </c>
      <c r="AG18">
        <v>3763.9534464142744</v>
      </c>
      <c r="AH18">
        <v>8</v>
      </c>
      <c r="AI18">
        <v>5222.3999999999996</v>
      </c>
      <c r="AJ18">
        <v>8</v>
      </c>
      <c r="AK18">
        <v>5222.3999999999996</v>
      </c>
      <c r="AL18">
        <v>0.72462624762790839</v>
      </c>
      <c r="AM18">
        <v>473.03601445149854</v>
      </c>
      <c r="AN18">
        <v>6</v>
      </c>
      <c r="AO18">
        <v>3916.7999999999997</v>
      </c>
      <c r="AP18">
        <v>10</v>
      </c>
      <c r="AQ18">
        <v>6528</v>
      </c>
      <c r="AR18">
        <v>10</v>
      </c>
      <c r="AS18">
        <v>6528</v>
      </c>
      <c r="AT18">
        <v>7</v>
      </c>
      <c r="AU18">
        <v>4569.5999999999995</v>
      </c>
      <c r="AV18">
        <v>8</v>
      </c>
      <c r="AW18">
        <v>5222.3999999999996</v>
      </c>
      <c r="AX18">
        <v>7</v>
      </c>
      <c r="AY18">
        <v>4569.5999999999995</v>
      </c>
      <c r="AZ18">
        <v>11</v>
      </c>
      <c r="BA18">
        <v>7180.7999999999993</v>
      </c>
      <c r="BB18">
        <v>6</v>
      </c>
      <c r="BC18">
        <v>3916.7999999999997</v>
      </c>
      <c r="BD18">
        <v>8</v>
      </c>
      <c r="BE18">
        <v>5222.3999999999996</v>
      </c>
      <c r="BF18">
        <v>12</v>
      </c>
      <c r="BG18">
        <v>7833.5999999999995</v>
      </c>
      <c r="BH18">
        <v>8</v>
      </c>
      <c r="BI18">
        <v>5222.3999999999996</v>
      </c>
      <c r="BJ18">
        <v>12</v>
      </c>
      <c r="BK18">
        <v>7833.5999999999995</v>
      </c>
      <c r="BL18">
        <v>10</v>
      </c>
      <c r="BM18">
        <v>6528</v>
      </c>
      <c r="BN18">
        <v>9</v>
      </c>
      <c r="BO18">
        <v>5875.2</v>
      </c>
      <c r="BP18">
        <v>11</v>
      </c>
      <c r="BQ18">
        <v>7180.7999999999993</v>
      </c>
      <c r="BR18">
        <v>7</v>
      </c>
      <c r="BS18">
        <v>4569.5999999999995</v>
      </c>
      <c r="BT18">
        <v>11</v>
      </c>
      <c r="BU18">
        <v>7180.7999999999993</v>
      </c>
      <c r="BV18">
        <v>7</v>
      </c>
      <c r="BW18">
        <v>4569.5999999999995</v>
      </c>
      <c r="BX18">
        <v>10</v>
      </c>
      <c r="BY18">
        <v>6528</v>
      </c>
      <c r="BZ18">
        <v>9</v>
      </c>
      <c r="CA18">
        <v>5875.2</v>
      </c>
      <c r="CB18">
        <v>11</v>
      </c>
      <c r="CC18">
        <v>7180.7999999999993</v>
      </c>
      <c r="CD18">
        <v>9.9460638024068491</v>
      </c>
      <c r="CE18">
        <v>6492.7904502111905</v>
      </c>
      <c r="CF18">
        <v>9</v>
      </c>
      <c r="CG18">
        <v>5875.2</v>
      </c>
      <c r="CH18">
        <v>9</v>
      </c>
      <c r="CI18">
        <v>5875.2</v>
      </c>
      <c r="CJ18">
        <v>8</v>
      </c>
      <c r="CK18">
        <v>5222.3999999999996</v>
      </c>
      <c r="CL18">
        <v>7.5599286216277815</v>
      </c>
      <c r="CM18">
        <v>4935.121404198615</v>
      </c>
      <c r="CN18">
        <v>9</v>
      </c>
      <c r="CO18">
        <v>5875.2</v>
      </c>
      <c r="CP18">
        <v>8</v>
      </c>
      <c r="CQ18">
        <v>5222.3999999999996</v>
      </c>
      <c r="CR18">
        <v>9.4626143552640212</v>
      </c>
      <c r="CS18">
        <v>6177.1946511163524</v>
      </c>
      <c r="CT18">
        <v>8</v>
      </c>
      <c r="CU18">
        <v>5222.3999999999996</v>
      </c>
    </row>
    <row r="19" spans="2:99">
      <c r="C19" s="99" t="s">
        <v>186</v>
      </c>
      <c r="D19">
        <v>3.9300453255084107</v>
      </c>
      <c r="E19">
        <v>1296.9149574177754</v>
      </c>
      <c r="F19">
        <v>7</v>
      </c>
      <c r="G19">
        <v>2310</v>
      </c>
      <c r="H19">
        <v>7</v>
      </c>
      <c r="I19">
        <v>2310</v>
      </c>
      <c r="J19">
        <v>5</v>
      </c>
      <c r="K19">
        <v>1650</v>
      </c>
      <c r="L19">
        <v>6</v>
      </c>
      <c r="M19">
        <v>1980</v>
      </c>
      <c r="N19">
        <v>7</v>
      </c>
      <c r="O19">
        <v>2310</v>
      </c>
      <c r="P19">
        <v>6.4223765356650482</v>
      </c>
      <c r="Q19">
        <v>2119.384256769466</v>
      </c>
      <c r="R19">
        <v>10</v>
      </c>
      <c r="S19">
        <v>3300</v>
      </c>
      <c r="T19">
        <v>7</v>
      </c>
      <c r="U19">
        <v>2310</v>
      </c>
      <c r="V19">
        <v>6</v>
      </c>
      <c r="W19">
        <v>1980</v>
      </c>
      <c r="X19">
        <v>10</v>
      </c>
      <c r="Y19">
        <v>3300</v>
      </c>
      <c r="Z19">
        <v>6</v>
      </c>
      <c r="AA19">
        <v>1980</v>
      </c>
      <c r="AB19">
        <v>6</v>
      </c>
      <c r="AC19">
        <v>1980</v>
      </c>
      <c r="AD19">
        <v>8</v>
      </c>
      <c r="AE19">
        <v>2640</v>
      </c>
      <c r="AF19">
        <v>6.3424460647299359</v>
      </c>
      <c r="AG19">
        <v>2093.0072013608788</v>
      </c>
      <c r="AH19">
        <v>8</v>
      </c>
      <c r="AI19">
        <v>2640</v>
      </c>
      <c r="AJ19">
        <v>9</v>
      </c>
      <c r="AK19">
        <v>2970</v>
      </c>
      <c r="AL19">
        <v>0.82814428300332388</v>
      </c>
      <c r="AM19">
        <v>273.2876133910969</v>
      </c>
      <c r="AN19">
        <v>7</v>
      </c>
      <c r="AO19">
        <v>2310</v>
      </c>
      <c r="AP19">
        <v>10</v>
      </c>
      <c r="AQ19">
        <v>3300</v>
      </c>
      <c r="AR19">
        <v>10</v>
      </c>
      <c r="AS19">
        <v>3300</v>
      </c>
      <c r="AT19">
        <v>7</v>
      </c>
      <c r="AU19">
        <v>2310</v>
      </c>
      <c r="AV19">
        <v>9</v>
      </c>
      <c r="AW19">
        <v>2970</v>
      </c>
      <c r="AX19">
        <v>7</v>
      </c>
      <c r="AY19">
        <v>2310</v>
      </c>
      <c r="AZ19">
        <v>10</v>
      </c>
      <c r="BA19">
        <v>3300</v>
      </c>
      <c r="BB19">
        <v>6</v>
      </c>
      <c r="BC19">
        <v>1980</v>
      </c>
      <c r="BD19">
        <v>8</v>
      </c>
      <c r="BE19">
        <v>2640</v>
      </c>
      <c r="BF19">
        <v>12</v>
      </c>
      <c r="BG19">
        <v>3960</v>
      </c>
      <c r="BH19">
        <v>8</v>
      </c>
      <c r="BI19">
        <v>2640</v>
      </c>
      <c r="BJ19">
        <v>12</v>
      </c>
      <c r="BK19">
        <v>3960</v>
      </c>
      <c r="BL19">
        <v>10</v>
      </c>
      <c r="BM19">
        <v>3300</v>
      </c>
      <c r="BN19">
        <v>9</v>
      </c>
      <c r="BO19">
        <v>2970</v>
      </c>
      <c r="BP19">
        <v>11</v>
      </c>
      <c r="BQ19">
        <v>3630</v>
      </c>
      <c r="BR19">
        <v>7</v>
      </c>
      <c r="BS19">
        <v>2310</v>
      </c>
      <c r="BT19">
        <v>13</v>
      </c>
      <c r="BU19">
        <v>4290</v>
      </c>
      <c r="BV19">
        <v>7</v>
      </c>
      <c r="BW19">
        <v>2310</v>
      </c>
      <c r="BX19">
        <v>11</v>
      </c>
      <c r="BY19">
        <v>3630</v>
      </c>
      <c r="BZ19">
        <v>9</v>
      </c>
      <c r="CA19">
        <v>2970</v>
      </c>
      <c r="CB19">
        <v>12</v>
      </c>
      <c r="CC19">
        <v>3960</v>
      </c>
      <c r="CD19">
        <v>9.9460638024068491</v>
      </c>
      <c r="CE19">
        <v>3282.20105479426</v>
      </c>
      <c r="CF19">
        <v>9</v>
      </c>
      <c r="CG19">
        <v>2970</v>
      </c>
      <c r="CH19">
        <v>10</v>
      </c>
      <c r="CI19">
        <v>3300</v>
      </c>
      <c r="CJ19">
        <v>9</v>
      </c>
      <c r="CK19">
        <v>2970</v>
      </c>
      <c r="CL19">
        <v>7.5599286216277815</v>
      </c>
      <c r="CM19">
        <v>2494.7764451371677</v>
      </c>
      <c r="CN19">
        <v>8</v>
      </c>
      <c r="CO19">
        <v>2640</v>
      </c>
      <c r="CP19">
        <v>9</v>
      </c>
      <c r="CQ19">
        <v>2970</v>
      </c>
      <c r="CR19">
        <v>10.408875790790423</v>
      </c>
      <c r="CS19">
        <v>3434.9290109608396</v>
      </c>
      <c r="CT19">
        <v>8</v>
      </c>
      <c r="CU19">
        <v>2640</v>
      </c>
    </row>
    <row r="20" spans="2:99">
      <c r="B20" s="99" t="s">
        <v>127</v>
      </c>
      <c r="C20" s="99" t="s">
        <v>187</v>
      </c>
      <c r="D20">
        <v>4.3230498580592513</v>
      </c>
      <c r="E20">
        <v>1239.8506992913933</v>
      </c>
      <c r="F20">
        <v>15</v>
      </c>
      <c r="G20">
        <v>4302</v>
      </c>
      <c r="H20">
        <v>13</v>
      </c>
      <c r="I20">
        <v>3728.4</v>
      </c>
      <c r="J20">
        <v>12</v>
      </c>
      <c r="K20">
        <v>3441.6000000000004</v>
      </c>
      <c r="L20">
        <v>19</v>
      </c>
      <c r="M20">
        <v>5449.2</v>
      </c>
      <c r="N20">
        <v>10</v>
      </c>
      <c r="O20">
        <v>2868</v>
      </c>
      <c r="P20">
        <v>17.432164882519416</v>
      </c>
      <c r="Q20">
        <v>4999.5448883065683</v>
      </c>
      <c r="R20">
        <v>13</v>
      </c>
      <c r="S20">
        <v>3728.4</v>
      </c>
      <c r="T20">
        <v>18</v>
      </c>
      <c r="U20">
        <v>5162.4000000000005</v>
      </c>
      <c r="V20">
        <v>15</v>
      </c>
      <c r="W20">
        <v>4302</v>
      </c>
      <c r="X20">
        <v>11</v>
      </c>
      <c r="Y20">
        <v>3154.8</v>
      </c>
      <c r="Z20">
        <v>16</v>
      </c>
      <c r="AA20">
        <v>4588.8</v>
      </c>
      <c r="AB20">
        <v>10</v>
      </c>
      <c r="AC20">
        <v>2868</v>
      </c>
      <c r="AD20">
        <v>13</v>
      </c>
      <c r="AE20">
        <v>3728.4</v>
      </c>
      <c r="AF20">
        <v>9.8019621000371746</v>
      </c>
      <c r="AG20">
        <v>2811.2027302906617</v>
      </c>
      <c r="AH20">
        <v>16</v>
      </c>
      <c r="AI20">
        <v>4588.8</v>
      </c>
      <c r="AJ20">
        <v>11</v>
      </c>
      <c r="AK20">
        <v>3154.8</v>
      </c>
      <c r="AL20">
        <v>1.6562885660066478</v>
      </c>
      <c r="AM20">
        <v>475.02356073070661</v>
      </c>
      <c r="AN20">
        <v>18</v>
      </c>
      <c r="AO20">
        <v>5162.4000000000005</v>
      </c>
      <c r="AP20">
        <v>21</v>
      </c>
      <c r="AQ20">
        <v>6022.8</v>
      </c>
      <c r="AR20">
        <v>16</v>
      </c>
      <c r="AS20">
        <v>4588.8</v>
      </c>
      <c r="AT20">
        <v>17</v>
      </c>
      <c r="AU20">
        <v>4875.6000000000004</v>
      </c>
      <c r="AV20">
        <v>16</v>
      </c>
      <c r="AW20">
        <v>4588.8</v>
      </c>
      <c r="AX20">
        <v>18</v>
      </c>
      <c r="AY20">
        <v>5162.4000000000005</v>
      </c>
      <c r="AZ20">
        <v>14</v>
      </c>
      <c r="BA20">
        <v>4015.2000000000003</v>
      </c>
      <c r="BB20">
        <v>15</v>
      </c>
      <c r="BC20">
        <v>4302</v>
      </c>
      <c r="BD20">
        <v>11</v>
      </c>
      <c r="BE20">
        <v>3154.8</v>
      </c>
      <c r="BF20">
        <v>19</v>
      </c>
      <c r="BG20">
        <v>5449.2</v>
      </c>
      <c r="BH20">
        <v>19</v>
      </c>
      <c r="BI20">
        <v>5449.2</v>
      </c>
      <c r="BJ20">
        <v>13</v>
      </c>
      <c r="BK20">
        <v>3728.4</v>
      </c>
      <c r="BL20">
        <v>23</v>
      </c>
      <c r="BM20">
        <v>6596.4000000000005</v>
      </c>
      <c r="BN20">
        <v>17</v>
      </c>
      <c r="BO20">
        <v>4875.6000000000004</v>
      </c>
      <c r="BP20">
        <v>18</v>
      </c>
      <c r="BQ20">
        <v>5162.4000000000005</v>
      </c>
      <c r="BR20">
        <v>15</v>
      </c>
      <c r="BS20">
        <v>4302</v>
      </c>
      <c r="BT20">
        <v>16</v>
      </c>
      <c r="BU20">
        <v>4588.8</v>
      </c>
      <c r="BV20">
        <v>21</v>
      </c>
      <c r="BW20">
        <v>6022.8</v>
      </c>
      <c r="BX20">
        <v>16</v>
      </c>
      <c r="BY20">
        <v>4588.8</v>
      </c>
      <c r="BZ20">
        <v>16</v>
      </c>
      <c r="CA20">
        <v>4588.8</v>
      </c>
      <c r="CB20">
        <v>14</v>
      </c>
      <c r="CC20">
        <v>4015.2000000000003</v>
      </c>
      <c r="CD20">
        <v>18.987939986413075</v>
      </c>
      <c r="CE20">
        <v>5445.7411881032704</v>
      </c>
      <c r="CF20">
        <v>13</v>
      </c>
      <c r="CG20">
        <v>3728.4</v>
      </c>
      <c r="CH20">
        <v>15</v>
      </c>
      <c r="CI20">
        <v>4302</v>
      </c>
      <c r="CJ20">
        <v>19</v>
      </c>
      <c r="CK20">
        <v>5449.2</v>
      </c>
      <c r="CL20">
        <v>15.119857243255563</v>
      </c>
      <c r="CM20">
        <v>4336.3750573656953</v>
      </c>
      <c r="CN20">
        <v>21</v>
      </c>
      <c r="CO20">
        <v>6022.8</v>
      </c>
      <c r="CP20">
        <v>24</v>
      </c>
      <c r="CQ20">
        <v>6883.2000000000007</v>
      </c>
      <c r="CR20">
        <v>12.301398661843226</v>
      </c>
      <c r="CS20">
        <v>3528.0411362166374</v>
      </c>
      <c r="CT20">
        <v>19</v>
      </c>
      <c r="CU20">
        <v>5449.2</v>
      </c>
    </row>
    <row r="21" spans="2:99">
      <c r="C21" s="99" t="s">
        <v>188</v>
      </c>
      <c r="D21">
        <v>4.3230498580592513</v>
      </c>
      <c r="E21">
        <v>269.7583111428973</v>
      </c>
      <c r="F21">
        <v>16</v>
      </c>
      <c r="G21">
        <v>998.4</v>
      </c>
      <c r="H21">
        <v>13</v>
      </c>
      <c r="I21">
        <v>811.19999999999993</v>
      </c>
      <c r="J21">
        <v>11</v>
      </c>
      <c r="K21">
        <v>686.4</v>
      </c>
      <c r="L21">
        <v>21</v>
      </c>
      <c r="M21">
        <v>1310.3999999999999</v>
      </c>
      <c r="N21">
        <v>12</v>
      </c>
      <c r="O21">
        <v>748.8</v>
      </c>
      <c r="P21">
        <v>18.349647244757282</v>
      </c>
      <c r="Q21">
        <v>1145.0179880728545</v>
      </c>
      <c r="R21">
        <v>12</v>
      </c>
      <c r="S21">
        <v>748.8</v>
      </c>
      <c r="T21">
        <v>19</v>
      </c>
      <c r="U21">
        <v>1185.5999999999999</v>
      </c>
      <c r="V21">
        <v>15</v>
      </c>
      <c r="W21">
        <v>936</v>
      </c>
      <c r="X21">
        <v>11</v>
      </c>
      <c r="Y21">
        <v>686.4</v>
      </c>
      <c r="Z21">
        <v>18</v>
      </c>
      <c r="AA21">
        <v>1123.2</v>
      </c>
      <c r="AB21">
        <v>12</v>
      </c>
      <c r="AC21">
        <v>748.8</v>
      </c>
      <c r="AD21">
        <v>15</v>
      </c>
      <c r="AE21">
        <v>936</v>
      </c>
      <c r="AF21">
        <v>8.6487900882680933</v>
      </c>
      <c r="AG21">
        <v>539.68450150792899</v>
      </c>
      <c r="AH21">
        <v>17</v>
      </c>
      <c r="AI21">
        <v>1060.8</v>
      </c>
      <c r="AJ21">
        <v>11</v>
      </c>
      <c r="AK21">
        <v>686.4</v>
      </c>
      <c r="AL21">
        <v>1.5527705306312323</v>
      </c>
      <c r="AM21">
        <v>96.892881111388888</v>
      </c>
      <c r="AN21">
        <v>19</v>
      </c>
      <c r="AO21">
        <v>1185.5999999999999</v>
      </c>
      <c r="AP21">
        <v>24</v>
      </c>
      <c r="AQ21">
        <v>1497.6</v>
      </c>
      <c r="AR21">
        <v>16</v>
      </c>
      <c r="AS21">
        <v>998.4</v>
      </c>
      <c r="AT21">
        <v>17</v>
      </c>
      <c r="AU21">
        <v>1060.8</v>
      </c>
      <c r="AV21">
        <v>15</v>
      </c>
      <c r="AW21">
        <v>936</v>
      </c>
      <c r="AX21">
        <v>19</v>
      </c>
      <c r="AY21">
        <v>1185.5999999999999</v>
      </c>
      <c r="AZ21">
        <v>13</v>
      </c>
      <c r="BA21">
        <v>811.19999999999993</v>
      </c>
      <c r="BB21">
        <v>15</v>
      </c>
      <c r="BC21">
        <v>936</v>
      </c>
      <c r="BD21">
        <v>13</v>
      </c>
      <c r="BE21">
        <v>811.19999999999993</v>
      </c>
      <c r="BF21">
        <v>18</v>
      </c>
      <c r="BG21">
        <v>1123.2</v>
      </c>
      <c r="BH21">
        <v>19</v>
      </c>
      <c r="BI21">
        <v>1185.5999999999999</v>
      </c>
      <c r="BJ21">
        <v>14</v>
      </c>
      <c r="BK21">
        <v>873.6</v>
      </c>
      <c r="BL21">
        <v>23</v>
      </c>
      <c r="BM21">
        <v>1435.2</v>
      </c>
      <c r="BN21">
        <v>16</v>
      </c>
      <c r="BO21">
        <v>998.4</v>
      </c>
      <c r="BP21">
        <v>18</v>
      </c>
      <c r="BQ21">
        <v>1123.2</v>
      </c>
      <c r="BR21">
        <v>17</v>
      </c>
      <c r="BS21">
        <v>1060.8</v>
      </c>
      <c r="BT21">
        <v>15</v>
      </c>
      <c r="BU21">
        <v>936</v>
      </c>
      <c r="BV21">
        <v>21</v>
      </c>
      <c r="BW21">
        <v>1310.3999999999999</v>
      </c>
      <c r="BX21">
        <v>17</v>
      </c>
      <c r="BY21">
        <v>1060.8</v>
      </c>
      <c r="BZ21">
        <v>17</v>
      </c>
      <c r="CA21">
        <v>1060.8</v>
      </c>
      <c r="CB21">
        <v>14</v>
      </c>
      <c r="CC21">
        <v>873.6</v>
      </c>
      <c r="CD21">
        <v>18.987939986413075</v>
      </c>
      <c r="CE21">
        <v>1184.8474551521758</v>
      </c>
      <c r="CF21">
        <v>12</v>
      </c>
      <c r="CG21">
        <v>748.8</v>
      </c>
      <c r="CH21">
        <v>15</v>
      </c>
      <c r="CI21">
        <v>936</v>
      </c>
      <c r="CJ21">
        <v>18</v>
      </c>
      <c r="CK21">
        <v>1123.2</v>
      </c>
      <c r="CL21">
        <v>14.174866165552091</v>
      </c>
      <c r="CM21">
        <v>884.51164873045047</v>
      </c>
      <c r="CN21">
        <v>22</v>
      </c>
      <c r="CO21">
        <v>1372.8</v>
      </c>
      <c r="CP21">
        <v>22</v>
      </c>
      <c r="CQ21">
        <v>1372.8</v>
      </c>
      <c r="CR21">
        <v>11.355137226316824</v>
      </c>
      <c r="CS21">
        <v>708.56056292216977</v>
      </c>
      <c r="CT21">
        <v>19</v>
      </c>
      <c r="CU21">
        <v>1185.5999999999999</v>
      </c>
    </row>
    <row r="22" spans="2:99">
      <c r="C22" s="99" t="s">
        <v>189</v>
      </c>
      <c r="D22">
        <v>4.3230498580592513</v>
      </c>
      <c r="E22">
        <v>809.27493342869184</v>
      </c>
      <c r="F22">
        <v>17</v>
      </c>
      <c r="G22">
        <v>3182.3999999999996</v>
      </c>
      <c r="H22">
        <v>15</v>
      </c>
      <c r="I22">
        <v>2808</v>
      </c>
      <c r="J22">
        <v>12</v>
      </c>
      <c r="K22">
        <v>2246.3999999999996</v>
      </c>
      <c r="L22">
        <v>21</v>
      </c>
      <c r="M22">
        <v>3931.2</v>
      </c>
      <c r="N22">
        <v>10</v>
      </c>
      <c r="O22">
        <v>1872</v>
      </c>
      <c r="P22">
        <v>20.184611969233007</v>
      </c>
      <c r="Q22">
        <v>3778.5593606404186</v>
      </c>
      <c r="R22">
        <v>12</v>
      </c>
      <c r="S22">
        <v>2246.3999999999996</v>
      </c>
      <c r="T22">
        <v>20</v>
      </c>
      <c r="U22">
        <v>3744</v>
      </c>
      <c r="V22">
        <v>15</v>
      </c>
      <c r="W22">
        <v>2808</v>
      </c>
      <c r="X22">
        <v>12</v>
      </c>
      <c r="Y22">
        <v>2246.3999999999996</v>
      </c>
      <c r="Z22">
        <v>17</v>
      </c>
      <c r="AA22">
        <v>3182.3999999999996</v>
      </c>
      <c r="AB22">
        <v>11</v>
      </c>
      <c r="AC22">
        <v>2059.1999999999998</v>
      </c>
      <c r="AD22">
        <v>15</v>
      </c>
      <c r="AE22">
        <v>2808</v>
      </c>
      <c r="AF22">
        <v>9.8019621000371746</v>
      </c>
      <c r="AG22">
        <v>1834.927305126959</v>
      </c>
      <c r="AH22">
        <v>16</v>
      </c>
      <c r="AI22">
        <v>2995.2</v>
      </c>
      <c r="AJ22">
        <v>12</v>
      </c>
      <c r="AK22">
        <v>2246.3999999999996</v>
      </c>
      <c r="AL22">
        <v>1.5527705306312323</v>
      </c>
      <c r="AM22">
        <v>290.67864333416668</v>
      </c>
      <c r="AN22">
        <v>18</v>
      </c>
      <c r="AO22">
        <v>3369.6</v>
      </c>
      <c r="AP22">
        <v>24</v>
      </c>
      <c r="AQ22">
        <v>4492.7999999999993</v>
      </c>
      <c r="AR22">
        <v>18</v>
      </c>
      <c r="AS22">
        <v>3369.6</v>
      </c>
      <c r="AT22">
        <v>17</v>
      </c>
      <c r="AU22">
        <v>3182.3999999999996</v>
      </c>
      <c r="AV22">
        <v>15</v>
      </c>
      <c r="AW22">
        <v>2808</v>
      </c>
      <c r="AX22">
        <v>19</v>
      </c>
      <c r="AY22">
        <v>3556.7999999999997</v>
      </c>
      <c r="AZ22">
        <v>14</v>
      </c>
      <c r="BA22">
        <v>2620.7999999999997</v>
      </c>
      <c r="BB22">
        <v>15</v>
      </c>
      <c r="BC22">
        <v>2808</v>
      </c>
      <c r="BD22">
        <v>12</v>
      </c>
      <c r="BE22">
        <v>2246.3999999999996</v>
      </c>
      <c r="BF22">
        <v>17</v>
      </c>
      <c r="BG22">
        <v>3182.3999999999996</v>
      </c>
      <c r="BH22">
        <v>20</v>
      </c>
      <c r="BI22">
        <v>3744</v>
      </c>
      <c r="BJ22">
        <v>15</v>
      </c>
      <c r="BK22">
        <v>2808</v>
      </c>
      <c r="BL22">
        <v>20</v>
      </c>
      <c r="BM22">
        <v>3744</v>
      </c>
      <c r="BN22">
        <v>17</v>
      </c>
      <c r="BO22">
        <v>3182.3999999999996</v>
      </c>
      <c r="BP22">
        <v>18</v>
      </c>
      <c r="BQ22">
        <v>3369.6</v>
      </c>
      <c r="BR22">
        <v>17</v>
      </c>
      <c r="BS22">
        <v>3182.3999999999996</v>
      </c>
      <c r="BT22">
        <v>16</v>
      </c>
      <c r="BU22">
        <v>2995.2</v>
      </c>
      <c r="BV22">
        <v>19</v>
      </c>
      <c r="BW22">
        <v>3556.7999999999997</v>
      </c>
      <c r="BX22">
        <v>17</v>
      </c>
      <c r="BY22">
        <v>3182.3999999999996</v>
      </c>
      <c r="BZ22">
        <v>15</v>
      </c>
      <c r="CA22">
        <v>2808</v>
      </c>
      <c r="CB22">
        <v>15</v>
      </c>
      <c r="CC22">
        <v>2808</v>
      </c>
      <c r="CD22">
        <v>18.987939986413075</v>
      </c>
      <c r="CE22">
        <v>3554.5423654565275</v>
      </c>
      <c r="CF22">
        <v>12</v>
      </c>
      <c r="CG22">
        <v>2246.3999999999996</v>
      </c>
      <c r="CH22">
        <v>13</v>
      </c>
      <c r="CI22">
        <v>2433.6</v>
      </c>
      <c r="CJ22">
        <v>18</v>
      </c>
      <c r="CK22">
        <v>3369.6</v>
      </c>
      <c r="CL22">
        <v>13.229875087848619</v>
      </c>
      <c r="CM22">
        <v>2476.6326164452612</v>
      </c>
      <c r="CN22">
        <v>21</v>
      </c>
      <c r="CO22">
        <v>3931.2</v>
      </c>
      <c r="CP22">
        <v>23</v>
      </c>
      <c r="CQ22">
        <v>4305.5999999999995</v>
      </c>
      <c r="CR22">
        <v>11.355137226316824</v>
      </c>
      <c r="CS22">
        <v>2125.6816887665095</v>
      </c>
      <c r="CT22">
        <v>20</v>
      </c>
      <c r="CU22">
        <v>3744</v>
      </c>
    </row>
    <row r="23" spans="2:99">
      <c r="C23" s="99" t="s">
        <v>190</v>
      </c>
      <c r="D23">
        <v>4.3230498580592513</v>
      </c>
      <c r="E23">
        <v>1270.9766582694199</v>
      </c>
      <c r="F23">
        <v>15</v>
      </c>
      <c r="G23">
        <v>4410</v>
      </c>
      <c r="H23">
        <v>13</v>
      </c>
      <c r="I23">
        <v>3822</v>
      </c>
      <c r="J23">
        <v>10</v>
      </c>
      <c r="K23">
        <v>2940</v>
      </c>
      <c r="L23">
        <v>21</v>
      </c>
      <c r="M23">
        <v>6174</v>
      </c>
      <c r="N23">
        <v>11</v>
      </c>
      <c r="O23">
        <v>3234</v>
      </c>
      <c r="P23">
        <v>21.102094331470873</v>
      </c>
      <c r="Q23">
        <v>6204.0157334524365</v>
      </c>
      <c r="R23">
        <v>13</v>
      </c>
      <c r="S23">
        <v>3822</v>
      </c>
      <c r="T23">
        <v>17</v>
      </c>
      <c r="U23">
        <v>4998</v>
      </c>
      <c r="V23">
        <v>16</v>
      </c>
      <c r="W23">
        <v>4704</v>
      </c>
      <c r="X23">
        <v>12</v>
      </c>
      <c r="Y23">
        <v>3528</v>
      </c>
      <c r="Z23">
        <v>15</v>
      </c>
      <c r="AA23">
        <v>4410</v>
      </c>
      <c r="AB23">
        <v>10</v>
      </c>
      <c r="AC23">
        <v>2940</v>
      </c>
      <c r="AD23">
        <v>15</v>
      </c>
      <c r="AE23">
        <v>4410</v>
      </c>
      <c r="AF23">
        <v>9.2253760941526348</v>
      </c>
      <c r="AG23">
        <v>2712.2605716808748</v>
      </c>
      <c r="AH23">
        <v>15</v>
      </c>
      <c r="AI23">
        <v>4410</v>
      </c>
      <c r="AJ23">
        <v>12</v>
      </c>
      <c r="AK23">
        <v>3528</v>
      </c>
      <c r="AL23">
        <v>1.4492524952558168</v>
      </c>
      <c r="AM23">
        <v>426.08023360521014</v>
      </c>
      <c r="AN23">
        <v>19</v>
      </c>
      <c r="AO23">
        <v>5586</v>
      </c>
      <c r="AP23">
        <v>21</v>
      </c>
      <c r="AQ23">
        <v>6174</v>
      </c>
      <c r="AR23">
        <v>17</v>
      </c>
      <c r="AS23">
        <v>4998</v>
      </c>
      <c r="AT23">
        <v>17</v>
      </c>
      <c r="AU23">
        <v>4998</v>
      </c>
      <c r="AV23">
        <v>14</v>
      </c>
      <c r="AW23">
        <v>4116</v>
      </c>
      <c r="AX23">
        <v>19</v>
      </c>
      <c r="AY23">
        <v>5586</v>
      </c>
      <c r="AZ23">
        <v>13</v>
      </c>
      <c r="BA23">
        <v>3822</v>
      </c>
      <c r="BB23">
        <v>15</v>
      </c>
      <c r="BC23">
        <v>4410</v>
      </c>
      <c r="BD23">
        <v>13</v>
      </c>
      <c r="BE23">
        <v>3822</v>
      </c>
      <c r="BF23">
        <v>19</v>
      </c>
      <c r="BG23">
        <v>5586</v>
      </c>
      <c r="BH23">
        <v>19</v>
      </c>
      <c r="BI23">
        <v>5586</v>
      </c>
      <c r="BJ23">
        <v>12</v>
      </c>
      <c r="BK23">
        <v>3528</v>
      </c>
      <c r="BL23">
        <v>20</v>
      </c>
      <c r="BM23">
        <v>5880</v>
      </c>
      <c r="BN23">
        <v>16</v>
      </c>
      <c r="BO23">
        <v>4704</v>
      </c>
      <c r="BP23">
        <v>17</v>
      </c>
      <c r="BQ23">
        <v>4998</v>
      </c>
      <c r="BR23">
        <v>16</v>
      </c>
      <c r="BS23">
        <v>4704</v>
      </c>
      <c r="BT23">
        <v>16</v>
      </c>
      <c r="BU23">
        <v>4704</v>
      </c>
      <c r="BV23">
        <v>22</v>
      </c>
      <c r="BW23">
        <v>6468</v>
      </c>
      <c r="BX23">
        <v>17</v>
      </c>
      <c r="BY23">
        <v>4998</v>
      </c>
      <c r="BZ23">
        <v>16</v>
      </c>
      <c r="CA23">
        <v>4704</v>
      </c>
      <c r="CB23">
        <v>13</v>
      </c>
      <c r="CC23">
        <v>3822</v>
      </c>
      <c r="CD23">
        <v>18.987939986413075</v>
      </c>
      <c r="CE23">
        <v>5582.4543560054435</v>
      </c>
      <c r="CF23">
        <v>12</v>
      </c>
      <c r="CG23">
        <v>3528</v>
      </c>
      <c r="CH23">
        <v>15</v>
      </c>
      <c r="CI23">
        <v>4410</v>
      </c>
      <c r="CJ23">
        <v>18</v>
      </c>
      <c r="CK23">
        <v>5292</v>
      </c>
      <c r="CL23">
        <v>14.174866165552091</v>
      </c>
      <c r="CM23">
        <v>4167.4106526723144</v>
      </c>
      <c r="CN23">
        <v>21</v>
      </c>
      <c r="CO23">
        <v>6174</v>
      </c>
      <c r="CP23">
        <v>24</v>
      </c>
      <c r="CQ23">
        <v>7056</v>
      </c>
      <c r="CR23">
        <v>11.355137226316824</v>
      </c>
      <c r="CS23">
        <v>3338.4103445371461</v>
      </c>
      <c r="CT23">
        <v>18</v>
      </c>
      <c r="CU23">
        <v>5292</v>
      </c>
    </row>
    <row r="24" spans="2:99">
      <c r="C24" s="99" t="s">
        <v>191</v>
      </c>
      <c r="D24">
        <v>4.3230498580592513</v>
      </c>
      <c r="E24">
        <v>1587.4239078793571</v>
      </c>
      <c r="F24">
        <v>16</v>
      </c>
      <c r="G24">
        <v>5875.2</v>
      </c>
      <c r="H24">
        <v>14</v>
      </c>
      <c r="I24">
        <v>5140.8</v>
      </c>
      <c r="J24">
        <v>11</v>
      </c>
      <c r="K24">
        <v>4039.2</v>
      </c>
      <c r="L24">
        <v>19</v>
      </c>
      <c r="M24">
        <v>6976.8</v>
      </c>
      <c r="N24">
        <v>11</v>
      </c>
      <c r="O24">
        <v>4039.2</v>
      </c>
      <c r="P24">
        <v>20.184611969233007</v>
      </c>
      <c r="Q24">
        <v>7411.7895151023604</v>
      </c>
      <c r="R24">
        <v>12</v>
      </c>
      <c r="S24">
        <v>4406.3999999999996</v>
      </c>
      <c r="T24">
        <v>18</v>
      </c>
      <c r="U24">
        <v>6609.5999999999995</v>
      </c>
      <c r="V24">
        <v>14</v>
      </c>
      <c r="W24">
        <v>5140.8</v>
      </c>
      <c r="X24">
        <v>11</v>
      </c>
      <c r="Y24">
        <v>4039.2</v>
      </c>
      <c r="Z24">
        <v>15</v>
      </c>
      <c r="AA24">
        <v>5508</v>
      </c>
      <c r="AB24">
        <v>12</v>
      </c>
      <c r="AC24">
        <v>4406.3999999999996</v>
      </c>
      <c r="AD24">
        <v>15</v>
      </c>
      <c r="AE24">
        <v>5508</v>
      </c>
      <c r="AF24">
        <v>8.6487900882680933</v>
      </c>
      <c r="AG24">
        <v>3175.8357204120439</v>
      </c>
      <c r="AH24">
        <v>15</v>
      </c>
      <c r="AI24">
        <v>5508</v>
      </c>
      <c r="AJ24">
        <v>11</v>
      </c>
      <c r="AK24">
        <v>4039.2</v>
      </c>
      <c r="AL24">
        <v>1.6562885660066478</v>
      </c>
      <c r="AM24">
        <v>608.18916143764102</v>
      </c>
      <c r="AN24">
        <v>18</v>
      </c>
      <c r="AO24">
        <v>6609.5999999999995</v>
      </c>
      <c r="AP24">
        <v>23</v>
      </c>
      <c r="AQ24">
        <v>8445.6</v>
      </c>
      <c r="AR24">
        <v>18</v>
      </c>
      <c r="AS24">
        <v>6609.5999999999995</v>
      </c>
      <c r="AT24">
        <v>18</v>
      </c>
      <c r="AU24">
        <v>6609.5999999999995</v>
      </c>
      <c r="AV24">
        <v>14</v>
      </c>
      <c r="AW24">
        <v>5140.8</v>
      </c>
      <c r="AX24">
        <v>16</v>
      </c>
      <c r="AY24">
        <v>5875.2</v>
      </c>
      <c r="AZ24">
        <v>12</v>
      </c>
      <c r="BA24">
        <v>4406.3999999999996</v>
      </c>
      <c r="BB24">
        <v>16</v>
      </c>
      <c r="BC24">
        <v>5875.2</v>
      </c>
      <c r="BD24">
        <v>11</v>
      </c>
      <c r="BE24">
        <v>4039.2</v>
      </c>
      <c r="BF24">
        <v>17</v>
      </c>
      <c r="BG24">
        <v>6242.4</v>
      </c>
      <c r="BH24">
        <v>21</v>
      </c>
      <c r="BI24">
        <v>7711.2</v>
      </c>
      <c r="BJ24">
        <v>15</v>
      </c>
      <c r="BK24">
        <v>5508</v>
      </c>
      <c r="BL24">
        <v>22</v>
      </c>
      <c r="BM24">
        <v>8078.4</v>
      </c>
      <c r="BN24">
        <v>16</v>
      </c>
      <c r="BO24">
        <v>5875.2</v>
      </c>
      <c r="BP24">
        <v>19</v>
      </c>
      <c r="BQ24">
        <v>6976.8</v>
      </c>
      <c r="BR24">
        <v>15</v>
      </c>
      <c r="BS24">
        <v>5508</v>
      </c>
      <c r="BT24">
        <v>16</v>
      </c>
      <c r="BU24">
        <v>5875.2</v>
      </c>
      <c r="BV24">
        <v>18</v>
      </c>
      <c r="BW24">
        <v>6609.5999999999995</v>
      </c>
      <c r="BX24">
        <v>17</v>
      </c>
      <c r="BY24">
        <v>6242.4</v>
      </c>
      <c r="BZ24">
        <v>15</v>
      </c>
      <c r="CA24">
        <v>5508</v>
      </c>
      <c r="CB24">
        <v>14</v>
      </c>
      <c r="CC24">
        <v>5140.8</v>
      </c>
      <c r="CD24">
        <v>17.179564749611831</v>
      </c>
      <c r="CE24">
        <v>6308.3361760574644</v>
      </c>
      <c r="CF24">
        <v>12</v>
      </c>
      <c r="CG24">
        <v>4406.3999999999996</v>
      </c>
      <c r="CH24">
        <v>13</v>
      </c>
      <c r="CI24">
        <v>4773.5999999999995</v>
      </c>
      <c r="CJ24">
        <v>17</v>
      </c>
      <c r="CK24">
        <v>6242.4</v>
      </c>
      <c r="CL24">
        <v>15.119857243255563</v>
      </c>
      <c r="CM24">
        <v>5552.0115797234421</v>
      </c>
      <c r="CN24">
        <v>21</v>
      </c>
      <c r="CO24">
        <v>7711.2</v>
      </c>
      <c r="CP24">
        <v>22</v>
      </c>
      <c r="CQ24">
        <v>8078.4</v>
      </c>
      <c r="CR24">
        <v>12.301398661843226</v>
      </c>
      <c r="CS24">
        <v>4517.0735886288321</v>
      </c>
      <c r="CT24">
        <v>18</v>
      </c>
      <c r="CU24">
        <v>6609.5999999999995</v>
      </c>
    </row>
    <row r="25" spans="2:99">
      <c r="C25" s="99" t="s">
        <v>192</v>
      </c>
      <c r="D25">
        <v>3.9300453255084107</v>
      </c>
      <c r="E25">
        <v>2084.4960406496612</v>
      </c>
      <c r="F25">
        <v>15</v>
      </c>
      <c r="G25">
        <v>7956</v>
      </c>
      <c r="H25">
        <v>14</v>
      </c>
      <c r="I25">
        <v>7425.5999999999995</v>
      </c>
      <c r="J25">
        <v>12</v>
      </c>
      <c r="K25">
        <v>6364.7999999999993</v>
      </c>
      <c r="L25">
        <v>19</v>
      </c>
      <c r="M25">
        <v>10077.6</v>
      </c>
      <c r="N25">
        <v>11</v>
      </c>
      <c r="O25">
        <v>5834.4</v>
      </c>
      <c r="P25">
        <v>19.267129606995145</v>
      </c>
      <c r="Q25">
        <v>10219.285543550224</v>
      </c>
      <c r="R25">
        <v>13</v>
      </c>
      <c r="S25">
        <v>6895.2</v>
      </c>
      <c r="T25">
        <v>19</v>
      </c>
      <c r="U25">
        <v>10077.6</v>
      </c>
      <c r="V25">
        <v>15</v>
      </c>
      <c r="W25">
        <v>7956</v>
      </c>
      <c r="X25">
        <v>12</v>
      </c>
      <c r="Y25">
        <v>6364.7999999999993</v>
      </c>
      <c r="Z25">
        <v>17</v>
      </c>
      <c r="AA25">
        <v>9016.7999999999993</v>
      </c>
      <c r="AB25">
        <v>10</v>
      </c>
      <c r="AC25">
        <v>5304</v>
      </c>
      <c r="AD25">
        <v>15</v>
      </c>
      <c r="AE25">
        <v>7956</v>
      </c>
      <c r="AF25">
        <v>8.0722040823835552</v>
      </c>
      <c r="AG25">
        <v>4281.497045296238</v>
      </c>
      <c r="AH25">
        <v>15</v>
      </c>
      <c r="AI25">
        <v>7956</v>
      </c>
      <c r="AJ25">
        <v>12</v>
      </c>
      <c r="AK25">
        <v>6364.7999999999993</v>
      </c>
      <c r="AL25">
        <v>1.4492524952558168</v>
      </c>
      <c r="AM25">
        <v>768.68352348368524</v>
      </c>
      <c r="AN25">
        <v>18</v>
      </c>
      <c r="AO25">
        <v>9547.1999999999989</v>
      </c>
      <c r="AP25">
        <v>23</v>
      </c>
      <c r="AQ25">
        <v>12199.199999999999</v>
      </c>
      <c r="AR25">
        <v>16</v>
      </c>
      <c r="AS25">
        <v>8486.4</v>
      </c>
      <c r="AT25">
        <v>19</v>
      </c>
      <c r="AU25">
        <v>10077.6</v>
      </c>
      <c r="AV25">
        <v>15</v>
      </c>
      <c r="AW25">
        <v>7956</v>
      </c>
      <c r="AX25">
        <v>17</v>
      </c>
      <c r="AY25">
        <v>9016.7999999999993</v>
      </c>
      <c r="AZ25">
        <v>13</v>
      </c>
      <c r="BA25">
        <v>6895.2</v>
      </c>
      <c r="BB25">
        <v>16</v>
      </c>
      <c r="BC25">
        <v>8486.4</v>
      </c>
      <c r="BD25">
        <v>11</v>
      </c>
      <c r="BE25">
        <v>5834.4</v>
      </c>
      <c r="BF25">
        <v>17</v>
      </c>
      <c r="BG25">
        <v>9016.7999999999993</v>
      </c>
      <c r="BH25">
        <v>20</v>
      </c>
      <c r="BI25">
        <v>10608</v>
      </c>
      <c r="BJ25">
        <v>13</v>
      </c>
      <c r="BK25">
        <v>6895.2</v>
      </c>
      <c r="BL25">
        <v>22</v>
      </c>
      <c r="BM25">
        <v>11668.8</v>
      </c>
      <c r="BN25">
        <v>18</v>
      </c>
      <c r="BO25">
        <v>9547.1999999999989</v>
      </c>
      <c r="BP25">
        <v>17</v>
      </c>
      <c r="BQ25">
        <v>9016.7999999999993</v>
      </c>
      <c r="BR25">
        <v>15</v>
      </c>
      <c r="BS25">
        <v>7956</v>
      </c>
      <c r="BT25">
        <v>14</v>
      </c>
      <c r="BU25">
        <v>7425.5999999999995</v>
      </c>
      <c r="BV25">
        <v>20</v>
      </c>
      <c r="BW25">
        <v>10608</v>
      </c>
      <c r="BX25">
        <v>16</v>
      </c>
      <c r="BY25">
        <v>8486.4</v>
      </c>
      <c r="BZ25">
        <v>15</v>
      </c>
      <c r="CA25">
        <v>7956</v>
      </c>
      <c r="CB25">
        <v>12</v>
      </c>
      <c r="CC25">
        <v>6364.7999999999993</v>
      </c>
      <c r="CD25">
        <v>18.083752368012451</v>
      </c>
      <c r="CE25">
        <v>9591.6222559938033</v>
      </c>
      <c r="CF25">
        <v>12</v>
      </c>
      <c r="CG25">
        <v>6364.7999999999993</v>
      </c>
      <c r="CH25">
        <v>14</v>
      </c>
      <c r="CI25">
        <v>7425.5999999999995</v>
      </c>
      <c r="CJ25">
        <v>18</v>
      </c>
      <c r="CK25">
        <v>9547.1999999999989</v>
      </c>
      <c r="CL25">
        <v>12.284884010145143</v>
      </c>
      <c r="CM25">
        <v>6515.9024789809837</v>
      </c>
      <c r="CN25">
        <v>19</v>
      </c>
      <c r="CO25">
        <v>10077.6</v>
      </c>
      <c r="CP25">
        <v>22</v>
      </c>
      <c r="CQ25">
        <v>11668.8</v>
      </c>
      <c r="CR25">
        <v>10.408875790790423</v>
      </c>
      <c r="CS25">
        <v>5520.8677194352404</v>
      </c>
      <c r="CT25">
        <v>17</v>
      </c>
      <c r="CU25">
        <v>9016.7999999999993</v>
      </c>
    </row>
    <row r="26" spans="2:99">
      <c r="C26" s="99" t="s">
        <v>193</v>
      </c>
      <c r="D26">
        <v>4.7160543906100925</v>
      </c>
      <c r="E26">
        <v>2292.0024338365051</v>
      </c>
      <c r="F26">
        <v>16</v>
      </c>
      <c r="G26">
        <v>7776</v>
      </c>
      <c r="H26">
        <v>13</v>
      </c>
      <c r="I26">
        <v>6318</v>
      </c>
      <c r="J26">
        <v>10</v>
      </c>
      <c r="K26">
        <v>4860</v>
      </c>
      <c r="L26">
        <v>20</v>
      </c>
      <c r="M26">
        <v>9720</v>
      </c>
      <c r="N26">
        <v>11</v>
      </c>
      <c r="O26">
        <v>5346</v>
      </c>
      <c r="P26">
        <v>18.349647244757282</v>
      </c>
      <c r="Q26">
        <v>8917.9285609520393</v>
      </c>
      <c r="R26">
        <v>13</v>
      </c>
      <c r="S26">
        <v>6318</v>
      </c>
      <c r="T26">
        <v>17</v>
      </c>
      <c r="U26">
        <v>8262</v>
      </c>
      <c r="V26">
        <v>13</v>
      </c>
      <c r="W26">
        <v>6318</v>
      </c>
      <c r="X26">
        <v>12</v>
      </c>
      <c r="Y26">
        <v>5832</v>
      </c>
      <c r="Z26">
        <v>16</v>
      </c>
      <c r="AA26">
        <v>7776</v>
      </c>
      <c r="AB26">
        <v>11</v>
      </c>
      <c r="AC26">
        <v>5346</v>
      </c>
      <c r="AD26">
        <v>15</v>
      </c>
      <c r="AE26">
        <v>7290</v>
      </c>
      <c r="AF26">
        <v>9.2253760941526348</v>
      </c>
      <c r="AG26">
        <v>4483.5327817581801</v>
      </c>
      <c r="AH26">
        <v>14</v>
      </c>
      <c r="AI26">
        <v>6804</v>
      </c>
      <c r="AJ26">
        <v>10</v>
      </c>
      <c r="AK26">
        <v>4860</v>
      </c>
      <c r="AL26">
        <v>1.4492524952558168</v>
      </c>
      <c r="AM26">
        <v>704.33671269432693</v>
      </c>
      <c r="AN26">
        <v>18</v>
      </c>
      <c r="AO26">
        <v>8748</v>
      </c>
      <c r="AP26">
        <v>23</v>
      </c>
      <c r="AQ26">
        <v>11178</v>
      </c>
      <c r="AR26">
        <v>17</v>
      </c>
      <c r="AS26">
        <v>8262</v>
      </c>
      <c r="AT26">
        <v>18</v>
      </c>
      <c r="AU26">
        <v>8748</v>
      </c>
      <c r="AV26">
        <v>15</v>
      </c>
      <c r="AW26">
        <v>7290</v>
      </c>
      <c r="AX26">
        <v>19</v>
      </c>
      <c r="AY26">
        <v>9234</v>
      </c>
      <c r="AZ26">
        <v>11</v>
      </c>
      <c r="BA26">
        <v>5346</v>
      </c>
      <c r="BB26">
        <v>15</v>
      </c>
      <c r="BC26">
        <v>7290</v>
      </c>
      <c r="BD26">
        <v>11</v>
      </c>
      <c r="BE26">
        <v>5346</v>
      </c>
      <c r="BF26">
        <v>16</v>
      </c>
      <c r="BG26">
        <v>7776</v>
      </c>
      <c r="BH26">
        <v>18</v>
      </c>
      <c r="BI26">
        <v>8748</v>
      </c>
      <c r="BJ26">
        <v>14</v>
      </c>
      <c r="BK26">
        <v>6804</v>
      </c>
      <c r="BL26">
        <v>23</v>
      </c>
      <c r="BM26">
        <v>11178</v>
      </c>
      <c r="BN26">
        <v>16</v>
      </c>
      <c r="BO26">
        <v>7776</v>
      </c>
      <c r="BP26">
        <v>16</v>
      </c>
      <c r="BQ26">
        <v>7776</v>
      </c>
      <c r="BR26">
        <v>17</v>
      </c>
      <c r="BS26">
        <v>8262</v>
      </c>
      <c r="BT26">
        <v>16</v>
      </c>
      <c r="BU26">
        <v>7776</v>
      </c>
      <c r="BV26">
        <v>21</v>
      </c>
      <c r="BW26">
        <v>10206</v>
      </c>
      <c r="BX26">
        <v>16</v>
      </c>
      <c r="BY26">
        <v>7776</v>
      </c>
      <c r="BZ26">
        <v>14</v>
      </c>
      <c r="CA26">
        <v>6804</v>
      </c>
      <c r="CB26">
        <v>14</v>
      </c>
      <c r="CC26">
        <v>6804</v>
      </c>
      <c r="CD26">
        <v>19.892127604813698</v>
      </c>
      <c r="CE26">
        <v>9667.5740159394572</v>
      </c>
      <c r="CF26">
        <v>13</v>
      </c>
      <c r="CG26">
        <v>6318</v>
      </c>
      <c r="CH26">
        <v>14</v>
      </c>
      <c r="CI26">
        <v>6804</v>
      </c>
      <c r="CJ26">
        <v>18</v>
      </c>
      <c r="CK26">
        <v>8748</v>
      </c>
      <c r="CL26">
        <v>14.174866165552091</v>
      </c>
      <c r="CM26">
        <v>6888.9849564583164</v>
      </c>
      <c r="CN26">
        <v>21</v>
      </c>
      <c r="CO26">
        <v>10206</v>
      </c>
      <c r="CP26">
        <v>25</v>
      </c>
      <c r="CQ26">
        <v>12150</v>
      </c>
      <c r="CR26">
        <v>11.355137226316824</v>
      </c>
      <c r="CS26">
        <v>5518.5966919899765</v>
      </c>
      <c r="CT26">
        <v>19</v>
      </c>
      <c r="CU26">
        <v>9234</v>
      </c>
    </row>
    <row r="27" spans="2:99">
      <c r="C27" s="99" t="s">
        <v>194</v>
      </c>
      <c r="D27">
        <v>4.7160543906100925</v>
      </c>
      <c r="E27">
        <v>2014.6984356686314</v>
      </c>
      <c r="F27">
        <v>15</v>
      </c>
      <c r="G27">
        <v>6408</v>
      </c>
      <c r="H27">
        <v>12</v>
      </c>
      <c r="I27">
        <v>5126.3999999999996</v>
      </c>
      <c r="J27">
        <v>12</v>
      </c>
      <c r="K27">
        <v>5126.3999999999996</v>
      </c>
      <c r="L27">
        <v>22</v>
      </c>
      <c r="M27">
        <v>9398.4</v>
      </c>
      <c r="N27">
        <v>10</v>
      </c>
      <c r="O27">
        <v>4272</v>
      </c>
      <c r="P27">
        <v>18.349647244757282</v>
      </c>
      <c r="Q27">
        <v>7838.9693029603104</v>
      </c>
      <c r="R27">
        <v>13</v>
      </c>
      <c r="S27">
        <v>5553.5999999999995</v>
      </c>
      <c r="T27">
        <v>20</v>
      </c>
      <c r="U27">
        <v>8544</v>
      </c>
      <c r="V27">
        <v>14</v>
      </c>
      <c r="W27">
        <v>5980.8</v>
      </c>
      <c r="X27">
        <v>11</v>
      </c>
      <c r="Y27">
        <v>4699.2</v>
      </c>
      <c r="Z27">
        <v>17</v>
      </c>
      <c r="AA27">
        <v>7262.4</v>
      </c>
      <c r="AB27">
        <v>11</v>
      </c>
      <c r="AC27">
        <v>4699.2</v>
      </c>
      <c r="AD27">
        <v>13</v>
      </c>
      <c r="AE27">
        <v>5553.5999999999995</v>
      </c>
      <c r="AF27">
        <v>9.2253760941526348</v>
      </c>
      <c r="AG27">
        <v>3941.0806674220057</v>
      </c>
      <c r="AH27">
        <v>17</v>
      </c>
      <c r="AI27">
        <v>7262.4</v>
      </c>
      <c r="AJ27">
        <v>11</v>
      </c>
      <c r="AK27">
        <v>4699.2</v>
      </c>
      <c r="AL27">
        <v>1.6562885660066478</v>
      </c>
      <c r="AM27">
        <v>707.56647539803987</v>
      </c>
      <c r="AN27">
        <v>20</v>
      </c>
      <c r="AO27">
        <v>8544</v>
      </c>
      <c r="AP27">
        <v>21</v>
      </c>
      <c r="AQ27">
        <v>8971.1999999999989</v>
      </c>
      <c r="AR27">
        <v>17</v>
      </c>
      <c r="AS27">
        <v>7262.4</v>
      </c>
      <c r="AT27">
        <v>19</v>
      </c>
      <c r="AU27">
        <v>8116.8</v>
      </c>
      <c r="AV27">
        <v>16</v>
      </c>
      <c r="AW27">
        <v>6835.2</v>
      </c>
      <c r="AX27">
        <v>16</v>
      </c>
      <c r="AY27">
        <v>6835.2</v>
      </c>
      <c r="AZ27">
        <v>12</v>
      </c>
      <c r="BA27">
        <v>5126.3999999999996</v>
      </c>
      <c r="BB27">
        <v>16</v>
      </c>
      <c r="BC27">
        <v>6835.2</v>
      </c>
      <c r="BD27">
        <v>13</v>
      </c>
      <c r="BE27">
        <v>5553.5999999999995</v>
      </c>
      <c r="BF27">
        <v>18</v>
      </c>
      <c r="BG27">
        <v>7689.5999999999995</v>
      </c>
      <c r="BH27">
        <v>19</v>
      </c>
      <c r="BI27">
        <v>8116.8</v>
      </c>
      <c r="BJ27">
        <v>13</v>
      </c>
      <c r="BK27">
        <v>5553.5999999999995</v>
      </c>
      <c r="BL27">
        <v>23</v>
      </c>
      <c r="BM27">
        <v>9825.6</v>
      </c>
      <c r="BN27">
        <v>17</v>
      </c>
      <c r="BO27">
        <v>7262.4</v>
      </c>
      <c r="BP27">
        <v>16</v>
      </c>
      <c r="BQ27">
        <v>6835.2</v>
      </c>
      <c r="BR27">
        <v>16</v>
      </c>
      <c r="BS27">
        <v>6835.2</v>
      </c>
      <c r="BT27">
        <v>15</v>
      </c>
      <c r="BU27">
        <v>6408</v>
      </c>
      <c r="BV27">
        <v>19</v>
      </c>
      <c r="BW27">
        <v>8116.8</v>
      </c>
      <c r="BX27">
        <v>15</v>
      </c>
      <c r="BY27">
        <v>6408</v>
      </c>
      <c r="BZ27">
        <v>16</v>
      </c>
      <c r="CA27">
        <v>6835.2</v>
      </c>
      <c r="CB27">
        <v>14</v>
      </c>
      <c r="CC27">
        <v>5980.8</v>
      </c>
      <c r="CD27">
        <v>18.987939986413075</v>
      </c>
      <c r="CE27">
        <v>8111.6479621956651</v>
      </c>
      <c r="CF27">
        <v>12</v>
      </c>
      <c r="CG27">
        <v>5126.3999999999996</v>
      </c>
      <c r="CH27">
        <v>14</v>
      </c>
      <c r="CI27">
        <v>5980.8</v>
      </c>
      <c r="CJ27">
        <v>15</v>
      </c>
      <c r="CK27">
        <v>6408</v>
      </c>
      <c r="CL27">
        <v>14.174866165552091</v>
      </c>
      <c r="CM27">
        <v>6055.5028259238534</v>
      </c>
      <c r="CN27">
        <v>23</v>
      </c>
      <c r="CO27">
        <v>9825.6</v>
      </c>
      <c r="CP27">
        <v>21</v>
      </c>
      <c r="CQ27">
        <v>8971.1999999999989</v>
      </c>
      <c r="CR27">
        <v>11.355137226316824</v>
      </c>
      <c r="CS27">
        <v>4850.9146230825472</v>
      </c>
      <c r="CT27">
        <v>18</v>
      </c>
      <c r="CU27">
        <v>7689.5999999999995</v>
      </c>
    </row>
    <row r="28" spans="2:99">
      <c r="C28" s="99" t="s">
        <v>195</v>
      </c>
      <c r="D28">
        <v>4.7160543906100925</v>
      </c>
      <c r="E28">
        <v>3480.4481402702481</v>
      </c>
      <c r="F28">
        <v>16</v>
      </c>
      <c r="G28">
        <v>11808</v>
      </c>
      <c r="H28">
        <v>13</v>
      </c>
      <c r="I28">
        <v>9594</v>
      </c>
      <c r="J28">
        <v>11</v>
      </c>
      <c r="K28">
        <v>8118</v>
      </c>
      <c r="L28">
        <v>19</v>
      </c>
      <c r="M28">
        <v>14022</v>
      </c>
      <c r="N28">
        <v>11</v>
      </c>
      <c r="O28">
        <v>8118</v>
      </c>
      <c r="P28">
        <v>20.184611969233007</v>
      </c>
      <c r="Q28">
        <v>14896.24363329396</v>
      </c>
      <c r="R28">
        <v>12</v>
      </c>
      <c r="S28">
        <v>8856</v>
      </c>
      <c r="T28">
        <v>20</v>
      </c>
      <c r="U28">
        <v>14760</v>
      </c>
      <c r="V28">
        <v>13</v>
      </c>
      <c r="W28">
        <v>9594</v>
      </c>
      <c r="X28">
        <v>11</v>
      </c>
      <c r="Y28">
        <v>8118</v>
      </c>
      <c r="Z28">
        <v>16</v>
      </c>
      <c r="AA28">
        <v>11808</v>
      </c>
      <c r="AB28">
        <v>11</v>
      </c>
      <c r="AC28">
        <v>8118</v>
      </c>
      <c r="AD28">
        <v>13</v>
      </c>
      <c r="AE28">
        <v>9594</v>
      </c>
      <c r="AF28">
        <v>8.0722040823835552</v>
      </c>
      <c r="AG28">
        <v>5957.2866127990637</v>
      </c>
      <c r="AH28">
        <v>15</v>
      </c>
      <c r="AI28">
        <v>11070</v>
      </c>
      <c r="AJ28">
        <v>12</v>
      </c>
      <c r="AK28">
        <v>8856</v>
      </c>
      <c r="AL28">
        <v>1.6562885660066478</v>
      </c>
      <c r="AM28">
        <v>1222.3409617129059</v>
      </c>
      <c r="AN28">
        <v>20</v>
      </c>
      <c r="AO28">
        <v>14760</v>
      </c>
      <c r="AP28">
        <v>22</v>
      </c>
      <c r="AQ28">
        <v>16236</v>
      </c>
      <c r="AR28">
        <v>15</v>
      </c>
      <c r="AS28">
        <v>11070</v>
      </c>
      <c r="AT28">
        <v>17</v>
      </c>
      <c r="AU28">
        <v>12546</v>
      </c>
      <c r="AV28">
        <v>13</v>
      </c>
      <c r="AW28">
        <v>9594</v>
      </c>
      <c r="AX28">
        <v>19</v>
      </c>
      <c r="AY28">
        <v>14022</v>
      </c>
      <c r="AZ28">
        <v>12</v>
      </c>
      <c r="BA28">
        <v>8856</v>
      </c>
      <c r="BB28">
        <v>15</v>
      </c>
      <c r="BC28">
        <v>11070</v>
      </c>
      <c r="BD28">
        <v>12</v>
      </c>
      <c r="BE28">
        <v>8856</v>
      </c>
      <c r="BF28">
        <v>17</v>
      </c>
      <c r="BG28">
        <v>12546</v>
      </c>
      <c r="BH28">
        <v>18</v>
      </c>
      <c r="BI28">
        <v>13284</v>
      </c>
      <c r="BJ28">
        <v>14</v>
      </c>
      <c r="BK28">
        <v>10332</v>
      </c>
      <c r="BL28">
        <v>22</v>
      </c>
      <c r="BM28">
        <v>16236</v>
      </c>
      <c r="BN28">
        <v>16</v>
      </c>
      <c r="BO28">
        <v>11808</v>
      </c>
      <c r="BP28">
        <v>17</v>
      </c>
      <c r="BQ28">
        <v>12546</v>
      </c>
      <c r="BR28">
        <v>15</v>
      </c>
      <c r="BS28">
        <v>11070</v>
      </c>
      <c r="BT28">
        <v>14</v>
      </c>
      <c r="BU28">
        <v>10332</v>
      </c>
      <c r="BV28">
        <v>18</v>
      </c>
      <c r="BW28">
        <v>13284</v>
      </c>
      <c r="BX28">
        <v>17</v>
      </c>
      <c r="BY28">
        <v>12546</v>
      </c>
      <c r="BZ28">
        <v>14</v>
      </c>
      <c r="CA28">
        <v>10332</v>
      </c>
      <c r="CB28">
        <v>13</v>
      </c>
      <c r="CC28">
        <v>9594</v>
      </c>
      <c r="CD28">
        <v>18.083752368012451</v>
      </c>
      <c r="CE28">
        <v>13345.80924759319</v>
      </c>
      <c r="CF28">
        <v>12</v>
      </c>
      <c r="CG28">
        <v>8856</v>
      </c>
      <c r="CH28">
        <v>13</v>
      </c>
      <c r="CI28">
        <v>9594</v>
      </c>
      <c r="CJ28">
        <v>17</v>
      </c>
      <c r="CK28">
        <v>12546</v>
      </c>
      <c r="CL28">
        <v>14.174866165552091</v>
      </c>
      <c r="CM28">
        <v>10461.051230177443</v>
      </c>
      <c r="CN28">
        <v>19</v>
      </c>
      <c r="CO28">
        <v>14022</v>
      </c>
      <c r="CP28">
        <v>23</v>
      </c>
      <c r="CQ28">
        <v>16974</v>
      </c>
      <c r="CR28">
        <v>12.301398661843226</v>
      </c>
      <c r="CS28">
        <v>9078.4322124403006</v>
      </c>
      <c r="CT28">
        <v>18</v>
      </c>
      <c r="CU28">
        <v>13284</v>
      </c>
    </row>
    <row r="29" spans="2:99">
      <c r="C29" s="99" t="s">
        <v>196</v>
      </c>
      <c r="D29">
        <v>4.3230498580592513</v>
      </c>
      <c r="E29">
        <v>1462.9200719672506</v>
      </c>
      <c r="F29">
        <v>17</v>
      </c>
      <c r="G29">
        <v>5752.7999999999993</v>
      </c>
      <c r="H29">
        <v>14</v>
      </c>
      <c r="I29">
        <v>4737.5999999999995</v>
      </c>
      <c r="J29">
        <v>12</v>
      </c>
      <c r="K29">
        <v>4060.7999999999997</v>
      </c>
      <c r="L29">
        <v>21</v>
      </c>
      <c r="M29">
        <v>7106.4</v>
      </c>
      <c r="N29">
        <v>10</v>
      </c>
      <c r="O29">
        <v>3384</v>
      </c>
      <c r="P29">
        <v>17.432164882519416</v>
      </c>
      <c r="Q29">
        <v>5899.0445962445701</v>
      </c>
      <c r="R29">
        <v>12</v>
      </c>
      <c r="S29">
        <v>4060.7999999999997</v>
      </c>
      <c r="T29">
        <v>17</v>
      </c>
      <c r="U29">
        <v>5752.7999999999993</v>
      </c>
      <c r="V29">
        <v>14</v>
      </c>
      <c r="W29">
        <v>4737.5999999999995</v>
      </c>
      <c r="X29">
        <v>12</v>
      </c>
      <c r="Y29">
        <v>4060.7999999999997</v>
      </c>
      <c r="Z29">
        <v>18</v>
      </c>
      <c r="AA29">
        <v>6091.2</v>
      </c>
      <c r="AB29">
        <v>11</v>
      </c>
      <c r="AC29">
        <v>3722.3999999999996</v>
      </c>
      <c r="AD29">
        <v>13</v>
      </c>
      <c r="AE29">
        <v>4399.2</v>
      </c>
      <c r="AF29">
        <v>9.8019621000371746</v>
      </c>
      <c r="AG29">
        <v>3316.9839746525795</v>
      </c>
      <c r="AH29">
        <v>15</v>
      </c>
      <c r="AI29">
        <v>5076</v>
      </c>
      <c r="AJ29">
        <v>11</v>
      </c>
      <c r="AK29">
        <v>3722.3999999999996</v>
      </c>
      <c r="AL29">
        <v>1.6562885660066478</v>
      </c>
      <c r="AM29">
        <v>560.4880507366496</v>
      </c>
      <c r="AN29">
        <v>18</v>
      </c>
      <c r="AO29">
        <v>6091.2</v>
      </c>
      <c r="AP29">
        <v>22</v>
      </c>
      <c r="AQ29">
        <v>7444.7999999999993</v>
      </c>
      <c r="AR29">
        <v>16</v>
      </c>
      <c r="AS29">
        <v>5414.4</v>
      </c>
      <c r="AT29">
        <v>16</v>
      </c>
      <c r="AU29">
        <v>5414.4</v>
      </c>
      <c r="AV29">
        <v>14</v>
      </c>
      <c r="AW29">
        <v>4737.5999999999995</v>
      </c>
      <c r="AX29">
        <v>17</v>
      </c>
      <c r="AY29">
        <v>5752.7999999999993</v>
      </c>
      <c r="AZ29">
        <v>13</v>
      </c>
      <c r="BA29">
        <v>4399.2</v>
      </c>
      <c r="BB29">
        <v>14</v>
      </c>
      <c r="BC29">
        <v>4737.5999999999995</v>
      </c>
      <c r="BD29">
        <v>11</v>
      </c>
      <c r="BE29">
        <v>3722.3999999999996</v>
      </c>
      <c r="BF29">
        <v>19</v>
      </c>
      <c r="BG29">
        <v>6429.5999999999995</v>
      </c>
      <c r="BH29">
        <v>20</v>
      </c>
      <c r="BI29">
        <v>6768</v>
      </c>
      <c r="BJ29">
        <v>13</v>
      </c>
      <c r="BK29">
        <v>4399.2</v>
      </c>
      <c r="BL29">
        <v>21</v>
      </c>
      <c r="BM29">
        <v>7106.4</v>
      </c>
      <c r="BN29">
        <v>17</v>
      </c>
      <c r="BO29">
        <v>5752.7999999999993</v>
      </c>
      <c r="BP29">
        <v>18</v>
      </c>
      <c r="BQ29">
        <v>6091.2</v>
      </c>
      <c r="BR29">
        <v>14</v>
      </c>
      <c r="BS29">
        <v>4737.5999999999995</v>
      </c>
      <c r="BT29">
        <v>16</v>
      </c>
      <c r="BU29">
        <v>5414.4</v>
      </c>
      <c r="BV29">
        <v>18</v>
      </c>
      <c r="BW29">
        <v>6091.2</v>
      </c>
      <c r="BX29">
        <v>18</v>
      </c>
      <c r="BY29">
        <v>6091.2</v>
      </c>
      <c r="BZ29">
        <v>15</v>
      </c>
      <c r="CA29">
        <v>5076</v>
      </c>
      <c r="CB29">
        <v>14</v>
      </c>
      <c r="CC29">
        <v>4737.5999999999995</v>
      </c>
      <c r="CD29">
        <v>19.892127604813698</v>
      </c>
      <c r="CE29">
        <v>6731.4959814689546</v>
      </c>
      <c r="CF29">
        <v>12</v>
      </c>
      <c r="CG29">
        <v>4060.7999999999997</v>
      </c>
      <c r="CH29">
        <v>15</v>
      </c>
      <c r="CI29">
        <v>5076</v>
      </c>
      <c r="CJ29">
        <v>15</v>
      </c>
      <c r="CK29">
        <v>5076</v>
      </c>
      <c r="CL29">
        <v>13.229875087848619</v>
      </c>
      <c r="CM29">
        <v>4476.9897297279722</v>
      </c>
      <c r="CN29">
        <v>21</v>
      </c>
      <c r="CO29">
        <v>7106.4</v>
      </c>
      <c r="CP29">
        <v>23</v>
      </c>
      <c r="CQ29">
        <v>7783.2</v>
      </c>
      <c r="CR29">
        <v>10.408875790790423</v>
      </c>
      <c r="CS29">
        <v>3522.3635676034792</v>
      </c>
      <c r="CT29">
        <v>20</v>
      </c>
      <c r="CU29">
        <v>6768</v>
      </c>
    </row>
    <row r="30" spans="2:99">
      <c r="C30" s="99" t="s">
        <v>197</v>
      </c>
      <c r="D30">
        <v>4.3230498580592513</v>
      </c>
      <c r="E30">
        <v>601.76854024184775</v>
      </c>
      <c r="F30">
        <v>17</v>
      </c>
      <c r="G30">
        <v>2366.3999999999996</v>
      </c>
      <c r="H30">
        <v>14</v>
      </c>
      <c r="I30">
        <v>1948.7999999999997</v>
      </c>
      <c r="J30">
        <v>11</v>
      </c>
      <c r="K30">
        <v>1531.1999999999998</v>
      </c>
      <c r="L30">
        <v>21</v>
      </c>
      <c r="M30">
        <v>2923.2</v>
      </c>
      <c r="N30">
        <v>11</v>
      </c>
      <c r="O30">
        <v>1531.1999999999998</v>
      </c>
      <c r="P30">
        <v>21.102094331470873</v>
      </c>
      <c r="Q30">
        <v>2937.4115309407453</v>
      </c>
      <c r="R30">
        <v>14</v>
      </c>
      <c r="S30">
        <v>1948.7999999999997</v>
      </c>
      <c r="T30">
        <v>20</v>
      </c>
      <c r="U30">
        <v>2784</v>
      </c>
      <c r="V30">
        <v>14</v>
      </c>
      <c r="W30">
        <v>1948.7999999999997</v>
      </c>
      <c r="X30">
        <v>12</v>
      </c>
      <c r="Y30">
        <v>1670.3999999999999</v>
      </c>
      <c r="Z30">
        <v>15</v>
      </c>
      <c r="AA30">
        <v>2088</v>
      </c>
      <c r="AB30">
        <v>12</v>
      </c>
      <c r="AC30">
        <v>1670.3999999999999</v>
      </c>
      <c r="AD30">
        <v>15</v>
      </c>
      <c r="AE30">
        <v>2088</v>
      </c>
      <c r="AF30">
        <v>9.2253760941526348</v>
      </c>
      <c r="AG30">
        <v>1284.1723523060466</v>
      </c>
      <c r="AH30">
        <v>17</v>
      </c>
      <c r="AI30">
        <v>2366.3999999999996</v>
      </c>
      <c r="AJ30">
        <v>10</v>
      </c>
      <c r="AK30">
        <v>1392</v>
      </c>
      <c r="AL30">
        <v>1.6562885660066478</v>
      </c>
      <c r="AM30">
        <v>230.55536838812534</v>
      </c>
      <c r="AN30">
        <v>19</v>
      </c>
      <c r="AO30">
        <v>2644.7999999999997</v>
      </c>
      <c r="AP30">
        <v>22</v>
      </c>
      <c r="AQ30">
        <v>3062.3999999999996</v>
      </c>
      <c r="AR30">
        <v>18</v>
      </c>
      <c r="AS30">
        <v>2505.6</v>
      </c>
      <c r="AT30">
        <v>17</v>
      </c>
      <c r="AU30">
        <v>2366.3999999999996</v>
      </c>
      <c r="AV30">
        <v>14</v>
      </c>
      <c r="AW30">
        <v>1948.7999999999997</v>
      </c>
      <c r="AX30">
        <v>18</v>
      </c>
      <c r="AY30">
        <v>2505.6</v>
      </c>
      <c r="AZ30">
        <v>14</v>
      </c>
      <c r="BA30">
        <v>1948.7999999999997</v>
      </c>
      <c r="BB30">
        <v>16</v>
      </c>
      <c r="BC30">
        <v>2227.1999999999998</v>
      </c>
      <c r="BD30">
        <v>11</v>
      </c>
      <c r="BE30">
        <v>1531.1999999999998</v>
      </c>
      <c r="BF30">
        <v>19</v>
      </c>
      <c r="BG30">
        <v>2644.7999999999997</v>
      </c>
      <c r="BH30">
        <v>21</v>
      </c>
      <c r="BI30">
        <v>2923.2</v>
      </c>
      <c r="BJ30">
        <v>14</v>
      </c>
      <c r="BK30">
        <v>1948.7999999999997</v>
      </c>
      <c r="BL30">
        <v>21</v>
      </c>
      <c r="BM30">
        <v>2923.2</v>
      </c>
      <c r="BN30">
        <v>16</v>
      </c>
      <c r="BO30">
        <v>2227.1999999999998</v>
      </c>
      <c r="BP30">
        <v>18</v>
      </c>
      <c r="BQ30">
        <v>2505.6</v>
      </c>
      <c r="BR30">
        <v>15</v>
      </c>
      <c r="BS30">
        <v>2088</v>
      </c>
      <c r="BT30">
        <v>16</v>
      </c>
      <c r="BU30">
        <v>2227.1999999999998</v>
      </c>
      <c r="BV30">
        <v>19</v>
      </c>
      <c r="BW30">
        <v>2644.7999999999997</v>
      </c>
      <c r="BX30">
        <v>18</v>
      </c>
      <c r="BY30">
        <v>2505.6</v>
      </c>
      <c r="BZ30">
        <v>14</v>
      </c>
      <c r="CA30">
        <v>1948.7999999999997</v>
      </c>
      <c r="CB30">
        <v>15</v>
      </c>
      <c r="CC30">
        <v>2088</v>
      </c>
      <c r="CD30">
        <v>18.083752368012451</v>
      </c>
      <c r="CE30">
        <v>2517.2583296273328</v>
      </c>
      <c r="CF30">
        <v>13</v>
      </c>
      <c r="CG30">
        <v>1809.6</v>
      </c>
      <c r="CH30">
        <v>13</v>
      </c>
      <c r="CI30">
        <v>1809.6</v>
      </c>
      <c r="CJ30">
        <v>16</v>
      </c>
      <c r="CK30">
        <v>2227.1999999999998</v>
      </c>
      <c r="CL30">
        <v>15.119857243255563</v>
      </c>
      <c r="CM30">
        <v>2104.684128261174</v>
      </c>
      <c r="CN30">
        <v>20</v>
      </c>
      <c r="CO30">
        <v>2784</v>
      </c>
      <c r="CP30">
        <v>21</v>
      </c>
      <c r="CQ30">
        <v>2923.2</v>
      </c>
      <c r="CR30">
        <v>11.355137226316824</v>
      </c>
      <c r="CS30">
        <v>1580.6351019033018</v>
      </c>
      <c r="CT30">
        <v>18</v>
      </c>
      <c r="CU30">
        <v>2505.6</v>
      </c>
    </row>
    <row r="31" spans="2:99">
      <c r="C31" s="99" t="s">
        <v>198</v>
      </c>
      <c r="D31">
        <v>4.3230498580592513</v>
      </c>
      <c r="E31">
        <v>1473.2953916265928</v>
      </c>
      <c r="F31">
        <v>17</v>
      </c>
      <c r="G31">
        <v>5793.6</v>
      </c>
      <c r="H31">
        <v>13</v>
      </c>
      <c r="I31">
        <v>4430.4000000000005</v>
      </c>
      <c r="J31">
        <v>11</v>
      </c>
      <c r="K31">
        <v>3748.8</v>
      </c>
      <c r="L31">
        <v>20</v>
      </c>
      <c r="M31">
        <v>6816</v>
      </c>
      <c r="N31">
        <v>10</v>
      </c>
      <c r="O31">
        <v>3408</v>
      </c>
      <c r="P31">
        <v>21.102094331470873</v>
      </c>
      <c r="Q31">
        <v>7191.5937481652736</v>
      </c>
      <c r="R31">
        <v>13</v>
      </c>
      <c r="S31">
        <v>4430.4000000000005</v>
      </c>
      <c r="T31">
        <v>18</v>
      </c>
      <c r="U31">
        <v>6134.4000000000005</v>
      </c>
      <c r="V31">
        <v>15</v>
      </c>
      <c r="W31">
        <v>5112</v>
      </c>
      <c r="X31">
        <v>12</v>
      </c>
      <c r="Y31">
        <v>4089.6000000000004</v>
      </c>
      <c r="Z31">
        <v>16</v>
      </c>
      <c r="AA31">
        <v>5452.8</v>
      </c>
      <c r="AB31">
        <v>11</v>
      </c>
      <c r="AC31">
        <v>3748.8</v>
      </c>
      <c r="AD31">
        <v>13</v>
      </c>
      <c r="AE31">
        <v>4430.4000000000005</v>
      </c>
      <c r="AF31">
        <v>9.8019621000371746</v>
      </c>
      <c r="AG31">
        <v>3340.5086836926694</v>
      </c>
      <c r="AH31">
        <v>14</v>
      </c>
      <c r="AI31">
        <v>4771.2</v>
      </c>
      <c r="AJ31">
        <v>12</v>
      </c>
      <c r="AK31">
        <v>4089.6000000000004</v>
      </c>
      <c r="AL31">
        <v>1.6562885660066478</v>
      </c>
      <c r="AM31">
        <v>564.46314329506561</v>
      </c>
      <c r="AN31">
        <v>19</v>
      </c>
      <c r="AO31">
        <v>6475.2</v>
      </c>
      <c r="AP31">
        <v>20</v>
      </c>
      <c r="AQ31">
        <v>6816</v>
      </c>
      <c r="AR31">
        <v>18</v>
      </c>
      <c r="AS31">
        <v>6134.4000000000005</v>
      </c>
      <c r="AT31">
        <v>17</v>
      </c>
      <c r="AU31">
        <v>5793.6</v>
      </c>
      <c r="AV31">
        <v>15</v>
      </c>
      <c r="AW31">
        <v>5112</v>
      </c>
      <c r="AX31">
        <v>17</v>
      </c>
      <c r="AY31">
        <v>5793.6</v>
      </c>
      <c r="AZ31">
        <v>13</v>
      </c>
      <c r="BA31">
        <v>4430.4000000000005</v>
      </c>
      <c r="BB31">
        <v>14</v>
      </c>
      <c r="BC31">
        <v>4771.2</v>
      </c>
      <c r="BD31">
        <v>11</v>
      </c>
      <c r="BE31">
        <v>3748.8</v>
      </c>
      <c r="BF31">
        <v>19</v>
      </c>
      <c r="BG31">
        <v>6475.2</v>
      </c>
      <c r="BH31">
        <v>19</v>
      </c>
      <c r="BI31">
        <v>6475.2</v>
      </c>
      <c r="BJ31">
        <v>15</v>
      </c>
      <c r="BK31">
        <v>5112</v>
      </c>
      <c r="BL31">
        <v>21</v>
      </c>
      <c r="BM31">
        <v>7156.8</v>
      </c>
      <c r="BN31">
        <v>17</v>
      </c>
      <c r="BO31">
        <v>5793.6</v>
      </c>
      <c r="BP31">
        <v>17</v>
      </c>
      <c r="BQ31">
        <v>5793.6</v>
      </c>
      <c r="BR31">
        <v>16</v>
      </c>
      <c r="BS31">
        <v>5452.8</v>
      </c>
      <c r="BT31">
        <v>16</v>
      </c>
      <c r="BU31">
        <v>5452.8</v>
      </c>
      <c r="BV31">
        <v>19</v>
      </c>
      <c r="BW31">
        <v>6475.2</v>
      </c>
      <c r="BX31">
        <v>17</v>
      </c>
      <c r="BY31">
        <v>5793.6</v>
      </c>
      <c r="BZ31">
        <v>15</v>
      </c>
      <c r="CA31">
        <v>5112</v>
      </c>
      <c r="CB31">
        <v>13</v>
      </c>
      <c r="CC31">
        <v>4430.4000000000005</v>
      </c>
      <c r="CD31">
        <v>18.987939986413075</v>
      </c>
      <c r="CE31">
        <v>6471.0899473695763</v>
      </c>
      <c r="CF31">
        <v>13</v>
      </c>
      <c r="CG31">
        <v>4430.4000000000005</v>
      </c>
      <c r="CH31">
        <v>14</v>
      </c>
      <c r="CI31">
        <v>4771.2</v>
      </c>
      <c r="CJ31">
        <v>18</v>
      </c>
      <c r="CK31">
        <v>6134.4000000000005</v>
      </c>
      <c r="CL31">
        <v>14.174866165552091</v>
      </c>
      <c r="CM31">
        <v>4830.7943892201529</v>
      </c>
      <c r="CN31">
        <v>22</v>
      </c>
      <c r="CO31">
        <v>7497.6</v>
      </c>
      <c r="CP31">
        <v>22</v>
      </c>
      <c r="CQ31">
        <v>7497.6</v>
      </c>
      <c r="CR31">
        <v>11.355137226316824</v>
      </c>
      <c r="CS31">
        <v>3869.8307667287736</v>
      </c>
      <c r="CT31">
        <v>17</v>
      </c>
      <c r="CU31">
        <v>5793.6</v>
      </c>
    </row>
    <row r="32" spans="2:99">
      <c r="C32" s="99" t="s">
        <v>199</v>
      </c>
      <c r="D32">
        <v>4.3230498580592513</v>
      </c>
      <c r="E32">
        <v>3631.3618807697712</v>
      </c>
      <c r="F32">
        <v>15</v>
      </c>
      <c r="G32">
        <v>12600</v>
      </c>
      <c r="H32">
        <v>14</v>
      </c>
      <c r="I32">
        <v>11760</v>
      </c>
      <c r="J32">
        <v>11</v>
      </c>
      <c r="K32">
        <v>9240</v>
      </c>
      <c r="L32">
        <v>18</v>
      </c>
      <c r="M32">
        <v>15120</v>
      </c>
      <c r="N32">
        <v>10</v>
      </c>
      <c r="O32">
        <v>8400</v>
      </c>
      <c r="P32">
        <v>18.349647244757282</v>
      </c>
      <c r="Q32">
        <v>15413.703685596118</v>
      </c>
      <c r="R32">
        <v>11</v>
      </c>
      <c r="S32">
        <v>9240</v>
      </c>
      <c r="T32">
        <v>17</v>
      </c>
      <c r="U32">
        <v>14280</v>
      </c>
      <c r="V32">
        <v>13</v>
      </c>
      <c r="W32">
        <v>10920</v>
      </c>
      <c r="X32">
        <v>11</v>
      </c>
      <c r="Y32">
        <v>9240</v>
      </c>
      <c r="Z32">
        <v>17</v>
      </c>
      <c r="AA32">
        <v>14280</v>
      </c>
      <c r="AB32">
        <v>11</v>
      </c>
      <c r="AC32">
        <v>9240</v>
      </c>
      <c r="AD32">
        <v>15</v>
      </c>
      <c r="AE32">
        <v>12600</v>
      </c>
      <c r="AF32">
        <v>9.8019621000371746</v>
      </c>
      <c r="AG32">
        <v>8233.6481640312268</v>
      </c>
      <c r="AH32">
        <v>15</v>
      </c>
      <c r="AI32">
        <v>12600</v>
      </c>
      <c r="AJ32">
        <v>11</v>
      </c>
      <c r="AK32">
        <v>9240</v>
      </c>
      <c r="AL32">
        <v>1.6562885660066478</v>
      </c>
      <c r="AM32">
        <v>1391.2823954455841</v>
      </c>
      <c r="AN32">
        <v>19</v>
      </c>
      <c r="AO32">
        <v>15960</v>
      </c>
      <c r="AP32">
        <v>19</v>
      </c>
      <c r="AQ32">
        <v>15960</v>
      </c>
      <c r="AR32">
        <v>15</v>
      </c>
      <c r="AS32">
        <v>12600</v>
      </c>
      <c r="AT32">
        <v>15</v>
      </c>
      <c r="AU32">
        <v>12600</v>
      </c>
      <c r="AV32">
        <v>15</v>
      </c>
      <c r="AW32">
        <v>12600</v>
      </c>
      <c r="AX32">
        <v>17</v>
      </c>
      <c r="AY32">
        <v>14280</v>
      </c>
      <c r="AZ32">
        <v>13</v>
      </c>
      <c r="BA32">
        <v>10920</v>
      </c>
      <c r="BB32">
        <v>13</v>
      </c>
      <c r="BC32">
        <v>10920</v>
      </c>
      <c r="BD32">
        <v>11</v>
      </c>
      <c r="BE32">
        <v>9240</v>
      </c>
      <c r="BF32">
        <v>17</v>
      </c>
      <c r="BG32">
        <v>14280</v>
      </c>
      <c r="BH32">
        <v>17</v>
      </c>
      <c r="BI32">
        <v>14280</v>
      </c>
      <c r="BJ32">
        <v>13</v>
      </c>
      <c r="BK32">
        <v>10920</v>
      </c>
      <c r="BL32">
        <v>21</v>
      </c>
      <c r="BM32">
        <v>17640</v>
      </c>
      <c r="BN32">
        <v>15</v>
      </c>
      <c r="BO32">
        <v>12600</v>
      </c>
      <c r="BP32">
        <v>18</v>
      </c>
      <c r="BQ32">
        <v>15120</v>
      </c>
      <c r="BR32">
        <v>15</v>
      </c>
      <c r="BS32">
        <v>12600</v>
      </c>
      <c r="BT32">
        <v>16</v>
      </c>
      <c r="BU32">
        <v>13440</v>
      </c>
      <c r="BV32">
        <v>19</v>
      </c>
      <c r="BW32">
        <v>15960</v>
      </c>
      <c r="BX32">
        <v>15</v>
      </c>
      <c r="BY32">
        <v>12600</v>
      </c>
      <c r="BZ32">
        <v>13</v>
      </c>
      <c r="CA32">
        <v>10920</v>
      </c>
      <c r="CB32">
        <v>14</v>
      </c>
      <c r="CC32">
        <v>11760</v>
      </c>
      <c r="CD32">
        <v>17.179564749611831</v>
      </c>
      <c r="CE32">
        <v>14430.834389673939</v>
      </c>
      <c r="CF32">
        <v>12</v>
      </c>
      <c r="CG32">
        <v>10080</v>
      </c>
      <c r="CH32">
        <v>13</v>
      </c>
      <c r="CI32">
        <v>10920</v>
      </c>
      <c r="CJ32">
        <v>16</v>
      </c>
      <c r="CK32">
        <v>13440</v>
      </c>
      <c r="CL32">
        <v>15.119857243255563</v>
      </c>
      <c r="CM32">
        <v>12700.680084334674</v>
      </c>
      <c r="CN32">
        <v>20</v>
      </c>
      <c r="CO32">
        <v>16800</v>
      </c>
      <c r="CP32">
        <v>23</v>
      </c>
      <c r="CQ32">
        <v>19320</v>
      </c>
      <c r="CR32">
        <v>13.247660097369629</v>
      </c>
      <c r="CS32">
        <v>11128.034481790488</v>
      </c>
      <c r="CT32">
        <v>19</v>
      </c>
      <c r="CU32">
        <v>15960</v>
      </c>
    </row>
    <row r="33" spans="2:99">
      <c r="C33" s="99" t="s">
        <v>200</v>
      </c>
      <c r="D33">
        <v>4.3230498580592513</v>
      </c>
      <c r="E33">
        <v>2049.1256327200849</v>
      </c>
      <c r="F33">
        <v>16</v>
      </c>
      <c r="G33">
        <v>7584</v>
      </c>
      <c r="H33">
        <v>15</v>
      </c>
      <c r="I33">
        <v>7110</v>
      </c>
      <c r="J33">
        <v>12</v>
      </c>
      <c r="K33">
        <v>5688</v>
      </c>
      <c r="L33">
        <v>18</v>
      </c>
      <c r="M33">
        <v>8532</v>
      </c>
      <c r="N33">
        <v>11</v>
      </c>
      <c r="O33">
        <v>5214</v>
      </c>
      <c r="P33">
        <v>21.102094331470873</v>
      </c>
      <c r="Q33">
        <v>10002.392713117193</v>
      </c>
      <c r="R33">
        <v>12</v>
      </c>
      <c r="S33">
        <v>5688</v>
      </c>
      <c r="T33">
        <v>18</v>
      </c>
      <c r="U33">
        <v>8532</v>
      </c>
      <c r="V33">
        <v>14</v>
      </c>
      <c r="W33">
        <v>6636</v>
      </c>
      <c r="X33">
        <v>12</v>
      </c>
      <c r="Y33">
        <v>5688</v>
      </c>
      <c r="Z33">
        <v>16</v>
      </c>
      <c r="AA33">
        <v>7584</v>
      </c>
      <c r="AB33">
        <v>10</v>
      </c>
      <c r="AC33">
        <v>4740</v>
      </c>
      <c r="AD33">
        <v>14</v>
      </c>
      <c r="AE33">
        <v>6636</v>
      </c>
      <c r="AF33">
        <v>8.6487900882680933</v>
      </c>
      <c r="AG33">
        <v>4099.5265018390764</v>
      </c>
      <c r="AH33">
        <v>16</v>
      </c>
      <c r="AI33">
        <v>7584</v>
      </c>
      <c r="AJ33">
        <v>11</v>
      </c>
      <c r="AK33">
        <v>5214</v>
      </c>
      <c r="AL33">
        <v>1.6562885660066478</v>
      </c>
      <c r="AM33">
        <v>785.08078028715101</v>
      </c>
      <c r="AN33">
        <v>19</v>
      </c>
      <c r="AO33">
        <v>9006</v>
      </c>
      <c r="AP33">
        <v>21</v>
      </c>
      <c r="AQ33">
        <v>9954</v>
      </c>
      <c r="AR33">
        <v>16</v>
      </c>
      <c r="AS33">
        <v>7584</v>
      </c>
      <c r="AT33">
        <v>18</v>
      </c>
      <c r="AU33">
        <v>8532</v>
      </c>
      <c r="AV33">
        <v>15</v>
      </c>
      <c r="AW33">
        <v>7110</v>
      </c>
      <c r="AX33">
        <v>17</v>
      </c>
      <c r="AY33">
        <v>8058</v>
      </c>
      <c r="AZ33">
        <v>13</v>
      </c>
      <c r="BA33">
        <v>6162</v>
      </c>
      <c r="BB33">
        <v>16</v>
      </c>
      <c r="BC33">
        <v>7584</v>
      </c>
      <c r="BD33">
        <v>11</v>
      </c>
      <c r="BE33">
        <v>5214</v>
      </c>
      <c r="BF33">
        <v>17</v>
      </c>
      <c r="BG33">
        <v>8058</v>
      </c>
      <c r="BH33">
        <v>21</v>
      </c>
      <c r="BI33">
        <v>9954</v>
      </c>
      <c r="BJ33">
        <v>14</v>
      </c>
      <c r="BK33">
        <v>6636</v>
      </c>
      <c r="BL33">
        <v>21</v>
      </c>
      <c r="BM33">
        <v>9954</v>
      </c>
      <c r="BN33">
        <v>15</v>
      </c>
      <c r="BO33">
        <v>7110</v>
      </c>
      <c r="BP33">
        <v>18</v>
      </c>
      <c r="BQ33">
        <v>8532</v>
      </c>
      <c r="BR33">
        <v>17</v>
      </c>
      <c r="BS33">
        <v>8058</v>
      </c>
      <c r="BT33">
        <v>14</v>
      </c>
      <c r="BU33">
        <v>6636</v>
      </c>
      <c r="BV33">
        <v>19</v>
      </c>
      <c r="BW33">
        <v>9006</v>
      </c>
      <c r="BX33">
        <v>17</v>
      </c>
      <c r="BY33">
        <v>8058</v>
      </c>
      <c r="BZ33">
        <v>16</v>
      </c>
      <c r="CA33">
        <v>7584</v>
      </c>
      <c r="CB33">
        <v>14</v>
      </c>
      <c r="CC33">
        <v>6636</v>
      </c>
      <c r="CD33">
        <v>18.083752368012451</v>
      </c>
      <c r="CE33">
        <v>8571.6986224379016</v>
      </c>
      <c r="CF33">
        <v>13</v>
      </c>
      <c r="CG33">
        <v>6162</v>
      </c>
      <c r="CH33">
        <v>14</v>
      </c>
      <c r="CI33">
        <v>6636</v>
      </c>
      <c r="CJ33">
        <v>17</v>
      </c>
      <c r="CK33">
        <v>8058</v>
      </c>
      <c r="CL33">
        <v>12.284884010145143</v>
      </c>
      <c r="CM33">
        <v>5823.0350208087975</v>
      </c>
      <c r="CN33">
        <v>20</v>
      </c>
      <c r="CO33">
        <v>9480</v>
      </c>
      <c r="CP33">
        <v>21</v>
      </c>
      <c r="CQ33">
        <v>9954</v>
      </c>
      <c r="CR33">
        <v>12.301398661843226</v>
      </c>
      <c r="CS33">
        <v>5830.8629657136889</v>
      </c>
      <c r="CT33">
        <v>17</v>
      </c>
      <c r="CU33">
        <v>8058</v>
      </c>
    </row>
    <row r="34" spans="2:99">
      <c r="C34" s="99" t="s">
        <v>201</v>
      </c>
      <c r="D34">
        <v>4.3230498580592513</v>
      </c>
      <c r="E34">
        <v>2370.7605421596932</v>
      </c>
      <c r="F34">
        <v>15</v>
      </c>
      <c r="G34">
        <v>8226</v>
      </c>
      <c r="H34">
        <v>13</v>
      </c>
      <c r="I34">
        <v>7129.2</v>
      </c>
      <c r="J34">
        <v>10</v>
      </c>
      <c r="K34">
        <v>5484</v>
      </c>
      <c r="L34">
        <v>19</v>
      </c>
      <c r="M34">
        <v>10419.6</v>
      </c>
      <c r="N34">
        <v>12</v>
      </c>
      <c r="O34">
        <v>6580.7999999999993</v>
      </c>
      <c r="P34">
        <v>20.184611969233007</v>
      </c>
      <c r="Q34">
        <v>11069.24120392738</v>
      </c>
      <c r="R34">
        <v>14</v>
      </c>
      <c r="S34">
        <v>7677.5999999999995</v>
      </c>
      <c r="T34">
        <v>18</v>
      </c>
      <c r="U34">
        <v>9871.1999999999989</v>
      </c>
      <c r="V34">
        <v>13</v>
      </c>
      <c r="W34">
        <v>7129.2</v>
      </c>
      <c r="X34">
        <v>11</v>
      </c>
      <c r="Y34">
        <v>6032.4</v>
      </c>
      <c r="Z34">
        <v>16</v>
      </c>
      <c r="AA34">
        <v>8774.4</v>
      </c>
      <c r="AB34">
        <v>10</v>
      </c>
      <c r="AC34">
        <v>5484</v>
      </c>
      <c r="AD34">
        <v>13</v>
      </c>
      <c r="AE34">
        <v>7129.2</v>
      </c>
      <c r="AF34">
        <v>8.6487900882680933</v>
      </c>
      <c r="AG34">
        <v>4742.9964844062224</v>
      </c>
      <c r="AH34">
        <v>15</v>
      </c>
      <c r="AI34">
        <v>8226</v>
      </c>
      <c r="AJ34">
        <v>11</v>
      </c>
      <c r="AK34">
        <v>6032.4</v>
      </c>
      <c r="AL34">
        <v>1.4492524952558168</v>
      </c>
      <c r="AM34">
        <v>794.77006839828994</v>
      </c>
      <c r="AN34">
        <v>19</v>
      </c>
      <c r="AO34">
        <v>10419.6</v>
      </c>
      <c r="AP34">
        <v>21</v>
      </c>
      <c r="AQ34">
        <v>11516.4</v>
      </c>
      <c r="AR34">
        <v>18</v>
      </c>
      <c r="AS34">
        <v>9871.1999999999989</v>
      </c>
      <c r="AT34">
        <v>18</v>
      </c>
      <c r="AU34">
        <v>9871.1999999999989</v>
      </c>
      <c r="AV34">
        <v>15</v>
      </c>
      <c r="AW34">
        <v>8226</v>
      </c>
      <c r="AX34">
        <v>19</v>
      </c>
      <c r="AY34">
        <v>10419.6</v>
      </c>
      <c r="AZ34">
        <v>13</v>
      </c>
      <c r="BA34">
        <v>7129.2</v>
      </c>
      <c r="BB34">
        <v>15</v>
      </c>
      <c r="BC34">
        <v>8226</v>
      </c>
      <c r="BD34">
        <v>11</v>
      </c>
      <c r="BE34">
        <v>6032.4</v>
      </c>
      <c r="BF34">
        <v>17</v>
      </c>
      <c r="BG34">
        <v>9322.7999999999993</v>
      </c>
      <c r="BH34">
        <v>18</v>
      </c>
      <c r="BI34">
        <v>9871.1999999999989</v>
      </c>
      <c r="BJ34">
        <v>13</v>
      </c>
      <c r="BK34">
        <v>7129.2</v>
      </c>
      <c r="BL34">
        <v>20</v>
      </c>
      <c r="BM34">
        <v>10968</v>
      </c>
      <c r="BN34">
        <v>15</v>
      </c>
      <c r="BO34">
        <v>8226</v>
      </c>
      <c r="BP34">
        <v>19</v>
      </c>
      <c r="BQ34">
        <v>10419.6</v>
      </c>
      <c r="BR34">
        <v>15</v>
      </c>
      <c r="BS34">
        <v>8226</v>
      </c>
      <c r="BT34">
        <v>15</v>
      </c>
      <c r="BU34">
        <v>8226</v>
      </c>
      <c r="BV34">
        <v>20</v>
      </c>
      <c r="BW34">
        <v>10968</v>
      </c>
      <c r="BX34">
        <v>17</v>
      </c>
      <c r="BY34">
        <v>9322.7999999999993</v>
      </c>
      <c r="BZ34">
        <v>16</v>
      </c>
      <c r="CA34">
        <v>8774.4</v>
      </c>
      <c r="CB34">
        <v>12</v>
      </c>
      <c r="CC34">
        <v>6580.7999999999993</v>
      </c>
      <c r="CD34">
        <v>18.987939986413075</v>
      </c>
      <c r="CE34">
        <v>10412.986288548929</v>
      </c>
      <c r="CF34">
        <v>13</v>
      </c>
      <c r="CG34">
        <v>7129.2</v>
      </c>
      <c r="CH34">
        <v>14</v>
      </c>
      <c r="CI34">
        <v>7677.5999999999995</v>
      </c>
      <c r="CJ34">
        <v>18</v>
      </c>
      <c r="CK34">
        <v>9871.1999999999989</v>
      </c>
      <c r="CL34">
        <v>15.119857243255563</v>
      </c>
      <c r="CM34">
        <v>8291.7297122013497</v>
      </c>
      <c r="CN34">
        <v>20</v>
      </c>
      <c r="CO34">
        <v>10968</v>
      </c>
      <c r="CP34">
        <v>21</v>
      </c>
      <c r="CQ34">
        <v>11516.4</v>
      </c>
      <c r="CR34">
        <v>13.247660097369629</v>
      </c>
      <c r="CS34">
        <v>7265.016797397504</v>
      </c>
      <c r="CT34">
        <v>17</v>
      </c>
      <c r="CU34">
        <v>9322.7999999999993</v>
      </c>
    </row>
    <row r="35" spans="2:99">
      <c r="C35" s="99" t="s">
        <v>202</v>
      </c>
      <c r="D35">
        <v>3.9300453255084107</v>
      </c>
      <c r="E35">
        <v>1976.0267896656285</v>
      </c>
      <c r="F35">
        <v>17</v>
      </c>
      <c r="G35">
        <v>8547.5999999999985</v>
      </c>
      <c r="H35">
        <v>13</v>
      </c>
      <c r="I35">
        <v>6536.3999999999987</v>
      </c>
      <c r="J35">
        <v>11</v>
      </c>
      <c r="K35">
        <v>5530.7999999999993</v>
      </c>
      <c r="L35">
        <v>19</v>
      </c>
      <c r="M35">
        <v>9553.1999999999989</v>
      </c>
      <c r="N35">
        <v>10</v>
      </c>
      <c r="O35">
        <v>5027.9999999999991</v>
      </c>
      <c r="P35">
        <v>18.349647244757282</v>
      </c>
      <c r="Q35">
        <v>9226.2026346639595</v>
      </c>
      <c r="R35">
        <v>11</v>
      </c>
      <c r="S35">
        <v>5530.7999999999993</v>
      </c>
      <c r="T35">
        <v>17</v>
      </c>
      <c r="U35">
        <v>8547.5999999999985</v>
      </c>
      <c r="V35">
        <v>15</v>
      </c>
      <c r="W35">
        <v>7541.9999999999982</v>
      </c>
      <c r="X35">
        <v>11</v>
      </c>
      <c r="Y35">
        <v>5530.7999999999993</v>
      </c>
      <c r="Z35">
        <v>16</v>
      </c>
      <c r="AA35">
        <v>8044.7999999999984</v>
      </c>
      <c r="AB35">
        <v>11</v>
      </c>
      <c r="AC35">
        <v>5530.7999999999993</v>
      </c>
      <c r="AD35">
        <v>14</v>
      </c>
      <c r="AE35">
        <v>7039.1999999999989</v>
      </c>
      <c r="AF35">
        <v>9.2253760941526348</v>
      </c>
      <c r="AG35">
        <v>4638.5191001399435</v>
      </c>
      <c r="AH35">
        <v>17</v>
      </c>
      <c r="AI35">
        <v>8547.5999999999985</v>
      </c>
      <c r="AJ35">
        <v>11</v>
      </c>
      <c r="AK35">
        <v>5530.7999999999993</v>
      </c>
      <c r="AL35">
        <v>1.4492524952558168</v>
      </c>
      <c r="AM35">
        <v>728.6841546146245</v>
      </c>
      <c r="AN35">
        <v>20</v>
      </c>
      <c r="AO35">
        <v>10055.999999999998</v>
      </c>
      <c r="AP35">
        <v>21</v>
      </c>
      <c r="AQ35">
        <v>10558.799999999997</v>
      </c>
      <c r="AR35">
        <v>18</v>
      </c>
      <c r="AS35">
        <v>9050.3999999999978</v>
      </c>
      <c r="AT35">
        <v>18</v>
      </c>
      <c r="AU35">
        <v>9050.3999999999978</v>
      </c>
      <c r="AV35">
        <v>14</v>
      </c>
      <c r="AW35">
        <v>7039.1999999999989</v>
      </c>
      <c r="AX35">
        <v>17</v>
      </c>
      <c r="AY35">
        <v>8547.5999999999985</v>
      </c>
      <c r="AZ35">
        <v>14</v>
      </c>
      <c r="BA35">
        <v>7039.1999999999989</v>
      </c>
      <c r="BB35">
        <v>13</v>
      </c>
      <c r="BC35">
        <v>6536.3999999999987</v>
      </c>
      <c r="BD35">
        <v>12</v>
      </c>
      <c r="BE35">
        <v>6033.5999999999985</v>
      </c>
      <c r="BF35">
        <v>17</v>
      </c>
      <c r="BG35">
        <v>8547.5999999999985</v>
      </c>
      <c r="BH35">
        <v>19</v>
      </c>
      <c r="BI35">
        <v>9553.1999999999989</v>
      </c>
      <c r="BJ35">
        <v>14</v>
      </c>
      <c r="BK35">
        <v>7039.1999999999989</v>
      </c>
      <c r="BL35">
        <v>21</v>
      </c>
      <c r="BM35">
        <v>10558.799999999997</v>
      </c>
      <c r="BN35">
        <v>15</v>
      </c>
      <c r="BO35">
        <v>7541.9999999999982</v>
      </c>
      <c r="BP35">
        <v>19</v>
      </c>
      <c r="BQ35">
        <v>9553.1999999999989</v>
      </c>
      <c r="BR35">
        <v>15</v>
      </c>
      <c r="BS35">
        <v>7541.9999999999982</v>
      </c>
      <c r="BT35">
        <v>15</v>
      </c>
      <c r="BU35">
        <v>7541.9999999999982</v>
      </c>
      <c r="BV35">
        <v>21</v>
      </c>
      <c r="BW35">
        <v>10558.799999999997</v>
      </c>
      <c r="BX35">
        <v>17</v>
      </c>
      <c r="BY35">
        <v>8547.5999999999985</v>
      </c>
      <c r="BZ35">
        <v>16</v>
      </c>
      <c r="CA35">
        <v>8044.7999999999984</v>
      </c>
      <c r="CB35">
        <v>13</v>
      </c>
      <c r="CC35">
        <v>6536.3999999999987</v>
      </c>
      <c r="CD35">
        <v>18.083752368012451</v>
      </c>
      <c r="CE35">
        <v>9092.5106906366582</v>
      </c>
      <c r="CF35">
        <v>12</v>
      </c>
      <c r="CG35">
        <v>6033.5999999999985</v>
      </c>
      <c r="CH35">
        <v>13</v>
      </c>
      <c r="CI35">
        <v>6536.3999999999987</v>
      </c>
      <c r="CJ35">
        <v>16</v>
      </c>
      <c r="CK35">
        <v>8044.7999999999984</v>
      </c>
      <c r="CL35">
        <v>14.174866165552091</v>
      </c>
      <c r="CM35">
        <v>7127.1227080395902</v>
      </c>
      <c r="CN35">
        <v>22</v>
      </c>
      <c r="CO35">
        <v>11061.599999999999</v>
      </c>
      <c r="CP35">
        <v>21</v>
      </c>
      <c r="CQ35">
        <v>10558.799999999997</v>
      </c>
      <c r="CR35">
        <v>12.301398661843226</v>
      </c>
      <c r="CS35">
        <v>6185.143247174773</v>
      </c>
      <c r="CT35">
        <v>18</v>
      </c>
      <c r="CU35">
        <v>9050.3999999999978</v>
      </c>
    </row>
    <row r="36" spans="2:99">
      <c r="C36" s="99" t="s">
        <v>203</v>
      </c>
      <c r="D36">
        <v>3.9300453255084107</v>
      </c>
      <c r="E36">
        <v>2989.9784836467988</v>
      </c>
      <c r="F36">
        <v>16</v>
      </c>
      <c r="G36">
        <v>12172.8</v>
      </c>
      <c r="H36">
        <v>12</v>
      </c>
      <c r="I36">
        <v>9129.5999999999985</v>
      </c>
      <c r="J36">
        <v>11</v>
      </c>
      <c r="K36">
        <v>8368.7999999999993</v>
      </c>
      <c r="L36">
        <v>19</v>
      </c>
      <c r="M36">
        <v>14455.199999999999</v>
      </c>
      <c r="N36">
        <v>10</v>
      </c>
      <c r="O36">
        <v>7608</v>
      </c>
      <c r="P36">
        <v>17.432164882519416</v>
      </c>
      <c r="Q36">
        <v>13262.391042620771</v>
      </c>
      <c r="R36">
        <v>12</v>
      </c>
      <c r="S36">
        <v>9129.5999999999985</v>
      </c>
      <c r="T36">
        <v>17</v>
      </c>
      <c r="U36">
        <v>12933.599999999999</v>
      </c>
      <c r="V36">
        <v>14</v>
      </c>
      <c r="W36">
        <v>10651.199999999999</v>
      </c>
      <c r="X36">
        <v>11</v>
      </c>
      <c r="Y36">
        <v>8368.7999999999993</v>
      </c>
      <c r="Z36">
        <v>15</v>
      </c>
      <c r="AA36">
        <v>11412</v>
      </c>
      <c r="AB36">
        <v>11</v>
      </c>
      <c r="AC36">
        <v>8368.7999999999993</v>
      </c>
      <c r="AD36">
        <v>14</v>
      </c>
      <c r="AE36">
        <v>10651.199999999999</v>
      </c>
      <c r="AF36">
        <v>9.8019621000371746</v>
      </c>
      <c r="AG36">
        <v>7457.3327657082818</v>
      </c>
      <c r="AH36">
        <v>16</v>
      </c>
      <c r="AI36">
        <v>12172.8</v>
      </c>
      <c r="AJ36">
        <v>11</v>
      </c>
      <c r="AK36">
        <v>8368.7999999999993</v>
      </c>
      <c r="AL36">
        <v>1.6562885660066478</v>
      </c>
      <c r="AM36">
        <v>1260.1043410178575</v>
      </c>
      <c r="AN36">
        <v>17</v>
      </c>
      <c r="AO36">
        <v>12933.599999999999</v>
      </c>
      <c r="AP36">
        <v>22</v>
      </c>
      <c r="AQ36">
        <v>16737.599999999999</v>
      </c>
      <c r="AR36">
        <v>16</v>
      </c>
      <c r="AS36">
        <v>12172.8</v>
      </c>
      <c r="AT36">
        <v>15</v>
      </c>
      <c r="AU36">
        <v>11412</v>
      </c>
      <c r="AV36">
        <v>14</v>
      </c>
      <c r="AW36">
        <v>10651.199999999999</v>
      </c>
      <c r="AX36">
        <v>16</v>
      </c>
      <c r="AY36">
        <v>12172.8</v>
      </c>
      <c r="AZ36">
        <v>12</v>
      </c>
      <c r="BA36">
        <v>9129.5999999999985</v>
      </c>
      <c r="BB36">
        <v>15</v>
      </c>
      <c r="BC36">
        <v>11412</v>
      </c>
      <c r="BD36">
        <v>10</v>
      </c>
      <c r="BE36">
        <v>7608</v>
      </c>
      <c r="BF36">
        <v>17</v>
      </c>
      <c r="BG36">
        <v>12933.599999999999</v>
      </c>
      <c r="BH36">
        <v>19</v>
      </c>
      <c r="BI36">
        <v>14455.199999999999</v>
      </c>
      <c r="BJ36">
        <v>12</v>
      </c>
      <c r="BK36">
        <v>9129.5999999999985</v>
      </c>
      <c r="BL36">
        <v>20</v>
      </c>
      <c r="BM36">
        <v>15216</v>
      </c>
      <c r="BN36">
        <v>17</v>
      </c>
      <c r="BO36">
        <v>12933.599999999999</v>
      </c>
      <c r="BP36">
        <v>18</v>
      </c>
      <c r="BQ36">
        <v>13694.4</v>
      </c>
      <c r="BR36">
        <v>14</v>
      </c>
      <c r="BS36">
        <v>10651.199999999999</v>
      </c>
      <c r="BT36">
        <v>14</v>
      </c>
      <c r="BU36">
        <v>10651.199999999999</v>
      </c>
      <c r="BV36">
        <v>20</v>
      </c>
      <c r="BW36">
        <v>15216</v>
      </c>
      <c r="BX36">
        <v>16</v>
      </c>
      <c r="BY36">
        <v>12172.8</v>
      </c>
      <c r="BZ36">
        <v>15</v>
      </c>
      <c r="CA36">
        <v>11412</v>
      </c>
      <c r="CB36">
        <v>13</v>
      </c>
      <c r="CC36">
        <v>9890.4</v>
      </c>
      <c r="CD36">
        <v>16.275377131211208</v>
      </c>
      <c r="CE36">
        <v>12382.306921425487</v>
      </c>
      <c r="CF36">
        <v>12</v>
      </c>
      <c r="CG36">
        <v>9129.5999999999985</v>
      </c>
      <c r="CH36">
        <v>14</v>
      </c>
      <c r="CI36">
        <v>10651.199999999999</v>
      </c>
      <c r="CJ36">
        <v>16</v>
      </c>
      <c r="CK36">
        <v>12172.8</v>
      </c>
      <c r="CL36">
        <v>12.284884010145143</v>
      </c>
      <c r="CM36">
        <v>9346.3397549184247</v>
      </c>
      <c r="CN36">
        <v>20</v>
      </c>
      <c r="CO36">
        <v>15216</v>
      </c>
      <c r="CP36">
        <v>23</v>
      </c>
      <c r="CQ36">
        <v>17498.399999999998</v>
      </c>
      <c r="CR36">
        <v>10.408875790790423</v>
      </c>
      <c r="CS36">
        <v>7919.072701633354</v>
      </c>
      <c r="CT36">
        <v>17</v>
      </c>
      <c r="CU36">
        <v>12933.599999999999</v>
      </c>
    </row>
    <row r="37" spans="2:99">
      <c r="B37" s="99" t="s">
        <v>128</v>
      </c>
      <c r="C37" s="99" t="s">
        <v>204</v>
      </c>
      <c r="D37">
        <v>3.9300453255084107</v>
      </c>
      <c r="E37">
        <v>3381.4109980674366</v>
      </c>
      <c r="F37">
        <v>7</v>
      </c>
      <c r="G37">
        <v>6022.8</v>
      </c>
      <c r="H37">
        <v>10</v>
      </c>
      <c r="I37">
        <v>8604</v>
      </c>
      <c r="J37">
        <v>12</v>
      </c>
      <c r="K37">
        <v>10324.799999999999</v>
      </c>
      <c r="L37">
        <v>11</v>
      </c>
      <c r="M37">
        <v>9464.4</v>
      </c>
      <c r="N37">
        <v>11</v>
      </c>
      <c r="O37">
        <v>9464.4</v>
      </c>
      <c r="P37">
        <v>9.174823622378641</v>
      </c>
      <c r="Q37">
        <v>7894.0182446945828</v>
      </c>
      <c r="R37">
        <v>13</v>
      </c>
      <c r="S37">
        <v>11185.199999999999</v>
      </c>
      <c r="T37">
        <v>13</v>
      </c>
      <c r="U37">
        <v>11185.199999999999</v>
      </c>
      <c r="V37">
        <v>11</v>
      </c>
      <c r="W37">
        <v>9464.4</v>
      </c>
      <c r="X37">
        <v>7</v>
      </c>
      <c r="Y37">
        <v>6022.8</v>
      </c>
      <c r="Z37">
        <v>13</v>
      </c>
      <c r="AA37">
        <v>11185.199999999999</v>
      </c>
      <c r="AB37">
        <v>14</v>
      </c>
      <c r="AC37">
        <v>12045.6</v>
      </c>
      <c r="AD37">
        <v>14</v>
      </c>
      <c r="AE37">
        <v>12045.6</v>
      </c>
      <c r="AF37">
        <v>6.3424460647299359</v>
      </c>
      <c r="AG37">
        <v>5457.0405940936371</v>
      </c>
      <c r="AH37">
        <v>11</v>
      </c>
      <c r="AI37">
        <v>9464.4</v>
      </c>
      <c r="AJ37">
        <v>12</v>
      </c>
      <c r="AK37">
        <v>10324.799999999999</v>
      </c>
      <c r="AL37">
        <v>0.82814428300332388</v>
      </c>
      <c r="AM37">
        <v>712.53534109605982</v>
      </c>
      <c r="AN37">
        <v>10</v>
      </c>
      <c r="AO37">
        <v>8604</v>
      </c>
      <c r="AP37">
        <v>11</v>
      </c>
      <c r="AQ37">
        <v>9464.4</v>
      </c>
      <c r="AR37">
        <v>9</v>
      </c>
      <c r="AS37">
        <v>7743.5999999999995</v>
      </c>
      <c r="AT37">
        <v>11</v>
      </c>
      <c r="AU37">
        <v>9464.4</v>
      </c>
      <c r="AV37">
        <v>9</v>
      </c>
      <c r="AW37">
        <v>7743.5999999999995</v>
      </c>
      <c r="AX37">
        <v>7</v>
      </c>
      <c r="AY37">
        <v>6022.8</v>
      </c>
      <c r="AZ37">
        <v>8</v>
      </c>
      <c r="BA37">
        <v>6883.2</v>
      </c>
      <c r="BB37">
        <v>11</v>
      </c>
      <c r="BC37">
        <v>9464.4</v>
      </c>
      <c r="BD37">
        <v>9</v>
      </c>
      <c r="BE37">
        <v>7743.5999999999995</v>
      </c>
      <c r="BF37">
        <v>8</v>
      </c>
      <c r="BG37">
        <v>6883.2</v>
      </c>
      <c r="BH37">
        <v>8</v>
      </c>
      <c r="BI37">
        <v>6883.2</v>
      </c>
      <c r="BJ37">
        <v>9</v>
      </c>
      <c r="BK37">
        <v>7743.5999999999995</v>
      </c>
      <c r="BL37">
        <v>10</v>
      </c>
      <c r="BM37">
        <v>8604</v>
      </c>
      <c r="BN37">
        <v>12</v>
      </c>
      <c r="BO37">
        <v>10324.799999999999</v>
      </c>
      <c r="BP37">
        <v>14</v>
      </c>
      <c r="BQ37">
        <v>12045.6</v>
      </c>
      <c r="BR37">
        <v>13</v>
      </c>
      <c r="BS37">
        <v>11185.199999999999</v>
      </c>
      <c r="BT37">
        <v>8</v>
      </c>
      <c r="BU37">
        <v>6883.2</v>
      </c>
      <c r="BV37">
        <v>10</v>
      </c>
      <c r="BW37">
        <v>8604</v>
      </c>
      <c r="BX37">
        <v>13</v>
      </c>
      <c r="BY37">
        <v>11185.199999999999</v>
      </c>
      <c r="BZ37">
        <v>9</v>
      </c>
      <c r="CA37">
        <v>7743.5999999999995</v>
      </c>
      <c r="CB37">
        <v>14</v>
      </c>
      <c r="CC37">
        <v>12045.6</v>
      </c>
      <c r="CD37">
        <v>7.2335009472049805</v>
      </c>
      <c r="CE37">
        <v>6223.7042149751651</v>
      </c>
      <c r="CF37">
        <v>7</v>
      </c>
      <c r="CG37">
        <v>6022.8</v>
      </c>
      <c r="CH37">
        <v>10</v>
      </c>
      <c r="CI37">
        <v>8604</v>
      </c>
      <c r="CJ37">
        <v>13</v>
      </c>
      <c r="CK37">
        <v>11185.199999999999</v>
      </c>
      <c r="CL37">
        <v>13.229875087848619</v>
      </c>
      <c r="CM37">
        <v>11382.984525584952</v>
      </c>
      <c r="CN37">
        <v>9</v>
      </c>
      <c r="CO37">
        <v>7743.5999999999995</v>
      </c>
      <c r="CP37">
        <v>13</v>
      </c>
      <c r="CQ37">
        <v>11185.199999999999</v>
      </c>
      <c r="CR37">
        <v>10.408875790790423</v>
      </c>
      <c r="CS37">
        <v>8955.7967303960795</v>
      </c>
      <c r="CT37">
        <v>14</v>
      </c>
      <c r="CU37">
        <v>12045.6</v>
      </c>
    </row>
    <row r="38" spans="2:99">
      <c r="C38" s="99" t="s">
        <v>205</v>
      </c>
      <c r="D38">
        <v>3.9300453255084107</v>
      </c>
      <c r="E38">
        <v>4881.1162942814462</v>
      </c>
      <c r="F38">
        <v>7</v>
      </c>
      <c r="G38">
        <v>8694</v>
      </c>
      <c r="H38">
        <v>9</v>
      </c>
      <c r="I38">
        <v>11178</v>
      </c>
      <c r="J38">
        <v>13</v>
      </c>
      <c r="K38">
        <v>16146</v>
      </c>
      <c r="L38">
        <v>10</v>
      </c>
      <c r="M38">
        <v>12420</v>
      </c>
      <c r="N38">
        <v>12</v>
      </c>
      <c r="O38">
        <v>14904</v>
      </c>
      <c r="P38">
        <v>8.2573412601407767</v>
      </c>
      <c r="Q38">
        <v>10255.617845094845</v>
      </c>
      <c r="R38">
        <v>14</v>
      </c>
      <c r="S38">
        <v>17388</v>
      </c>
      <c r="T38">
        <v>13</v>
      </c>
      <c r="U38">
        <v>16146</v>
      </c>
      <c r="V38">
        <v>9</v>
      </c>
      <c r="W38">
        <v>11178</v>
      </c>
      <c r="X38">
        <v>7</v>
      </c>
      <c r="Y38">
        <v>8694</v>
      </c>
      <c r="Z38">
        <v>13</v>
      </c>
      <c r="AA38">
        <v>16146</v>
      </c>
      <c r="AB38">
        <v>12</v>
      </c>
      <c r="AC38">
        <v>14904</v>
      </c>
      <c r="AD38">
        <v>14</v>
      </c>
      <c r="AE38">
        <v>17388</v>
      </c>
      <c r="AF38">
        <v>6.3424460647299359</v>
      </c>
      <c r="AG38">
        <v>7877.3180123945804</v>
      </c>
      <c r="AH38">
        <v>11</v>
      </c>
      <c r="AI38">
        <v>13662</v>
      </c>
      <c r="AJ38">
        <v>11</v>
      </c>
      <c r="AK38">
        <v>13662</v>
      </c>
      <c r="AL38">
        <v>0.82814428300332388</v>
      </c>
      <c r="AM38">
        <v>1028.5551994901282</v>
      </c>
      <c r="AN38">
        <v>11</v>
      </c>
      <c r="AO38">
        <v>13662</v>
      </c>
      <c r="AP38">
        <v>12</v>
      </c>
      <c r="AQ38">
        <v>14904</v>
      </c>
      <c r="AR38">
        <v>9</v>
      </c>
      <c r="AS38">
        <v>11178</v>
      </c>
      <c r="AT38">
        <v>11</v>
      </c>
      <c r="AU38">
        <v>13662</v>
      </c>
      <c r="AV38">
        <v>9</v>
      </c>
      <c r="AW38">
        <v>11178</v>
      </c>
      <c r="AX38">
        <v>7</v>
      </c>
      <c r="AY38">
        <v>8694</v>
      </c>
      <c r="AZ38">
        <v>8</v>
      </c>
      <c r="BA38">
        <v>9936</v>
      </c>
      <c r="BB38">
        <v>11</v>
      </c>
      <c r="BC38">
        <v>13662</v>
      </c>
      <c r="BD38">
        <v>10</v>
      </c>
      <c r="BE38">
        <v>12420</v>
      </c>
      <c r="BF38">
        <v>9</v>
      </c>
      <c r="BG38">
        <v>11178</v>
      </c>
      <c r="BH38">
        <v>8</v>
      </c>
      <c r="BI38">
        <v>9936</v>
      </c>
      <c r="BJ38">
        <v>8</v>
      </c>
      <c r="BK38">
        <v>9936</v>
      </c>
      <c r="BL38">
        <v>9</v>
      </c>
      <c r="BM38">
        <v>11178</v>
      </c>
      <c r="BN38">
        <v>12</v>
      </c>
      <c r="BO38">
        <v>14904</v>
      </c>
      <c r="BP38">
        <v>15</v>
      </c>
      <c r="BQ38">
        <v>18630</v>
      </c>
      <c r="BR38">
        <v>12</v>
      </c>
      <c r="BS38">
        <v>14904</v>
      </c>
      <c r="BT38">
        <v>7</v>
      </c>
      <c r="BU38">
        <v>8694</v>
      </c>
      <c r="BV38">
        <v>11</v>
      </c>
      <c r="BW38">
        <v>13662</v>
      </c>
      <c r="BX38">
        <v>13</v>
      </c>
      <c r="BY38">
        <v>16146</v>
      </c>
      <c r="BZ38">
        <v>9</v>
      </c>
      <c r="CA38">
        <v>11178</v>
      </c>
      <c r="CB38">
        <v>12</v>
      </c>
      <c r="CC38">
        <v>14904</v>
      </c>
      <c r="CD38">
        <v>7.2335009472049805</v>
      </c>
      <c r="CE38">
        <v>8984.008176428586</v>
      </c>
      <c r="CF38">
        <v>7</v>
      </c>
      <c r="CG38">
        <v>8694</v>
      </c>
      <c r="CH38">
        <v>10</v>
      </c>
      <c r="CI38">
        <v>12420</v>
      </c>
      <c r="CJ38">
        <v>12</v>
      </c>
      <c r="CK38">
        <v>14904</v>
      </c>
      <c r="CL38">
        <v>13.229875087848619</v>
      </c>
      <c r="CM38">
        <v>16431.504859107983</v>
      </c>
      <c r="CN38">
        <v>10</v>
      </c>
      <c r="CO38">
        <v>12420</v>
      </c>
      <c r="CP38">
        <v>13</v>
      </c>
      <c r="CQ38">
        <v>16146</v>
      </c>
      <c r="CR38">
        <v>10.408875790790423</v>
      </c>
      <c r="CS38">
        <v>12927.823732161705</v>
      </c>
      <c r="CT38">
        <v>14</v>
      </c>
      <c r="CU38">
        <v>17388</v>
      </c>
    </row>
    <row r="39" spans="2:99">
      <c r="C39" s="99" t="s">
        <v>206</v>
      </c>
      <c r="D39">
        <v>4.3230498580592513</v>
      </c>
      <c r="E39">
        <v>6152.5645579899265</v>
      </c>
      <c r="F39">
        <v>7</v>
      </c>
      <c r="G39">
        <v>9962.4</v>
      </c>
      <c r="H39">
        <v>9</v>
      </c>
      <c r="I39">
        <v>12808.800000000001</v>
      </c>
      <c r="J39">
        <v>11</v>
      </c>
      <c r="K39">
        <v>15655.2</v>
      </c>
      <c r="L39">
        <v>11</v>
      </c>
      <c r="M39">
        <v>15655.2</v>
      </c>
      <c r="N39">
        <v>11</v>
      </c>
      <c r="O39">
        <v>15655.2</v>
      </c>
      <c r="P39">
        <v>9.174823622378641</v>
      </c>
      <c r="Q39">
        <v>13057.608979369283</v>
      </c>
      <c r="R39">
        <v>13</v>
      </c>
      <c r="S39">
        <v>18501.600000000002</v>
      </c>
      <c r="T39">
        <v>13</v>
      </c>
      <c r="U39">
        <v>18501.600000000002</v>
      </c>
      <c r="V39">
        <v>10</v>
      </c>
      <c r="W39">
        <v>14232</v>
      </c>
      <c r="X39">
        <v>8</v>
      </c>
      <c r="Y39">
        <v>11385.6</v>
      </c>
      <c r="Z39">
        <v>12</v>
      </c>
      <c r="AA39">
        <v>17078.400000000001</v>
      </c>
      <c r="AB39">
        <v>13</v>
      </c>
      <c r="AC39">
        <v>18501.600000000002</v>
      </c>
      <c r="AD39">
        <v>13</v>
      </c>
      <c r="AE39">
        <v>18501.600000000002</v>
      </c>
      <c r="AF39">
        <v>5.7658600588453961</v>
      </c>
      <c r="AG39">
        <v>8205.9720357487677</v>
      </c>
      <c r="AH39">
        <v>9</v>
      </c>
      <c r="AI39">
        <v>12808.800000000001</v>
      </c>
      <c r="AJ39">
        <v>10</v>
      </c>
      <c r="AK39">
        <v>14232</v>
      </c>
      <c r="AL39">
        <v>0.82814428300332388</v>
      </c>
      <c r="AM39">
        <v>1178.6149435703305</v>
      </c>
      <c r="AN39">
        <v>10</v>
      </c>
      <c r="AO39">
        <v>14232</v>
      </c>
      <c r="AP39">
        <v>11</v>
      </c>
      <c r="AQ39">
        <v>15655.2</v>
      </c>
      <c r="AR39">
        <v>10</v>
      </c>
      <c r="AS39">
        <v>14232</v>
      </c>
      <c r="AT39">
        <v>11</v>
      </c>
      <c r="AU39">
        <v>15655.2</v>
      </c>
      <c r="AV39">
        <v>9</v>
      </c>
      <c r="AW39">
        <v>12808.800000000001</v>
      </c>
      <c r="AX39">
        <v>7</v>
      </c>
      <c r="AY39">
        <v>9962.4</v>
      </c>
      <c r="AZ39">
        <v>7</v>
      </c>
      <c r="BA39">
        <v>9962.4</v>
      </c>
      <c r="BB39">
        <v>10</v>
      </c>
      <c r="BC39">
        <v>14232</v>
      </c>
      <c r="BD39">
        <v>10</v>
      </c>
      <c r="BE39">
        <v>14232</v>
      </c>
      <c r="BF39">
        <v>9</v>
      </c>
      <c r="BG39">
        <v>12808.800000000001</v>
      </c>
      <c r="BH39">
        <v>7</v>
      </c>
      <c r="BI39">
        <v>9962.4</v>
      </c>
      <c r="BJ39">
        <v>8</v>
      </c>
      <c r="BK39">
        <v>11385.6</v>
      </c>
      <c r="BL39">
        <v>10</v>
      </c>
      <c r="BM39">
        <v>14232</v>
      </c>
      <c r="BN39">
        <v>12</v>
      </c>
      <c r="BO39">
        <v>17078.400000000001</v>
      </c>
      <c r="BP39">
        <v>13</v>
      </c>
      <c r="BQ39">
        <v>18501.600000000002</v>
      </c>
      <c r="BR39">
        <v>13</v>
      </c>
      <c r="BS39">
        <v>18501.600000000002</v>
      </c>
      <c r="BT39">
        <v>8</v>
      </c>
      <c r="BU39">
        <v>11385.6</v>
      </c>
      <c r="BV39">
        <v>11</v>
      </c>
      <c r="BW39">
        <v>15655.2</v>
      </c>
      <c r="BX39">
        <v>11</v>
      </c>
      <c r="BY39">
        <v>15655.2</v>
      </c>
      <c r="BZ39">
        <v>10</v>
      </c>
      <c r="CA39">
        <v>14232</v>
      </c>
      <c r="CB39">
        <v>12</v>
      </c>
      <c r="CC39">
        <v>17078.400000000001</v>
      </c>
      <c r="CD39">
        <v>6.3293133288043579</v>
      </c>
      <c r="CE39">
        <v>9007.8787295543625</v>
      </c>
      <c r="CF39">
        <v>7</v>
      </c>
      <c r="CG39">
        <v>9962.4</v>
      </c>
      <c r="CH39">
        <v>11</v>
      </c>
      <c r="CI39">
        <v>15655.2</v>
      </c>
      <c r="CJ39">
        <v>13</v>
      </c>
      <c r="CK39">
        <v>18501.600000000002</v>
      </c>
      <c r="CL39">
        <v>13.229875087848619</v>
      </c>
      <c r="CM39">
        <v>18828.758225026155</v>
      </c>
      <c r="CN39">
        <v>9</v>
      </c>
      <c r="CO39">
        <v>12808.800000000001</v>
      </c>
      <c r="CP39">
        <v>13</v>
      </c>
      <c r="CQ39">
        <v>18501.600000000002</v>
      </c>
      <c r="CR39">
        <v>9.4626143552640212</v>
      </c>
      <c r="CS39">
        <v>13467.192750411756</v>
      </c>
      <c r="CT39">
        <v>13</v>
      </c>
      <c r="CU39">
        <v>18501.600000000002</v>
      </c>
    </row>
    <row r="40" spans="2:99">
      <c r="C40" s="99" t="s">
        <v>207</v>
      </c>
      <c r="D40">
        <v>4.3230498580592513</v>
      </c>
      <c r="E40">
        <v>3133.3465371213451</v>
      </c>
      <c r="F40">
        <v>8</v>
      </c>
      <c r="G40">
        <v>5798.4</v>
      </c>
      <c r="H40">
        <v>10</v>
      </c>
      <c r="I40">
        <v>7248</v>
      </c>
      <c r="J40">
        <v>13</v>
      </c>
      <c r="K40">
        <v>9422.4</v>
      </c>
      <c r="L40">
        <v>10</v>
      </c>
      <c r="M40">
        <v>7248</v>
      </c>
      <c r="N40">
        <v>13</v>
      </c>
      <c r="O40">
        <v>9422.4</v>
      </c>
      <c r="P40">
        <v>9.174823622378641</v>
      </c>
      <c r="Q40">
        <v>6649.9121615000386</v>
      </c>
      <c r="R40">
        <v>15</v>
      </c>
      <c r="S40">
        <v>10872</v>
      </c>
      <c r="T40">
        <v>12</v>
      </c>
      <c r="U40">
        <v>8697.5999999999985</v>
      </c>
      <c r="V40">
        <v>9</v>
      </c>
      <c r="W40">
        <v>6523.2</v>
      </c>
      <c r="X40">
        <v>8</v>
      </c>
      <c r="Y40">
        <v>5798.4</v>
      </c>
      <c r="Z40">
        <v>12</v>
      </c>
      <c r="AA40">
        <v>8697.5999999999985</v>
      </c>
      <c r="AB40">
        <v>13</v>
      </c>
      <c r="AC40">
        <v>9422.4</v>
      </c>
      <c r="AD40">
        <v>15</v>
      </c>
      <c r="AE40">
        <v>10872</v>
      </c>
      <c r="AF40">
        <v>6.3424460647299359</v>
      </c>
      <c r="AG40">
        <v>4597.0049077162575</v>
      </c>
      <c r="AH40">
        <v>10</v>
      </c>
      <c r="AI40">
        <v>7248</v>
      </c>
      <c r="AJ40">
        <v>12</v>
      </c>
      <c r="AK40">
        <v>8697.5999999999985</v>
      </c>
      <c r="AL40">
        <v>0.82814428300332388</v>
      </c>
      <c r="AM40">
        <v>600.23897632080912</v>
      </c>
      <c r="AN40">
        <v>10</v>
      </c>
      <c r="AO40">
        <v>7248</v>
      </c>
      <c r="AP40">
        <v>11</v>
      </c>
      <c r="AQ40">
        <v>7972.7999999999993</v>
      </c>
      <c r="AR40">
        <v>10</v>
      </c>
      <c r="AS40">
        <v>7248</v>
      </c>
      <c r="AT40">
        <v>11</v>
      </c>
      <c r="AU40">
        <v>7972.7999999999993</v>
      </c>
      <c r="AV40">
        <v>9</v>
      </c>
      <c r="AW40">
        <v>6523.2</v>
      </c>
      <c r="AX40">
        <v>7</v>
      </c>
      <c r="AY40">
        <v>5073.5999999999995</v>
      </c>
      <c r="AZ40">
        <v>9</v>
      </c>
      <c r="BA40">
        <v>6523.2</v>
      </c>
      <c r="BB40">
        <v>9</v>
      </c>
      <c r="BC40">
        <v>6523.2</v>
      </c>
      <c r="BD40">
        <v>10</v>
      </c>
      <c r="BE40">
        <v>7248</v>
      </c>
      <c r="BF40">
        <v>9</v>
      </c>
      <c r="BG40">
        <v>6523.2</v>
      </c>
      <c r="BH40">
        <v>9</v>
      </c>
      <c r="BI40">
        <v>6523.2</v>
      </c>
      <c r="BJ40">
        <v>8</v>
      </c>
      <c r="BK40">
        <v>5798.4</v>
      </c>
      <c r="BL40">
        <v>9</v>
      </c>
      <c r="BM40">
        <v>6523.2</v>
      </c>
      <c r="BN40">
        <v>13</v>
      </c>
      <c r="BO40">
        <v>9422.4</v>
      </c>
      <c r="BP40">
        <v>13</v>
      </c>
      <c r="BQ40">
        <v>9422.4</v>
      </c>
      <c r="BR40">
        <v>14</v>
      </c>
      <c r="BS40">
        <v>10147.199999999999</v>
      </c>
      <c r="BT40">
        <v>7</v>
      </c>
      <c r="BU40">
        <v>5073.5999999999995</v>
      </c>
      <c r="BV40">
        <v>10</v>
      </c>
      <c r="BW40">
        <v>7248</v>
      </c>
      <c r="BX40">
        <v>12</v>
      </c>
      <c r="BY40">
        <v>8697.5999999999985</v>
      </c>
      <c r="BZ40">
        <v>9</v>
      </c>
      <c r="CA40">
        <v>6523.2</v>
      </c>
      <c r="CB40">
        <v>12</v>
      </c>
      <c r="CC40">
        <v>8697.5999999999985</v>
      </c>
      <c r="CD40">
        <v>6.3293133288043579</v>
      </c>
      <c r="CE40">
        <v>4587.4863007173981</v>
      </c>
      <c r="CF40">
        <v>7</v>
      </c>
      <c r="CG40">
        <v>5073.5999999999995</v>
      </c>
      <c r="CH40">
        <v>11</v>
      </c>
      <c r="CI40">
        <v>7972.7999999999993</v>
      </c>
      <c r="CJ40">
        <v>13</v>
      </c>
      <c r="CK40">
        <v>9422.4</v>
      </c>
      <c r="CL40">
        <v>14.174866165552091</v>
      </c>
      <c r="CM40">
        <v>10273.942996792155</v>
      </c>
      <c r="CN40">
        <v>10</v>
      </c>
      <c r="CO40">
        <v>7248</v>
      </c>
      <c r="CP40">
        <v>14</v>
      </c>
      <c r="CQ40">
        <v>10147.199999999999</v>
      </c>
      <c r="CR40">
        <v>10.408875790790423</v>
      </c>
      <c r="CS40">
        <v>7544.3531731648982</v>
      </c>
      <c r="CT40">
        <v>12</v>
      </c>
      <c r="CU40">
        <v>8697.5999999999985</v>
      </c>
    </row>
    <row r="41" spans="2:99">
      <c r="C41" s="99" t="s">
        <v>208</v>
      </c>
      <c r="D41">
        <v>4.3230498580592513</v>
      </c>
      <c r="E41">
        <v>2853.212906319106</v>
      </c>
      <c r="F41">
        <v>7</v>
      </c>
      <c r="G41">
        <v>4620</v>
      </c>
      <c r="H41">
        <v>10</v>
      </c>
      <c r="I41">
        <v>6600</v>
      </c>
      <c r="J41">
        <v>12</v>
      </c>
      <c r="K41">
        <v>7920</v>
      </c>
      <c r="L41">
        <v>10</v>
      </c>
      <c r="M41">
        <v>6600</v>
      </c>
      <c r="N41">
        <v>11</v>
      </c>
      <c r="O41">
        <v>7260</v>
      </c>
      <c r="P41">
        <v>8.2573412601407767</v>
      </c>
      <c r="Q41">
        <v>5449.8452316929124</v>
      </c>
      <c r="R41">
        <v>13</v>
      </c>
      <c r="S41">
        <v>8580</v>
      </c>
      <c r="T41">
        <v>14</v>
      </c>
      <c r="U41">
        <v>9240</v>
      </c>
      <c r="V41">
        <v>10</v>
      </c>
      <c r="W41">
        <v>6600</v>
      </c>
      <c r="X41">
        <v>7</v>
      </c>
      <c r="Y41">
        <v>4620</v>
      </c>
      <c r="Z41">
        <v>11</v>
      </c>
      <c r="AA41">
        <v>7260</v>
      </c>
      <c r="AB41">
        <v>15</v>
      </c>
      <c r="AC41">
        <v>9900</v>
      </c>
      <c r="AD41">
        <v>14</v>
      </c>
      <c r="AE41">
        <v>9240</v>
      </c>
      <c r="AF41">
        <v>6.3424460647299359</v>
      </c>
      <c r="AG41">
        <v>4186.0144027217575</v>
      </c>
      <c r="AH41">
        <v>11</v>
      </c>
      <c r="AI41">
        <v>7260</v>
      </c>
      <c r="AJ41">
        <v>11</v>
      </c>
      <c r="AK41">
        <v>7260</v>
      </c>
      <c r="AL41">
        <v>0.82814428300332388</v>
      </c>
      <c r="AM41">
        <v>546.57522678219379</v>
      </c>
      <c r="AN41">
        <v>10</v>
      </c>
      <c r="AO41">
        <v>6600</v>
      </c>
      <c r="AP41">
        <v>12</v>
      </c>
      <c r="AQ41">
        <v>7920</v>
      </c>
      <c r="AR41">
        <v>11</v>
      </c>
      <c r="AS41">
        <v>7260</v>
      </c>
      <c r="AT41">
        <v>12</v>
      </c>
      <c r="AU41">
        <v>7920</v>
      </c>
      <c r="AV41">
        <v>10</v>
      </c>
      <c r="AW41">
        <v>6600</v>
      </c>
      <c r="AX41">
        <v>7</v>
      </c>
      <c r="AY41">
        <v>4620</v>
      </c>
      <c r="AZ41">
        <v>8</v>
      </c>
      <c r="BA41">
        <v>5280</v>
      </c>
      <c r="BB41">
        <v>9</v>
      </c>
      <c r="BC41">
        <v>5940</v>
      </c>
      <c r="BD41">
        <v>9</v>
      </c>
      <c r="BE41">
        <v>5940</v>
      </c>
      <c r="BF41">
        <v>10</v>
      </c>
      <c r="BG41">
        <v>6600</v>
      </c>
      <c r="BH41">
        <v>9</v>
      </c>
      <c r="BI41">
        <v>5940</v>
      </c>
      <c r="BJ41">
        <v>8</v>
      </c>
      <c r="BK41">
        <v>5280</v>
      </c>
      <c r="BL41">
        <v>9</v>
      </c>
      <c r="BM41">
        <v>5940</v>
      </c>
      <c r="BN41">
        <v>12</v>
      </c>
      <c r="BO41">
        <v>7920</v>
      </c>
      <c r="BP41">
        <v>13</v>
      </c>
      <c r="BQ41">
        <v>8580</v>
      </c>
      <c r="BR41">
        <v>14</v>
      </c>
      <c r="BS41">
        <v>9240</v>
      </c>
      <c r="BT41">
        <v>8</v>
      </c>
      <c r="BU41">
        <v>5280</v>
      </c>
      <c r="BV41">
        <v>11</v>
      </c>
      <c r="BW41">
        <v>7260</v>
      </c>
      <c r="BX41">
        <v>12</v>
      </c>
      <c r="BY41">
        <v>7920</v>
      </c>
      <c r="BZ41">
        <v>10</v>
      </c>
      <c r="CA41">
        <v>6600</v>
      </c>
      <c r="CB41">
        <v>13</v>
      </c>
      <c r="CC41">
        <v>8580</v>
      </c>
      <c r="CD41">
        <v>7.2335009472049805</v>
      </c>
      <c r="CE41">
        <v>4774.1106251552874</v>
      </c>
      <c r="CF41">
        <v>8</v>
      </c>
      <c r="CG41">
        <v>5280</v>
      </c>
      <c r="CH41">
        <v>12</v>
      </c>
      <c r="CI41">
        <v>7920</v>
      </c>
      <c r="CJ41">
        <v>12</v>
      </c>
      <c r="CK41">
        <v>7920</v>
      </c>
      <c r="CL41">
        <v>13.229875087848619</v>
      </c>
      <c r="CM41">
        <v>8731.7175579800878</v>
      </c>
      <c r="CN41">
        <v>9</v>
      </c>
      <c r="CO41">
        <v>5940</v>
      </c>
      <c r="CP41">
        <v>14</v>
      </c>
      <c r="CQ41">
        <v>9240</v>
      </c>
      <c r="CR41">
        <v>10.408875790790423</v>
      </c>
      <c r="CS41">
        <v>6869.8580219216792</v>
      </c>
      <c r="CT41">
        <v>14</v>
      </c>
      <c r="CU41">
        <v>9240</v>
      </c>
    </row>
    <row r="42" spans="2:99">
      <c r="C42" s="99" t="s">
        <v>209</v>
      </c>
      <c r="D42">
        <v>4.3230498580592513</v>
      </c>
      <c r="E42">
        <v>3657.3001799181266</v>
      </c>
      <c r="F42">
        <v>8</v>
      </c>
      <c r="G42">
        <v>6768</v>
      </c>
      <c r="H42">
        <v>10</v>
      </c>
      <c r="I42">
        <v>8460</v>
      </c>
      <c r="J42">
        <v>12</v>
      </c>
      <c r="K42">
        <v>10152</v>
      </c>
      <c r="L42">
        <v>11</v>
      </c>
      <c r="M42">
        <v>9306</v>
      </c>
      <c r="N42">
        <v>11</v>
      </c>
      <c r="O42">
        <v>9306</v>
      </c>
      <c r="P42">
        <v>8.2573412601407767</v>
      </c>
      <c r="Q42">
        <v>6985.7107060790968</v>
      </c>
      <c r="R42">
        <v>15</v>
      </c>
      <c r="S42">
        <v>12690</v>
      </c>
      <c r="T42">
        <v>12</v>
      </c>
      <c r="U42">
        <v>10152</v>
      </c>
      <c r="V42">
        <v>9</v>
      </c>
      <c r="W42">
        <v>7614</v>
      </c>
      <c r="X42">
        <v>8</v>
      </c>
      <c r="Y42">
        <v>6768</v>
      </c>
      <c r="Z42">
        <v>11</v>
      </c>
      <c r="AA42">
        <v>9306</v>
      </c>
      <c r="AB42">
        <v>15</v>
      </c>
      <c r="AC42">
        <v>12690</v>
      </c>
      <c r="AD42">
        <v>13</v>
      </c>
      <c r="AE42">
        <v>10998</v>
      </c>
      <c r="AF42">
        <v>6.3424460647299359</v>
      </c>
      <c r="AG42">
        <v>5365.7093707615259</v>
      </c>
      <c r="AH42">
        <v>10</v>
      </c>
      <c r="AI42">
        <v>8460</v>
      </c>
      <c r="AJ42">
        <v>11</v>
      </c>
      <c r="AK42">
        <v>9306</v>
      </c>
      <c r="AL42">
        <v>0.82814428300332388</v>
      </c>
      <c r="AM42">
        <v>700.61006342081203</v>
      </c>
      <c r="AN42">
        <v>11</v>
      </c>
      <c r="AO42">
        <v>9306</v>
      </c>
      <c r="AP42">
        <v>11</v>
      </c>
      <c r="AQ42">
        <v>9306</v>
      </c>
      <c r="AR42">
        <v>11</v>
      </c>
      <c r="AS42">
        <v>9306</v>
      </c>
      <c r="AT42">
        <v>11</v>
      </c>
      <c r="AU42">
        <v>9306</v>
      </c>
      <c r="AV42">
        <v>8</v>
      </c>
      <c r="AW42">
        <v>6768</v>
      </c>
      <c r="AX42">
        <v>7</v>
      </c>
      <c r="AY42">
        <v>5922</v>
      </c>
      <c r="AZ42">
        <v>9</v>
      </c>
      <c r="BA42">
        <v>7614</v>
      </c>
      <c r="BB42">
        <v>10</v>
      </c>
      <c r="BC42">
        <v>8460</v>
      </c>
      <c r="BD42">
        <v>10</v>
      </c>
      <c r="BE42">
        <v>8460</v>
      </c>
      <c r="BF42">
        <v>10</v>
      </c>
      <c r="BG42">
        <v>8460</v>
      </c>
      <c r="BH42">
        <v>9</v>
      </c>
      <c r="BI42">
        <v>7614</v>
      </c>
      <c r="BJ42">
        <v>8</v>
      </c>
      <c r="BK42">
        <v>6768</v>
      </c>
      <c r="BL42">
        <v>9</v>
      </c>
      <c r="BM42">
        <v>7614</v>
      </c>
      <c r="BN42">
        <v>11</v>
      </c>
      <c r="BO42">
        <v>9306</v>
      </c>
      <c r="BP42">
        <v>15</v>
      </c>
      <c r="BQ42">
        <v>12690</v>
      </c>
      <c r="BR42">
        <v>13</v>
      </c>
      <c r="BS42">
        <v>10998</v>
      </c>
      <c r="BT42">
        <v>8</v>
      </c>
      <c r="BU42">
        <v>6768</v>
      </c>
      <c r="BV42">
        <v>10</v>
      </c>
      <c r="BW42">
        <v>8460</v>
      </c>
      <c r="BX42">
        <v>13</v>
      </c>
      <c r="BY42">
        <v>10998</v>
      </c>
      <c r="BZ42">
        <v>11</v>
      </c>
      <c r="CA42">
        <v>9306</v>
      </c>
      <c r="CB42">
        <v>13</v>
      </c>
      <c r="CC42">
        <v>10998</v>
      </c>
      <c r="CD42">
        <v>7.2335009472049805</v>
      </c>
      <c r="CE42">
        <v>6119.5418013354138</v>
      </c>
      <c r="CF42">
        <v>8</v>
      </c>
      <c r="CG42">
        <v>6768</v>
      </c>
      <c r="CH42">
        <v>11</v>
      </c>
      <c r="CI42">
        <v>9306</v>
      </c>
      <c r="CJ42">
        <v>14</v>
      </c>
      <c r="CK42">
        <v>11844</v>
      </c>
      <c r="CL42">
        <v>12.284884010145143</v>
      </c>
      <c r="CM42">
        <v>10393.011872582791</v>
      </c>
      <c r="CN42">
        <v>9</v>
      </c>
      <c r="CO42">
        <v>7614</v>
      </c>
      <c r="CP42">
        <v>15</v>
      </c>
      <c r="CQ42">
        <v>12690</v>
      </c>
      <c r="CR42">
        <v>9.4626143552640212</v>
      </c>
      <c r="CS42">
        <v>8005.3717445533621</v>
      </c>
      <c r="CT42">
        <v>14</v>
      </c>
      <c r="CU42">
        <v>11844</v>
      </c>
    </row>
    <row r="43" spans="2:99">
      <c r="C43" s="99" t="s">
        <v>210</v>
      </c>
      <c r="D43">
        <v>4.3230498580592513</v>
      </c>
      <c r="E43">
        <v>4419.8861748797781</v>
      </c>
      <c r="F43">
        <v>7</v>
      </c>
      <c r="G43">
        <v>7156.8</v>
      </c>
      <c r="H43">
        <v>9</v>
      </c>
      <c r="I43">
        <v>9201.6</v>
      </c>
      <c r="J43">
        <v>12</v>
      </c>
      <c r="K43">
        <v>12268.8</v>
      </c>
      <c r="L43">
        <v>10</v>
      </c>
      <c r="M43">
        <v>10224</v>
      </c>
      <c r="N43">
        <v>11</v>
      </c>
      <c r="O43">
        <v>11246.4</v>
      </c>
      <c r="P43">
        <v>8.2573412601407767</v>
      </c>
      <c r="Q43">
        <v>8442.3057043679291</v>
      </c>
      <c r="R43">
        <v>14</v>
      </c>
      <c r="S43">
        <v>14313.6</v>
      </c>
      <c r="T43">
        <v>14</v>
      </c>
      <c r="U43">
        <v>14313.6</v>
      </c>
      <c r="V43">
        <v>9</v>
      </c>
      <c r="W43">
        <v>9201.6</v>
      </c>
      <c r="X43">
        <v>8</v>
      </c>
      <c r="Y43">
        <v>8179.2</v>
      </c>
      <c r="Z43">
        <v>12</v>
      </c>
      <c r="AA43">
        <v>12268.8</v>
      </c>
      <c r="AB43">
        <v>13</v>
      </c>
      <c r="AC43">
        <v>13291.199999999999</v>
      </c>
      <c r="AD43">
        <v>15</v>
      </c>
      <c r="AE43">
        <v>15336</v>
      </c>
      <c r="AF43">
        <v>6.3424460647299359</v>
      </c>
      <c r="AG43">
        <v>6484.5168565798867</v>
      </c>
      <c r="AH43">
        <v>11</v>
      </c>
      <c r="AI43">
        <v>11246.4</v>
      </c>
      <c r="AJ43">
        <v>11</v>
      </c>
      <c r="AK43">
        <v>11246.4</v>
      </c>
      <c r="AL43">
        <v>0.82814428300332388</v>
      </c>
      <c r="AM43">
        <v>846.69471494259835</v>
      </c>
      <c r="AN43">
        <v>11</v>
      </c>
      <c r="AO43">
        <v>11246.4</v>
      </c>
      <c r="AP43">
        <v>13</v>
      </c>
      <c r="AQ43">
        <v>13291.199999999999</v>
      </c>
      <c r="AR43">
        <v>10</v>
      </c>
      <c r="AS43">
        <v>10224</v>
      </c>
      <c r="AT43">
        <v>10</v>
      </c>
      <c r="AU43">
        <v>10224</v>
      </c>
      <c r="AV43">
        <v>8</v>
      </c>
      <c r="AW43">
        <v>8179.2</v>
      </c>
      <c r="AX43">
        <v>8</v>
      </c>
      <c r="AY43">
        <v>8179.2</v>
      </c>
      <c r="AZ43">
        <v>9</v>
      </c>
      <c r="BA43">
        <v>9201.6</v>
      </c>
      <c r="BB43">
        <v>10</v>
      </c>
      <c r="BC43">
        <v>10224</v>
      </c>
      <c r="BD43">
        <v>10</v>
      </c>
      <c r="BE43">
        <v>10224</v>
      </c>
      <c r="BF43">
        <v>8</v>
      </c>
      <c r="BG43">
        <v>8179.2</v>
      </c>
      <c r="BH43">
        <v>9</v>
      </c>
      <c r="BI43">
        <v>9201.6</v>
      </c>
      <c r="BJ43">
        <v>8</v>
      </c>
      <c r="BK43">
        <v>8179.2</v>
      </c>
      <c r="BL43">
        <v>9</v>
      </c>
      <c r="BM43">
        <v>9201.6</v>
      </c>
      <c r="BN43">
        <v>12</v>
      </c>
      <c r="BO43">
        <v>12268.8</v>
      </c>
      <c r="BP43">
        <v>13</v>
      </c>
      <c r="BQ43">
        <v>13291.199999999999</v>
      </c>
      <c r="BR43">
        <v>13</v>
      </c>
      <c r="BS43">
        <v>13291.199999999999</v>
      </c>
      <c r="BT43">
        <v>8</v>
      </c>
      <c r="BU43">
        <v>8179.2</v>
      </c>
      <c r="BV43">
        <v>10</v>
      </c>
      <c r="BW43">
        <v>10224</v>
      </c>
      <c r="BX43">
        <v>11</v>
      </c>
      <c r="BY43">
        <v>11246.4</v>
      </c>
      <c r="BZ43">
        <v>10</v>
      </c>
      <c r="CA43">
        <v>10224</v>
      </c>
      <c r="CB43">
        <v>12</v>
      </c>
      <c r="CC43">
        <v>12268.8</v>
      </c>
      <c r="CD43">
        <v>7.2335009472049805</v>
      </c>
      <c r="CE43">
        <v>7395.531368422372</v>
      </c>
      <c r="CF43">
        <v>7</v>
      </c>
      <c r="CG43">
        <v>7156.8</v>
      </c>
      <c r="CH43">
        <v>12</v>
      </c>
      <c r="CI43">
        <v>12268.8</v>
      </c>
      <c r="CJ43">
        <v>12</v>
      </c>
      <c r="CK43">
        <v>12268.8</v>
      </c>
      <c r="CL43">
        <v>12.284884010145143</v>
      </c>
      <c r="CM43">
        <v>12560.065411972395</v>
      </c>
      <c r="CN43">
        <v>10</v>
      </c>
      <c r="CO43">
        <v>10224</v>
      </c>
      <c r="CP43">
        <v>14</v>
      </c>
      <c r="CQ43">
        <v>14313.6</v>
      </c>
      <c r="CR43">
        <v>9.4626143552640212</v>
      </c>
      <c r="CS43">
        <v>9674.5769168219358</v>
      </c>
      <c r="CT43">
        <v>12</v>
      </c>
      <c r="CU43">
        <v>12268.8</v>
      </c>
    </row>
    <row r="44" spans="2:99">
      <c r="C44" s="99" t="s">
        <v>211</v>
      </c>
      <c r="D44">
        <v>4.7160543906100925</v>
      </c>
      <c r="E44">
        <v>4821.6940089597583</v>
      </c>
      <c r="F44">
        <v>7</v>
      </c>
      <c r="G44">
        <v>7156.8</v>
      </c>
      <c r="H44">
        <v>8</v>
      </c>
      <c r="I44">
        <v>8179.2</v>
      </c>
      <c r="J44">
        <v>11</v>
      </c>
      <c r="K44">
        <v>11246.4</v>
      </c>
      <c r="L44">
        <v>12</v>
      </c>
      <c r="M44">
        <v>12268.8</v>
      </c>
      <c r="N44">
        <v>10</v>
      </c>
      <c r="O44">
        <v>10224</v>
      </c>
      <c r="P44">
        <v>8.2573412601407767</v>
      </c>
      <c r="Q44">
        <v>8442.3057043679291</v>
      </c>
      <c r="R44">
        <v>15</v>
      </c>
      <c r="S44">
        <v>15336</v>
      </c>
      <c r="T44">
        <v>12</v>
      </c>
      <c r="U44">
        <v>12268.8</v>
      </c>
      <c r="V44">
        <v>11</v>
      </c>
      <c r="W44">
        <v>11246.4</v>
      </c>
      <c r="X44">
        <v>8</v>
      </c>
      <c r="Y44">
        <v>8179.2</v>
      </c>
      <c r="Z44">
        <v>11</v>
      </c>
      <c r="AA44">
        <v>11246.4</v>
      </c>
      <c r="AB44">
        <v>13</v>
      </c>
      <c r="AC44">
        <v>13291.199999999999</v>
      </c>
      <c r="AD44">
        <v>13</v>
      </c>
      <c r="AE44">
        <v>13291.199999999999</v>
      </c>
      <c r="AF44">
        <v>5.7658600588453961</v>
      </c>
      <c r="AG44">
        <v>5895.0153241635326</v>
      </c>
      <c r="AH44">
        <v>11</v>
      </c>
      <c r="AI44">
        <v>11246.4</v>
      </c>
      <c r="AJ44">
        <v>10</v>
      </c>
      <c r="AK44">
        <v>10224</v>
      </c>
      <c r="AL44">
        <v>0.93166231837873936</v>
      </c>
      <c r="AM44">
        <v>952.53155431042308</v>
      </c>
      <c r="AN44">
        <v>10</v>
      </c>
      <c r="AO44">
        <v>10224</v>
      </c>
      <c r="AP44">
        <v>11</v>
      </c>
      <c r="AQ44">
        <v>11246.4</v>
      </c>
      <c r="AR44">
        <v>9</v>
      </c>
      <c r="AS44">
        <v>9201.6</v>
      </c>
      <c r="AT44">
        <v>11</v>
      </c>
      <c r="AU44">
        <v>11246.4</v>
      </c>
      <c r="AV44">
        <v>8</v>
      </c>
      <c r="AW44">
        <v>8179.2</v>
      </c>
      <c r="AX44">
        <v>7</v>
      </c>
      <c r="AY44">
        <v>7156.8</v>
      </c>
      <c r="AZ44">
        <v>8</v>
      </c>
      <c r="BA44">
        <v>8179.2</v>
      </c>
      <c r="BB44">
        <v>9</v>
      </c>
      <c r="BC44">
        <v>9201.6</v>
      </c>
      <c r="BD44">
        <v>9</v>
      </c>
      <c r="BE44">
        <v>9201.6</v>
      </c>
      <c r="BF44">
        <v>9</v>
      </c>
      <c r="BG44">
        <v>9201.6</v>
      </c>
      <c r="BH44">
        <v>9</v>
      </c>
      <c r="BI44">
        <v>9201.6</v>
      </c>
      <c r="BJ44">
        <v>7</v>
      </c>
      <c r="BK44">
        <v>7156.8</v>
      </c>
      <c r="BL44">
        <v>9</v>
      </c>
      <c r="BM44">
        <v>9201.6</v>
      </c>
      <c r="BN44">
        <v>11</v>
      </c>
      <c r="BO44">
        <v>11246.4</v>
      </c>
      <c r="BP44">
        <v>14</v>
      </c>
      <c r="BQ44">
        <v>14313.6</v>
      </c>
      <c r="BR44">
        <v>14</v>
      </c>
      <c r="BS44">
        <v>14313.6</v>
      </c>
      <c r="BT44">
        <v>8</v>
      </c>
      <c r="BU44">
        <v>8179.2</v>
      </c>
      <c r="BV44">
        <v>10</v>
      </c>
      <c r="BW44">
        <v>10224</v>
      </c>
      <c r="BX44">
        <v>12</v>
      </c>
      <c r="BY44">
        <v>12268.8</v>
      </c>
      <c r="BZ44">
        <v>11</v>
      </c>
      <c r="CA44">
        <v>11246.4</v>
      </c>
      <c r="CB44">
        <v>14</v>
      </c>
      <c r="CC44">
        <v>14313.6</v>
      </c>
      <c r="CD44">
        <v>6.3293133288043579</v>
      </c>
      <c r="CE44">
        <v>6471.0899473695754</v>
      </c>
      <c r="CF44">
        <v>7</v>
      </c>
      <c r="CG44">
        <v>7156.8</v>
      </c>
      <c r="CH44">
        <v>11</v>
      </c>
      <c r="CI44">
        <v>11246.4</v>
      </c>
      <c r="CJ44">
        <v>12</v>
      </c>
      <c r="CK44">
        <v>12268.8</v>
      </c>
      <c r="CL44">
        <v>13.229875087848619</v>
      </c>
      <c r="CM44">
        <v>13526.224289816428</v>
      </c>
      <c r="CN44">
        <v>10</v>
      </c>
      <c r="CO44">
        <v>10224</v>
      </c>
      <c r="CP44">
        <v>13</v>
      </c>
      <c r="CQ44">
        <v>13291.199999999999</v>
      </c>
      <c r="CR44">
        <v>10.408875790790423</v>
      </c>
      <c r="CS44">
        <v>10642.034608504129</v>
      </c>
      <c r="CT44">
        <v>14</v>
      </c>
      <c r="CU44">
        <v>14313.6</v>
      </c>
    </row>
    <row r="45" spans="2:99">
      <c r="C45" s="99" t="s">
        <v>212</v>
      </c>
      <c r="D45">
        <v>4.7160543906100925</v>
      </c>
      <c r="E45">
        <v>5891.2951447501273</v>
      </c>
      <c r="F45">
        <v>8</v>
      </c>
      <c r="G45">
        <v>9993.6</v>
      </c>
      <c r="H45">
        <v>10</v>
      </c>
      <c r="I45">
        <v>12492</v>
      </c>
      <c r="J45">
        <v>12</v>
      </c>
      <c r="K45">
        <v>14990.400000000001</v>
      </c>
      <c r="L45">
        <v>10</v>
      </c>
      <c r="M45">
        <v>12492</v>
      </c>
      <c r="N45">
        <v>12</v>
      </c>
      <c r="O45">
        <v>14990.400000000001</v>
      </c>
      <c r="P45">
        <v>9.174823622378641</v>
      </c>
      <c r="Q45">
        <v>11461.189669075398</v>
      </c>
      <c r="R45">
        <v>13</v>
      </c>
      <c r="S45">
        <v>16239.6</v>
      </c>
      <c r="T45">
        <v>13</v>
      </c>
      <c r="U45">
        <v>16239.6</v>
      </c>
      <c r="V45">
        <v>10</v>
      </c>
      <c r="W45">
        <v>12492</v>
      </c>
      <c r="X45">
        <v>7</v>
      </c>
      <c r="Y45">
        <v>8744.4</v>
      </c>
      <c r="Z45">
        <v>13</v>
      </c>
      <c r="AA45">
        <v>16239.6</v>
      </c>
      <c r="AB45">
        <v>14</v>
      </c>
      <c r="AC45">
        <v>17488.8</v>
      </c>
      <c r="AD45">
        <v>14</v>
      </c>
      <c r="AE45">
        <v>17488.8</v>
      </c>
      <c r="AF45">
        <v>6.9190320706144748</v>
      </c>
      <c r="AG45">
        <v>8643.2548626116022</v>
      </c>
      <c r="AH45">
        <v>10</v>
      </c>
      <c r="AI45">
        <v>12492</v>
      </c>
      <c r="AJ45">
        <v>11</v>
      </c>
      <c r="AK45">
        <v>13741.2</v>
      </c>
      <c r="AL45">
        <v>0.93166231837873936</v>
      </c>
      <c r="AM45">
        <v>1163.8325681187212</v>
      </c>
      <c r="AN45">
        <v>10</v>
      </c>
      <c r="AO45">
        <v>12492</v>
      </c>
      <c r="AP45">
        <v>11</v>
      </c>
      <c r="AQ45">
        <v>13741.2</v>
      </c>
      <c r="AR45">
        <v>9</v>
      </c>
      <c r="AS45">
        <v>11242.800000000001</v>
      </c>
      <c r="AT45">
        <v>11</v>
      </c>
      <c r="AU45">
        <v>13741.2</v>
      </c>
      <c r="AV45">
        <v>9</v>
      </c>
      <c r="AW45">
        <v>11242.800000000001</v>
      </c>
      <c r="AX45">
        <v>8</v>
      </c>
      <c r="AY45">
        <v>9993.6</v>
      </c>
      <c r="AZ45">
        <v>9</v>
      </c>
      <c r="BA45">
        <v>11242.800000000001</v>
      </c>
      <c r="BB45">
        <v>10</v>
      </c>
      <c r="BC45">
        <v>12492</v>
      </c>
      <c r="BD45">
        <v>9</v>
      </c>
      <c r="BE45">
        <v>11242.800000000001</v>
      </c>
      <c r="BF45">
        <v>9</v>
      </c>
      <c r="BG45">
        <v>11242.800000000001</v>
      </c>
      <c r="BH45">
        <v>8</v>
      </c>
      <c r="BI45">
        <v>9993.6</v>
      </c>
      <c r="BJ45">
        <v>8</v>
      </c>
      <c r="BK45">
        <v>9993.6</v>
      </c>
      <c r="BL45">
        <v>9</v>
      </c>
      <c r="BM45">
        <v>11242.800000000001</v>
      </c>
      <c r="BN45">
        <v>12</v>
      </c>
      <c r="BO45">
        <v>14990.400000000001</v>
      </c>
      <c r="BP45">
        <v>15</v>
      </c>
      <c r="BQ45">
        <v>18738</v>
      </c>
      <c r="BR45">
        <v>12</v>
      </c>
      <c r="BS45">
        <v>14990.400000000001</v>
      </c>
      <c r="BT45">
        <v>8</v>
      </c>
      <c r="BU45">
        <v>9993.6</v>
      </c>
      <c r="BV45">
        <v>11</v>
      </c>
      <c r="BW45">
        <v>13741.2</v>
      </c>
      <c r="BX45">
        <v>12</v>
      </c>
      <c r="BY45">
        <v>14990.400000000001</v>
      </c>
      <c r="BZ45">
        <v>9</v>
      </c>
      <c r="CA45">
        <v>11242.800000000001</v>
      </c>
      <c r="CB45">
        <v>12</v>
      </c>
      <c r="CC45">
        <v>14990.400000000001</v>
      </c>
      <c r="CD45">
        <v>6.3293133288043579</v>
      </c>
      <c r="CE45">
        <v>7906.5782103424044</v>
      </c>
      <c r="CF45">
        <v>7</v>
      </c>
      <c r="CG45">
        <v>8744.4</v>
      </c>
      <c r="CH45">
        <v>10</v>
      </c>
      <c r="CI45">
        <v>12492</v>
      </c>
      <c r="CJ45">
        <v>13</v>
      </c>
      <c r="CK45">
        <v>16239.6</v>
      </c>
      <c r="CL45">
        <v>12.284884010145143</v>
      </c>
      <c r="CM45">
        <v>15346.277105473313</v>
      </c>
      <c r="CN45">
        <v>10</v>
      </c>
      <c r="CO45">
        <v>12492</v>
      </c>
      <c r="CP45">
        <v>13</v>
      </c>
      <c r="CQ45">
        <v>16239.6</v>
      </c>
      <c r="CR45">
        <v>9.4626143552640212</v>
      </c>
      <c r="CS45">
        <v>11820.697852595817</v>
      </c>
      <c r="CT45">
        <v>11</v>
      </c>
      <c r="CU45">
        <v>13741.2</v>
      </c>
    </row>
    <row r="46" spans="2:99">
      <c r="C46" s="99" t="s">
        <v>213</v>
      </c>
      <c r="D46">
        <v>3.9300453255084107</v>
      </c>
      <c r="E46">
        <v>4763.2149345161934</v>
      </c>
      <c r="F46">
        <v>7</v>
      </c>
      <c r="G46">
        <v>8484</v>
      </c>
      <c r="H46">
        <v>10</v>
      </c>
      <c r="I46">
        <v>12120</v>
      </c>
      <c r="J46">
        <v>12</v>
      </c>
      <c r="K46">
        <v>14544</v>
      </c>
      <c r="L46">
        <v>10</v>
      </c>
      <c r="M46">
        <v>12120</v>
      </c>
      <c r="N46">
        <v>11</v>
      </c>
      <c r="O46">
        <v>13332</v>
      </c>
      <c r="P46">
        <v>9.174823622378641</v>
      </c>
      <c r="Q46">
        <v>11119.886230322913</v>
      </c>
      <c r="R46">
        <v>14</v>
      </c>
      <c r="S46">
        <v>16968</v>
      </c>
      <c r="T46">
        <v>12</v>
      </c>
      <c r="U46">
        <v>14544</v>
      </c>
      <c r="V46">
        <v>10</v>
      </c>
      <c r="W46">
        <v>12120</v>
      </c>
      <c r="X46">
        <v>8</v>
      </c>
      <c r="Y46">
        <v>9696</v>
      </c>
      <c r="Z46">
        <v>12</v>
      </c>
      <c r="AA46">
        <v>14544</v>
      </c>
      <c r="AB46">
        <v>12</v>
      </c>
      <c r="AC46">
        <v>14544</v>
      </c>
      <c r="AD46">
        <v>15</v>
      </c>
      <c r="AE46">
        <v>18180</v>
      </c>
      <c r="AF46">
        <v>6.3424460647299359</v>
      </c>
      <c r="AG46">
        <v>7687.0446304526822</v>
      </c>
      <c r="AH46">
        <v>11</v>
      </c>
      <c r="AI46">
        <v>13332</v>
      </c>
      <c r="AJ46">
        <v>11</v>
      </c>
      <c r="AK46">
        <v>13332</v>
      </c>
      <c r="AL46">
        <v>0.82814428300332388</v>
      </c>
      <c r="AM46">
        <v>1003.7108710000285</v>
      </c>
      <c r="AN46">
        <v>11</v>
      </c>
      <c r="AO46">
        <v>13332</v>
      </c>
      <c r="AP46">
        <v>12</v>
      </c>
      <c r="AQ46">
        <v>14544</v>
      </c>
      <c r="AR46">
        <v>11</v>
      </c>
      <c r="AS46">
        <v>13332</v>
      </c>
      <c r="AT46">
        <v>12</v>
      </c>
      <c r="AU46">
        <v>14544</v>
      </c>
      <c r="AV46">
        <v>9</v>
      </c>
      <c r="AW46">
        <v>10908</v>
      </c>
      <c r="AX46">
        <v>7</v>
      </c>
      <c r="AY46">
        <v>8484</v>
      </c>
      <c r="AZ46">
        <v>8</v>
      </c>
      <c r="BA46">
        <v>9696</v>
      </c>
      <c r="BB46">
        <v>10</v>
      </c>
      <c r="BC46">
        <v>12120</v>
      </c>
      <c r="BD46">
        <v>11</v>
      </c>
      <c r="BE46">
        <v>13332</v>
      </c>
      <c r="BF46">
        <v>9</v>
      </c>
      <c r="BG46">
        <v>10908</v>
      </c>
      <c r="BH46">
        <v>8</v>
      </c>
      <c r="BI46">
        <v>9696</v>
      </c>
      <c r="BJ46">
        <v>8</v>
      </c>
      <c r="BK46">
        <v>9696</v>
      </c>
      <c r="BL46">
        <v>9</v>
      </c>
      <c r="BM46">
        <v>10908</v>
      </c>
      <c r="BN46">
        <v>13</v>
      </c>
      <c r="BO46">
        <v>15756</v>
      </c>
      <c r="BP46">
        <v>15</v>
      </c>
      <c r="BQ46">
        <v>18180</v>
      </c>
      <c r="BR46">
        <v>12</v>
      </c>
      <c r="BS46">
        <v>14544</v>
      </c>
      <c r="BT46">
        <v>7</v>
      </c>
      <c r="BU46">
        <v>8484</v>
      </c>
      <c r="BV46">
        <v>10</v>
      </c>
      <c r="BW46">
        <v>12120</v>
      </c>
      <c r="BX46">
        <v>13</v>
      </c>
      <c r="BY46">
        <v>15756</v>
      </c>
      <c r="BZ46">
        <v>10</v>
      </c>
      <c r="CA46">
        <v>12120</v>
      </c>
      <c r="CB46">
        <v>12</v>
      </c>
      <c r="CC46">
        <v>14544</v>
      </c>
      <c r="CD46">
        <v>7.2335009472049805</v>
      </c>
      <c r="CE46">
        <v>8767.0031480124362</v>
      </c>
      <c r="CF46">
        <v>8</v>
      </c>
      <c r="CG46">
        <v>9696</v>
      </c>
      <c r="CH46">
        <v>11</v>
      </c>
      <c r="CI46">
        <v>13332</v>
      </c>
      <c r="CJ46">
        <v>14</v>
      </c>
      <c r="CK46">
        <v>16968</v>
      </c>
      <c r="CL46">
        <v>12.284884010145143</v>
      </c>
      <c r="CM46">
        <v>14889.279420295914</v>
      </c>
      <c r="CN46">
        <v>8</v>
      </c>
      <c r="CO46">
        <v>9696</v>
      </c>
      <c r="CP46">
        <v>14</v>
      </c>
      <c r="CQ46">
        <v>16968</v>
      </c>
      <c r="CR46">
        <v>8.5163529197376189</v>
      </c>
      <c r="CS46">
        <v>10321.819738721993</v>
      </c>
      <c r="CT46">
        <v>12</v>
      </c>
      <c r="CU46">
        <v>14544</v>
      </c>
    </row>
    <row r="47" spans="2:99">
      <c r="C47" s="99" t="s">
        <v>214</v>
      </c>
      <c r="D47">
        <v>4.3230498580592513</v>
      </c>
      <c r="E47">
        <v>6603.8909631713123</v>
      </c>
      <c r="F47">
        <v>7</v>
      </c>
      <c r="G47">
        <v>10693.199999999999</v>
      </c>
      <c r="H47">
        <v>9</v>
      </c>
      <c r="I47">
        <v>13748.4</v>
      </c>
      <c r="J47">
        <v>12</v>
      </c>
      <c r="K47">
        <v>18331.199999999997</v>
      </c>
      <c r="L47">
        <v>10</v>
      </c>
      <c r="M47">
        <v>15276</v>
      </c>
      <c r="N47">
        <v>12</v>
      </c>
      <c r="O47">
        <v>18331.199999999997</v>
      </c>
      <c r="P47">
        <v>8.2573412601407767</v>
      </c>
      <c r="Q47">
        <v>12613.914508991049</v>
      </c>
      <c r="R47">
        <v>14</v>
      </c>
      <c r="S47">
        <v>21386.399999999998</v>
      </c>
      <c r="T47">
        <v>12</v>
      </c>
      <c r="U47">
        <v>18331.199999999997</v>
      </c>
      <c r="V47">
        <v>10</v>
      </c>
      <c r="W47">
        <v>15276</v>
      </c>
      <c r="X47">
        <v>7</v>
      </c>
      <c r="Y47">
        <v>10693.199999999999</v>
      </c>
      <c r="Z47">
        <v>12</v>
      </c>
      <c r="AA47">
        <v>18331.199999999997</v>
      </c>
      <c r="AB47">
        <v>14</v>
      </c>
      <c r="AC47">
        <v>21386.399999999998</v>
      </c>
      <c r="AD47">
        <v>14</v>
      </c>
      <c r="AE47">
        <v>21386.399999999998</v>
      </c>
      <c r="AF47">
        <v>5.7658600588453961</v>
      </c>
      <c r="AG47">
        <v>8807.9278258922259</v>
      </c>
      <c r="AH47">
        <v>11</v>
      </c>
      <c r="AI47">
        <v>16803.599999999999</v>
      </c>
      <c r="AJ47">
        <v>10</v>
      </c>
      <c r="AK47">
        <v>15276</v>
      </c>
      <c r="AL47">
        <v>0.82814428300332388</v>
      </c>
      <c r="AM47">
        <v>1265.0732067158774</v>
      </c>
      <c r="AN47">
        <v>10</v>
      </c>
      <c r="AO47">
        <v>15276</v>
      </c>
      <c r="AP47">
        <v>11</v>
      </c>
      <c r="AQ47">
        <v>16803.599999999999</v>
      </c>
      <c r="AR47">
        <v>10</v>
      </c>
      <c r="AS47">
        <v>15276</v>
      </c>
      <c r="AT47">
        <v>11</v>
      </c>
      <c r="AU47">
        <v>16803.599999999999</v>
      </c>
      <c r="AV47">
        <v>9</v>
      </c>
      <c r="AW47">
        <v>13748.4</v>
      </c>
      <c r="AX47">
        <v>8</v>
      </c>
      <c r="AY47">
        <v>12220.8</v>
      </c>
      <c r="AZ47">
        <v>8</v>
      </c>
      <c r="BA47">
        <v>12220.8</v>
      </c>
      <c r="BB47">
        <v>9</v>
      </c>
      <c r="BC47">
        <v>13748.4</v>
      </c>
      <c r="BD47">
        <v>9</v>
      </c>
      <c r="BE47">
        <v>13748.4</v>
      </c>
      <c r="BF47">
        <v>9</v>
      </c>
      <c r="BG47">
        <v>13748.4</v>
      </c>
      <c r="BH47">
        <v>9</v>
      </c>
      <c r="BI47">
        <v>13748.4</v>
      </c>
      <c r="BJ47">
        <v>8</v>
      </c>
      <c r="BK47">
        <v>12220.8</v>
      </c>
      <c r="BL47">
        <v>9</v>
      </c>
      <c r="BM47">
        <v>13748.4</v>
      </c>
      <c r="BN47">
        <v>12</v>
      </c>
      <c r="BO47">
        <v>18331.199999999997</v>
      </c>
      <c r="BP47">
        <v>13</v>
      </c>
      <c r="BQ47">
        <v>19858.8</v>
      </c>
      <c r="BR47">
        <v>12</v>
      </c>
      <c r="BS47">
        <v>18331.199999999997</v>
      </c>
      <c r="BT47">
        <v>7</v>
      </c>
      <c r="BU47">
        <v>10693.199999999999</v>
      </c>
      <c r="BV47">
        <v>9</v>
      </c>
      <c r="BW47">
        <v>13748.4</v>
      </c>
      <c r="BX47">
        <v>13</v>
      </c>
      <c r="BY47">
        <v>19858.8</v>
      </c>
      <c r="BZ47">
        <v>10</v>
      </c>
      <c r="CA47">
        <v>15276</v>
      </c>
      <c r="CB47">
        <v>12</v>
      </c>
      <c r="CC47">
        <v>18331.199999999997</v>
      </c>
      <c r="CD47">
        <v>7.2335009472049805</v>
      </c>
      <c r="CE47">
        <v>11049.896046950327</v>
      </c>
      <c r="CF47">
        <v>7</v>
      </c>
      <c r="CG47">
        <v>10693.199999999999</v>
      </c>
      <c r="CH47">
        <v>11</v>
      </c>
      <c r="CI47">
        <v>16803.599999999999</v>
      </c>
      <c r="CJ47">
        <v>12</v>
      </c>
      <c r="CK47">
        <v>18331.199999999997</v>
      </c>
      <c r="CL47">
        <v>13.229875087848619</v>
      </c>
      <c r="CM47">
        <v>20209.957184197548</v>
      </c>
      <c r="CN47">
        <v>8</v>
      </c>
      <c r="CO47">
        <v>12220.8</v>
      </c>
      <c r="CP47">
        <v>14</v>
      </c>
      <c r="CQ47">
        <v>21386.399999999998</v>
      </c>
      <c r="CR47">
        <v>8.5163529197376189</v>
      </c>
      <c r="CS47">
        <v>13009.580720191187</v>
      </c>
      <c r="CT47">
        <v>13</v>
      </c>
      <c r="CU47">
        <v>19858.8</v>
      </c>
    </row>
    <row r="48" spans="2:99">
      <c r="C48" s="99" t="s">
        <v>215</v>
      </c>
      <c r="D48">
        <v>3.9300453255084107</v>
      </c>
      <c r="E48">
        <v>3409.707324411097</v>
      </c>
      <c r="F48">
        <v>7</v>
      </c>
      <c r="G48">
        <v>6073.2</v>
      </c>
      <c r="H48">
        <v>9</v>
      </c>
      <c r="I48">
        <v>7808.4000000000005</v>
      </c>
      <c r="J48">
        <v>12</v>
      </c>
      <c r="K48">
        <v>10411.200000000001</v>
      </c>
      <c r="L48">
        <v>10</v>
      </c>
      <c r="M48">
        <v>8676</v>
      </c>
      <c r="N48">
        <v>12</v>
      </c>
      <c r="O48">
        <v>10411.200000000001</v>
      </c>
      <c r="P48">
        <v>9.174823622378641</v>
      </c>
      <c r="Q48">
        <v>7960.0769747757095</v>
      </c>
      <c r="R48">
        <v>14</v>
      </c>
      <c r="S48">
        <v>12146.4</v>
      </c>
      <c r="T48">
        <v>13</v>
      </c>
      <c r="U48">
        <v>11278.800000000001</v>
      </c>
      <c r="V48">
        <v>11</v>
      </c>
      <c r="W48">
        <v>9543.6</v>
      </c>
      <c r="X48">
        <v>8</v>
      </c>
      <c r="Y48">
        <v>6940.8</v>
      </c>
      <c r="Z48">
        <v>11</v>
      </c>
      <c r="AA48">
        <v>9543.6</v>
      </c>
      <c r="AB48">
        <v>15</v>
      </c>
      <c r="AC48">
        <v>13014</v>
      </c>
      <c r="AD48">
        <v>14</v>
      </c>
      <c r="AE48">
        <v>12146.4</v>
      </c>
      <c r="AF48">
        <v>6.9190320706144748</v>
      </c>
      <c r="AG48">
        <v>6002.9522244651189</v>
      </c>
      <c r="AH48">
        <v>10</v>
      </c>
      <c r="AI48">
        <v>8676</v>
      </c>
      <c r="AJ48">
        <v>10</v>
      </c>
      <c r="AK48">
        <v>8676</v>
      </c>
      <c r="AL48">
        <v>0.93166231837873936</v>
      </c>
      <c r="AM48">
        <v>808.31022742539426</v>
      </c>
      <c r="AN48">
        <v>10</v>
      </c>
      <c r="AO48">
        <v>8676</v>
      </c>
      <c r="AP48">
        <v>13</v>
      </c>
      <c r="AQ48">
        <v>11278.800000000001</v>
      </c>
      <c r="AR48">
        <v>11</v>
      </c>
      <c r="AS48">
        <v>9543.6</v>
      </c>
      <c r="AT48">
        <v>11</v>
      </c>
      <c r="AU48">
        <v>9543.6</v>
      </c>
      <c r="AV48">
        <v>9</v>
      </c>
      <c r="AW48">
        <v>7808.4000000000005</v>
      </c>
      <c r="AX48">
        <v>7</v>
      </c>
      <c r="AY48">
        <v>6073.2</v>
      </c>
      <c r="AZ48">
        <v>8</v>
      </c>
      <c r="BA48">
        <v>6940.8</v>
      </c>
      <c r="BB48">
        <v>10</v>
      </c>
      <c r="BC48">
        <v>8676</v>
      </c>
      <c r="BD48">
        <v>9</v>
      </c>
      <c r="BE48">
        <v>7808.4000000000005</v>
      </c>
      <c r="BF48">
        <v>8</v>
      </c>
      <c r="BG48">
        <v>6940.8</v>
      </c>
      <c r="BH48">
        <v>9</v>
      </c>
      <c r="BI48">
        <v>7808.4000000000005</v>
      </c>
      <c r="BJ48">
        <v>7</v>
      </c>
      <c r="BK48">
        <v>6073.2</v>
      </c>
      <c r="BL48">
        <v>10</v>
      </c>
      <c r="BM48">
        <v>8676</v>
      </c>
      <c r="BN48">
        <v>11</v>
      </c>
      <c r="BO48">
        <v>9543.6</v>
      </c>
      <c r="BP48">
        <v>14</v>
      </c>
      <c r="BQ48">
        <v>12146.4</v>
      </c>
      <c r="BR48">
        <v>13</v>
      </c>
      <c r="BS48">
        <v>11278.800000000001</v>
      </c>
      <c r="BT48">
        <v>8</v>
      </c>
      <c r="BU48">
        <v>6940.8</v>
      </c>
      <c r="BV48">
        <v>11</v>
      </c>
      <c r="BW48">
        <v>9543.6</v>
      </c>
      <c r="BX48">
        <v>13</v>
      </c>
      <c r="BY48">
        <v>11278.800000000001</v>
      </c>
      <c r="BZ48">
        <v>11</v>
      </c>
      <c r="CA48">
        <v>9543.6</v>
      </c>
      <c r="CB48">
        <v>14</v>
      </c>
      <c r="CC48">
        <v>12146.4</v>
      </c>
      <c r="CD48">
        <v>6.3293133288043579</v>
      </c>
      <c r="CE48">
        <v>5491.3122440706611</v>
      </c>
      <c r="CF48">
        <v>8</v>
      </c>
      <c r="CG48">
        <v>6940.8</v>
      </c>
      <c r="CH48">
        <v>10</v>
      </c>
      <c r="CI48">
        <v>8676</v>
      </c>
      <c r="CJ48">
        <v>14</v>
      </c>
      <c r="CK48">
        <v>12146.4</v>
      </c>
      <c r="CL48">
        <v>12.284884010145143</v>
      </c>
      <c r="CM48">
        <v>10658.365367201926</v>
      </c>
      <c r="CN48">
        <v>9</v>
      </c>
      <c r="CO48">
        <v>7808.4000000000005</v>
      </c>
      <c r="CP48">
        <v>15</v>
      </c>
      <c r="CQ48">
        <v>13014</v>
      </c>
      <c r="CR48">
        <v>9.4626143552640212</v>
      </c>
      <c r="CS48">
        <v>8209.7642146270646</v>
      </c>
      <c r="CT48">
        <v>12</v>
      </c>
      <c r="CU48">
        <v>10411.200000000001</v>
      </c>
    </row>
    <row r="49" spans="2:99">
      <c r="B49" s="99" t="s">
        <v>129</v>
      </c>
      <c r="C49" s="99" t="s">
        <v>216</v>
      </c>
      <c r="D49">
        <v>8.6875758496645936</v>
      </c>
      <c r="E49">
        <v>8558.9997270895565</v>
      </c>
      <c r="F49">
        <v>9</v>
      </c>
      <c r="G49">
        <v>8866.7999999999993</v>
      </c>
      <c r="H49">
        <v>10</v>
      </c>
      <c r="I49">
        <v>9852</v>
      </c>
      <c r="J49">
        <v>9</v>
      </c>
      <c r="K49">
        <v>8866.7999999999993</v>
      </c>
      <c r="L49">
        <v>10</v>
      </c>
      <c r="M49">
        <v>9852</v>
      </c>
      <c r="N49">
        <v>6.7543503390768018</v>
      </c>
      <c r="O49">
        <v>6654.3859540584644</v>
      </c>
      <c r="P49">
        <v>2.092977075177289E-21</v>
      </c>
      <c r="Q49">
        <v>2.062001014464665E-18</v>
      </c>
      <c r="R49">
        <v>3.574550901986115</v>
      </c>
      <c r="S49">
        <v>3521.6475486367203</v>
      </c>
      <c r="T49">
        <v>4.8073610021880055</v>
      </c>
      <c r="U49">
        <v>4736.2120593556228</v>
      </c>
      <c r="V49">
        <v>1.5992163872598486</v>
      </c>
      <c r="W49">
        <v>1575.5479847284028</v>
      </c>
      <c r="X49">
        <v>6</v>
      </c>
      <c r="Y49">
        <v>5911.2</v>
      </c>
      <c r="Z49">
        <v>10</v>
      </c>
      <c r="AA49">
        <v>9852</v>
      </c>
      <c r="AB49">
        <v>8</v>
      </c>
      <c r="AC49">
        <v>7881.5999999999995</v>
      </c>
      <c r="AD49">
        <v>10</v>
      </c>
      <c r="AE49">
        <v>9852</v>
      </c>
      <c r="AF49">
        <v>9</v>
      </c>
      <c r="AG49">
        <v>8866.7999999999993</v>
      </c>
      <c r="AH49">
        <v>6</v>
      </c>
      <c r="AI49">
        <v>5911.2</v>
      </c>
      <c r="AJ49">
        <v>7</v>
      </c>
      <c r="AK49">
        <v>6896.4</v>
      </c>
      <c r="AL49">
        <v>9</v>
      </c>
      <c r="AM49">
        <v>8866.7999999999993</v>
      </c>
      <c r="AN49">
        <v>7</v>
      </c>
      <c r="AO49">
        <v>6896.4</v>
      </c>
      <c r="AP49">
        <v>3.6135202289020469</v>
      </c>
      <c r="AQ49">
        <v>3560.0401295142965</v>
      </c>
      <c r="AR49">
        <v>9</v>
      </c>
      <c r="AS49">
        <v>8866.7999999999993</v>
      </c>
      <c r="AT49">
        <v>8</v>
      </c>
      <c r="AU49">
        <v>7881.5999999999995</v>
      </c>
      <c r="AV49">
        <v>7</v>
      </c>
      <c r="AW49">
        <v>6896.4</v>
      </c>
      <c r="AX49">
        <v>7</v>
      </c>
      <c r="AY49">
        <v>6896.4</v>
      </c>
      <c r="AZ49">
        <v>7</v>
      </c>
      <c r="BA49">
        <v>6896.4</v>
      </c>
      <c r="BB49">
        <v>2.5268473461050656</v>
      </c>
      <c r="BC49">
        <v>2489.4500053827105</v>
      </c>
      <c r="BD49">
        <v>8</v>
      </c>
      <c r="BE49">
        <v>7881.5999999999995</v>
      </c>
      <c r="BF49">
        <v>8.4008270221555019</v>
      </c>
      <c r="BG49">
        <v>8276.4947822276008</v>
      </c>
      <c r="BH49">
        <v>8</v>
      </c>
      <c r="BI49">
        <v>7881.5999999999995</v>
      </c>
      <c r="BJ49">
        <v>5.9632810861299221</v>
      </c>
      <c r="BK49">
        <v>5875.0245260551992</v>
      </c>
      <c r="BL49">
        <v>5.2091920330032275</v>
      </c>
      <c r="BM49">
        <v>5132.0959909147796</v>
      </c>
      <c r="BN49">
        <v>2.6642225711840899</v>
      </c>
      <c r="BO49">
        <v>2624.7920771305653</v>
      </c>
      <c r="BP49">
        <v>8</v>
      </c>
      <c r="BQ49">
        <v>7881.5999999999995</v>
      </c>
      <c r="BR49">
        <v>2.7403714236214092</v>
      </c>
      <c r="BS49">
        <v>2699.8139265518121</v>
      </c>
      <c r="BT49">
        <v>10</v>
      </c>
      <c r="BU49">
        <v>9852</v>
      </c>
      <c r="BV49">
        <v>3.0797574002051133</v>
      </c>
      <c r="BW49">
        <v>3034.1769906820773</v>
      </c>
      <c r="BX49">
        <v>8</v>
      </c>
      <c r="BY49">
        <v>7881.5999999999995</v>
      </c>
      <c r="BZ49">
        <v>10</v>
      </c>
      <c r="CA49">
        <v>9852</v>
      </c>
      <c r="CB49">
        <v>5.2764418323430426</v>
      </c>
      <c r="CC49">
        <v>5198.350493224365</v>
      </c>
      <c r="CD49">
        <v>4.3202168035162192</v>
      </c>
      <c r="CE49">
        <v>4256.2775948241788</v>
      </c>
      <c r="CF49">
        <v>6</v>
      </c>
      <c r="CG49">
        <v>5911.2</v>
      </c>
      <c r="CH49">
        <v>4.5250194992832169</v>
      </c>
      <c r="CI49">
        <v>4458.0492106938245</v>
      </c>
      <c r="CJ49">
        <v>2.149151032970456</v>
      </c>
      <c r="CK49">
        <v>2117.3435976824931</v>
      </c>
      <c r="CL49">
        <v>7.9280213300540607</v>
      </c>
      <c r="CM49">
        <v>7810.6866143692605</v>
      </c>
      <c r="CN49">
        <v>4.0834085766242296</v>
      </c>
      <c r="CO49">
        <v>4022.9741296901907</v>
      </c>
      <c r="CP49">
        <v>8</v>
      </c>
      <c r="CQ49">
        <v>7881.5999999999995</v>
      </c>
      <c r="CR49">
        <v>0.64672058999650195</v>
      </c>
      <c r="CS49">
        <v>637.14912526455373</v>
      </c>
      <c r="CT49">
        <v>6</v>
      </c>
      <c r="CU49">
        <v>5911.2</v>
      </c>
    </row>
    <row r="50" spans="2:99">
      <c r="C50" s="99" t="s">
        <v>217</v>
      </c>
      <c r="D50">
        <v>3.5370407929575691</v>
      </c>
      <c r="E50">
        <v>997.44550361403446</v>
      </c>
      <c r="F50">
        <v>9</v>
      </c>
      <c r="G50">
        <v>2538</v>
      </c>
      <c r="H50">
        <v>9</v>
      </c>
      <c r="I50">
        <v>2538</v>
      </c>
      <c r="J50">
        <v>9</v>
      </c>
      <c r="K50">
        <v>2538</v>
      </c>
      <c r="L50">
        <v>11</v>
      </c>
      <c r="M50">
        <v>3102</v>
      </c>
      <c r="N50">
        <v>9</v>
      </c>
      <c r="O50">
        <v>2538</v>
      </c>
      <c r="P50">
        <v>10.092305984616504</v>
      </c>
      <c r="Q50">
        <v>2846.0302876618539</v>
      </c>
      <c r="R50">
        <v>10</v>
      </c>
      <c r="S50">
        <v>2820</v>
      </c>
      <c r="T50">
        <v>11</v>
      </c>
      <c r="U50">
        <v>3102</v>
      </c>
      <c r="V50">
        <v>8</v>
      </c>
      <c r="W50">
        <v>2256</v>
      </c>
      <c r="X50">
        <v>6</v>
      </c>
      <c r="Y50">
        <v>1692</v>
      </c>
      <c r="Z50">
        <v>11</v>
      </c>
      <c r="AA50">
        <v>3102</v>
      </c>
      <c r="AB50">
        <v>7</v>
      </c>
      <c r="AC50">
        <v>1974</v>
      </c>
      <c r="AD50">
        <v>11</v>
      </c>
      <c r="AE50">
        <v>3102</v>
      </c>
      <c r="AF50">
        <v>6.9190320706144748</v>
      </c>
      <c r="AG50">
        <v>1951.167043913282</v>
      </c>
      <c r="AH50">
        <v>7</v>
      </c>
      <c r="AI50">
        <v>1974</v>
      </c>
      <c r="AJ50">
        <v>7</v>
      </c>
      <c r="AK50">
        <v>1974</v>
      </c>
      <c r="AL50">
        <v>1.0351803537541548</v>
      </c>
      <c r="AM50">
        <v>291.92085975867167</v>
      </c>
      <c r="AN50">
        <v>6</v>
      </c>
      <c r="AO50">
        <v>1692</v>
      </c>
      <c r="AP50">
        <v>6</v>
      </c>
      <c r="AQ50">
        <v>1692</v>
      </c>
      <c r="AR50">
        <v>9</v>
      </c>
      <c r="AS50">
        <v>2538</v>
      </c>
      <c r="AT50">
        <v>8</v>
      </c>
      <c r="AU50">
        <v>2256</v>
      </c>
      <c r="AV50">
        <v>8</v>
      </c>
      <c r="AW50">
        <v>2256</v>
      </c>
      <c r="AX50">
        <v>8</v>
      </c>
      <c r="AY50">
        <v>2256</v>
      </c>
      <c r="AZ50">
        <v>8</v>
      </c>
      <c r="BA50">
        <v>2256</v>
      </c>
      <c r="BB50">
        <v>6</v>
      </c>
      <c r="BC50">
        <v>1692</v>
      </c>
      <c r="BD50">
        <v>8</v>
      </c>
      <c r="BE50">
        <v>2256</v>
      </c>
      <c r="BF50">
        <v>10</v>
      </c>
      <c r="BG50">
        <v>2820</v>
      </c>
      <c r="BH50">
        <v>7</v>
      </c>
      <c r="BI50">
        <v>1974</v>
      </c>
      <c r="BJ50">
        <v>6</v>
      </c>
      <c r="BK50">
        <v>1692</v>
      </c>
      <c r="BL50">
        <v>7</v>
      </c>
      <c r="BM50">
        <v>1974</v>
      </c>
      <c r="BN50">
        <v>7</v>
      </c>
      <c r="BO50">
        <v>1974</v>
      </c>
      <c r="BP50">
        <v>9</v>
      </c>
      <c r="BQ50">
        <v>2538</v>
      </c>
      <c r="BR50">
        <v>6</v>
      </c>
      <c r="BS50">
        <v>1692</v>
      </c>
      <c r="BT50">
        <v>12</v>
      </c>
      <c r="BU50">
        <v>3384</v>
      </c>
      <c r="BV50">
        <v>6</v>
      </c>
      <c r="BW50">
        <v>1692</v>
      </c>
      <c r="BX50">
        <v>9</v>
      </c>
      <c r="BY50">
        <v>2538</v>
      </c>
      <c r="BZ50">
        <v>10</v>
      </c>
      <c r="CA50">
        <v>2820</v>
      </c>
      <c r="CB50">
        <v>8</v>
      </c>
      <c r="CC50">
        <v>2256</v>
      </c>
      <c r="CD50">
        <v>7.2335009472049805</v>
      </c>
      <c r="CE50">
        <v>2039.8472671118045</v>
      </c>
      <c r="CF50">
        <v>5</v>
      </c>
      <c r="CG50">
        <v>1410</v>
      </c>
      <c r="CH50">
        <v>6</v>
      </c>
      <c r="CI50">
        <v>1692</v>
      </c>
      <c r="CJ50">
        <v>9</v>
      </c>
      <c r="CK50">
        <v>2538</v>
      </c>
      <c r="CL50">
        <v>8.5049196993312552</v>
      </c>
      <c r="CM50">
        <v>2398.3873552114142</v>
      </c>
      <c r="CN50">
        <v>7</v>
      </c>
      <c r="CO50">
        <v>1974</v>
      </c>
      <c r="CP50">
        <v>8</v>
      </c>
      <c r="CQ50">
        <v>2256</v>
      </c>
      <c r="CR50">
        <v>6.6238300486848143</v>
      </c>
      <c r="CS50">
        <v>1867.9200737291176</v>
      </c>
      <c r="CT50">
        <v>7</v>
      </c>
      <c r="CU50">
        <v>1974</v>
      </c>
    </row>
    <row r="51" spans="2:99">
      <c r="C51" s="99" t="s">
        <v>218</v>
      </c>
      <c r="D51">
        <v>3.144036260406728</v>
      </c>
      <c r="E51">
        <v>2686.2645808915086</v>
      </c>
      <c r="F51">
        <v>8</v>
      </c>
      <c r="G51">
        <v>6835.2</v>
      </c>
      <c r="H51">
        <v>11</v>
      </c>
      <c r="I51">
        <v>9398.4</v>
      </c>
      <c r="J51">
        <v>8</v>
      </c>
      <c r="K51">
        <v>6835.2</v>
      </c>
      <c r="L51">
        <v>9</v>
      </c>
      <c r="M51">
        <v>7689.5999999999995</v>
      </c>
      <c r="N51">
        <v>9</v>
      </c>
      <c r="O51">
        <v>7689.5999999999995</v>
      </c>
      <c r="P51">
        <v>11.009788346854368</v>
      </c>
      <c r="Q51">
        <v>9406.7631635523721</v>
      </c>
      <c r="R51">
        <v>9</v>
      </c>
      <c r="S51">
        <v>7689.5999999999995</v>
      </c>
      <c r="T51">
        <v>11</v>
      </c>
      <c r="U51">
        <v>9398.4</v>
      </c>
      <c r="V51">
        <v>8</v>
      </c>
      <c r="W51">
        <v>6835.2</v>
      </c>
      <c r="X51">
        <v>6</v>
      </c>
      <c r="Y51">
        <v>5126.3999999999996</v>
      </c>
      <c r="Z51">
        <v>9</v>
      </c>
      <c r="AA51">
        <v>7689.5999999999995</v>
      </c>
      <c r="AB51">
        <v>9</v>
      </c>
      <c r="AC51">
        <v>7689.5999999999995</v>
      </c>
      <c r="AD51">
        <v>11</v>
      </c>
      <c r="AE51">
        <v>9398.4</v>
      </c>
      <c r="AF51">
        <v>6.3424460647299359</v>
      </c>
      <c r="AG51">
        <v>5418.9859177052567</v>
      </c>
      <c r="AH51">
        <v>5</v>
      </c>
      <c r="AI51">
        <v>4272</v>
      </c>
      <c r="AJ51">
        <v>7</v>
      </c>
      <c r="AK51">
        <v>5980.8</v>
      </c>
      <c r="AL51">
        <v>1.0351803537541548</v>
      </c>
      <c r="AM51">
        <v>884.45809424754987</v>
      </c>
      <c r="AN51">
        <v>6</v>
      </c>
      <c r="AO51">
        <v>5126.3999999999996</v>
      </c>
      <c r="AP51">
        <v>6</v>
      </c>
      <c r="AQ51">
        <v>5126.3999999999996</v>
      </c>
      <c r="AR51">
        <v>9</v>
      </c>
      <c r="AS51">
        <v>7689.5999999999995</v>
      </c>
      <c r="AT51">
        <v>8</v>
      </c>
      <c r="AU51">
        <v>6835.2</v>
      </c>
      <c r="AV51">
        <v>8</v>
      </c>
      <c r="AW51">
        <v>6835.2</v>
      </c>
      <c r="AX51">
        <v>7</v>
      </c>
      <c r="AY51">
        <v>5980.8</v>
      </c>
      <c r="AZ51">
        <v>8</v>
      </c>
      <c r="BA51">
        <v>6835.2</v>
      </c>
      <c r="BB51">
        <v>5</v>
      </c>
      <c r="BC51">
        <v>4272</v>
      </c>
      <c r="BD51">
        <v>8</v>
      </c>
      <c r="BE51">
        <v>6835.2</v>
      </c>
      <c r="BF51">
        <v>9</v>
      </c>
      <c r="BG51">
        <v>7689.5999999999995</v>
      </c>
      <c r="BH51">
        <v>7</v>
      </c>
      <c r="BI51">
        <v>5980.8</v>
      </c>
      <c r="BJ51">
        <v>6</v>
      </c>
      <c r="BK51">
        <v>5126.3999999999996</v>
      </c>
      <c r="BL51">
        <v>7</v>
      </c>
      <c r="BM51">
        <v>5980.8</v>
      </c>
      <c r="BN51">
        <v>6</v>
      </c>
      <c r="BO51">
        <v>5126.3999999999996</v>
      </c>
      <c r="BP51">
        <v>9</v>
      </c>
      <c r="BQ51">
        <v>7689.5999999999995</v>
      </c>
      <c r="BR51">
        <v>5</v>
      </c>
      <c r="BS51">
        <v>4272</v>
      </c>
      <c r="BT51">
        <v>10</v>
      </c>
      <c r="BU51">
        <v>8544</v>
      </c>
      <c r="BV51">
        <v>5</v>
      </c>
      <c r="BW51">
        <v>4272</v>
      </c>
      <c r="BX51">
        <v>9</v>
      </c>
      <c r="BY51">
        <v>7689.5999999999995</v>
      </c>
      <c r="BZ51">
        <v>9</v>
      </c>
      <c r="CA51">
        <v>7689.5999999999995</v>
      </c>
      <c r="CB51">
        <v>7</v>
      </c>
      <c r="CC51">
        <v>5980.8</v>
      </c>
      <c r="CD51">
        <v>7.2335009472049805</v>
      </c>
      <c r="CE51">
        <v>6180.3032092919348</v>
      </c>
      <c r="CF51">
        <v>5</v>
      </c>
      <c r="CG51">
        <v>4272</v>
      </c>
      <c r="CH51">
        <v>6</v>
      </c>
      <c r="CI51">
        <v>5126.3999999999996</v>
      </c>
      <c r="CJ51">
        <v>9</v>
      </c>
      <c r="CK51">
        <v>7689.5999999999995</v>
      </c>
      <c r="CL51">
        <v>7.5599286216277815</v>
      </c>
      <c r="CM51">
        <v>6459.2030143187767</v>
      </c>
      <c r="CN51">
        <v>7</v>
      </c>
      <c r="CO51">
        <v>5980.8</v>
      </c>
      <c r="CP51">
        <v>8</v>
      </c>
      <c r="CQ51">
        <v>6835.2</v>
      </c>
      <c r="CR51">
        <v>5.677568613158412</v>
      </c>
      <c r="CS51">
        <v>4850.9146230825472</v>
      </c>
      <c r="CT51">
        <v>6</v>
      </c>
      <c r="CU51">
        <v>5126.3999999999996</v>
      </c>
    </row>
    <row r="52" spans="2:99">
      <c r="C52" s="99" t="s">
        <v>219</v>
      </c>
      <c r="D52">
        <v>3.5370407929575691</v>
      </c>
      <c r="E52">
        <v>1910.0020281970874</v>
      </c>
      <c r="F52">
        <v>9</v>
      </c>
      <c r="G52">
        <v>4860</v>
      </c>
      <c r="H52">
        <v>11</v>
      </c>
      <c r="I52">
        <v>5940</v>
      </c>
      <c r="J52">
        <v>8</v>
      </c>
      <c r="K52">
        <v>4320</v>
      </c>
      <c r="L52">
        <v>10</v>
      </c>
      <c r="M52">
        <v>5400</v>
      </c>
      <c r="N52">
        <v>9</v>
      </c>
      <c r="O52">
        <v>4860</v>
      </c>
      <c r="P52">
        <v>10.092305984616504</v>
      </c>
      <c r="Q52">
        <v>5449.8452316929115</v>
      </c>
      <c r="R52">
        <v>8</v>
      </c>
      <c r="S52">
        <v>4320</v>
      </c>
      <c r="T52">
        <v>11</v>
      </c>
      <c r="U52">
        <v>5940</v>
      </c>
      <c r="V52">
        <v>8</v>
      </c>
      <c r="W52">
        <v>4320</v>
      </c>
      <c r="X52">
        <v>7</v>
      </c>
      <c r="Y52">
        <v>3780</v>
      </c>
      <c r="Z52">
        <v>11</v>
      </c>
      <c r="AA52">
        <v>5940</v>
      </c>
      <c r="AB52">
        <v>7</v>
      </c>
      <c r="AC52">
        <v>3780</v>
      </c>
      <c r="AD52">
        <v>11</v>
      </c>
      <c r="AE52">
        <v>5940</v>
      </c>
      <c r="AF52">
        <v>5.7658600588453961</v>
      </c>
      <c r="AG52">
        <v>3113.5644317765141</v>
      </c>
      <c r="AH52">
        <v>6</v>
      </c>
      <c r="AI52">
        <v>3240</v>
      </c>
      <c r="AJ52">
        <v>8</v>
      </c>
      <c r="AK52">
        <v>4320</v>
      </c>
      <c r="AL52">
        <v>1.0351803537541548</v>
      </c>
      <c r="AM52">
        <v>558.99739102724357</v>
      </c>
      <c r="AN52">
        <v>7</v>
      </c>
      <c r="AO52">
        <v>3780</v>
      </c>
      <c r="AP52">
        <v>7</v>
      </c>
      <c r="AQ52">
        <v>3780</v>
      </c>
      <c r="AR52">
        <v>10</v>
      </c>
      <c r="AS52">
        <v>5400</v>
      </c>
      <c r="AT52">
        <v>8</v>
      </c>
      <c r="AU52">
        <v>4320</v>
      </c>
      <c r="AV52">
        <v>8</v>
      </c>
      <c r="AW52">
        <v>4320</v>
      </c>
      <c r="AX52">
        <v>7</v>
      </c>
      <c r="AY52">
        <v>3780</v>
      </c>
      <c r="AZ52">
        <v>7</v>
      </c>
      <c r="BA52">
        <v>3780</v>
      </c>
      <c r="BB52">
        <v>6</v>
      </c>
      <c r="BC52">
        <v>3240</v>
      </c>
      <c r="BD52">
        <v>8</v>
      </c>
      <c r="BE52">
        <v>4320</v>
      </c>
      <c r="BF52">
        <v>9</v>
      </c>
      <c r="BG52">
        <v>4860</v>
      </c>
      <c r="BH52">
        <v>7</v>
      </c>
      <c r="BI52">
        <v>3780</v>
      </c>
      <c r="BJ52">
        <v>6</v>
      </c>
      <c r="BK52">
        <v>3240</v>
      </c>
      <c r="BL52">
        <v>7</v>
      </c>
      <c r="BM52">
        <v>3780</v>
      </c>
      <c r="BN52">
        <v>6</v>
      </c>
      <c r="BO52">
        <v>3240</v>
      </c>
      <c r="BP52">
        <v>9</v>
      </c>
      <c r="BQ52">
        <v>4860</v>
      </c>
      <c r="BR52">
        <v>6</v>
      </c>
      <c r="BS52">
        <v>3240</v>
      </c>
      <c r="BT52">
        <v>10</v>
      </c>
      <c r="BU52">
        <v>5400</v>
      </c>
      <c r="BV52">
        <v>6</v>
      </c>
      <c r="BW52">
        <v>3240</v>
      </c>
      <c r="BX52">
        <v>9</v>
      </c>
      <c r="BY52">
        <v>4860</v>
      </c>
      <c r="BZ52">
        <v>10</v>
      </c>
      <c r="CA52">
        <v>5400</v>
      </c>
      <c r="CB52">
        <v>8</v>
      </c>
      <c r="CC52">
        <v>4320</v>
      </c>
      <c r="CD52">
        <v>8.1376885656056039</v>
      </c>
      <c r="CE52">
        <v>4394.3518254270257</v>
      </c>
      <c r="CF52">
        <v>5</v>
      </c>
      <c r="CG52">
        <v>2700</v>
      </c>
      <c r="CH52">
        <v>6</v>
      </c>
      <c r="CI52">
        <v>3240</v>
      </c>
      <c r="CJ52">
        <v>8</v>
      </c>
      <c r="CK52">
        <v>4320</v>
      </c>
      <c r="CL52">
        <v>7.5599286216277815</v>
      </c>
      <c r="CM52">
        <v>4082.3614556790021</v>
      </c>
      <c r="CN52">
        <v>6</v>
      </c>
      <c r="CO52">
        <v>3240</v>
      </c>
      <c r="CP52">
        <v>8</v>
      </c>
      <c r="CQ52">
        <v>4320</v>
      </c>
      <c r="CR52">
        <v>5.677568613158412</v>
      </c>
      <c r="CS52">
        <v>3065.8870511055425</v>
      </c>
      <c r="CT52">
        <v>6</v>
      </c>
      <c r="CU52">
        <v>3240</v>
      </c>
    </row>
    <row r="53" spans="2:99">
      <c r="C53" s="99" t="s">
        <v>220</v>
      </c>
      <c r="D53">
        <v>3.144036260406728</v>
      </c>
      <c r="E53">
        <v>1278.993950733457</v>
      </c>
      <c r="F53">
        <v>9</v>
      </c>
      <c r="G53">
        <v>3661.2000000000003</v>
      </c>
      <c r="H53">
        <v>11</v>
      </c>
      <c r="I53">
        <v>4474.8</v>
      </c>
      <c r="J53">
        <v>8</v>
      </c>
      <c r="K53">
        <v>3254.4</v>
      </c>
      <c r="L53">
        <v>10</v>
      </c>
      <c r="M53">
        <v>4068</v>
      </c>
      <c r="N53">
        <v>8</v>
      </c>
      <c r="O53">
        <v>3254.4</v>
      </c>
      <c r="P53">
        <v>10.092305984616504</v>
      </c>
      <c r="Q53">
        <v>4105.550074541994</v>
      </c>
      <c r="R53">
        <v>9</v>
      </c>
      <c r="S53">
        <v>3661.2000000000003</v>
      </c>
      <c r="T53">
        <v>11</v>
      </c>
      <c r="U53">
        <v>4474.8</v>
      </c>
      <c r="V53">
        <v>8</v>
      </c>
      <c r="W53">
        <v>3254.4</v>
      </c>
      <c r="X53">
        <v>6</v>
      </c>
      <c r="Y53">
        <v>2440.8000000000002</v>
      </c>
      <c r="Z53">
        <v>9</v>
      </c>
      <c r="AA53">
        <v>3661.2000000000003</v>
      </c>
      <c r="AB53">
        <v>8</v>
      </c>
      <c r="AC53">
        <v>3254.4</v>
      </c>
      <c r="AD53">
        <v>10</v>
      </c>
      <c r="AE53">
        <v>4068</v>
      </c>
      <c r="AF53">
        <v>6.3424460647299359</v>
      </c>
      <c r="AG53">
        <v>2580.1070591321381</v>
      </c>
      <c r="AH53">
        <v>6</v>
      </c>
      <c r="AI53">
        <v>2440.8000000000002</v>
      </c>
      <c r="AJ53">
        <v>8</v>
      </c>
      <c r="AK53">
        <v>3254.4</v>
      </c>
      <c r="AL53">
        <v>1.0351803537541548</v>
      </c>
      <c r="AM53">
        <v>421.11136790719019</v>
      </c>
      <c r="AN53">
        <v>7</v>
      </c>
      <c r="AO53">
        <v>2847.6</v>
      </c>
      <c r="AP53">
        <v>6</v>
      </c>
      <c r="AQ53">
        <v>2440.8000000000002</v>
      </c>
      <c r="AR53">
        <v>10</v>
      </c>
      <c r="AS53">
        <v>4068</v>
      </c>
      <c r="AT53">
        <v>8</v>
      </c>
      <c r="AU53">
        <v>3254.4</v>
      </c>
      <c r="AV53">
        <v>8</v>
      </c>
      <c r="AW53">
        <v>3254.4</v>
      </c>
      <c r="AX53">
        <v>7</v>
      </c>
      <c r="AY53">
        <v>2847.6</v>
      </c>
      <c r="AZ53">
        <v>7</v>
      </c>
      <c r="BA53">
        <v>2847.6</v>
      </c>
      <c r="BB53">
        <v>5</v>
      </c>
      <c r="BC53">
        <v>2034</v>
      </c>
      <c r="BD53">
        <v>10</v>
      </c>
      <c r="BE53">
        <v>4068</v>
      </c>
      <c r="BF53">
        <v>11</v>
      </c>
      <c r="BG53">
        <v>4474.8</v>
      </c>
      <c r="BH53">
        <v>7</v>
      </c>
      <c r="BI53">
        <v>2847.6</v>
      </c>
      <c r="BJ53">
        <v>6</v>
      </c>
      <c r="BK53">
        <v>2440.8000000000002</v>
      </c>
      <c r="BL53">
        <v>7</v>
      </c>
      <c r="BM53">
        <v>2847.6</v>
      </c>
      <c r="BN53">
        <v>7</v>
      </c>
      <c r="BO53">
        <v>2847.6</v>
      </c>
      <c r="BP53">
        <v>9</v>
      </c>
      <c r="BQ53">
        <v>3661.2000000000003</v>
      </c>
      <c r="BR53">
        <v>6</v>
      </c>
      <c r="BS53">
        <v>2440.8000000000002</v>
      </c>
      <c r="BT53">
        <v>12</v>
      </c>
      <c r="BU53">
        <v>4881.6000000000004</v>
      </c>
      <c r="BV53">
        <v>6</v>
      </c>
      <c r="BW53">
        <v>2440.8000000000002</v>
      </c>
      <c r="BX53">
        <v>8</v>
      </c>
      <c r="BY53">
        <v>3254.4</v>
      </c>
      <c r="BZ53">
        <v>9</v>
      </c>
      <c r="CA53">
        <v>3661.2000000000003</v>
      </c>
      <c r="CB53">
        <v>8</v>
      </c>
      <c r="CC53">
        <v>3254.4</v>
      </c>
      <c r="CD53">
        <v>7.2335009472049805</v>
      </c>
      <c r="CE53">
        <v>2942.5881853229862</v>
      </c>
      <c r="CF53">
        <v>5</v>
      </c>
      <c r="CG53">
        <v>2034</v>
      </c>
      <c r="CH53">
        <v>6</v>
      </c>
      <c r="CI53">
        <v>2440.8000000000002</v>
      </c>
      <c r="CJ53">
        <v>9</v>
      </c>
      <c r="CK53">
        <v>3661.2000000000003</v>
      </c>
      <c r="CL53">
        <v>7.5599286216277815</v>
      </c>
      <c r="CM53">
        <v>3075.3789632781818</v>
      </c>
      <c r="CN53">
        <v>7</v>
      </c>
      <c r="CO53">
        <v>2847.6</v>
      </c>
      <c r="CP53">
        <v>7</v>
      </c>
      <c r="CQ53">
        <v>2847.6</v>
      </c>
      <c r="CR53">
        <v>5.677568613158412</v>
      </c>
      <c r="CS53">
        <v>2309.6349118328421</v>
      </c>
      <c r="CT53">
        <v>6</v>
      </c>
      <c r="CU53">
        <v>2440.8000000000002</v>
      </c>
    </row>
    <row r="54" spans="2:99">
      <c r="C54" s="99" t="s">
        <v>221</v>
      </c>
      <c r="D54">
        <v>3.144036260406728</v>
      </c>
      <c r="E54">
        <v>1052.6233399841726</v>
      </c>
      <c r="F54">
        <v>9</v>
      </c>
      <c r="G54">
        <v>3013.2000000000003</v>
      </c>
      <c r="H54">
        <v>11</v>
      </c>
      <c r="I54">
        <v>3682.8</v>
      </c>
      <c r="J54">
        <v>9</v>
      </c>
      <c r="K54">
        <v>3013.2000000000003</v>
      </c>
      <c r="L54">
        <v>10</v>
      </c>
      <c r="M54">
        <v>3348</v>
      </c>
      <c r="N54">
        <v>9</v>
      </c>
      <c r="O54">
        <v>3013.2000000000003</v>
      </c>
      <c r="P54">
        <v>11.009788346854368</v>
      </c>
      <c r="Q54">
        <v>3686.0771385268426</v>
      </c>
      <c r="R54">
        <v>9</v>
      </c>
      <c r="S54">
        <v>3013.2000000000003</v>
      </c>
      <c r="T54">
        <v>11</v>
      </c>
      <c r="U54">
        <v>3682.8</v>
      </c>
      <c r="V54">
        <v>7</v>
      </c>
      <c r="W54">
        <v>2343.6</v>
      </c>
      <c r="X54">
        <v>6</v>
      </c>
      <c r="Y54">
        <v>2008.8000000000002</v>
      </c>
      <c r="Z54">
        <v>10</v>
      </c>
      <c r="AA54">
        <v>3348</v>
      </c>
      <c r="AB54">
        <v>8</v>
      </c>
      <c r="AC54">
        <v>2678.4</v>
      </c>
      <c r="AD54">
        <v>11</v>
      </c>
      <c r="AE54">
        <v>3682.8</v>
      </c>
      <c r="AF54">
        <v>5.7658600588453961</v>
      </c>
      <c r="AG54">
        <v>1930.4099477014386</v>
      </c>
      <c r="AH54">
        <v>6</v>
      </c>
      <c r="AI54">
        <v>2008.8000000000002</v>
      </c>
      <c r="AJ54">
        <v>8</v>
      </c>
      <c r="AK54">
        <v>2678.4</v>
      </c>
      <c r="AL54">
        <v>1.0351803537541548</v>
      </c>
      <c r="AM54">
        <v>346.57838243689105</v>
      </c>
      <c r="AN54">
        <v>6</v>
      </c>
      <c r="AO54">
        <v>2008.8000000000002</v>
      </c>
      <c r="AP54">
        <v>6</v>
      </c>
      <c r="AQ54">
        <v>2008.8000000000002</v>
      </c>
      <c r="AR54">
        <v>10</v>
      </c>
      <c r="AS54">
        <v>3348</v>
      </c>
      <c r="AT54">
        <v>9</v>
      </c>
      <c r="AU54">
        <v>3013.2000000000003</v>
      </c>
      <c r="AV54">
        <v>8</v>
      </c>
      <c r="AW54">
        <v>2678.4</v>
      </c>
      <c r="AX54">
        <v>7</v>
      </c>
      <c r="AY54">
        <v>2343.6</v>
      </c>
      <c r="AZ54">
        <v>7</v>
      </c>
      <c r="BA54">
        <v>2343.6</v>
      </c>
      <c r="BB54">
        <v>6</v>
      </c>
      <c r="BC54">
        <v>2008.8000000000002</v>
      </c>
      <c r="BD54">
        <v>9</v>
      </c>
      <c r="BE54">
        <v>3013.2000000000003</v>
      </c>
      <c r="BF54">
        <v>11</v>
      </c>
      <c r="BG54">
        <v>3682.8</v>
      </c>
      <c r="BH54">
        <v>7</v>
      </c>
      <c r="BI54">
        <v>2343.6</v>
      </c>
      <c r="BJ54">
        <v>7</v>
      </c>
      <c r="BK54">
        <v>2343.6</v>
      </c>
      <c r="BL54">
        <v>7</v>
      </c>
      <c r="BM54">
        <v>2343.6</v>
      </c>
      <c r="BN54">
        <v>7</v>
      </c>
      <c r="BO54">
        <v>2343.6</v>
      </c>
      <c r="BP54">
        <v>9</v>
      </c>
      <c r="BQ54">
        <v>3013.2000000000003</v>
      </c>
      <c r="BR54">
        <v>6</v>
      </c>
      <c r="BS54">
        <v>2008.8000000000002</v>
      </c>
      <c r="BT54">
        <v>12</v>
      </c>
      <c r="BU54">
        <v>4017.6000000000004</v>
      </c>
      <c r="BV54">
        <v>6</v>
      </c>
      <c r="BW54">
        <v>2008.8000000000002</v>
      </c>
      <c r="BX54">
        <v>9</v>
      </c>
      <c r="BY54">
        <v>3013.2000000000003</v>
      </c>
      <c r="BZ54">
        <v>10</v>
      </c>
      <c r="CA54">
        <v>3348</v>
      </c>
      <c r="CB54">
        <v>8</v>
      </c>
      <c r="CC54">
        <v>2678.4</v>
      </c>
      <c r="CD54">
        <v>7.2335009472049805</v>
      </c>
      <c r="CE54">
        <v>2421.7761171242278</v>
      </c>
      <c r="CF54">
        <v>6</v>
      </c>
      <c r="CG54">
        <v>2008.8000000000002</v>
      </c>
      <c r="CH54">
        <v>6</v>
      </c>
      <c r="CI54">
        <v>2008.8000000000002</v>
      </c>
      <c r="CJ54">
        <v>8</v>
      </c>
      <c r="CK54">
        <v>2678.4</v>
      </c>
      <c r="CL54">
        <v>7.5599286216277815</v>
      </c>
      <c r="CM54">
        <v>2531.0641025209811</v>
      </c>
      <c r="CN54">
        <v>7</v>
      </c>
      <c r="CO54">
        <v>2343.6</v>
      </c>
      <c r="CP54">
        <v>7</v>
      </c>
      <c r="CQ54">
        <v>2343.6</v>
      </c>
      <c r="CR54">
        <v>5.677568613158412</v>
      </c>
      <c r="CS54">
        <v>1900.8499716854365</v>
      </c>
      <c r="CT54">
        <v>6</v>
      </c>
      <c r="CU54">
        <v>2008.8000000000002</v>
      </c>
    </row>
    <row r="55" spans="2:99">
      <c r="C55" s="99" t="s">
        <v>222</v>
      </c>
      <c r="D55">
        <v>3.5370407929575691</v>
      </c>
      <c r="E55">
        <v>2347.1802702066429</v>
      </c>
      <c r="F55">
        <v>9</v>
      </c>
      <c r="G55">
        <v>5972.4000000000005</v>
      </c>
      <c r="H55">
        <v>10</v>
      </c>
      <c r="I55">
        <v>6636</v>
      </c>
      <c r="J55">
        <v>8</v>
      </c>
      <c r="K55">
        <v>5308.8</v>
      </c>
      <c r="L55">
        <v>9</v>
      </c>
      <c r="M55">
        <v>5972.4000000000005</v>
      </c>
      <c r="N55">
        <v>8</v>
      </c>
      <c r="O55">
        <v>5308.8</v>
      </c>
      <c r="P55">
        <v>9.174823622378641</v>
      </c>
      <c r="Q55">
        <v>6088.412955810466</v>
      </c>
      <c r="R55">
        <v>10</v>
      </c>
      <c r="S55">
        <v>6636</v>
      </c>
      <c r="T55">
        <v>10</v>
      </c>
      <c r="U55">
        <v>6636</v>
      </c>
      <c r="V55">
        <v>8</v>
      </c>
      <c r="W55">
        <v>5308.8</v>
      </c>
      <c r="X55">
        <v>6</v>
      </c>
      <c r="Y55">
        <v>3981.6000000000004</v>
      </c>
      <c r="Z55">
        <v>9</v>
      </c>
      <c r="AA55">
        <v>5972.4000000000005</v>
      </c>
      <c r="AB55">
        <v>8</v>
      </c>
      <c r="AC55">
        <v>5308.8</v>
      </c>
      <c r="AD55">
        <v>11</v>
      </c>
      <c r="AE55">
        <v>7299.6</v>
      </c>
      <c r="AF55">
        <v>5.7658600588453961</v>
      </c>
      <c r="AG55">
        <v>3826.2247350498051</v>
      </c>
      <c r="AH55">
        <v>6</v>
      </c>
      <c r="AI55">
        <v>3981.6000000000004</v>
      </c>
      <c r="AJ55">
        <v>7</v>
      </c>
      <c r="AK55">
        <v>4645.2</v>
      </c>
      <c r="AL55">
        <v>0.93166231837873936</v>
      </c>
      <c r="AM55">
        <v>618.25111447613142</v>
      </c>
      <c r="AN55">
        <v>6</v>
      </c>
      <c r="AO55">
        <v>3981.6000000000004</v>
      </c>
      <c r="AP55">
        <v>6</v>
      </c>
      <c r="AQ55">
        <v>3981.6000000000004</v>
      </c>
      <c r="AR55">
        <v>9</v>
      </c>
      <c r="AS55">
        <v>5972.4000000000005</v>
      </c>
      <c r="AT55">
        <v>8</v>
      </c>
      <c r="AU55">
        <v>5308.8</v>
      </c>
      <c r="AV55">
        <v>8</v>
      </c>
      <c r="AW55">
        <v>5308.8</v>
      </c>
      <c r="AX55">
        <v>7</v>
      </c>
      <c r="AY55">
        <v>4645.2</v>
      </c>
      <c r="AZ55">
        <v>7</v>
      </c>
      <c r="BA55">
        <v>4645.2</v>
      </c>
      <c r="BB55">
        <v>6</v>
      </c>
      <c r="BC55">
        <v>3981.6000000000004</v>
      </c>
      <c r="BD55">
        <v>9</v>
      </c>
      <c r="BE55">
        <v>5972.4000000000005</v>
      </c>
      <c r="BF55">
        <v>10</v>
      </c>
      <c r="BG55">
        <v>6636</v>
      </c>
      <c r="BH55">
        <v>7</v>
      </c>
      <c r="BI55">
        <v>4645.2</v>
      </c>
      <c r="BJ55">
        <v>6</v>
      </c>
      <c r="BK55">
        <v>3981.6000000000004</v>
      </c>
      <c r="BL55">
        <v>7</v>
      </c>
      <c r="BM55">
        <v>4645.2</v>
      </c>
      <c r="BN55">
        <v>7</v>
      </c>
      <c r="BO55">
        <v>4645.2</v>
      </c>
      <c r="BP55">
        <v>8</v>
      </c>
      <c r="BQ55">
        <v>5308.8</v>
      </c>
      <c r="BR55">
        <v>6</v>
      </c>
      <c r="BS55">
        <v>3981.6000000000004</v>
      </c>
      <c r="BT55">
        <v>12</v>
      </c>
      <c r="BU55">
        <v>7963.2000000000007</v>
      </c>
      <c r="BV55">
        <v>6</v>
      </c>
      <c r="BW55">
        <v>3981.6000000000004</v>
      </c>
      <c r="BX55">
        <v>8</v>
      </c>
      <c r="BY55">
        <v>5308.8</v>
      </c>
      <c r="BZ55">
        <v>9</v>
      </c>
      <c r="CA55">
        <v>5972.4000000000005</v>
      </c>
      <c r="CB55">
        <v>7</v>
      </c>
      <c r="CC55">
        <v>4645.2</v>
      </c>
      <c r="CD55">
        <v>8.1376885656056039</v>
      </c>
      <c r="CE55">
        <v>5400.1701321358787</v>
      </c>
      <c r="CF55">
        <v>6</v>
      </c>
      <c r="CG55">
        <v>3981.6000000000004</v>
      </c>
      <c r="CH55">
        <v>6</v>
      </c>
      <c r="CI55">
        <v>3981.6000000000004</v>
      </c>
      <c r="CJ55">
        <v>9</v>
      </c>
      <c r="CK55">
        <v>5972.4000000000005</v>
      </c>
      <c r="CL55">
        <v>7.5599286216277815</v>
      </c>
      <c r="CM55">
        <v>5016.7686333121956</v>
      </c>
      <c r="CN55">
        <v>6</v>
      </c>
      <c r="CO55">
        <v>3981.6000000000004</v>
      </c>
      <c r="CP55">
        <v>7</v>
      </c>
      <c r="CQ55">
        <v>4645.2</v>
      </c>
      <c r="CR55">
        <v>6.6238300486848143</v>
      </c>
      <c r="CS55">
        <v>4395.5736203072429</v>
      </c>
      <c r="CT55">
        <v>6</v>
      </c>
      <c r="CU55">
        <v>3981.6000000000004</v>
      </c>
    </row>
    <row r="56" spans="2:99">
      <c r="C56" s="99" t="s">
        <v>223</v>
      </c>
      <c r="D56">
        <v>7.2518141430921803</v>
      </c>
      <c r="E56">
        <v>7118.3807628592831</v>
      </c>
      <c r="F56">
        <v>4.2806428965958192</v>
      </c>
      <c r="G56">
        <v>4201.879067298456</v>
      </c>
      <c r="H56">
        <v>6.80840016890199</v>
      </c>
      <c r="I56">
        <v>6683.1256057941928</v>
      </c>
      <c r="J56">
        <v>4.9077015078448083</v>
      </c>
      <c r="K56">
        <v>4817.3998001004629</v>
      </c>
      <c r="L56">
        <v>9</v>
      </c>
      <c r="M56">
        <v>8834.4</v>
      </c>
      <c r="N56">
        <v>7.6220233104086139</v>
      </c>
      <c r="O56">
        <v>7481.7780814970947</v>
      </c>
      <c r="P56">
        <v>5.5909324049670452</v>
      </c>
      <c r="Q56">
        <v>5488.0592487156509</v>
      </c>
      <c r="R56">
        <v>5.4910253753410964E-21</v>
      </c>
      <c r="S56">
        <v>5.3899905084348196E-18</v>
      </c>
      <c r="T56">
        <v>2.8429865109014554E-21</v>
      </c>
      <c r="U56">
        <v>2.7906755591008683E-18</v>
      </c>
      <c r="V56">
        <v>2.2477881653443087E-21</v>
      </c>
      <c r="W56">
        <v>2.2064288631019731E-18</v>
      </c>
      <c r="X56">
        <v>5.8538293270720807</v>
      </c>
      <c r="Y56">
        <v>5746.1188674539535</v>
      </c>
      <c r="Z56">
        <v>9.817743106200556</v>
      </c>
      <c r="AA56">
        <v>9637.0966330464653</v>
      </c>
      <c r="AB56">
        <v>5.3368244577295334</v>
      </c>
      <c r="AC56">
        <v>5238.6268877073098</v>
      </c>
      <c r="AD56">
        <v>7.0316268193058029</v>
      </c>
      <c r="AE56">
        <v>6902.2448858305752</v>
      </c>
      <c r="AF56">
        <v>8.9201208793479321</v>
      </c>
      <c r="AG56">
        <v>8755.9906551679287</v>
      </c>
      <c r="AH56">
        <v>1.2118877028117416</v>
      </c>
      <c r="AI56">
        <v>1189.5889690800054</v>
      </c>
      <c r="AJ56">
        <v>7</v>
      </c>
      <c r="AK56">
        <v>6871.1999999999989</v>
      </c>
      <c r="AL56">
        <v>9</v>
      </c>
      <c r="AM56">
        <v>8834.4</v>
      </c>
      <c r="AN56">
        <v>6</v>
      </c>
      <c r="AO56">
        <v>5889.5999999999995</v>
      </c>
      <c r="AP56">
        <v>6</v>
      </c>
      <c r="AQ56">
        <v>5889.5999999999995</v>
      </c>
      <c r="AR56">
        <v>9</v>
      </c>
      <c r="AS56">
        <v>8834.4</v>
      </c>
      <c r="AT56">
        <v>4.880634616576649</v>
      </c>
      <c r="AU56">
        <v>4790.8309396316381</v>
      </c>
      <c r="AV56">
        <v>4.900066402332385</v>
      </c>
      <c r="AW56">
        <v>4809.9051805294685</v>
      </c>
      <c r="AX56">
        <v>6</v>
      </c>
      <c r="AY56">
        <v>5889.5999999999995</v>
      </c>
      <c r="AZ56">
        <v>7</v>
      </c>
      <c r="BA56">
        <v>6871.1999999999989</v>
      </c>
      <c r="BB56">
        <v>5</v>
      </c>
      <c r="BC56">
        <v>4908</v>
      </c>
      <c r="BD56">
        <v>6.9163249525169039</v>
      </c>
      <c r="BE56">
        <v>6789.0645733905922</v>
      </c>
      <c r="BF56">
        <v>6.6996616046604647</v>
      </c>
      <c r="BG56">
        <v>6576.3878311347116</v>
      </c>
      <c r="BH56">
        <v>5.8174701387051737</v>
      </c>
      <c r="BI56">
        <v>5710.4286881529979</v>
      </c>
      <c r="BJ56">
        <v>5.35207252760876</v>
      </c>
      <c r="BK56">
        <v>5253.5943931007587</v>
      </c>
      <c r="BL56">
        <v>5.0239761274488393</v>
      </c>
      <c r="BM56">
        <v>4931.5349667037799</v>
      </c>
      <c r="BN56">
        <v>4.8655204796443305</v>
      </c>
      <c r="BO56">
        <v>4775.9949028188748</v>
      </c>
      <c r="BP56">
        <v>5.2034038462862977</v>
      </c>
      <c r="BQ56">
        <v>5107.6612155146295</v>
      </c>
      <c r="BR56">
        <v>3.6550739212937899</v>
      </c>
      <c r="BS56">
        <v>3587.8205611419839</v>
      </c>
      <c r="BT56">
        <v>6.5375584612227602</v>
      </c>
      <c r="BU56">
        <v>6417.2673855362609</v>
      </c>
      <c r="BV56">
        <v>2.4830598663050432</v>
      </c>
      <c r="BW56">
        <v>2437.3715647650301</v>
      </c>
      <c r="BX56">
        <v>8</v>
      </c>
      <c r="BY56">
        <v>7852.7999999999993</v>
      </c>
      <c r="BZ56">
        <v>9</v>
      </c>
      <c r="CA56">
        <v>8834.4</v>
      </c>
      <c r="CB56">
        <v>5.4236310389630287</v>
      </c>
      <c r="CC56">
        <v>5323.8362278461082</v>
      </c>
      <c r="CD56">
        <v>2.6477111767952195</v>
      </c>
      <c r="CE56">
        <v>2598.9932911421874</v>
      </c>
      <c r="CF56">
        <v>5</v>
      </c>
      <c r="CG56">
        <v>4908</v>
      </c>
      <c r="CH56">
        <v>6</v>
      </c>
      <c r="CI56">
        <v>5889.5999999999995</v>
      </c>
      <c r="CJ56">
        <v>1.5558689047510641</v>
      </c>
      <c r="CK56">
        <v>1527.2409169036443</v>
      </c>
      <c r="CL56">
        <v>6.6900906595109495</v>
      </c>
      <c r="CM56">
        <v>6566.992991375947</v>
      </c>
      <c r="CN56">
        <v>0.59955203862732787</v>
      </c>
      <c r="CO56">
        <v>588.52028111658501</v>
      </c>
      <c r="CP56">
        <v>8</v>
      </c>
      <c r="CQ56">
        <v>7852.7999999999993</v>
      </c>
      <c r="CR56">
        <v>6</v>
      </c>
      <c r="CS56">
        <v>5889.5999999999995</v>
      </c>
      <c r="CT56">
        <v>6</v>
      </c>
      <c r="CU56">
        <v>5889.5999999999995</v>
      </c>
    </row>
    <row r="57" spans="2:99">
      <c r="C57" s="99" t="s">
        <v>224</v>
      </c>
      <c r="D57">
        <v>2.7510317278558873</v>
      </c>
      <c r="E57">
        <v>3882.2559743502284</v>
      </c>
      <c r="F57">
        <v>9</v>
      </c>
      <c r="G57">
        <v>12700.800000000001</v>
      </c>
      <c r="H57">
        <v>9</v>
      </c>
      <c r="I57">
        <v>12700.800000000001</v>
      </c>
      <c r="J57">
        <v>8</v>
      </c>
      <c r="K57">
        <v>11289.6</v>
      </c>
      <c r="L57">
        <v>10</v>
      </c>
      <c r="M57">
        <v>14112</v>
      </c>
      <c r="N57">
        <v>7</v>
      </c>
      <c r="O57">
        <v>9878.4</v>
      </c>
      <c r="P57">
        <v>10.092305984616504</v>
      </c>
      <c r="Q57">
        <v>14242.26220549081</v>
      </c>
      <c r="R57">
        <v>9</v>
      </c>
      <c r="S57">
        <v>12700.800000000001</v>
      </c>
      <c r="T57">
        <v>9</v>
      </c>
      <c r="U57">
        <v>12700.800000000001</v>
      </c>
      <c r="V57">
        <v>8</v>
      </c>
      <c r="W57">
        <v>11289.6</v>
      </c>
      <c r="X57">
        <v>6</v>
      </c>
      <c r="Y57">
        <v>8467.2000000000007</v>
      </c>
      <c r="Z57">
        <v>9</v>
      </c>
      <c r="AA57">
        <v>12700.800000000001</v>
      </c>
      <c r="AB57">
        <v>7</v>
      </c>
      <c r="AC57">
        <v>9878.4</v>
      </c>
      <c r="AD57">
        <v>9</v>
      </c>
      <c r="AE57">
        <v>12700.800000000001</v>
      </c>
      <c r="AF57">
        <v>5.7658600588453961</v>
      </c>
      <c r="AG57">
        <v>8136.7817150426235</v>
      </c>
      <c r="AH57">
        <v>6</v>
      </c>
      <c r="AI57">
        <v>8467.2000000000007</v>
      </c>
      <c r="AJ57">
        <v>7</v>
      </c>
      <c r="AK57">
        <v>9878.4</v>
      </c>
      <c r="AL57">
        <v>0.93166231837873936</v>
      </c>
      <c r="AM57">
        <v>1314.7618636960769</v>
      </c>
      <c r="AN57">
        <v>6</v>
      </c>
      <c r="AO57">
        <v>8467.2000000000007</v>
      </c>
      <c r="AP57">
        <v>6</v>
      </c>
      <c r="AQ57">
        <v>8467.2000000000007</v>
      </c>
      <c r="AR57">
        <v>9</v>
      </c>
      <c r="AS57">
        <v>12700.800000000001</v>
      </c>
      <c r="AT57">
        <v>7</v>
      </c>
      <c r="AU57">
        <v>9878.4</v>
      </c>
      <c r="AV57">
        <v>8</v>
      </c>
      <c r="AW57">
        <v>11289.6</v>
      </c>
      <c r="AX57">
        <v>7</v>
      </c>
      <c r="AY57">
        <v>9878.4</v>
      </c>
      <c r="AZ57">
        <v>8</v>
      </c>
      <c r="BA57">
        <v>11289.6</v>
      </c>
      <c r="BB57">
        <v>6</v>
      </c>
      <c r="BC57">
        <v>8467.2000000000007</v>
      </c>
      <c r="BD57">
        <v>8</v>
      </c>
      <c r="BE57">
        <v>11289.6</v>
      </c>
      <c r="BF57">
        <v>9</v>
      </c>
      <c r="BG57">
        <v>12700.800000000001</v>
      </c>
      <c r="BH57">
        <v>7</v>
      </c>
      <c r="BI57">
        <v>9878.4</v>
      </c>
      <c r="BJ57">
        <v>5</v>
      </c>
      <c r="BK57">
        <v>7056</v>
      </c>
      <c r="BL57">
        <v>7</v>
      </c>
      <c r="BM57">
        <v>9878.4</v>
      </c>
      <c r="BN57">
        <v>7</v>
      </c>
      <c r="BO57">
        <v>9878.4</v>
      </c>
      <c r="BP57">
        <v>9</v>
      </c>
      <c r="BQ57">
        <v>12700.800000000001</v>
      </c>
      <c r="BR57">
        <v>6</v>
      </c>
      <c r="BS57">
        <v>8467.2000000000007</v>
      </c>
      <c r="BT57">
        <v>10</v>
      </c>
      <c r="BU57">
        <v>14112</v>
      </c>
      <c r="BV57">
        <v>6</v>
      </c>
      <c r="BW57">
        <v>8467.2000000000007</v>
      </c>
      <c r="BX57">
        <v>8</v>
      </c>
      <c r="BY57">
        <v>11289.6</v>
      </c>
      <c r="BZ57">
        <v>9</v>
      </c>
      <c r="CA57">
        <v>12700.800000000001</v>
      </c>
      <c r="CB57">
        <v>7</v>
      </c>
      <c r="CC57">
        <v>9878.4</v>
      </c>
      <c r="CD57">
        <v>7.2335009472049805</v>
      </c>
      <c r="CE57">
        <v>10207.916536695669</v>
      </c>
      <c r="CF57">
        <v>5</v>
      </c>
      <c r="CG57">
        <v>7056</v>
      </c>
      <c r="CH57">
        <v>6</v>
      </c>
      <c r="CI57">
        <v>8467.2000000000007</v>
      </c>
      <c r="CJ57">
        <v>8</v>
      </c>
      <c r="CK57">
        <v>11289.6</v>
      </c>
      <c r="CL57">
        <v>6.6149375439243094</v>
      </c>
      <c r="CM57">
        <v>9334.9998619859853</v>
      </c>
      <c r="CN57">
        <v>6</v>
      </c>
      <c r="CO57">
        <v>8467.2000000000007</v>
      </c>
      <c r="CP57">
        <v>7</v>
      </c>
      <c r="CQ57">
        <v>9878.4</v>
      </c>
      <c r="CR57">
        <v>5.677568613158412</v>
      </c>
      <c r="CS57">
        <v>8012.1848268891508</v>
      </c>
      <c r="CT57">
        <v>6</v>
      </c>
      <c r="CU57">
        <v>8467.2000000000007</v>
      </c>
    </row>
    <row r="58" spans="2:99">
      <c r="C58" s="99" t="s">
        <v>225</v>
      </c>
      <c r="D58">
        <v>7.722289644146306</v>
      </c>
      <c r="E58">
        <v>9090.6793690890318</v>
      </c>
      <c r="F58">
        <v>8</v>
      </c>
      <c r="G58">
        <v>9417.6</v>
      </c>
      <c r="H58">
        <v>9</v>
      </c>
      <c r="I58">
        <v>10594.800000000001</v>
      </c>
      <c r="J58">
        <v>9</v>
      </c>
      <c r="K58">
        <v>10594.800000000001</v>
      </c>
      <c r="L58">
        <v>10</v>
      </c>
      <c r="M58">
        <v>11772</v>
      </c>
      <c r="N58">
        <v>6.0038669680682686</v>
      </c>
      <c r="O58">
        <v>7067.7521948099657</v>
      </c>
      <c r="P58">
        <v>2.3022747826950176E-21</v>
      </c>
      <c r="Q58">
        <v>2.7102378741885747E-18</v>
      </c>
      <c r="R58">
        <v>4.0213697647343798</v>
      </c>
      <c r="S58">
        <v>4733.9564870453123</v>
      </c>
      <c r="T58">
        <v>4.8073610021880055</v>
      </c>
      <c r="U58">
        <v>5659.2253717757203</v>
      </c>
      <c r="V58">
        <v>1.3993143388523674</v>
      </c>
      <c r="W58">
        <v>1647.2728396970069</v>
      </c>
      <c r="X58">
        <v>6</v>
      </c>
      <c r="Y58">
        <v>7063.2000000000007</v>
      </c>
      <c r="Z58">
        <v>9</v>
      </c>
      <c r="AA58">
        <v>10594.800000000001</v>
      </c>
      <c r="AB58">
        <v>8</v>
      </c>
      <c r="AC58">
        <v>9417.6</v>
      </c>
      <c r="AD58">
        <v>10</v>
      </c>
      <c r="AE58">
        <v>11772</v>
      </c>
      <c r="AF58">
        <v>11</v>
      </c>
      <c r="AG58">
        <v>12949.2</v>
      </c>
      <c r="AH58">
        <v>6</v>
      </c>
      <c r="AI58">
        <v>7063.2000000000007</v>
      </c>
      <c r="AJ58">
        <v>7</v>
      </c>
      <c r="AK58">
        <v>8240.4</v>
      </c>
      <c r="AL58">
        <v>8</v>
      </c>
      <c r="AM58">
        <v>9417.6</v>
      </c>
      <c r="AN58">
        <v>6</v>
      </c>
      <c r="AO58">
        <v>7063.2000000000007</v>
      </c>
      <c r="AP58">
        <v>3.6135202289020469</v>
      </c>
      <c r="AQ58">
        <v>4253.8360134634895</v>
      </c>
      <c r="AR58">
        <v>9</v>
      </c>
      <c r="AS58">
        <v>10594.800000000001</v>
      </c>
      <c r="AT58">
        <v>7</v>
      </c>
      <c r="AU58">
        <v>8240.4</v>
      </c>
      <c r="AV58">
        <v>8</v>
      </c>
      <c r="AW58">
        <v>9417.6</v>
      </c>
      <c r="AX58">
        <v>6</v>
      </c>
      <c r="AY58">
        <v>7063.2000000000007</v>
      </c>
      <c r="AZ58">
        <v>8</v>
      </c>
      <c r="BA58">
        <v>9417.6</v>
      </c>
      <c r="BB58">
        <v>2.5268473461050656</v>
      </c>
      <c r="BC58">
        <v>2974.6046958348834</v>
      </c>
      <c r="BD58">
        <v>8</v>
      </c>
      <c r="BE58">
        <v>9417.6</v>
      </c>
      <c r="BF58">
        <v>8.4008270221555019</v>
      </c>
      <c r="BG58">
        <v>9889.4535704814571</v>
      </c>
      <c r="BH58">
        <v>7</v>
      </c>
      <c r="BI58">
        <v>8240.4</v>
      </c>
      <c r="BJ58">
        <v>5.9632810861299221</v>
      </c>
      <c r="BK58">
        <v>7019.9744945921448</v>
      </c>
      <c r="BL58">
        <v>4.4650217425741952</v>
      </c>
      <c r="BM58">
        <v>5256.2235953583431</v>
      </c>
      <c r="BN58">
        <v>2.6642225711840899</v>
      </c>
      <c r="BO58">
        <v>3136.3228107979107</v>
      </c>
      <c r="BP58">
        <v>8</v>
      </c>
      <c r="BQ58">
        <v>9417.6</v>
      </c>
      <c r="BR58">
        <v>2.7403714236214092</v>
      </c>
      <c r="BS58">
        <v>3225.9652398871231</v>
      </c>
      <c r="BT58">
        <v>11</v>
      </c>
      <c r="BU58">
        <v>12949.2</v>
      </c>
      <c r="BV58">
        <v>3.0797574002051133</v>
      </c>
      <c r="BW58">
        <v>3625.4904115214595</v>
      </c>
      <c r="BX58">
        <v>8</v>
      </c>
      <c r="BY58">
        <v>9417.6</v>
      </c>
      <c r="BZ58">
        <v>8</v>
      </c>
      <c r="CA58">
        <v>9417.6</v>
      </c>
      <c r="CB58">
        <v>5.2764418323430426</v>
      </c>
      <c r="CC58">
        <v>6211.4273250342303</v>
      </c>
      <c r="CD58">
        <v>4.3202168035162192</v>
      </c>
      <c r="CE58">
        <v>5085.7592210992934</v>
      </c>
      <c r="CF58">
        <v>5</v>
      </c>
      <c r="CG58">
        <v>5886</v>
      </c>
      <c r="CH58">
        <v>3.7708495827360138</v>
      </c>
      <c r="CI58">
        <v>4439.044128796836</v>
      </c>
      <c r="CJ58">
        <v>2.149151032970456</v>
      </c>
      <c r="CK58">
        <v>2529.980596012821</v>
      </c>
      <c r="CL58">
        <v>7.9280213300540607</v>
      </c>
      <c r="CM58">
        <v>9332.866709739641</v>
      </c>
      <c r="CN58">
        <v>4.0834085766242296</v>
      </c>
      <c r="CO58">
        <v>4806.9885764020437</v>
      </c>
      <c r="CP58">
        <v>7</v>
      </c>
      <c r="CQ58">
        <v>8240.4</v>
      </c>
      <c r="CR58">
        <v>0.64672058999650195</v>
      </c>
      <c r="CS58">
        <v>761.31947854388216</v>
      </c>
      <c r="CT58">
        <v>6</v>
      </c>
      <c r="CU58">
        <v>7063.2000000000007</v>
      </c>
    </row>
    <row r="59" spans="2:99">
      <c r="C59" s="99" t="s">
        <v>226</v>
      </c>
      <c r="D59">
        <v>3.144036260406728</v>
      </c>
      <c r="E59">
        <v>954.52940865948256</v>
      </c>
      <c r="F59">
        <v>9</v>
      </c>
      <c r="G59">
        <v>2732.3999999999996</v>
      </c>
      <c r="H59">
        <v>10</v>
      </c>
      <c r="I59">
        <v>3035.9999999999995</v>
      </c>
      <c r="J59">
        <v>9</v>
      </c>
      <c r="K59">
        <v>2732.3999999999996</v>
      </c>
      <c r="L59">
        <v>9</v>
      </c>
      <c r="M59">
        <v>2732.3999999999996</v>
      </c>
      <c r="N59">
        <v>9</v>
      </c>
      <c r="O59">
        <v>2732.3999999999996</v>
      </c>
      <c r="P59">
        <v>11.009788346854368</v>
      </c>
      <c r="Q59">
        <v>3342.5717421049858</v>
      </c>
      <c r="R59">
        <v>10</v>
      </c>
      <c r="S59">
        <v>3035.9999999999995</v>
      </c>
      <c r="T59">
        <v>10</v>
      </c>
      <c r="U59">
        <v>3035.9999999999995</v>
      </c>
      <c r="V59">
        <v>8</v>
      </c>
      <c r="W59">
        <v>2428.7999999999997</v>
      </c>
      <c r="X59">
        <v>6</v>
      </c>
      <c r="Y59">
        <v>1821.6</v>
      </c>
      <c r="Z59">
        <v>9</v>
      </c>
      <c r="AA59">
        <v>2732.3999999999996</v>
      </c>
      <c r="AB59">
        <v>9</v>
      </c>
      <c r="AC59">
        <v>2732.3999999999996</v>
      </c>
      <c r="AD59">
        <v>10</v>
      </c>
      <c r="AE59">
        <v>3035.9999999999995</v>
      </c>
      <c r="AF59">
        <v>5.7658600588453961</v>
      </c>
      <c r="AG59">
        <v>1750.5151138654621</v>
      </c>
      <c r="AH59">
        <v>6</v>
      </c>
      <c r="AI59">
        <v>1821.6</v>
      </c>
      <c r="AJ59">
        <v>7</v>
      </c>
      <c r="AK59">
        <v>2125.1999999999998</v>
      </c>
      <c r="AL59">
        <v>0.93166231837873936</v>
      </c>
      <c r="AM59">
        <v>282.85267985978521</v>
      </c>
      <c r="AN59">
        <v>7</v>
      </c>
      <c r="AO59">
        <v>2125.1999999999998</v>
      </c>
      <c r="AP59">
        <v>6</v>
      </c>
      <c r="AQ59">
        <v>1821.6</v>
      </c>
      <c r="AR59">
        <v>10</v>
      </c>
      <c r="AS59">
        <v>3035.9999999999995</v>
      </c>
      <c r="AT59">
        <v>7</v>
      </c>
      <c r="AU59">
        <v>2125.1999999999998</v>
      </c>
      <c r="AV59">
        <v>8</v>
      </c>
      <c r="AW59">
        <v>2428.7999999999997</v>
      </c>
      <c r="AX59">
        <v>7</v>
      </c>
      <c r="AY59">
        <v>2125.1999999999998</v>
      </c>
      <c r="AZ59">
        <v>8</v>
      </c>
      <c r="BA59">
        <v>2428.7999999999997</v>
      </c>
      <c r="BB59">
        <v>5</v>
      </c>
      <c r="BC59">
        <v>1517.9999999999998</v>
      </c>
      <c r="BD59">
        <v>9</v>
      </c>
      <c r="BE59">
        <v>2732.3999999999996</v>
      </c>
      <c r="BF59">
        <v>11</v>
      </c>
      <c r="BG59">
        <v>3339.5999999999995</v>
      </c>
      <c r="BH59">
        <v>7</v>
      </c>
      <c r="BI59">
        <v>2125.1999999999998</v>
      </c>
      <c r="BJ59">
        <v>6</v>
      </c>
      <c r="BK59">
        <v>1821.6</v>
      </c>
      <c r="BL59">
        <v>7</v>
      </c>
      <c r="BM59">
        <v>2125.1999999999998</v>
      </c>
      <c r="BN59">
        <v>6</v>
      </c>
      <c r="BO59">
        <v>1821.6</v>
      </c>
      <c r="BP59">
        <v>9</v>
      </c>
      <c r="BQ59">
        <v>2732.3999999999996</v>
      </c>
      <c r="BR59">
        <v>6</v>
      </c>
      <c r="BS59">
        <v>1821.6</v>
      </c>
      <c r="BT59">
        <v>11</v>
      </c>
      <c r="BU59">
        <v>3339.5999999999995</v>
      </c>
      <c r="BV59">
        <v>6</v>
      </c>
      <c r="BW59">
        <v>1821.6</v>
      </c>
      <c r="BX59">
        <v>9</v>
      </c>
      <c r="BY59">
        <v>2732.3999999999996</v>
      </c>
      <c r="BZ59">
        <v>10</v>
      </c>
      <c r="CA59">
        <v>3035.9999999999995</v>
      </c>
      <c r="CB59">
        <v>8</v>
      </c>
      <c r="CC59">
        <v>2428.7999999999997</v>
      </c>
      <c r="CD59">
        <v>7.2335009472049805</v>
      </c>
      <c r="CE59">
        <v>2196.0908875714317</v>
      </c>
      <c r="CF59">
        <v>6</v>
      </c>
      <c r="CG59">
        <v>1821.6</v>
      </c>
      <c r="CH59">
        <v>6</v>
      </c>
      <c r="CI59">
        <v>1821.6</v>
      </c>
      <c r="CJ59">
        <v>8</v>
      </c>
      <c r="CK59">
        <v>2428.7999999999997</v>
      </c>
      <c r="CL59">
        <v>8.5049196993312552</v>
      </c>
      <c r="CM59">
        <v>2582.0936207169689</v>
      </c>
      <c r="CN59">
        <v>7</v>
      </c>
      <c r="CO59">
        <v>2125.1999999999998</v>
      </c>
      <c r="CP59">
        <v>8</v>
      </c>
      <c r="CQ59">
        <v>2428.7999999999997</v>
      </c>
      <c r="CR59">
        <v>6.6238300486848143</v>
      </c>
      <c r="CS59">
        <v>2010.9948027807093</v>
      </c>
      <c r="CT59">
        <v>6</v>
      </c>
      <c r="CU59">
        <v>1821.6</v>
      </c>
    </row>
    <row r="60" spans="2:99">
      <c r="C60" s="99" t="s">
        <v>227</v>
      </c>
      <c r="D60">
        <v>3.144036260406728</v>
      </c>
      <c r="E60">
        <v>2048.6540272810239</v>
      </c>
      <c r="F60">
        <v>9</v>
      </c>
      <c r="G60">
        <v>5864.4000000000005</v>
      </c>
      <c r="H60">
        <v>10</v>
      </c>
      <c r="I60">
        <v>6516</v>
      </c>
      <c r="J60">
        <v>9</v>
      </c>
      <c r="K60">
        <v>5864.4000000000005</v>
      </c>
      <c r="L60">
        <v>9</v>
      </c>
      <c r="M60">
        <v>5864.4000000000005</v>
      </c>
      <c r="N60">
        <v>9</v>
      </c>
      <c r="O60">
        <v>5864.4000000000005</v>
      </c>
      <c r="P60">
        <v>10.092305984616504</v>
      </c>
      <c r="Q60">
        <v>6576.1465795761142</v>
      </c>
      <c r="R60">
        <v>9</v>
      </c>
      <c r="S60">
        <v>5864.4000000000005</v>
      </c>
      <c r="T60">
        <v>11</v>
      </c>
      <c r="U60">
        <v>7167.6</v>
      </c>
      <c r="V60">
        <v>7</v>
      </c>
      <c r="W60">
        <v>4561.2</v>
      </c>
      <c r="X60">
        <v>6</v>
      </c>
      <c r="Y60">
        <v>3909.6000000000004</v>
      </c>
      <c r="Z60">
        <v>10</v>
      </c>
      <c r="AA60">
        <v>6516</v>
      </c>
      <c r="AB60">
        <v>7</v>
      </c>
      <c r="AC60">
        <v>4561.2</v>
      </c>
      <c r="AD60">
        <v>10</v>
      </c>
      <c r="AE60">
        <v>6516</v>
      </c>
      <c r="AF60">
        <v>5.7658600588453961</v>
      </c>
      <c r="AG60">
        <v>3757.03441434366</v>
      </c>
      <c r="AH60">
        <v>6</v>
      </c>
      <c r="AI60">
        <v>3909.6000000000004</v>
      </c>
      <c r="AJ60">
        <v>7</v>
      </c>
      <c r="AK60">
        <v>4561.2</v>
      </c>
      <c r="AL60">
        <v>0.93166231837873936</v>
      </c>
      <c r="AM60">
        <v>607.07116665558658</v>
      </c>
      <c r="AN60">
        <v>6</v>
      </c>
      <c r="AO60">
        <v>3909.6000000000004</v>
      </c>
      <c r="AP60">
        <v>7</v>
      </c>
      <c r="AQ60">
        <v>4561.2</v>
      </c>
      <c r="AR60">
        <v>9</v>
      </c>
      <c r="AS60">
        <v>5864.4000000000005</v>
      </c>
      <c r="AT60">
        <v>8</v>
      </c>
      <c r="AU60">
        <v>5212.8</v>
      </c>
      <c r="AV60">
        <v>8</v>
      </c>
      <c r="AW60">
        <v>5212.8</v>
      </c>
      <c r="AX60">
        <v>7</v>
      </c>
      <c r="AY60">
        <v>4561.2</v>
      </c>
      <c r="AZ60">
        <v>7</v>
      </c>
      <c r="BA60">
        <v>4561.2</v>
      </c>
      <c r="BB60">
        <v>6</v>
      </c>
      <c r="BC60">
        <v>3909.6000000000004</v>
      </c>
      <c r="BD60">
        <v>9</v>
      </c>
      <c r="BE60">
        <v>5864.4000000000005</v>
      </c>
      <c r="BF60">
        <v>9</v>
      </c>
      <c r="BG60">
        <v>5864.4000000000005</v>
      </c>
      <c r="BH60">
        <v>7</v>
      </c>
      <c r="BI60">
        <v>4561.2</v>
      </c>
      <c r="BJ60">
        <v>6</v>
      </c>
      <c r="BK60">
        <v>3909.6000000000004</v>
      </c>
      <c r="BL60">
        <v>7</v>
      </c>
      <c r="BM60">
        <v>4561.2</v>
      </c>
      <c r="BN60">
        <v>6</v>
      </c>
      <c r="BO60">
        <v>3909.6000000000004</v>
      </c>
      <c r="BP60">
        <v>9</v>
      </c>
      <c r="BQ60">
        <v>5864.4000000000005</v>
      </c>
      <c r="BR60">
        <v>6</v>
      </c>
      <c r="BS60">
        <v>3909.6000000000004</v>
      </c>
      <c r="BT60">
        <v>11</v>
      </c>
      <c r="BU60">
        <v>7167.6</v>
      </c>
      <c r="BV60">
        <v>7</v>
      </c>
      <c r="BW60">
        <v>4561.2</v>
      </c>
      <c r="BX60">
        <v>9</v>
      </c>
      <c r="BY60">
        <v>5864.4000000000005</v>
      </c>
      <c r="BZ60">
        <v>10</v>
      </c>
      <c r="CA60">
        <v>6516</v>
      </c>
      <c r="CB60">
        <v>7</v>
      </c>
      <c r="CC60">
        <v>4561.2</v>
      </c>
      <c r="CD60">
        <v>7.2335009472049805</v>
      </c>
      <c r="CE60">
        <v>4713.3492171987655</v>
      </c>
      <c r="CF60">
        <v>6</v>
      </c>
      <c r="CG60">
        <v>3909.6000000000004</v>
      </c>
      <c r="CH60">
        <v>5</v>
      </c>
      <c r="CI60">
        <v>3258</v>
      </c>
      <c r="CJ60">
        <v>8</v>
      </c>
      <c r="CK60">
        <v>5212.8</v>
      </c>
      <c r="CL60">
        <v>7.5599286216277815</v>
      </c>
      <c r="CM60">
        <v>4926.0494898526622</v>
      </c>
      <c r="CN60">
        <v>6</v>
      </c>
      <c r="CO60">
        <v>3909.6000000000004</v>
      </c>
      <c r="CP60">
        <v>8</v>
      </c>
      <c r="CQ60">
        <v>5212.8</v>
      </c>
      <c r="CR60">
        <v>5.677568613158412</v>
      </c>
      <c r="CS60">
        <v>3699.5037083340212</v>
      </c>
      <c r="CT60">
        <v>7</v>
      </c>
      <c r="CU60">
        <v>4561.2</v>
      </c>
    </row>
    <row r="61" spans="2:99">
      <c r="C61" s="99" t="s">
        <v>228</v>
      </c>
      <c r="D61">
        <v>3.5370407929575691</v>
      </c>
      <c r="E61">
        <v>3365.8480185784224</v>
      </c>
      <c r="F61">
        <v>9</v>
      </c>
      <c r="G61">
        <v>8564.4</v>
      </c>
      <c r="H61">
        <v>9</v>
      </c>
      <c r="I61">
        <v>8564.4</v>
      </c>
      <c r="J61">
        <v>8</v>
      </c>
      <c r="K61">
        <v>7612.7999999999993</v>
      </c>
      <c r="L61">
        <v>9</v>
      </c>
      <c r="M61">
        <v>8564.4</v>
      </c>
      <c r="N61">
        <v>9</v>
      </c>
      <c r="O61">
        <v>8564.4</v>
      </c>
      <c r="P61">
        <v>10.092305984616504</v>
      </c>
      <c r="Q61">
        <v>9603.8383749610639</v>
      </c>
      <c r="R61">
        <v>8</v>
      </c>
      <c r="S61">
        <v>7612.7999999999993</v>
      </c>
      <c r="T61">
        <v>10</v>
      </c>
      <c r="U61">
        <v>9516</v>
      </c>
      <c r="V61">
        <v>7</v>
      </c>
      <c r="W61">
        <v>6661.1999999999989</v>
      </c>
      <c r="X61">
        <v>7</v>
      </c>
      <c r="Y61">
        <v>6661.1999999999989</v>
      </c>
      <c r="Z61">
        <v>10</v>
      </c>
      <c r="AA61">
        <v>9516</v>
      </c>
      <c r="AB61">
        <v>7</v>
      </c>
      <c r="AC61">
        <v>6661.1999999999989</v>
      </c>
      <c r="AD61">
        <v>11</v>
      </c>
      <c r="AE61">
        <v>10467.599999999999</v>
      </c>
      <c r="AF61">
        <v>5.1892740529608563</v>
      </c>
      <c r="AG61">
        <v>4938.1131887975507</v>
      </c>
      <c r="AH61">
        <v>6</v>
      </c>
      <c r="AI61">
        <v>5709.5999999999995</v>
      </c>
      <c r="AJ61">
        <v>7</v>
      </c>
      <c r="AK61">
        <v>6661.1999999999989</v>
      </c>
      <c r="AL61">
        <v>1.0351803537541548</v>
      </c>
      <c r="AM61">
        <v>985.07762463245365</v>
      </c>
      <c r="AN61">
        <v>6</v>
      </c>
      <c r="AO61">
        <v>5709.5999999999995</v>
      </c>
      <c r="AP61">
        <v>6</v>
      </c>
      <c r="AQ61">
        <v>5709.5999999999995</v>
      </c>
      <c r="AR61">
        <v>10</v>
      </c>
      <c r="AS61">
        <v>9516</v>
      </c>
      <c r="AT61">
        <v>8</v>
      </c>
      <c r="AU61">
        <v>7612.7999999999993</v>
      </c>
      <c r="AV61">
        <v>7</v>
      </c>
      <c r="AW61">
        <v>6661.1999999999989</v>
      </c>
      <c r="AX61">
        <v>7</v>
      </c>
      <c r="AY61">
        <v>6661.1999999999989</v>
      </c>
      <c r="AZ61">
        <v>7</v>
      </c>
      <c r="BA61">
        <v>6661.1999999999989</v>
      </c>
      <c r="BB61">
        <v>5</v>
      </c>
      <c r="BC61">
        <v>4758</v>
      </c>
      <c r="BD61">
        <v>8</v>
      </c>
      <c r="BE61">
        <v>7612.7999999999993</v>
      </c>
      <c r="BF61">
        <v>9</v>
      </c>
      <c r="BG61">
        <v>8564.4</v>
      </c>
      <c r="BH61">
        <v>7</v>
      </c>
      <c r="BI61">
        <v>6661.1999999999989</v>
      </c>
      <c r="BJ61">
        <v>6</v>
      </c>
      <c r="BK61">
        <v>5709.5999999999995</v>
      </c>
      <c r="BL61">
        <v>7</v>
      </c>
      <c r="BM61">
        <v>6661.1999999999989</v>
      </c>
      <c r="BN61">
        <v>7</v>
      </c>
      <c r="BO61">
        <v>6661.1999999999989</v>
      </c>
      <c r="BP61">
        <v>9</v>
      </c>
      <c r="BQ61">
        <v>8564.4</v>
      </c>
      <c r="BR61">
        <v>6</v>
      </c>
      <c r="BS61">
        <v>5709.5999999999995</v>
      </c>
      <c r="BT61">
        <v>12</v>
      </c>
      <c r="BU61">
        <v>11419.199999999999</v>
      </c>
      <c r="BV61">
        <v>6</v>
      </c>
      <c r="BW61">
        <v>5709.5999999999995</v>
      </c>
      <c r="BX61">
        <v>8</v>
      </c>
      <c r="BY61">
        <v>7612.7999999999993</v>
      </c>
      <c r="BZ61">
        <v>9</v>
      </c>
      <c r="CA61">
        <v>8564.4</v>
      </c>
      <c r="CB61">
        <v>7</v>
      </c>
      <c r="CC61">
        <v>6661.1999999999989</v>
      </c>
      <c r="CD61">
        <v>6.3293133288043579</v>
      </c>
      <c r="CE61">
        <v>6022.9745636902262</v>
      </c>
      <c r="CF61">
        <v>6</v>
      </c>
      <c r="CG61">
        <v>5709.5999999999995</v>
      </c>
      <c r="CH61">
        <v>6</v>
      </c>
      <c r="CI61">
        <v>5709.5999999999995</v>
      </c>
      <c r="CJ61">
        <v>9</v>
      </c>
      <c r="CK61">
        <v>8564.4</v>
      </c>
      <c r="CL61">
        <v>7.5599286216277815</v>
      </c>
      <c r="CM61">
        <v>7194.0280763409964</v>
      </c>
      <c r="CN61">
        <v>7</v>
      </c>
      <c r="CO61">
        <v>6661.1999999999989</v>
      </c>
      <c r="CP61">
        <v>7</v>
      </c>
      <c r="CQ61">
        <v>6661.1999999999989</v>
      </c>
      <c r="CR61">
        <v>5.677568613158412</v>
      </c>
      <c r="CS61">
        <v>5402.7742922815441</v>
      </c>
      <c r="CT61">
        <v>6</v>
      </c>
      <c r="CU61">
        <v>5709.5999999999995</v>
      </c>
    </row>
    <row r="62" spans="2:99">
      <c r="C62" s="99" t="s">
        <v>229</v>
      </c>
      <c r="D62">
        <v>6.4460570160819373</v>
      </c>
      <c r="E62">
        <v>10759.75837124397</v>
      </c>
      <c r="F62">
        <v>3.8050159080851729</v>
      </c>
      <c r="G62">
        <v>6351.332553775771</v>
      </c>
      <c r="H62">
        <v>6.80840016890199</v>
      </c>
      <c r="I62">
        <v>11364.581561931202</v>
      </c>
      <c r="J62">
        <v>4.3624013403064961</v>
      </c>
      <c r="K62">
        <v>7281.720317239603</v>
      </c>
      <c r="L62">
        <v>10</v>
      </c>
      <c r="M62">
        <v>16692</v>
      </c>
      <c r="N62">
        <v>6.6692703966075371</v>
      </c>
      <c r="O62">
        <v>11132.3461460173</v>
      </c>
      <c r="P62">
        <v>4.5743992404275824</v>
      </c>
      <c r="Q62">
        <v>7635.5872121217208</v>
      </c>
      <c r="R62">
        <v>4.9419228378069868E-21</v>
      </c>
      <c r="S62">
        <v>8.2490576008674225E-18</v>
      </c>
      <c r="T62">
        <v>3.1272851619916012E-21</v>
      </c>
      <c r="U62">
        <v>5.2200643923963805E-18</v>
      </c>
      <c r="V62">
        <v>1.9668146446762701E-21</v>
      </c>
      <c r="W62">
        <v>3.2830070048936303E-18</v>
      </c>
      <c r="X62">
        <v>5.8538293270720807</v>
      </c>
      <c r="Y62">
        <v>9771.2119127487167</v>
      </c>
      <c r="Z62">
        <v>8.8359687955805004</v>
      </c>
      <c r="AA62">
        <v>14748.999113582971</v>
      </c>
      <c r="AB62">
        <v>5.3368244577295334</v>
      </c>
      <c r="AC62">
        <v>8908.2273848421373</v>
      </c>
      <c r="AD62">
        <v>7.7347895012363832</v>
      </c>
      <c r="AE62">
        <v>12910.910635463772</v>
      </c>
      <c r="AF62">
        <v>8.9201208793479321</v>
      </c>
      <c r="AG62">
        <v>14889.465771807569</v>
      </c>
      <c r="AH62">
        <v>1.2118877028117416</v>
      </c>
      <c r="AI62">
        <v>2022.8829535333591</v>
      </c>
      <c r="AJ62">
        <v>7</v>
      </c>
      <c r="AK62">
        <v>11684.4</v>
      </c>
      <c r="AL62">
        <v>9</v>
      </c>
      <c r="AM62">
        <v>15022.800000000001</v>
      </c>
      <c r="AN62">
        <v>5</v>
      </c>
      <c r="AO62">
        <v>8346</v>
      </c>
      <c r="AP62">
        <v>5</v>
      </c>
      <c r="AQ62">
        <v>8346</v>
      </c>
      <c r="AR62">
        <v>9</v>
      </c>
      <c r="AS62">
        <v>15022.800000000001</v>
      </c>
      <c r="AT62">
        <v>4.880634616576649</v>
      </c>
      <c r="AU62">
        <v>8146.7553019897423</v>
      </c>
      <c r="AV62">
        <v>5.6000758883798678</v>
      </c>
      <c r="AW62">
        <v>9347.6466728836749</v>
      </c>
      <c r="AX62">
        <v>6</v>
      </c>
      <c r="AY62">
        <v>10015.200000000001</v>
      </c>
      <c r="AZ62">
        <v>7</v>
      </c>
      <c r="BA62">
        <v>11684.4</v>
      </c>
      <c r="BB62">
        <v>5</v>
      </c>
      <c r="BC62">
        <v>8346</v>
      </c>
      <c r="BD62">
        <v>6.9163249525169039</v>
      </c>
      <c r="BE62">
        <v>11544.729610741217</v>
      </c>
      <c r="BF62">
        <v>6.6996616046604647</v>
      </c>
      <c r="BG62">
        <v>11183.075150499248</v>
      </c>
      <c r="BH62">
        <v>5.8174701387051737</v>
      </c>
      <c r="BI62">
        <v>9710.521155526676</v>
      </c>
      <c r="BJ62">
        <v>5.35207252760876</v>
      </c>
      <c r="BK62">
        <v>8933.6794630845416</v>
      </c>
      <c r="BL62">
        <v>4.3062652520990055</v>
      </c>
      <c r="BM62">
        <v>7188.0179588036599</v>
      </c>
      <c r="BN62">
        <v>4.8655204796443305</v>
      </c>
      <c r="BO62">
        <v>8121.5267846223169</v>
      </c>
      <c r="BP62">
        <v>4.0470918804448983</v>
      </c>
      <c r="BQ62">
        <v>6755.405766838624</v>
      </c>
      <c r="BR62">
        <v>3.0458949344114914</v>
      </c>
      <c r="BS62">
        <v>5084.2078245196617</v>
      </c>
      <c r="BT62">
        <v>6.5375584612227602</v>
      </c>
      <c r="BU62">
        <v>10912.492583473031</v>
      </c>
      <c r="BV62">
        <v>2.4830598663050432</v>
      </c>
      <c r="BW62">
        <v>4144.7235288363781</v>
      </c>
      <c r="BX62">
        <v>8</v>
      </c>
      <c r="BY62">
        <v>13353.6</v>
      </c>
      <c r="BZ62">
        <v>10</v>
      </c>
      <c r="CA62">
        <v>16692</v>
      </c>
      <c r="CB62">
        <v>5.4236310389630287</v>
      </c>
      <c r="CC62">
        <v>9053.124930237087</v>
      </c>
      <c r="CD62">
        <v>2.353521046040195</v>
      </c>
      <c r="CE62">
        <v>3928.4973300502934</v>
      </c>
      <c r="CF62">
        <v>5</v>
      </c>
      <c r="CG62">
        <v>8346</v>
      </c>
      <c r="CH62">
        <v>6</v>
      </c>
      <c r="CI62">
        <v>10015.200000000001</v>
      </c>
      <c r="CJ62">
        <v>1.3613852916571809</v>
      </c>
      <c r="CK62">
        <v>2272.4243288341663</v>
      </c>
      <c r="CL62">
        <v>5.2034038462862942</v>
      </c>
      <c r="CM62">
        <v>8685.5217002210829</v>
      </c>
      <c r="CN62">
        <v>0.5139017473948525</v>
      </c>
      <c r="CO62">
        <v>857.80479675148786</v>
      </c>
      <c r="CP62">
        <v>7</v>
      </c>
      <c r="CQ62">
        <v>11684.4</v>
      </c>
      <c r="CR62">
        <v>6</v>
      </c>
      <c r="CS62">
        <v>10015.200000000001</v>
      </c>
      <c r="CT62">
        <v>6</v>
      </c>
      <c r="CU62">
        <v>10015.200000000001</v>
      </c>
    </row>
    <row r="63" spans="2:99">
      <c r="C63" s="99" t="s">
        <v>230</v>
      </c>
      <c r="D63">
        <v>3.144036260406728</v>
      </c>
      <c r="E63">
        <v>2501.3952487795927</v>
      </c>
      <c r="F63">
        <v>8</v>
      </c>
      <c r="G63">
        <v>6364.8</v>
      </c>
      <c r="H63">
        <v>10</v>
      </c>
      <c r="I63">
        <v>7956</v>
      </c>
      <c r="J63">
        <v>9</v>
      </c>
      <c r="K63">
        <v>7160.4000000000005</v>
      </c>
      <c r="L63">
        <v>11</v>
      </c>
      <c r="M63">
        <v>8751.6</v>
      </c>
      <c r="N63">
        <v>8</v>
      </c>
      <c r="O63">
        <v>6364.8</v>
      </c>
      <c r="P63">
        <v>10.092305984616504</v>
      </c>
      <c r="Q63">
        <v>8029.4386413608909</v>
      </c>
      <c r="R63">
        <v>9</v>
      </c>
      <c r="S63">
        <v>7160.4000000000005</v>
      </c>
      <c r="T63">
        <v>10</v>
      </c>
      <c r="U63">
        <v>7956</v>
      </c>
      <c r="V63">
        <v>7</v>
      </c>
      <c r="W63">
        <v>5569.2</v>
      </c>
      <c r="X63">
        <v>6</v>
      </c>
      <c r="Y63">
        <v>4773.6000000000004</v>
      </c>
      <c r="Z63">
        <v>10</v>
      </c>
      <c r="AA63">
        <v>7956</v>
      </c>
      <c r="AB63">
        <v>7</v>
      </c>
      <c r="AC63">
        <v>5569.2</v>
      </c>
      <c r="AD63">
        <v>11</v>
      </c>
      <c r="AE63">
        <v>8751.6</v>
      </c>
      <c r="AF63">
        <v>5.7658600588453961</v>
      </c>
      <c r="AG63">
        <v>4587.3182628173972</v>
      </c>
      <c r="AH63">
        <v>5</v>
      </c>
      <c r="AI63">
        <v>3978</v>
      </c>
      <c r="AJ63">
        <v>7</v>
      </c>
      <c r="AK63">
        <v>5569.2</v>
      </c>
      <c r="AL63">
        <v>0.93166231837873936</v>
      </c>
      <c r="AM63">
        <v>741.23054050212511</v>
      </c>
      <c r="AN63">
        <v>6</v>
      </c>
      <c r="AO63">
        <v>4773.6000000000004</v>
      </c>
      <c r="AP63">
        <v>6</v>
      </c>
      <c r="AQ63">
        <v>4773.6000000000004</v>
      </c>
      <c r="AR63">
        <v>10</v>
      </c>
      <c r="AS63">
        <v>7956</v>
      </c>
      <c r="AT63">
        <v>8</v>
      </c>
      <c r="AU63">
        <v>6364.8</v>
      </c>
      <c r="AV63">
        <v>7</v>
      </c>
      <c r="AW63">
        <v>5569.2</v>
      </c>
      <c r="AX63">
        <v>7</v>
      </c>
      <c r="AY63">
        <v>5569.2</v>
      </c>
      <c r="AZ63">
        <v>7</v>
      </c>
      <c r="BA63">
        <v>5569.2</v>
      </c>
      <c r="BB63">
        <v>6</v>
      </c>
      <c r="BC63">
        <v>4773.6000000000004</v>
      </c>
      <c r="BD63">
        <v>8</v>
      </c>
      <c r="BE63">
        <v>6364.8</v>
      </c>
      <c r="BF63">
        <v>10</v>
      </c>
      <c r="BG63">
        <v>7956</v>
      </c>
      <c r="BH63">
        <v>7</v>
      </c>
      <c r="BI63">
        <v>5569.2</v>
      </c>
      <c r="BJ63">
        <v>6</v>
      </c>
      <c r="BK63">
        <v>4773.6000000000004</v>
      </c>
      <c r="BL63">
        <v>6</v>
      </c>
      <c r="BM63">
        <v>4773.6000000000004</v>
      </c>
      <c r="BN63">
        <v>7</v>
      </c>
      <c r="BO63">
        <v>5569.2</v>
      </c>
      <c r="BP63">
        <v>9</v>
      </c>
      <c r="BQ63">
        <v>7160.4000000000005</v>
      </c>
      <c r="BR63">
        <v>6</v>
      </c>
      <c r="BS63">
        <v>4773.6000000000004</v>
      </c>
      <c r="BT63">
        <v>10</v>
      </c>
      <c r="BU63">
        <v>7956</v>
      </c>
      <c r="BV63">
        <v>6</v>
      </c>
      <c r="BW63">
        <v>4773.6000000000004</v>
      </c>
      <c r="BX63">
        <v>8</v>
      </c>
      <c r="BY63">
        <v>6364.8</v>
      </c>
      <c r="BZ63">
        <v>10</v>
      </c>
      <c r="CA63">
        <v>7956</v>
      </c>
      <c r="CB63">
        <v>7</v>
      </c>
      <c r="CC63">
        <v>5569.2</v>
      </c>
      <c r="CD63">
        <v>7.2335009472049805</v>
      </c>
      <c r="CE63">
        <v>5754.9733535962823</v>
      </c>
      <c r="CF63">
        <v>6</v>
      </c>
      <c r="CG63">
        <v>4773.6000000000004</v>
      </c>
      <c r="CH63">
        <v>6</v>
      </c>
      <c r="CI63">
        <v>4773.6000000000004</v>
      </c>
      <c r="CJ63">
        <v>8</v>
      </c>
      <c r="CK63">
        <v>6364.8</v>
      </c>
      <c r="CL63">
        <v>7.5599286216277815</v>
      </c>
      <c r="CM63">
        <v>6014.6792113670635</v>
      </c>
      <c r="CN63">
        <v>6</v>
      </c>
      <c r="CO63">
        <v>4773.6000000000004</v>
      </c>
      <c r="CP63">
        <v>7</v>
      </c>
      <c r="CQ63">
        <v>5569.2</v>
      </c>
      <c r="CR63">
        <v>5.677568613158412</v>
      </c>
      <c r="CS63">
        <v>4517.073588628833</v>
      </c>
      <c r="CT63">
        <v>7</v>
      </c>
      <c r="CU63">
        <v>5569.2</v>
      </c>
    </row>
    <row r="64" spans="2:99">
      <c r="C64" s="99" t="s">
        <v>231</v>
      </c>
      <c r="D64">
        <v>3.144036260406728</v>
      </c>
      <c r="E64">
        <v>3172.9613940024692</v>
      </c>
      <c r="F64">
        <v>8</v>
      </c>
      <c r="G64">
        <v>8073.5999999999985</v>
      </c>
      <c r="H64">
        <v>10</v>
      </c>
      <c r="I64">
        <v>10091.999999999998</v>
      </c>
      <c r="J64">
        <v>9</v>
      </c>
      <c r="K64">
        <v>9082.7999999999993</v>
      </c>
      <c r="L64">
        <v>10</v>
      </c>
      <c r="M64">
        <v>10091.999999999998</v>
      </c>
      <c r="N64">
        <v>9</v>
      </c>
      <c r="O64">
        <v>9082.7999999999993</v>
      </c>
      <c r="P64">
        <v>9.174823622378641</v>
      </c>
      <c r="Q64">
        <v>9259.2319997045233</v>
      </c>
      <c r="R64">
        <v>8</v>
      </c>
      <c r="S64">
        <v>8073.5999999999985</v>
      </c>
      <c r="T64">
        <v>10</v>
      </c>
      <c r="U64">
        <v>10091.999999999998</v>
      </c>
      <c r="V64">
        <v>8</v>
      </c>
      <c r="W64">
        <v>8073.5999999999985</v>
      </c>
      <c r="X64">
        <v>6</v>
      </c>
      <c r="Y64">
        <v>6055.1999999999989</v>
      </c>
      <c r="Z64">
        <v>10</v>
      </c>
      <c r="AA64">
        <v>10091.999999999998</v>
      </c>
      <c r="AB64">
        <v>8</v>
      </c>
      <c r="AC64">
        <v>8073.5999999999985</v>
      </c>
      <c r="AD64">
        <v>11</v>
      </c>
      <c r="AE64">
        <v>11101.199999999997</v>
      </c>
      <c r="AF64">
        <v>5.7658600588453961</v>
      </c>
      <c r="AG64">
        <v>5818.9059713867728</v>
      </c>
      <c r="AH64">
        <v>5</v>
      </c>
      <c r="AI64">
        <v>5045.9999999999991</v>
      </c>
      <c r="AJ64">
        <v>6</v>
      </c>
      <c r="AK64">
        <v>6055.1999999999989</v>
      </c>
      <c r="AL64">
        <v>0.93166231837873936</v>
      </c>
      <c r="AM64">
        <v>940.23361170782357</v>
      </c>
      <c r="AN64">
        <v>6</v>
      </c>
      <c r="AO64">
        <v>6055.1999999999989</v>
      </c>
      <c r="AP64">
        <v>6</v>
      </c>
      <c r="AQ64">
        <v>6055.1999999999989</v>
      </c>
      <c r="AR64">
        <v>10</v>
      </c>
      <c r="AS64">
        <v>10091.999999999998</v>
      </c>
      <c r="AT64">
        <v>8</v>
      </c>
      <c r="AU64">
        <v>8073.5999999999985</v>
      </c>
      <c r="AV64">
        <v>8</v>
      </c>
      <c r="AW64">
        <v>8073.5999999999985</v>
      </c>
      <c r="AX64">
        <v>7</v>
      </c>
      <c r="AY64">
        <v>7064.3999999999987</v>
      </c>
      <c r="AZ64">
        <v>7</v>
      </c>
      <c r="BA64">
        <v>7064.3999999999987</v>
      </c>
      <c r="BB64">
        <v>5</v>
      </c>
      <c r="BC64">
        <v>5045.9999999999991</v>
      </c>
      <c r="BD64">
        <v>8</v>
      </c>
      <c r="BE64">
        <v>8073.5999999999985</v>
      </c>
      <c r="BF64">
        <v>9</v>
      </c>
      <c r="BG64">
        <v>9082.7999999999993</v>
      </c>
      <c r="BH64">
        <v>7</v>
      </c>
      <c r="BI64">
        <v>7064.3999999999987</v>
      </c>
      <c r="BJ64">
        <v>6</v>
      </c>
      <c r="BK64">
        <v>6055.1999999999989</v>
      </c>
      <c r="BL64">
        <v>7</v>
      </c>
      <c r="BM64">
        <v>7064.3999999999987</v>
      </c>
      <c r="BN64">
        <v>6</v>
      </c>
      <c r="BO64">
        <v>6055.1999999999989</v>
      </c>
      <c r="BP64">
        <v>8</v>
      </c>
      <c r="BQ64">
        <v>8073.5999999999985</v>
      </c>
      <c r="BR64">
        <v>6</v>
      </c>
      <c r="BS64">
        <v>6055.1999999999989</v>
      </c>
      <c r="BT64">
        <v>10</v>
      </c>
      <c r="BU64">
        <v>10091.999999999998</v>
      </c>
      <c r="BV64">
        <v>6</v>
      </c>
      <c r="BW64">
        <v>6055.1999999999989</v>
      </c>
      <c r="BX64">
        <v>9</v>
      </c>
      <c r="BY64">
        <v>9082.7999999999993</v>
      </c>
      <c r="BZ64">
        <v>9</v>
      </c>
      <c r="CA64">
        <v>9082.7999999999993</v>
      </c>
      <c r="CB64">
        <v>8</v>
      </c>
      <c r="CC64">
        <v>8073.5999999999985</v>
      </c>
      <c r="CD64">
        <v>8.1376885656056039</v>
      </c>
      <c r="CE64">
        <v>8212.5553004091744</v>
      </c>
      <c r="CF64">
        <v>6</v>
      </c>
      <c r="CG64">
        <v>6055.1999999999989</v>
      </c>
      <c r="CH64">
        <v>6</v>
      </c>
      <c r="CI64">
        <v>6055.1999999999989</v>
      </c>
      <c r="CJ64">
        <v>8</v>
      </c>
      <c r="CK64">
        <v>8073.5999999999985</v>
      </c>
      <c r="CL64">
        <v>6.6149375439243094</v>
      </c>
      <c r="CM64">
        <v>6675.7949693284118</v>
      </c>
      <c r="CN64">
        <v>6</v>
      </c>
      <c r="CO64">
        <v>6055.1999999999989</v>
      </c>
      <c r="CP64">
        <v>7</v>
      </c>
      <c r="CQ64">
        <v>7064.3999999999987</v>
      </c>
      <c r="CR64">
        <v>5.677568613158412</v>
      </c>
      <c r="CS64">
        <v>5729.8022443994687</v>
      </c>
      <c r="CT64">
        <v>6</v>
      </c>
      <c r="CU64">
        <v>6055.1999999999989</v>
      </c>
    </row>
    <row r="65" spans="2:99">
      <c r="C65" s="99" t="s">
        <v>232</v>
      </c>
      <c r="D65">
        <v>3.144036260406728</v>
      </c>
      <c r="E65">
        <v>3225.7812031773028</v>
      </c>
      <c r="F65">
        <v>9</v>
      </c>
      <c r="G65">
        <v>9234</v>
      </c>
      <c r="H65">
        <v>9</v>
      </c>
      <c r="I65">
        <v>9234</v>
      </c>
      <c r="J65">
        <v>9</v>
      </c>
      <c r="K65">
        <v>9234</v>
      </c>
      <c r="L65">
        <v>9</v>
      </c>
      <c r="M65">
        <v>9234</v>
      </c>
      <c r="N65">
        <v>9</v>
      </c>
      <c r="O65">
        <v>9234</v>
      </c>
      <c r="P65">
        <v>9.174823622378641</v>
      </c>
      <c r="Q65">
        <v>9413.3690365604853</v>
      </c>
      <c r="R65">
        <v>9</v>
      </c>
      <c r="S65">
        <v>9234</v>
      </c>
      <c r="T65">
        <v>11</v>
      </c>
      <c r="U65">
        <v>11286</v>
      </c>
      <c r="V65">
        <v>8</v>
      </c>
      <c r="W65">
        <v>8208</v>
      </c>
      <c r="X65">
        <v>7</v>
      </c>
      <c r="Y65">
        <v>7182</v>
      </c>
      <c r="Z65">
        <v>10</v>
      </c>
      <c r="AA65">
        <v>10260</v>
      </c>
      <c r="AB65">
        <v>8</v>
      </c>
      <c r="AC65">
        <v>8208</v>
      </c>
      <c r="AD65">
        <v>10</v>
      </c>
      <c r="AE65">
        <v>10260</v>
      </c>
      <c r="AF65">
        <v>5.7658600588453961</v>
      </c>
      <c r="AG65">
        <v>5915.772420375376</v>
      </c>
      <c r="AH65">
        <v>6</v>
      </c>
      <c r="AI65">
        <v>6156</v>
      </c>
      <c r="AJ65">
        <v>7</v>
      </c>
      <c r="AK65">
        <v>7182</v>
      </c>
      <c r="AL65">
        <v>1.0351803537541548</v>
      </c>
      <c r="AM65">
        <v>1062.0950429517629</v>
      </c>
      <c r="AN65">
        <v>6</v>
      </c>
      <c r="AO65">
        <v>6156</v>
      </c>
      <c r="AP65">
        <v>7</v>
      </c>
      <c r="AQ65">
        <v>7182</v>
      </c>
      <c r="AR65">
        <v>10</v>
      </c>
      <c r="AS65">
        <v>10260</v>
      </c>
      <c r="AT65">
        <v>8</v>
      </c>
      <c r="AU65">
        <v>8208</v>
      </c>
      <c r="AV65">
        <v>8</v>
      </c>
      <c r="AW65">
        <v>8208</v>
      </c>
      <c r="AX65">
        <v>7</v>
      </c>
      <c r="AY65">
        <v>7182</v>
      </c>
      <c r="AZ65">
        <v>7</v>
      </c>
      <c r="BA65">
        <v>7182</v>
      </c>
      <c r="BB65">
        <v>5</v>
      </c>
      <c r="BC65">
        <v>5130</v>
      </c>
      <c r="BD65">
        <v>8</v>
      </c>
      <c r="BE65">
        <v>8208</v>
      </c>
      <c r="BF65">
        <v>9</v>
      </c>
      <c r="BG65">
        <v>9234</v>
      </c>
      <c r="BH65">
        <v>7</v>
      </c>
      <c r="BI65">
        <v>7182</v>
      </c>
      <c r="BJ65">
        <v>6</v>
      </c>
      <c r="BK65">
        <v>6156</v>
      </c>
      <c r="BL65">
        <v>7</v>
      </c>
      <c r="BM65">
        <v>7182</v>
      </c>
      <c r="BN65">
        <v>6</v>
      </c>
      <c r="BO65">
        <v>6156</v>
      </c>
      <c r="BP65">
        <v>8</v>
      </c>
      <c r="BQ65">
        <v>8208</v>
      </c>
      <c r="BR65">
        <v>5</v>
      </c>
      <c r="BS65">
        <v>5130</v>
      </c>
      <c r="BT65">
        <v>12</v>
      </c>
      <c r="BU65">
        <v>12312</v>
      </c>
      <c r="BV65">
        <v>5</v>
      </c>
      <c r="BW65">
        <v>5130</v>
      </c>
      <c r="BX65">
        <v>8</v>
      </c>
      <c r="BY65">
        <v>8208</v>
      </c>
      <c r="BZ65">
        <v>9</v>
      </c>
      <c r="CA65">
        <v>9234</v>
      </c>
      <c r="CB65">
        <v>7</v>
      </c>
      <c r="CC65">
        <v>7182</v>
      </c>
      <c r="CD65">
        <v>7.2335009472049805</v>
      </c>
      <c r="CE65">
        <v>7421.5719718323098</v>
      </c>
      <c r="CF65">
        <v>6</v>
      </c>
      <c r="CG65">
        <v>6156</v>
      </c>
      <c r="CH65">
        <v>6</v>
      </c>
      <c r="CI65">
        <v>6156</v>
      </c>
      <c r="CJ65">
        <v>8</v>
      </c>
      <c r="CK65">
        <v>8208</v>
      </c>
      <c r="CL65">
        <v>7.5599286216277815</v>
      </c>
      <c r="CM65">
        <v>7756.4867657901041</v>
      </c>
      <c r="CN65">
        <v>6</v>
      </c>
      <c r="CO65">
        <v>6156</v>
      </c>
      <c r="CP65">
        <v>7</v>
      </c>
      <c r="CQ65">
        <v>7182</v>
      </c>
      <c r="CR65">
        <v>5.677568613158412</v>
      </c>
      <c r="CS65">
        <v>5825.1853971005303</v>
      </c>
      <c r="CT65">
        <v>7</v>
      </c>
      <c r="CU65">
        <v>7182</v>
      </c>
    </row>
    <row r="66" spans="2:99">
      <c r="C66" s="99" t="s">
        <v>233</v>
      </c>
      <c r="D66">
        <v>3.144036260406728</v>
      </c>
      <c r="E66">
        <v>3742.6607643881684</v>
      </c>
      <c r="F66">
        <v>8</v>
      </c>
      <c r="G66">
        <v>9523.1999999999989</v>
      </c>
      <c r="H66">
        <v>10</v>
      </c>
      <c r="I66">
        <v>11903.999999999998</v>
      </c>
      <c r="J66">
        <v>8</v>
      </c>
      <c r="K66">
        <v>9523.1999999999989</v>
      </c>
      <c r="L66">
        <v>9</v>
      </c>
      <c r="M66">
        <v>10713.599999999999</v>
      </c>
      <c r="N66">
        <v>9</v>
      </c>
      <c r="O66">
        <v>10713.599999999999</v>
      </c>
      <c r="P66">
        <v>10.092305984616504</v>
      </c>
      <c r="Q66">
        <v>12013.881044087484</v>
      </c>
      <c r="R66">
        <v>9</v>
      </c>
      <c r="S66">
        <v>10713.599999999999</v>
      </c>
      <c r="T66">
        <v>9</v>
      </c>
      <c r="U66">
        <v>10713.599999999999</v>
      </c>
      <c r="V66">
        <v>8</v>
      </c>
      <c r="W66">
        <v>9523.1999999999989</v>
      </c>
      <c r="X66">
        <v>6</v>
      </c>
      <c r="Y66">
        <v>7142.4</v>
      </c>
      <c r="Z66">
        <v>10</v>
      </c>
      <c r="AA66">
        <v>11903.999999999998</v>
      </c>
      <c r="AB66">
        <v>8</v>
      </c>
      <c r="AC66">
        <v>9523.1999999999989</v>
      </c>
      <c r="AD66">
        <v>10</v>
      </c>
      <c r="AE66">
        <v>11903.999999999998</v>
      </c>
      <c r="AF66">
        <v>6.3424460647299359</v>
      </c>
      <c r="AG66">
        <v>7550.0477954545149</v>
      </c>
      <c r="AH66">
        <v>6</v>
      </c>
      <c r="AI66">
        <v>7142.4</v>
      </c>
      <c r="AJ66">
        <v>7</v>
      </c>
      <c r="AK66">
        <v>8332.7999999999993</v>
      </c>
      <c r="AL66">
        <v>1.0351803537541548</v>
      </c>
      <c r="AM66">
        <v>1232.2786931089458</v>
      </c>
      <c r="AN66">
        <v>6</v>
      </c>
      <c r="AO66">
        <v>7142.4</v>
      </c>
      <c r="AP66">
        <v>6</v>
      </c>
      <c r="AQ66">
        <v>7142.4</v>
      </c>
      <c r="AR66">
        <v>9</v>
      </c>
      <c r="AS66">
        <v>10713.599999999999</v>
      </c>
      <c r="AT66">
        <v>8</v>
      </c>
      <c r="AU66">
        <v>9523.1999999999989</v>
      </c>
      <c r="AV66">
        <v>8</v>
      </c>
      <c r="AW66">
        <v>9523.1999999999989</v>
      </c>
      <c r="AX66">
        <v>7</v>
      </c>
      <c r="AY66">
        <v>8332.7999999999993</v>
      </c>
      <c r="AZ66">
        <v>7</v>
      </c>
      <c r="BA66">
        <v>8332.7999999999993</v>
      </c>
      <c r="BB66">
        <v>5</v>
      </c>
      <c r="BC66">
        <v>5951.9999999999991</v>
      </c>
      <c r="BD66">
        <v>8</v>
      </c>
      <c r="BE66">
        <v>9523.1999999999989</v>
      </c>
      <c r="BF66">
        <v>10</v>
      </c>
      <c r="BG66">
        <v>11903.999999999998</v>
      </c>
      <c r="BH66">
        <v>7</v>
      </c>
      <c r="BI66">
        <v>8332.7999999999993</v>
      </c>
      <c r="BJ66">
        <v>7</v>
      </c>
      <c r="BK66">
        <v>8332.7999999999993</v>
      </c>
      <c r="BL66">
        <v>7</v>
      </c>
      <c r="BM66">
        <v>8332.7999999999993</v>
      </c>
      <c r="BN66">
        <v>6</v>
      </c>
      <c r="BO66">
        <v>7142.4</v>
      </c>
      <c r="BP66">
        <v>9</v>
      </c>
      <c r="BQ66">
        <v>10713.599999999999</v>
      </c>
      <c r="BR66">
        <v>6</v>
      </c>
      <c r="BS66">
        <v>7142.4</v>
      </c>
      <c r="BT66">
        <v>10</v>
      </c>
      <c r="BU66">
        <v>11903.999999999998</v>
      </c>
      <c r="BV66">
        <v>6</v>
      </c>
      <c r="BW66">
        <v>7142.4</v>
      </c>
      <c r="BX66">
        <v>9</v>
      </c>
      <c r="BY66">
        <v>10713.599999999999</v>
      </c>
      <c r="BZ66">
        <v>10</v>
      </c>
      <c r="CA66">
        <v>11903.999999999998</v>
      </c>
      <c r="CB66">
        <v>7</v>
      </c>
      <c r="CC66">
        <v>8332.7999999999993</v>
      </c>
      <c r="CD66">
        <v>7.2335009472049805</v>
      </c>
      <c r="CE66">
        <v>8610.7595275528074</v>
      </c>
      <c r="CF66">
        <v>5</v>
      </c>
      <c r="CG66">
        <v>5951.9999999999991</v>
      </c>
      <c r="CH66">
        <v>6</v>
      </c>
      <c r="CI66">
        <v>7142.4</v>
      </c>
      <c r="CJ66">
        <v>8</v>
      </c>
      <c r="CK66">
        <v>9523.1999999999989</v>
      </c>
      <c r="CL66">
        <v>6.6149375439243094</v>
      </c>
      <c r="CM66">
        <v>7874.4216522874967</v>
      </c>
      <c r="CN66">
        <v>7</v>
      </c>
      <c r="CO66">
        <v>8332.7999999999993</v>
      </c>
      <c r="CP66">
        <v>7</v>
      </c>
      <c r="CQ66">
        <v>8332.7999999999993</v>
      </c>
      <c r="CR66">
        <v>5.677568613158412</v>
      </c>
      <c r="CS66">
        <v>6758.5776771037727</v>
      </c>
      <c r="CT66">
        <v>7</v>
      </c>
      <c r="CU66">
        <v>8332.7999999999993</v>
      </c>
    </row>
    <row r="67" spans="2:99">
      <c r="C67" s="99" t="s">
        <v>234</v>
      </c>
      <c r="D67">
        <v>3.144036260406728</v>
      </c>
      <c r="E67">
        <v>3531.3815276888372</v>
      </c>
      <c r="F67">
        <v>9</v>
      </c>
      <c r="G67">
        <v>10108.800000000001</v>
      </c>
      <c r="H67">
        <v>10</v>
      </c>
      <c r="I67">
        <v>11232</v>
      </c>
      <c r="J67">
        <v>8</v>
      </c>
      <c r="K67">
        <v>8985.6</v>
      </c>
      <c r="L67">
        <v>9</v>
      </c>
      <c r="M67">
        <v>10108.800000000001</v>
      </c>
      <c r="N67">
        <v>8</v>
      </c>
      <c r="O67">
        <v>8985.6</v>
      </c>
      <c r="P67">
        <v>9.174823622378641</v>
      </c>
      <c r="Q67">
        <v>10305.161892655689</v>
      </c>
      <c r="R67">
        <v>8</v>
      </c>
      <c r="S67">
        <v>8985.6</v>
      </c>
      <c r="T67">
        <v>10</v>
      </c>
      <c r="U67">
        <v>11232</v>
      </c>
      <c r="V67">
        <v>8</v>
      </c>
      <c r="W67">
        <v>8985.6</v>
      </c>
      <c r="X67">
        <v>7</v>
      </c>
      <c r="Y67">
        <v>7862.4000000000005</v>
      </c>
      <c r="Z67">
        <v>10</v>
      </c>
      <c r="AA67">
        <v>11232</v>
      </c>
      <c r="AB67">
        <v>7</v>
      </c>
      <c r="AC67">
        <v>7862.4000000000005</v>
      </c>
      <c r="AD67">
        <v>9</v>
      </c>
      <c r="AE67">
        <v>10108.800000000001</v>
      </c>
      <c r="AF67">
        <v>6.3424460647299359</v>
      </c>
      <c r="AG67">
        <v>7123.8354199046644</v>
      </c>
      <c r="AH67">
        <v>6</v>
      </c>
      <c r="AI67">
        <v>6739.2000000000007</v>
      </c>
      <c r="AJ67">
        <v>6</v>
      </c>
      <c r="AK67">
        <v>6739.2000000000007</v>
      </c>
      <c r="AL67">
        <v>1.0351803537541548</v>
      </c>
      <c r="AM67">
        <v>1162.7145733366667</v>
      </c>
      <c r="AN67">
        <v>6</v>
      </c>
      <c r="AO67">
        <v>6739.2000000000007</v>
      </c>
      <c r="AP67">
        <v>6</v>
      </c>
      <c r="AQ67">
        <v>6739.2000000000007</v>
      </c>
      <c r="AR67">
        <v>9</v>
      </c>
      <c r="AS67">
        <v>10108.800000000001</v>
      </c>
      <c r="AT67">
        <v>7</v>
      </c>
      <c r="AU67">
        <v>7862.4000000000005</v>
      </c>
      <c r="AV67">
        <v>7</v>
      </c>
      <c r="AW67">
        <v>7862.4000000000005</v>
      </c>
      <c r="AX67">
        <v>6</v>
      </c>
      <c r="AY67">
        <v>6739.2000000000007</v>
      </c>
      <c r="AZ67">
        <v>6</v>
      </c>
      <c r="BA67">
        <v>6739.2000000000007</v>
      </c>
      <c r="BB67">
        <v>5</v>
      </c>
      <c r="BC67">
        <v>5616</v>
      </c>
      <c r="BD67">
        <v>9</v>
      </c>
      <c r="BE67">
        <v>10108.800000000001</v>
      </c>
      <c r="BF67">
        <v>9</v>
      </c>
      <c r="BG67">
        <v>10108.800000000001</v>
      </c>
      <c r="BH67">
        <v>7</v>
      </c>
      <c r="BI67">
        <v>7862.4000000000005</v>
      </c>
      <c r="BJ67">
        <v>6</v>
      </c>
      <c r="BK67">
        <v>6739.2000000000007</v>
      </c>
      <c r="BL67">
        <v>7</v>
      </c>
      <c r="BM67">
        <v>7862.4000000000005</v>
      </c>
      <c r="BN67">
        <v>6</v>
      </c>
      <c r="BO67">
        <v>6739.2000000000007</v>
      </c>
      <c r="BP67">
        <v>8</v>
      </c>
      <c r="BQ67">
        <v>8985.6</v>
      </c>
      <c r="BR67">
        <v>5</v>
      </c>
      <c r="BS67">
        <v>5616</v>
      </c>
      <c r="BT67">
        <v>11</v>
      </c>
      <c r="BU67">
        <v>12355.2</v>
      </c>
      <c r="BV67">
        <v>6</v>
      </c>
      <c r="BW67">
        <v>6739.2000000000007</v>
      </c>
      <c r="BX67">
        <v>8</v>
      </c>
      <c r="BY67">
        <v>8985.6</v>
      </c>
      <c r="BZ67">
        <v>9</v>
      </c>
      <c r="CA67">
        <v>10108.800000000001</v>
      </c>
      <c r="CB67">
        <v>7</v>
      </c>
      <c r="CC67">
        <v>7862.4000000000005</v>
      </c>
      <c r="CD67">
        <v>8.1376885656056039</v>
      </c>
      <c r="CE67">
        <v>9140.2517968882148</v>
      </c>
      <c r="CF67">
        <v>5</v>
      </c>
      <c r="CG67">
        <v>5616</v>
      </c>
      <c r="CH67">
        <v>6</v>
      </c>
      <c r="CI67">
        <v>6739.2000000000007</v>
      </c>
      <c r="CJ67">
        <v>8</v>
      </c>
      <c r="CK67">
        <v>8985.6</v>
      </c>
      <c r="CL67">
        <v>7.5599286216277815</v>
      </c>
      <c r="CM67">
        <v>8491.3118278123238</v>
      </c>
      <c r="CN67">
        <v>6</v>
      </c>
      <c r="CO67">
        <v>6739.2000000000007</v>
      </c>
      <c r="CP67">
        <v>7</v>
      </c>
      <c r="CQ67">
        <v>7862.4000000000005</v>
      </c>
      <c r="CR67">
        <v>5.677568613158412</v>
      </c>
      <c r="CS67">
        <v>6377.045066299529</v>
      </c>
      <c r="CT67">
        <v>6</v>
      </c>
      <c r="CU67">
        <v>6739.2000000000007</v>
      </c>
    </row>
    <row r="68" spans="2:99">
      <c r="C68" s="99" t="s">
        <v>235</v>
      </c>
      <c r="D68">
        <v>3.5370407929575691</v>
      </c>
      <c r="E68">
        <v>3654.4705472837604</v>
      </c>
      <c r="F68">
        <v>8</v>
      </c>
      <c r="G68">
        <v>8265.6</v>
      </c>
      <c r="H68">
        <v>10</v>
      </c>
      <c r="I68">
        <v>10332</v>
      </c>
      <c r="J68">
        <v>9</v>
      </c>
      <c r="K68">
        <v>9298.8000000000011</v>
      </c>
      <c r="L68">
        <v>11</v>
      </c>
      <c r="M68">
        <v>11365.2</v>
      </c>
      <c r="N68">
        <v>9</v>
      </c>
      <c r="O68">
        <v>9298.8000000000011</v>
      </c>
      <c r="P68">
        <v>10.092305984616504</v>
      </c>
      <c r="Q68">
        <v>10427.370543305771</v>
      </c>
      <c r="R68">
        <v>9</v>
      </c>
      <c r="S68">
        <v>9298.8000000000011</v>
      </c>
      <c r="T68">
        <v>9</v>
      </c>
      <c r="U68">
        <v>9298.8000000000011</v>
      </c>
      <c r="V68">
        <v>8</v>
      </c>
      <c r="W68">
        <v>8265.6</v>
      </c>
      <c r="X68">
        <v>6</v>
      </c>
      <c r="Y68">
        <v>6199.2000000000007</v>
      </c>
      <c r="Z68">
        <v>10</v>
      </c>
      <c r="AA68">
        <v>10332</v>
      </c>
      <c r="AB68">
        <v>8</v>
      </c>
      <c r="AC68">
        <v>8265.6</v>
      </c>
      <c r="AD68">
        <v>10</v>
      </c>
      <c r="AE68">
        <v>10332</v>
      </c>
      <c r="AF68">
        <v>6.3424460647299359</v>
      </c>
      <c r="AG68">
        <v>6553.0152740789699</v>
      </c>
      <c r="AH68">
        <v>6</v>
      </c>
      <c r="AI68">
        <v>6199.2000000000007</v>
      </c>
      <c r="AJ68">
        <v>7</v>
      </c>
      <c r="AK68">
        <v>7232.4000000000005</v>
      </c>
      <c r="AL68">
        <v>0.93166231837873936</v>
      </c>
      <c r="AM68">
        <v>962.59350734891359</v>
      </c>
      <c r="AN68">
        <v>6</v>
      </c>
      <c r="AO68">
        <v>6199.2000000000007</v>
      </c>
      <c r="AP68">
        <v>6</v>
      </c>
      <c r="AQ68">
        <v>6199.2000000000007</v>
      </c>
      <c r="AR68">
        <v>10</v>
      </c>
      <c r="AS68">
        <v>10332</v>
      </c>
      <c r="AT68">
        <v>7</v>
      </c>
      <c r="AU68">
        <v>7232.4000000000005</v>
      </c>
      <c r="AV68">
        <v>8</v>
      </c>
      <c r="AW68">
        <v>8265.6</v>
      </c>
      <c r="AX68">
        <v>7</v>
      </c>
      <c r="AY68">
        <v>7232.4000000000005</v>
      </c>
      <c r="AZ68">
        <v>7</v>
      </c>
      <c r="BA68">
        <v>7232.4000000000005</v>
      </c>
      <c r="BB68">
        <v>5</v>
      </c>
      <c r="BC68">
        <v>5166</v>
      </c>
      <c r="BD68">
        <v>8</v>
      </c>
      <c r="BE68">
        <v>8265.6</v>
      </c>
      <c r="BF68">
        <v>10</v>
      </c>
      <c r="BG68">
        <v>10332</v>
      </c>
      <c r="BH68">
        <v>7</v>
      </c>
      <c r="BI68">
        <v>7232.4000000000005</v>
      </c>
      <c r="BJ68">
        <v>6</v>
      </c>
      <c r="BK68">
        <v>6199.2000000000007</v>
      </c>
      <c r="BL68">
        <v>6</v>
      </c>
      <c r="BM68">
        <v>6199.2000000000007</v>
      </c>
      <c r="BN68">
        <v>7</v>
      </c>
      <c r="BO68">
        <v>7232.4000000000005</v>
      </c>
      <c r="BP68">
        <v>8</v>
      </c>
      <c r="BQ68">
        <v>8265.6</v>
      </c>
      <c r="BR68">
        <v>6</v>
      </c>
      <c r="BS68">
        <v>6199.2000000000007</v>
      </c>
      <c r="BT68">
        <v>12</v>
      </c>
      <c r="BU68">
        <v>12398.400000000001</v>
      </c>
      <c r="BV68">
        <v>6</v>
      </c>
      <c r="BW68">
        <v>6199.2000000000007</v>
      </c>
      <c r="BX68">
        <v>9</v>
      </c>
      <c r="BY68">
        <v>9298.8000000000011</v>
      </c>
      <c r="BZ68">
        <v>9</v>
      </c>
      <c r="CA68">
        <v>9298.8000000000011</v>
      </c>
      <c r="CB68">
        <v>8</v>
      </c>
      <c r="CC68">
        <v>8265.6</v>
      </c>
      <c r="CD68">
        <v>7.2335009472049805</v>
      </c>
      <c r="CE68">
        <v>7473.6531786521864</v>
      </c>
      <c r="CF68">
        <v>5</v>
      </c>
      <c r="CG68">
        <v>5166</v>
      </c>
      <c r="CH68">
        <v>5</v>
      </c>
      <c r="CI68">
        <v>5166</v>
      </c>
      <c r="CJ68">
        <v>9</v>
      </c>
      <c r="CK68">
        <v>9298.8000000000011</v>
      </c>
      <c r="CL68">
        <v>8.5049196993312552</v>
      </c>
      <c r="CM68">
        <v>8787.2830333490529</v>
      </c>
      <c r="CN68">
        <v>6</v>
      </c>
      <c r="CO68">
        <v>6199.2000000000007</v>
      </c>
      <c r="CP68">
        <v>7</v>
      </c>
      <c r="CQ68">
        <v>7232.4000000000005</v>
      </c>
      <c r="CR68">
        <v>5.677568613158412</v>
      </c>
      <c r="CS68">
        <v>5866.0638911152719</v>
      </c>
      <c r="CT68">
        <v>6</v>
      </c>
      <c r="CU68">
        <v>6199.2000000000007</v>
      </c>
    </row>
    <row r="69" spans="2:99">
      <c r="C69" s="99" t="s">
        <v>236</v>
      </c>
      <c r="D69">
        <v>3.144036260406728</v>
      </c>
      <c r="E69">
        <v>2384.4370998924624</v>
      </c>
      <c r="F69">
        <v>8</v>
      </c>
      <c r="G69">
        <v>6067.2</v>
      </c>
      <c r="H69">
        <v>9</v>
      </c>
      <c r="I69">
        <v>6825.5999999999995</v>
      </c>
      <c r="J69">
        <v>8</v>
      </c>
      <c r="K69">
        <v>6067.2</v>
      </c>
      <c r="L69">
        <v>9</v>
      </c>
      <c r="M69">
        <v>6825.5999999999995</v>
      </c>
      <c r="N69">
        <v>9</v>
      </c>
      <c r="O69">
        <v>6825.5999999999995</v>
      </c>
      <c r="P69">
        <v>10.092305984616504</v>
      </c>
      <c r="Q69">
        <v>7654.0048587331557</v>
      </c>
      <c r="R69">
        <v>10</v>
      </c>
      <c r="S69">
        <v>7584</v>
      </c>
      <c r="T69">
        <v>11</v>
      </c>
      <c r="U69">
        <v>8342.4</v>
      </c>
      <c r="V69">
        <v>7</v>
      </c>
      <c r="W69">
        <v>5308.8</v>
      </c>
      <c r="X69">
        <v>6</v>
      </c>
      <c r="Y69">
        <v>4550.3999999999996</v>
      </c>
      <c r="Z69">
        <v>9</v>
      </c>
      <c r="AA69">
        <v>6825.5999999999995</v>
      </c>
      <c r="AB69">
        <v>8</v>
      </c>
      <c r="AC69">
        <v>6067.2</v>
      </c>
      <c r="AD69">
        <v>10</v>
      </c>
      <c r="AE69">
        <v>7584</v>
      </c>
      <c r="AF69">
        <v>6.3424460647299359</v>
      </c>
      <c r="AG69">
        <v>4810.1110954911828</v>
      </c>
      <c r="AH69">
        <v>6</v>
      </c>
      <c r="AI69">
        <v>4550.3999999999996</v>
      </c>
      <c r="AJ69">
        <v>7</v>
      </c>
      <c r="AK69">
        <v>5308.8</v>
      </c>
      <c r="AL69">
        <v>1.0351803537541548</v>
      </c>
      <c r="AM69">
        <v>785.08078028715101</v>
      </c>
      <c r="AN69">
        <v>7</v>
      </c>
      <c r="AO69">
        <v>5308.8</v>
      </c>
      <c r="AP69">
        <v>6</v>
      </c>
      <c r="AQ69">
        <v>4550.3999999999996</v>
      </c>
      <c r="AR69">
        <v>10</v>
      </c>
      <c r="AS69">
        <v>7584</v>
      </c>
      <c r="AT69">
        <v>7</v>
      </c>
      <c r="AU69">
        <v>5308.8</v>
      </c>
      <c r="AV69">
        <v>8</v>
      </c>
      <c r="AW69">
        <v>6067.2</v>
      </c>
      <c r="AX69">
        <v>7</v>
      </c>
      <c r="AY69">
        <v>5308.8</v>
      </c>
      <c r="AZ69">
        <v>8</v>
      </c>
      <c r="BA69">
        <v>6067.2</v>
      </c>
      <c r="BB69">
        <v>6</v>
      </c>
      <c r="BC69">
        <v>4550.3999999999996</v>
      </c>
      <c r="BD69">
        <v>9</v>
      </c>
      <c r="BE69">
        <v>6825.5999999999995</v>
      </c>
      <c r="BF69">
        <v>10</v>
      </c>
      <c r="BG69">
        <v>7584</v>
      </c>
      <c r="BH69">
        <v>7</v>
      </c>
      <c r="BI69">
        <v>5308.8</v>
      </c>
      <c r="BJ69">
        <v>6</v>
      </c>
      <c r="BK69">
        <v>4550.3999999999996</v>
      </c>
      <c r="BL69">
        <v>7</v>
      </c>
      <c r="BM69">
        <v>5308.8</v>
      </c>
      <c r="BN69">
        <v>6</v>
      </c>
      <c r="BO69">
        <v>4550.3999999999996</v>
      </c>
      <c r="BP69">
        <v>9</v>
      </c>
      <c r="BQ69">
        <v>6825.5999999999995</v>
      </c>
      <c r="BR69">
        <v>6</v>
      </c>
      <c r="BS69">
        <v>4550.3999999999996</v>
      </c>
      <c r="BT69">
        <v>11</v>
      </c>
      <c r="BU69">
        <v>8342.4</v>
      </c>
      <c r="BV69">
        <v>7</v>
      </c>
      <c r="BW69">
        <v>5308.8</v>
      </c>
      <c r="BX69">
        <v>9</v>
      </c>
      <c r="BY69">
        <v>6825.5999999999995</v>
      </c>
      <c r="BZ69">
        <v>9</v>
      </c>
      <c r="CA69">
        <v>6825.5999999999995</v>
      </c>
      <c r="CB69">
        <v>7</v>
      </c>
      <c r="CC69">
        <v>5308.8</v>
      </c>
      <c r="CD69">
        <v>8.1376885656056039</v>
      </c>
      <c r="CE69">
        <v>6171.6230081552894</v>
      </c>
      <c r="CF69">
        <v>6</v>
      </c>
      <c r="CG69">
        <v>4550.3999999999996</v>
      </c>
      <c r="CH69">
        <v>6</v>
      </c>
      <c r="CI69">
        <v>4550.3999999999996</v>
      </c>
      <c r="CJ69">
        <v>8</v>
      </c>
      <c r="CK69">
        <v>6067.2</v>
      </c>
      <c r="CL69">
        <v>7.5599286216277815</v>
      </c>
      <c r="CM69">
        <v>5733.4498666425097</v>
      </c>
      <c r="CN69">
        <v>6</v>
      </c>
      <c r="CO69">
        <v>4550.3999999999996</v>
      </c>
      <c r="CP69">
        <v>7</v>
      </c>
      <c r="CQ69">
        <v>5308.8</v>
      </c>
      <c r="CR69">
        <v>5.677568613158412</v>
      </c>
      <c r="CS69">
        <v>4305.86803621934</v>
      </c>
      <c r="CT69">
        <v>6</v>
      </c>
      <c r="CU69">
        <v>4550.3999999999996</v>
      </c>
    </row>
    <row r="70" spans="2:99">
      <c r="C70" s="99" t="s">
        <v>237</v>
      </c>
      <c r="D70">
        <v>3.144036260406728</v>
      </c>
      <c r="E70">
        <v>1682.6882065696807</v>
      </c>
      <c r="F70">
        <v>9</v>
      </c>
      <c r="G70">
        <v>4816.7999999999993</v>
      </c>
      <c r="H70">
        <v>10</v>
      </c>
      <c r="I70">
        <v>5351.9999999999991</v>
      </c>
      <c r="J70">
        <v>8</v>
      </c>
      <c r="K70">
        <v>4281.5999999999995</v>
      </c>
      <c r="L70">
        <v>10</v>
      </c>
      <c r="M70">
        <v>5351.9999999999991</v>
      </c>
      <c r="N70">
        <v>8</v>
      </c>
      <c r="O70">
        <v>4281.5999999999995</v>
      </c>
      <c r="P70">
        <v>11.009788346854368</v>
      </c>
      <c r="Q70">
        <v>5892.438723236457</v>
      </c>
      <c r="R70">
        <v>9</v>
      </c>
      <c r="S70">
        <v>4816.7999999999993</v>
      </c>
      <c r="T70">
        <v>11</v>
      </c>
      <c r="U70">
        <v>5887.1999999999989</v>
      </c>
      <c r="V70">
        <v>8</v>
      </c>
      <c r="W70">
        <v>4281.5999999999995</v>
      </c>
      <c r="X70">
        <v>7</v>
      </c>
      <c r="Y70">
        <v>3746.3999999999996</v>
      </c>
      <c r="Z70">
        <v>9</v>
      </c>
      <c r="AA70">
        <v>4816.7999999999993</v>
      </c>
      <c r="AB70">
        <v>7</v>
      </c>
      <c r="AC70">
        <v>3746.3999999999996</v>
      </c>
      <c r="AD70">
        <v>10</v>
      </c>
      <c r="AE70">
        <v>5351.9999999999991</v>
      </c>
      <c r="AF70">
        <v>6.3424460647299359</v>
      </c>
      <c r="AG70">
        <v>3394.4771338434612</v>
      </c>
      <c r="AH70">
        <v>6</v>
      </c>
      <c r="AI70">
        <v>3211.2</v>
      </c>
      <c r="AJ70">
        <v>7</v>
      </c>
      <c r="AK70">
        <v>3746.3999999999996</v>
      </c>
      <c r="AL70">
        <v>1.0351803537541548</v>
      </c>
      <c r="AM70">
        <v>554.02852532922361</v>
      </c>
      <c r="AN70">
        <v>7</v>
      </c>
      <c r="AO70">
        <v>3746.3999999999996</v>
      </c>
      <c r="AP70">
        <v>6</v>
      </c>
      <c r="AQ70">
        <v>3211.2</v>
      </c>
      <c r="AR70">
        <v>9</v>
      </c>
      <c r="AS70">
        <v>4816.7999999999993</v>
      </c>
      <c r="AT70">
        <v>8</v>
      </c>
      <c r="AU70">
        <v>4281.5999999999995</v>
      </c>
      <c r="AV70">
        <v>8</v>
      </c>
      <c r="AW70">
        <v>4281.5999999999995</v>
      </c>
      <c r="AX70">
        <v>7</v>
      </c>
      <c r="AY70">
        <v>3746.3999999999996</v>
      </c>
      <c r="AZ70">
        <v>7</v>
      </c>
      <c r="BA70">
        <v>3746.3999999999996</v>
      </c>
      <c r="BB70">
        <v>5</v>
      </c>
      <c r="BC70">
        <v>2675.9999999999995</v>
      </c>
      <c r="BD70">
        <v>10</v>
      </c>
      <c r="BE70">
        <v>5351.9999999999991</v>
      </c>
      <c r="BF70">
        <v>10</v>
      </c>
      <c r="BG70">
        <v>5351.9999999999991</v>
      </c>
      <c r="BH70">
        <v>8</v>
      </c>
      <c r="BI70">
        <v>4281.5999999999995</v>
      </c>
      <c r="BJ70">
        <v>6</v>
      </c>
      <c r="BK70">
        <v>3211.2</v>
      </c>
      <c r="BL70">
        <v>7</v>
      </c>
      <c r="BM70">
        <v>3746.3999999999996</v>
      </c>
      <c r="BN70">
        <v>7</v>
      </c>
      <c r="BO70">
        <v>3746.3999999999996</v>
      </c>
      <c r="BP70">
        <v>9</v>
      </c>
      <c r="BQ70">
        <v>4816.7999999999993</v>
      </c>
      <c r="BR70">
        <v>6</v>
      </c>
      <c r="BS70">
        <v>3211.2</v>
      </c>
      <c r="BT70">
        <v>10</v>
      </c>
      <c r="BU70">
        <v>5351.9999999999991</v>
      </c>
      <c r="BV70">
        <v>7</v>
      </c>
      <c r="BW70">
        <v>3746.3999999999996</v>
      </c>
      <c r="BX70">
        <v>9</v>
      </c>
      <c r="BY70">
        <v>4816.7999999999993</v>
      </c>
      <c r="BZ70">
        <v>10</v>
      </c>
      <c r="CA70">
        <v>5351.9999999999991</v>
      </c>
      <c r="CB70">
        <v>7</v>
      </c>
      <c r="CC70">
        <v>3746.3999999999996</v>
      </c>
      <c r="CD70">
        <v>8.1376885656056039</v>
      </c>
      <c r="CE70">
        <v>4355.2909203121189</v>
      </c>
      <c r="CF70">
        <v>6</v>
      </c>
      <c r="CG70">
        <v>3211.2</v>
      </c>
      <c r="CH70">
        <v>6</v>
      </c>
      <c r="CI70">
        <v>3211.2</v>
      </c>
      <c r="CJ70">
        <v>8</v>
      </c>
      <c r="CK70">
        <v>4281.5999999999995</v>
      </c>
      <c r="CL70">
        <v>7.5599286216277815</v>
      </c>
      <c r="CM70">
        <v>4046.0737982951882</v>
      </c>
      <c r="CN70">
        <v>7</v>
      </c>
      <c r="CO70">
        <v>3746.3999999999996</v>
      </c>
      <c r="CP70">
        <v>8</v>
      </c>
      <c r="CQ70">
        <v>4281.5999999999995</v>
      </c>
      <c r="CR70">
        <v>5.677568613158412</v>
      </c>
      <c r="CS70">
        <v>3038.6347217623816</v>
      </c>
      <c r="CT70">
        <v>6</v>
      </c>
      <c r="CU70">
        <v>3211.2</v>
      </c>
    </row>
    <row r="71" spans="2:99">
      <c r="B71" s="99" t="s">
        <v>130</v>
      </c>
      <c r="C71" s="99" t="s">
        <v>238</v>
      </c>
      <c r="D71">
        <v>10.618148260701171</v>
      </c>
      <c r="E71">
        <v>5988.63561903546</v>
      </c>
      <c r="F71">
        <v>9</v>
      </c>
      <c r="G71">
        <v>5076</v>
      </c>
      <c r="H71">
        <v>12</v>
      </c>
      <c r="I71">
        <v>6768</v>
      </c>
      <c r="J71">
        <v>8</v>
      </c>
      <c r="K71">
        <v>4512</v>
      </c>
      <c r="L71">
        <v>13</v>
      </c>
      <c r="M71">
        <v>7332</v>
      </c>
      <c r="N71">
        <v>7.5048337100853351</v>
      </c>
      <c r="O71">
        <v>4232.726212488129</v>
      </c>
      <c r="P71">
        <v>2.5115724902127467E-21</v>
      </c>
      <c r="Q71">
        <v>1.4165268844799891E-18</v>
      </c>
      <c r="R71">
        <v>5.8086452157274371</v>
      </c>
      <c r="S71">
        <v>3276.0759016702746</v>
      </c>
      <c r="T71">
        <v>7.211041503282007</v>
      </c>
      <c r="U71">
        <v>4067.027407851052</v>
      </c>
      <c r="V71">
        <v>2.1989225324822916</v>
      </c>
      <c r="W71">
        <v>1240.1923083200124</v>
      </c>
      <c r="X71">
        <v>8</v>
      </c>
      <c r="Y71">
        <v>4512</v>
      </c>
      <c r="Z71">
        <v>8</v>
      </c>
      <c r="AA71">
        <v>4512</v>
      </c>
      <c r="AB71">
        <v>10</v>
      </c>
      <c r="AC71">
        <v>5640</v>
      </c>
      <c r="AD71">
        <v>9</v>
      </c>
      <c r="AE71">
        <v>5076</v>
      </c>
      <c r="AF71">
        <v>9</v>
      </c>
      <c r="AG71">
        <v>5076</v>
      </c>
      <c r="AH71">
        <v>7</v>
      </c>
      <c r="AI71">
        <v>3948</v>
      </c>
      <c r="AJ71">
        <v>13</v>
      </c>
      <c r="AK71">
        <v>7332</v>
      </c>
      <c r="AL71">
        <v>10</v>
      </c>
      <c r="AM71">
        <v>5640</v>
      </c>
      <c r="AN71">
        <v>9</v>
      </c>
      <c r="AO71">
        <v>5076</v>
      </c>
      <c r="AP71">
        <v>9.0338005722551173</v>
      </c>
      <c r="AQ71">
        <v>5095.063522751886</v>
      </c>
      <c r="AR71">
        <v>8</v>
      </c>
      <c r="AS71">
        <v>4512</v>
      </c>
      <c r="AT71">
        <v>11</v>
      </c>
      <c r="AU71">
        <v>6204</v>
      </c>
      <c r="AV71">
        <v>16</v>
      </c>
      <c r="AW71">
        <v>9024</v>
      </c>
      <c r="AX71">
        <v>11</v>
      </c>
      <c r="AY71">
        <v>6204</v>
      </c>
      <c r="AZ71">
        <v>11</v>
      </c>
      <c r="BA71">
        <v>6204</v>
      </c>
      <c r="BB71">
        <v>3.3691297948067547</v>
      </c>
      <c r="BC71">
        <v>1900.1892042710097</v>
      </c>
      <c r="BD71">
        <v>10</v>
      </c>
      <c r="BE71">
        <v>5640</v>
      </c>
      <c r="BF71">
        <v>14.00137837025917</v>
      </c>
      <c r="BG71">
        <v>7896.7774008261722</v>
      </c>
      <c r="BH71">
        <v>10</v>
      </c>
      <c r="BI71">
        <v>5640</v>
      </c>
      <c r="BJ71">
        <v>10.932681991238191</v>
      </c>
      <c r="BK71">
        <v>6166.03264305834</v>
      </c>
      <c r="BL71">
        <v>11.162554356435487</v>
      </c>
      <c r="BM71">
        <v>6295.6806570296148</v>
      </c>
      <c r="BN71">
        <v>5.7724822375655274</v>
      </c>
      <c r="BO71">
        <v>3255.6799819869575</v>
      </c>
      <c r="BP71">
        <v>10</v>
      </c>
      <c r="BQ71">
        <v>5640</v>
      </c>
      <c r="BR71">
        <v>3.6538285648285456</v>
      </c>
      <c r="BS71">
        <v>2060.7593105632996</v>
      </c>
      <c r="BT71">
        <v>10</v>
      </c>
      <c r="BU71">
        <v>5640</v>
      </c>
      <c r="BV71">
        <v>5.1329290003418553</v>
      </c>
      <c r="BW71">
        <v>2894.9719561928064</v>
      </c>
      <c r="BX71">
        <v>13</v>
      </c>
      <c r="BY71">
        <v>7332</v>
      </c>
      <c r="BZ71">
        <v>13</v>
      </c>
      <c r="CA71">
        <v>7332</v>
      </c>
      <c r="CB71">
        <v>10.552883664686085</v>
      </c>
      <c r="CC71">
        <v>5951.8263868829517</v>
      </c>
      <c r="CD71">
        <v>5.9402981048348016</v>
      </c>
      <c r="CE71">
        <v>3350.3281311268279</v>
      </c>
      <c r="CF71">
        <v>15</v>
      </c>
      <c r="CG71">
        <v>8460</v>
      </c>
      <c r="CH71">
        <v>10.558378831660839</v>
      </c>
      <c r="CI71">
        <v>5954.9256610567136</v>
      </c>
      <c r="CJ71">
        <v>3.492370428576991</v>
      </c>
      <c r="CK71">
        <v>1969.6969217174228</v>
      </c>
      <c r="CL71">
        <v>9.9100266625675761</v>
      </c>
      <c r="CM71">
        <v>5589.2550376881127</v>
      </c>
      <c r="CN71">
        <v>10.889089537664612</v>
      </c>
      <c r="CO71">
        <v>6141.4464992428411</v>
      </c>
      <c r="CP71">
        <v>8</v>
      </c>
      <c r="CQ71">
        <v>4512</v>
      </c>
      <c r="CR71">
        <v>1.07786764999417</v>
      </c>
      <c r="CS71">
        <v>607.9173545967119</v>
      </c>
      <c r="CT71">
        <v>8</v>
      </c>
      <c r="CU71">
        <v>4512</v>
      </c>
    </row>
    <row r="72" spans="2:99">
      <c r="C72" s="99" t="s">
        <v>239</v>
      </c>
      <c r="D72">
        <v>10.618148260701171</v>
      </c>
      <c r="E72">
        <v>789.99023059616695</v>
      </c>
      <c r="F72">
        <v>10</v>
      </c>
      <c r="G72">
        <v>743.99999999999989</v>
      </c>
      <c r="H72">
        <v>13</v>
      </c>
      <c r="I72">
        <v>967.19999999999993</v>
      </c>
      <c r="J72">
        <v>7</v>
      </c>
      <c r="K72">
        <v>520.79999999999995</v>
      </c>
      <c r="L72">
        <v>15</v>
      </c>
      <c r="M72">
        <v>1115.9999999999998</v>
      </c>
      <c r="N72">
        <v>8.2553170810938692</v>
      </c>
      <c r="O72">
        <v>614.19559083338379</v>
      </c>
      <c r="P72">
        <v>2.092977075177289E-21</v>
      </c>
      <c r="Q72">
        <v>1.5571749439319028E-19</v>
      </c>
      <c r="R72">
        <v>5.8086452157274371</v>
      </c>
      <c r="S72">
        <v>432.16320405012129</v>
      </c>
      <c r="T72">
        <v>7.211041503282007</v>
      </c>
      <c r="U72">
        <v>536.50148784418127</v>
      </c>
      <c r="V72">
        <v>2.398824580889773</v>
      </c>
      <c r="W72">
        <v>178.4725488181991</v>
      </c>
      <c r="X72">
        <v>8</v>
      </c>
      <c r="Y72">
        <v>595.19999999999993</v>
      </c>
      <c r="Z72">
        <v>9</v>
      </c>
      <c r="AA72">
        <v>669.59999999999991</v>
      </c>
      <c r="AB72">
        <v>10</v>
      </c>
      <c r="AC72">
        <v>743.99999999999989</v>
      </c>
      <c r="AD72">
        <v>8</v>
      </c>
      <c r="AE72">
        <v>595.19999999999993</v>
      </c>
      <c r="AF72">
        <v>8</v>
      </c>
      <c r="AG72">
        <v>595.19999999999993</v>
      </c>
      <c r="AH72">
        <v>8</v>
      </c>
      <c r="AI72">
        <v>595.19999999999993</v>
      </c>
      <c r="AJ72">
        <v>14</v>
      </c>
      <c r="AK72">
        <v>1041.5999999999999</v>
      </c>
      <c r="AL72">
        <v>9</v>
      </c>
      <c r="AM72">
        <v>669.59999999999991</v>
      </c>
      <c r="AN72">
        <v>9</v>
      </c>
      <c r="AO72">
        <v>669.59999999999991</v>
      </c>
      <c r="AP72">
        <v>9.0338005722551173</v>
      </c>
      <c r="AQ72">
        <v>672.11476257578067</v>
      </c>
      <c r="AR72">
        <v>10</v>
      </c>
      <c r="AS72">
        <v>743.99999999999989</v>
      </c>
      <c r="AT72">
        <v>11</v>
      </c>
      <c r="AU72">
        <v>818.39999999999986</v>
      </c>
      <c r="AV72">
        <v>16</v>
      </c>
      <c r="AW72">
        <v>1190.3999999999999</v>
      </c>
      <c r="AX72">
        <v>9</v>
      </c>
      <c r="AY72">
        <v>669.59999999999991</v>
      </c>
      <c r="AZ72">
        <v>12</v>
      </c>
      <c r="BA72">
        <v>892.8</v>
      </c>
      <c r="BB72">
        <v>4.2114122435084429</v>
      </c>
      <c r="BC72">
        <v>313.3290709170281</v>
      </c>
      <c r="BD72">
        <v>12</v>
      </c>
      <c r="BE72">
        <v>892.8</v>
      </c>
      <c r="BF72">
        <v>14.934803594943116</v>
      </c>
      <c r="BG72">
        <v>1111.1493874637677</v>
      </c>
      <c r="BH72">
        <v>9</v>
      </c>
      <c r="BI72">
        <v>669.59999999999991</v>
      </c>
      <c r="BJ72">
        <v>9.9388018102165372</v>
      </c>
      <c r="BK72">
        <v>739.44685468011028</v>
      </c>
      <c r="BL72">
        <v>11.906724646864522</v>
      </c>
      <c r="BM72">
        <v>885.86031372672028</v>
      </c>
      <c r="BN72">
        <v>5.7724822375655274</v>
      </c>
      <c r="BO72">
        <v>429.47267847487518</v>
      </c>
      <c r="BP72">
        <v>9</v>
      </c>
      <c r="BQ72">
        <v>669.59999999999991</v>
      </c>
      <c r="BR72">
        <v>4.5672857060356815</v>
      </c>
      <c r="BS72">
        <v>339.80605652905467</v>
      </c>
      <c r="BT72">
        <v>10</v>
      </c>
      <c r="BU72">
        <v>743.99999999999989</v>
      </c>
      <c r="BV72">
        <v>5.646221900376041</v>
      </c>
      <c r="BW72">
        <v>420.07890938797738</v>
      </c>
      <c r="BX72">
        <v>12</v>
      </c>
      <c r="BY72">
        <v>892.8</v>
      </c>
      <c r="BZ72">
        <v>13</v>
      </c>
      <c r="CA72">
        <v>967.19999999999993</v>
      </c>
      <c r="CB72">
        <v>9.7991062600656509</v>
      </c>
      <c r="CC72">
        <v>729.05350574888439</v>
      </c>
      <c r="CD72">
        <v>5.4002710043952735</v>
      </c>
      <c r="CE72">
        <v>401.7801627270083</v>
      </c>
      <c r="CF72">
        <v>14</v>
      </c>
      <c r="CG72">
        <v>1041.5999999999999</v>
      </c>
      <c r="CH72">
        <v>11.312548748208041</v>
      </c>
      <c r="CI72">
        <v>841.65362686667811</v>
      </c>
      <c r="CJ72">
        <v>3.7610143076982983</v>
      </c>
      <c r="CK72">
        <v>279.81946449275335</v>
      </c>
      <c r="CL72">
        <v>9.9100266625675761</v>
      </c>
      <c r="CM72">
        <v>737.30598369502763</v>
      </c>
      <c r="CN72">
        <v>10.889089537664612</v>
      </c>
      <c r="CO72">
        <v>810.14826160224698</v>
      </c>
      <c r="CP72">
        <v>8</v>
      </c>
      <c r="CQ72">
        <v>595.19999999999993</v>
      </c>
      <c r="CR72">
        <v>0.97008088499475298</v>
      </c>
      <c r="CS72">
        <v>72.174017843609619</v>
      </c>
      <c r="CT72">
        <v>8</v>
      </c>
      <c r="CU72">
        <v>595.19999999999993</v>
      </c>
    </row>
    <row r="73" spans="2:99">
      <c r="C73" s="99" t="s">
        <v>240</v>
      </c>
      <c r="D73">
        <v>9.6528620551828812</v>
      </c>
      <c r="E73">
        <v>5397.8804612582662</v>
      </c>
      <c r="F73">
        <v>8</v>
      </c>
      <c r="G73">
        <v>4473.5999999999995</v>
      </c>
      <c r="H73">
        <v>12</v>
      </c>
      <c r="I73">
        <v>6710.4</v>
      </c>
      <c r="J73">
        <v>8</v>
      </c>
      <c r="K73">
        <v>4473.5999999999995</v>
      </c>
      <c r="L73">
        <v>13</v>
      </c>
      <c r="M73">
        <v>7269.5999999999995</v>
      </c>
      <c r="N73">
        <v>7.5048337100853351</v>
      </c>
      <c r="O73">
        <v>4196.7030106797192</v>
      </c>
      <c r="P73">
        <v>2.3022747826950176E-21</v>
      </c>
      <c r="Q73">
        <v>1.2874320584830537E-18</v>
      </c>
      <c r="R73">
        <v>5.3618263529791728</v>
      </c>
      <c r="S73">
        <v>2998.3332965859531</v>
      </c>
      <c r="T73">
        <v>6.2495693028444066</v>
      </c>
      <c r="U73">
        <v>3494.7591541505917</v>
      </c>
      <c r="V73">
        <v>2.1989225324822916</v>
      </c>
      <c r="W73">
        <v>1229.6374801640973</v>
      </c>
      <c r="X73">
        <v>8</v>
      </c>
      <c r="Y73">
        <v>4473.5999999999995</v>
      </c>
      <c r="Z73">
        <v>8</v>
      </c>
      <c r="AA73">
        <v>4473.5999999999995</v>
      </c>
      <c r="AB73">
        <v>9</v>
      </c>
      <c r="AC73">
        <v>5032.7999999999993</v>
      </c>
      <c r="AD73">
        <v>8</v>
      </c>
      <c r="AE73">
        <v>4473.5999999999995</v>
      </c>
      <c r="AF73">
        <v>8</v>
      </c>
      <c r="AG73">
        <v>4473.5999999999995</v>
      </c>
      <c r="AH73">
        <v>7</v>
      </c>
      <c r="AI73">
        <v>3914.3999999999996</v>
      </c>
      <c r="AJ73">
        <v>12</v>
      </c>
      <c r="AK73">
        <v>6710.4</v>
      </c>
      <c r="AL73">
        <v>10</v>
      </c>
      <c r="AM73">
        <v>5591.9999999999991</v>
      </c>
      <c r="AN73">
        <v>9</v>
      </c>
      <c r="AO73">
        <v>5032.7999999999993</v>
      </c>
      <c r="AP73">
        <v>9.0338005722551173</v>
      </c>
      <c r="AQ73">
        <v>5051.7012800050607</v>
      </c>
      <c r="AR73">
        <v>9</v>
      </c>
      <c r="AS73">
        <v>5032.7999999999993</v>
      </c>
      <c r="AT73">
        <v>12</v>
      </c>
      <c r="AU73">
        <v>6710.4</v>
      </c>
      <c r="AV73">
        <v>13</v>
      </c>
      <c r="AW73">
        <v>7269.5999999999995</v>
      </c>
      <c r="AX73">
        <v>9</v>
      </c>
      <c r="AY73">
        <v>5032.7999999999993</v>
      </c>
      <c r="AZ73">
        <v>11</v>
      </c>
      <c r="BA73">
        <v>6151.1999999999989</v>
      </c>
      <c r="BB73">
        <v>3.7902710191575988</v>
      </c>
      <c r="BC73">
        <v>2119.519553912929</v>
      </c>
      <c r="BD73">
        <v>11</v>
      </c>
      <c r="BE73">
        <v>6151.1999999999989</v>
      </c>
      <c r="BF73">
        <v>14.00137837025917</v>
      </c>
      <c r="BG73">
        <v>7829.5707846489267</v>
      </c>
      <c r="BH73">
        <v>9</v>
      </c>
      <c r="BI73">
        <v>5032.7999999999993</v>
      </c>
      <c r="BJ73">
        <v>8.9449216291948836</v>
      </c>
      <c r="BK73">
        <v>5002.0001750457786</v>
      </c>
      <c r="BL73">
        <v>10.418384066006455</v>
      </c>
      <c r="BM73">
        <v>5825.9603697108087</v>
      </c>
      <c r="BN73">
        <v>6.6605564279602243</v>
      </c>
      <c r="BO73">
        <v>3724.5831545153569</v>
      </c>
      <c r="BP73">
        <v>10</v>
      </c>
      <c r="BQ73">
        <v>5591.9999999999991</v>
      </c>
      <c r="BR73">
        <v>4.5672857060356815</v>
      </c>
      <c r="BS73">
        <v>2554.0261668151529</v>
      </c>
      <c r="BT73">
        <v>10</v>
      </c>
      <c r="BU73">
        <v>5591.9999999999991</v>
      </c>
      <c r="BV73">
        <v>5.646221900376041</v>
      </c>
      <c r="BW73">
        <v>3157.3672866902816</v>
      </c>
      <c r="BX73">
        <v>12</v>
      </c>
      <c r="BY73">
        <v>6710.4</v>
      </c>
      <c r="BZ73">
        <v>14</v>
      </c>
      <c r="CA73">
        <v>7828.7999999999993</v>
      </c>
      <c r="CB73">
        <v>10.552883664686085</v>
      </c>
      <c r="CC73">
        <v>5901.1725452924584</v>
      </c>
      <c r="CD73">
        <v>5.4002710043952735</v>
      </c>
      <c r="CE73">
        <v>3019.8315456578366</v>
      </c>
      <c r="CF73">
        <v>14</v>
      </c>
      <c r="CG73">
        <v>7828.7999999999993</v>
      </c>
      <c r="CH73">
        <v>10.558378831660839</v>
      </c>
      <c r="CI73">
        <v>5904.2454426647409</v>
      </c>
      <c r="CJ73">
        <v>4.0296581868196046</v>
      </c>
      <c r="CK73">
        <v>2253.3848580695226</v>
      </c>
      <c r="CL73">
        <v>9.9100266625675761</v>
      </c>
      <c r="CM73">
        <v>5541.6869097077879</v>
      </c>
      <c r="CN73">
        <v>10.208521441560574</v>
      </c>
      <c r="CO73">
        <v>5708.605190120672</v>
      </c>
      <c r="CP73">
        <v>8</v>
      </c>
      <c r="CQ73">
        <v>4473.5999999999995</v>
      </c>
      <c r="CR73">
        <v>1.07786764999417</v>
      </c>
      <c r="CS73">
        <v>602.74358987673975</v>
      </c>
      <c r="CT73">
        <v>8</v>
      </c>
      <c r="CU73">
        <v>4473.5999999999995</v>
      </c>
    </row>
    <row r="74" spans="2:99">
      <c r="C74" s="99" t="s">
        <v>241</v>
      </c>
      <c r="D74">
        <v>8.6875758496645936</v>
      </c>
      <c r="E74">
        <v>3502.8305825847642</v>
      </c>
      <c r="F74">
        <v>9</v>
      </c>
      <c r="G74">
        <v>3628.7999999999997</v>
      </c>
      <c r="H74">
        <v>14</v>
      </c>
      <c r="I74">
        <v>5644.8</v>
      </c>
      <c r="J74">
        <v>7</v>
      </c>
      <c r="K74">
        <v>2822.4</v>
      </c>
      <c r="L74">
        <v>15</v>
      </c>
      <c r="M74">
        <v>6048</v>
      </c>
      <c r="N74">
        <v>7.5048337100853351</v>
      </c>
      <c r="O74">
        <v>3025.9489519064068</v>
      </c>
      <c r="P74">
        <v>2.092977075177289E-21</v>
      </c>
      <c r="Q74">
        <v>8.4388835671148286E-19</v>
      </c>
      <c r="R74">
        <v>5.3618263529791728</v>
      </c>
      <c r="S74">
        <v>2161.8883855212025</v>
      </c>
      <c r="T74">
        <v>6.2495693028444066</v>
      </c>
      <c r="U74">
        <v>2519.8263429068647</v>
      </c>
      <c r="V74">
        <v>2.1989225324822916</v>
      </c>
      <c r="W74">
        <v>886.60556509686</v>
      </c>
      <c r="X74">
        <v>7</v>
      </c>
      <c r="Y74">
        <v>2822.4</v>
      </c>
      <c r="Z74">
        <v>9</v>
      </c>
      <c r="AA74">
        <v>3628.7999999999997</v>
      </c>
      <c r="AB74">
        <v>10</v>
      </c>
      <c r="AC74">
        <v>4032</v>
      </c>
      <c r="AD74">
        <v>8</v>
      </c>
      <c r="AE74">
        <v>3225.6</v>
      </c>
      <c r="AF74">
        <v>8</v>
      </c>
      <c r="AG74">
        <v>3225.6</v>
      </c>
      <c r="AH74">
        <v>8</v>
      </c>
      <c r="AI74">
        <v>3225.6</v>
      </c>
      <c r="AJ74">
        <v>13</v>
      </c>
      <c r="AK74">
        <v>5241.5999999999995</v>
      </c>
      <c r="AL74">
        <v>10</v>
      </c>
      <c r="AM74">
        <v>4032</v>
      </c>
      <c r="AN74">
        <v>9</v>
      </c>
      <c r="AO74">
        <v>3628.7999999999997</v>
      </c>
      <c r="AP74">
        <v>9.0338005722551173</v>
      </c>
      <c r="AQ74">
        <v>3642.4283907332633</v>
      </c>
      <c r="AR74">
        <v>8</v>
      </c>
      <c r="AS74">
        <v>3225.6</v>
      </c>
      <c r="AT74">
        <v>12</v>
      </c>
      <c r="AU74">
        <v>4838.3999999999996</v>
      </c>
      <c r="AV74">
        <v>14</v>
      </c>
      <c r="AW74">
        <v>5644.8</v>
      </c>
      <c r="AX74">
        <v>10</v>
      </c>
      <c r="AY74">
        <v>4032</v>
      </c>
      <c r="AZ74">
        <v>11</v>
      </c>
      <c r="BA74">
        <v>4435.2</v>
      </c>
      <c r="BB74">
        <v>4.2114122435084429</v>
      </c>
      <c r="BC74">
        <v>1698.0414165826041</v>
      </c>
      <c r="BD74">
        <v>12</v>
      </c>
      <c r="BE74">
        <v>4838.3999999999996</v>
      </c>
      <c r="BF74">
        <v>12.134527920891282</v>
      </c>
      <c r="BG74">
        <v>4892.6416577033642</v>
      </c>
      <c r="BH74">
        <v>9</v>
      </c>
      <c r="BI74">
        <v>3628.7999999999997</v>
      </c>
      <c r="BJ74">
        <v>9.9388018102165372</v>
      </c>
      <c r="BK74">
        <v>4007.3248898793076</v>
      </c>
      <c r="BL74">
        <v>10.418384066006455</v>
      </c>
      <c r="BM74">
        <v>4200.6924554138022</v>
      </c>
      <c r="BN74">
        <v>6.2165193327628767</v>
      </c>
      <c r="BO74">
        <v>2506.5005949699917</v>
      </c>
      <c r="BP74">
        <v>9</v>
      </c>
      <c r="BQ74">
        <v>3628.7999999999997</v>
      </c>
      <c r="BR74">
        <v>4.1105571354321135</v>
      </c>
      <c r="BS74">
        <v>1657.3766370062281</v>
      </c>
      <c r="BT74">
        <v>10</v>
      </c>
      <c r="BU74">
        <v>4032</v>
      </c>
      <c r="BV74">
        <v>5.646221900376041</v>
      </c>
      <c r="BW74">
        <v>2276.5566702316196</v>
      </c>
      <c r="BX74">
        <v>13</v>
      </c>
      <c r="BY74">
        <v>5241.5999999999995</v>
      </c>
      <c r="BZ74">
        <v>14</v>
      </c>
      <c r="CA74">
        <v>5644.8</v>
      </c>
      <c r="CB74">
        <v>10.552883664686085</v>
      </c>
      <c r="CC74">
        <v>4254.9226936014293</v>
      </c>
      <c r="CD74">
        <v>4.8602439039557463</v>
      </c>
      <c r="CE74">
        <v>1959.6503420749568</v>
      </c>
      <c r="CF74">
        <v>16</v>
      </c>
      <c r="CG74">
        <v>6451.2</v>
      </c>
      <c r="CH74">
        <v>9.8042089151136356</v>
      </c>
      <c r="CI74">
        <v>3953.0570345738179</v>
      </c>
      <c r="CJ74">
        <v>3.7610143076982983</v>
      </c>
      <c r="CK74">
        <v>1516.4409688639539</v>
      </c>
      <c r="CL74">
        <v>9.9100266625675761</v>
      </c>
      <c r="CM74">
        <v>3995.7227503472468</v>
      </c>
      <c r="CN74">
        <v>9.5279533454565346</v>
      </c>
      <c r="CO74">
        <v>3841.6707888880746</v>
      </c>
      <c r="CP74">
        <v>8</v>
      </c>
      <c r="CQ74">
        <v>3225.6</v>
      </c>
      <c r="CR74">
        <v>0.97008088499475298</v>
      </c>
      <c r="CS74">
        <v>391.13661282988437</v>
      </c>
      <c r="CT74">
        <v>9</v>
      </c>
      <c r="CU74">
        <v>3628.7999999999997</v>
      </c>
    </row>
    <row r="75" spans="2:99">
      <c r="C75" s="99" t="s">
        <v>242</v>
      </c>
      <c r="D75">
        <v>9.6528620551828812</v>
      </c>
      <c r="E75">
        <v>6208.7208738936288</v>
      </c>
      <c r="F75">
        <v>8</v>
      </c>
      <c r="G75">
        <v>5145.5999999999995</v>
      </c>
      <c r="H75">
        <v>12</v>
      </c>
      <c r="I75">
        <v>7718.4</v>
      </c>
      <c r="J75">
        <v>8</v>
      </c>
      <c r="K75">
        <v>5145.5999999999995</v>
      </c>
      <c r="L75">
        <v>14</v>
      </c>
      <c r="M75">
        <v>9004.7999999999993</v>
      </c>
      <c r="N75">
        <v>6.7543503390768018</v>
      </c>
      <c r="O75">
        <v>4344.3981380941987</v>
      </c>
      <c r="P75">
        <v>2.5115724902127467E-21</v>
      </c>
      <c r="Q75">
        <v>1.6154434257048385E-18</v>
      </c>
      <c r="R75">
        <v>5.8086452157274371</v>
      </c>
      <c r="S75">
        <v>3736.1206027558869</v>
      </c>
      <c r="T75">
        <v>7.211041503282007</v>
      </c>
      <c r="U75">
        <v>4638.1418949109866</v>
      </c>
      <c r="V75">
        <v>2.398824580889773</v>
      </c>
      <c r="W75">
        <v>1542.9239704283018</v>
      </c>
      <c r="X75">
        <v>7</v>
      </c>
      <c r="Y75">
        <v>4502.3999999999996</v>
      </c>
      <c r="Z75">
        <v>8</v>
      </c>
      <c r="AA75">
        <v>5145.5999999999995</v>
      </c>
      <c r="AB75">
        <v>9</v>
      </c>
      <c r="AC75">
        <v>5788.7999999999993</v>
      </c>
      <c r="AD75">
        <v>8</v>
      </c>
      <c r="AE75">
        <v>5145.5999999999995</v>
      </c>
      <c r="AF75">
        <v>8</v>
      </c>
      <c r="AG75">
        <v>5145.5999999999995</v>
      </c>
      <c r="AH75">
        <v>7</v>
      </c>
      <c r="AI75">
        <v>4502.3999999999996</v>
      </c>
      <c r="AJ75">
        <v>13</v>
      </c>
      <c r="AK75">
        <v>8361.5999999999985</v>
      </c>
      <c r="AL75">
        <v>10</v>
      </c>
      <c r="AM75">
        <v>6431.9999999999991</v>
      </c>
      <c r="AN75">
        <v>9</v>
      </c>
      <c r="AO75">
        <v>5788.7999999999993</v>
      </c>
      <c r="AP75">
        <v>9.0338005722551173</v>
      </c>
      <c r="AQ75">
        <v>5810.5405280744908</v>
      </c>
      <c r="AR75">
        <v>8</v>
      </c>
      <c r="AS75">
        <v>5145.5999999999995</v>
      </c>
      <c r="AT75">
        <v>12</v>
      </c>
      <c r="AU75">
        <v>7718.4</v>
      </c>
      <c r="AV75">
        <v>14</v>
      </c>
      <c r="AW75">
        <v>9004.7999999999993</v>
      </c>
      <c r="AX75">
        <v>10</v>
      </c>
      <c r="AY75">
        <v>6431.9999999999991</v>
      </c>
      <c r="AZ75">
        <v>11</v>
      </c>
      <c r="BA75">
        <v>7075.1999999999989</v>
      </c>
      <c r="BB75">
        <v>3.7902710191575988</v>
      </c>
      <c r="BC75">
        <v>2437.9023195221671</v>
      </c>
      <c r="BD75">
        <v>11</v>
      </c>
      <c r="BE75">
        <v>7075.1999999999989</v>
      </c>
      <c r="BF75">
        <v>14.00137837025917</v>
      </c>
      <c r="BG75">
        <v>9005.6865677506976</v>
      </c>
      <c r="BH75">
        <v>9</v>
      </c>
      <c r="BI75">
        <v>5788.7999999999993</v>
      </c>
      <c r="BJ75">
        <v>9.9388018102165372</v>
      </c>
      <c r="BK75">
        <v>6392.6373243312764</v>
      </c>
      <c r="BL75">
        <v>11.162554356435487</v>
      </c>
      <c r="BM75">
        <v>7179.7549620593045</v>
      </c>
      <c r="BN75">
        <v>6.2165193327628767</v>
      </c>
      <c r="BO75">
        <v>3998.4652348330819</v>
      </c>
      <c r="BP75">
        <v>9</v>
      </c>
      <c r="BQ75">
        <v>5788.7999999999993</v>
      </c>
      <c r="BR75">
        <v>4.5672857060356815</v>
      </c>
      <c r="BS75">
        <v>2937.6781661221498</v>
      </c>
      <c r="BT75">
        <v>10</v>
      </c>
      <c r="BU75">
        <v>6431.9999999999991</v>
      </c>
      <c r="BV75">
        <v>5.646221900376041</v>
      </c>
      <c r="BW75">
        <v>3631.6499263218693</v>
      </c>
      <c r="BX75">
        <v>12</v>
      </c>
      <c r="BY75">
        <v>7718.4</v>
      </c>
      <c r="BZ75">
        <v>12</v>
      </c>
      <c r="CA75">
        <v>7718.4</v>
      </c>
      <c r="CB75">
        <v>11.30666106930652</v>
      </c>
      <c r="CC75">
        <v>7272.4443997779526</v>
      </c>
      <c r="CD75">
        <v>5.9402981048348016</v>
      </c>
      <c r="CE75">
        <v>3820.7997410297439</v>
      </c>
      <c r="CF75">
        <v>14</v>
      </c>
      <c r="CG75">
        <v>9004.7999999999993</v>
      </c>
      <c r="CH75">
        <v>11.312548748208041</v>
      </c>
      <c r="CI75">
        <v>7276.2313548474112</v>
      </c>
      <c r="CJ75">
        <v>3.7610143076982983</v>
      </c>
      <c r="CK75">
        <v>2419.084402711545</v>
      </c>
      <c r="CL75">
        <v>8.919023996310818</v>
      </c>
      <c r="CM75">
        <v>5736.7162344271173</v>
      </c>
      <c r="CN75">
        <v>10.208521441560574</v>
      </c>
      <c r="CO75">
        <v>6566.1209912117602</v>
      </c>
      <c r="CP75">
        <v>9</v>
      </c>
      <c r="CQ75">
        <v>5788.7999999999993</v>
      </c>
      <c r="CR75">
        <v>0.97008088499475298</v>
      </c>
      <c r="CS75">
        <v>623.95602522862509</v>
      </c>
      <c r="CT75">
        <v>9</v>
      </c>
      <c r="CU75">
        <v>5788.7999999999993</v>
      </c>
    </row>
    <row r="76" spans="2:99">
      <c r="C76" s="99" t="s">
        <v>243</v>
      </c>
      <c r="D76">
        <v>9.6528620551828812</v>
      </c>
      <c r="E76">
        <v>7517.6489685764273</v>
      </c>
      <c r="F76">
        <v>8</v>
      </c>
      <c r="G76">
        <v>6230.4</v>
      </c>
      <c r="H76">
        <v>13</v>
      </c>
      <c r="I76">
        <v>10124.4</v>
      </c>
      <c r="J76">
        <v>8</v>
      </c>
      <c r="K76">
        <v>6230.4</v>
      </c>
      <c r="L76">
        <v>14</v>
      </c>
      <c r="M76">
        <v>10903.199999999999</v>
      </c>
      <c r="N76">
        <v>7.5048337100853351</v>
      </c>
      <c r="O76">
        <v>5844.7644934144582</v>
      </c>
      <c r="P76">
        <v>2.092977075177289E-21</v>
      </c>
      <c r="Q76">
        <v>1.6300105461480726E-18</v>
      </c>
      <c r="R76">
        <v>5.8086452157274371</v>
      </c>
      <c r="S76">
        <v>4523.7728940085281</v>
      </c>
      <c r="T76">
        <v>6.7303054030632072</v>
      </c>
      <c r="U76">
        <v>5241.5618479056257</v>
      </c>
      <c r="V76">
        <v>2.398824580889773</v>
      </c>
      <c r="W76">
        <v>1868.2045835969552</v>
      </c>
      <c r="X76">
        <v>8</v>
      </c>
      <c r="Y76">
        <v>6230.4</v>
      </c>
      <c r="Z76">
        <v>7</v>
      </c>
      <c r="AA76">
        <v>5451.5999999999995</v>
      </c>
      <c r="AB76">
        <v>9</v>
      </c>
      <c r="AC76">
        <v>7009.2</v>
      </c>
      <c r="AD76">
        <v>9</v>
      </c>
      <c r="AE76">
        <v>7009.2</v>
      </c>
      <c r="AF76">
        <v>9</v>
      </c>
      <c r="AG76">
        <v>7009.2</v>
      </c>
      <c r="AH76">
        <v>8</v>
      </c>
      <c r="AI76">
        <v>6230.4</v>
      </c>
      <c r="AJ76">
        <v>12</v>
      </c>
      <c r="AK76">
        <v>9345.5999999999985</v>
      </c>
      <c r="AL76">
        <v>9</v>
      </c>
      <c r="AM76">
        <v>7009.2</v>
      </c>
      <c r="AN76">
        <v>9</v>
      </c>
      <c r="AO76">
        <v>7009.2</v>
      </c>
      <c r="AP76">
        <v>8.431547200771444</v>
      </c>
      <c r="AQ76">
        <v>6566.4889599608005</v>
      </c>
      <c r="AR76">
        <v>8</v>
      </c>
      <c r="AS76">
        <v>6230.4</v>
      </c>
      <c r="AT76">
        <v>12</v>
      </c>
      <c r="AU76">
        <v>9345.5999999999985</v>
      </c>
      <c r="AV76">
        <v>14</v>
      </c>
      <c r="AW76">
        <v>10903.199999999999</v>
      </c>
      <c r="AX76">
        <v>9</v>
      </c>
      <c r="AY76">
        <v>7009.2</v>
      </c>
      <c r="AZ76">
        <v>12</v>
      </c>
      <c r="BA76">
        <v>9345.5999999999985</v>
      </c>
      <c r="BB76">
        <v>3.7902710191575988</v>
      </c>
      <c r="BC76">
        <v>2951.8630697199378</v>
      </c>
      <c r="BD76">
        <v>10</v>
      </c>
      <c r="BE76">
        <v>7788</v>
      </c>
      <c r="BF76">
        <v>14.00137837025917</v>
      </c>
      <c r="BG76">
        <v>10904.273474757842</v>
      </c>
      <c r="BH76">
        <v>10</v>
      </c>
      <c r="BI76">
        <v>7788</v>
      </c>
      <c r="BJ76">
        <v>10.932681991238191</v>
      </c>
      <c r="BK76">
        <v>8514.3727347763033</v>
      </c>
      <c r="BL76">
        <v>11.162554356435487</v>
      </c>
      <c r="BM76">
        <v>8693.3973327919575</v>
      </c>
      <c r="BN76">
        <v>5.7724822375655274</v>
      </c>
      <c r="BO76">
        <v>4495.6091666160328</v>
      </c>
      <c r="BP76">
        <v>8</v>
      </c>
      <c r="BQ76">
        <v>6230.4</v>
      </c>
      <c r="BR76">
        <v>4.1105571354321135</v>
      </c>
      <c r="BS76">
        <v>3201.3018970745297</v>
      </c>
      <c r="BT76">
        <v>10</v>
      </c>
      <c r="BU76">
        <v>7788</v>
      </c>
      <c r="BV76">
        <v>5.646221900376041</v>
      </c>
      <c r="BW76">
        <v>4397.2776160128606</v>
      </c>
      <c r="BX76">
        <v>13</v>
      </c>
      <c r="BY76">
        <v>10124.4</v>
      </c>
      <c r="BZ76">
        <v>13</v>
      </c>
      <c r="CA76">
        <v>10124.4</v>
      </c>
      <c r="CB76">
        <v>9.7991062600656509</v>
      </c>
      <c r="CC76">
        <v>7631.5439553391288</v>
      </c>
      <c r="CD76">
        <v>4.8602439039557463</v>
      </c>
      <c r="CE76">
        <v>3785.1579524007352</v>
      </c>
      <c r="CF76">
        <v>14</v>
      </c>
      <c r="CG76">
        <v>10903.199999999999</v>
      </c>
      <c r="CH76">
        <v>11.312548748208041</v>
      </c>
      <c r="CI76">
        <v>8810.2129651044215</v>
      </c>
      <c r="CJ76">
        <v>3.7610143076982983</v>
      </c>
      <c r="CK76">
        <v>2929.0779428354344</v>
      </c>
      <c r="CL76">
        <v>8.919023996310818</v>
      </c>
      <c r="CM76">
        <v>6946.1358883268649</v>
      </c>
      <c r="CN76">
        <v>10.889089537664612</v>
      </c>
      <c r="CO76">
        <v>8480.4229319331989</v>
      </c>
      <c r="CP76">
        <v>9</v>
      </c>
      <c r="CQ76">
        <v>7009.2</v>
      </c>
      <c r="CR76">
        <v>1.07786764999417</v>
      </c>
      <c r="CS76">
        <v>839.4433258154595</v>
      </c>
      <c r="CT76">
        <v>8</v>
      </c>
      <c r="CU76">
        <v>6230.4</v>
      </c>
    </row>
    <row r="77" spans="2:99">
      <c r="C77" s="99" t="s">
        <v>244</v>
      </c>
      <c r="D77">
        <v>10.618148260701171</v>
      </c>
      <c r="E77">
        <v>2956.0924757792059</v>
      </c>
      <c r="F77">
        <v>8</v>
      </c>
      <c r="G77">
        <v>2227.1999999999998</v>
      </c>
      <c r="H77">
        <v>12</v>
      </c>
      <c r="I77">
        <v>3340.7999999999997</v>
      </c>
      <c r="J77">
        <v>8</v>
      </c>
      <c r="K77">
        <v>2227.1999999999998</v>
      </c>
      <c r="L77">
        <v>13</v>
      </c>
      <c r="M77">
        <v>3619.2</v>
      </c>
      <c r="N77">
        <v>8.2553170810938692</v>
      </c>
      <c r="O77">
        <v>2298.2802753765332</v>
      </c>
      <c r="P77">
        <v>2.3022747826950176E-21</v>
      </c>
      <c r="Q77">
        <v>6.4095329950229282E-19</v>
      </c>
      <c r="R77">
        <v>5.3618263529791728</v>
      </c>
      <c r="S77">
        <v>1492.7324566694015</v>
      </c>
      <c r="T77">
        <v>6.7303054030632072</v>
      </c>
      <c r="U77">
        <v>1873.7170242127968</v>
      </c>
      <c r="V77">
        <v>2.1989225324822916</v>
      </c>
      <c r="W77">
        <v>612.1800330430699</v>
      </c>
      <c r="X77">
        <v>7</v>
      </c>
      <c r="Y77">
        <v>1948.7999999999997</v>
      </c>
      <c r="Z77">
        <v>9</v>
      </c>
      <c r="AA77">
        <v>2505.6</v>
      </c>
      <c r="AB77">
        <v>10</v>
      </c>
      <c r="AC77">
        <v>2784</v>
      </c>
      <c r="AD77">
        <v>9</v>
      </c>
      <c r="AE77">
        <v>2505.6</v>
      </c>
      <c r="AF77">
        <v>8</v>
      </c>
      <c r="AG77">
        <v>2227.1999999999998</v>
      </c>
      <c r="AH77">
        <v>8</v>
      </c>
      <c r="AI77">
        <v>2227.1999999999998</v>
      </c>
      <c r="AJ77">
        <v>12</v>
      </c>
      <c r="AK77">
        <v>3340.7999999999997</v>
      </c>
      <c r="AL77">
        <v>10</v>
      </c>
      <c r="AM77">
        <v>2784</v>
      </c>
      <c r="AN77">
        <v>10</v>
      </c>
      <c r="AO77">
        <v>2784</v>
      </c>
      <c r="AP77">
        <v>7.829293829287769</v>
      </c>
      <c r="AQ77">
        <v>2179.6754020737148</v>
      </c>
      <c r="AR77">
        <v>8</v>
      </c>
      <c r="AS77">
        <v>2227.1999999999998</v>
      </c>
      <c r="AT77">
        <v>13</v>
      </c>
      <c r="AU77">
        <v>3619.2</v>
      </c>
      <c r="AV77">
        <v>13</v>
      </c>
      <c r="AW77">
        <v>3619.2</v>
      </c>
      <c r="AX77">
        <v>10</v>
      </c>
      <c r="AY77">
        <v>2784</v>
      </c>
      <c r="AZ77">
        <v>12</v>
      </c>
      <c r="BA77">
        <v>3340.7999999999997</v>
      </c>
      <c r="BB77">
        <v>4.2114122435084429</v>
      </c>
      <c r="BC77">
        <v>1172.4571685927503</v>
      </c>
      <c r="BD77">
        <v>11</v>
      </c>
      <c r="BE77">
        <v>3062.3999999999996</v>
      </c>
      <c r="BF77">
        <v>13.067953145575226</v>
      </c>
      <c r="BG77">
        <v>3638.1181557281425</v>
      </c>
      <c r="BH77">
        <v>10</v>
      </c>
      <c r="BI77">
        <v>2784</v>
      </c>
      <c r="BJ77">
        <v>9.9388018102165372</v>
      </c>
      <c r="BK77">
        <v>2766.9624239642835</v>
      </c>
      <c r="BL77">
        <v>11.162554356435487</v>
      </c>
      <c r="BM77">
        <v>3107.6551328316395</v>
      </c>
      <c r="BN77">
        <v>6.6605564279602243</v>
      </c>
      <c r="BO77">
        <v>1854.2989095441262</v>
      </c>
      <c r="BP77">
        <v>10</v>
      </c>
      <c r="BQ77">
        <v>2784</v>
      </c>
      <c r="BR77">
        <v>4.1105571354321135</v>
      </c>
      <c r="BS77">
        <v>1144.3791065043004</v>
      </c>
      <c r="BT77">
        <v>11</v>
      </c>
      <c r="BU77">
        <v>3062.3999999999996</v>
      </c>
      <c r="BV77">
        <v>5.646221900376041</v>
      </c>
      <c r="BW77">
        <v>1571.9081770646897</v>
      </c>
      <c r="BX77">
        <v>12</v>
      </c>
      <c r="BY77">
        <v>3340.7999999999997</v>
      </c>
      <c r="BZ77">
        <v>13</v>
      </c>
      <c r="CA77">
        <v>3619.2</v>
      </c>
      <c r="CB77">
        <v>10.552883664686085</v>
      </c>
      <c r="CC77">
        <v>2937.9228122486061</v>
      </c>
      <c r="CD77">
        <v>4.8602439039557463</v>
      </c>
      <c r="CE77">
        <v>1353.0919028612798</v>
      </c>
      <c r="CF77">
        <v>15</v>
      </c>
      <c r="CG77">
        <v>4176</v>
      </c>
      <c r="CH77">
        <v>9.8042089151136356</v>
      </c>
      <c r="CI77">
        <v>2729.4917619676357</v>
      </c>
      <c r="CJ77">
        <v>3.2237265494556842</v>
      </c>
      <c r="CK77">
        <v>897.48547136846241</v>
      </c>
      <c r="CL77">
        <v>9.9100266625675761</v>
      </c>
      <c r="CM77">
        <v>2758.9514228588127</v>
      </c>
      <c r="CN77">
        <v>9.5279533454565346</v>
      </c>
      <c r="CO77">
        <v>2652.5822113750992</v>
      </c>
      <c r="CP77">
        <v>9</v>
      </c>
      <c r="CQ77">
        <v>2505.6</v>
      </c>
      <c r="CR77">
        <v>0.97008088499475298</v>
      </c>
      <c r="CS77">
        <v>270.07051838253921</v>
      </c>
      <c r="CT77">
        <v>8</v>
      </c>
      <c r="CU77">
        <v>2227.1999999999998</v>
      </c>
    </row>
    <row r="78" spans="2:99">
      <c r="C78" s="99" t="s">
        <v>245</v>
      </c>
      <c r="D78">
        <v>10.618148260701171</v>
      </c>
      <c r="E78">
        <v>5861.2178399070463</v>
      </c>
      <c r="F78">
        <v>8</v>
      </c>
      <c r="G78">
        <v>4416</v>
      </c>
      <c r="H78">
        <v>14</v>
      </c>
      <c r="I78">
        <v>7728</v>
      </c>
      <c r="J78">
        <v>8</v>
      </c>
      <c r="K78">
        <v>4416</v>
      </c>
      <c r="L78">
        <v>13</v>
      </c>
      <c r="M78">
        <v>7176</v>
      </c>
      <c r="N78">
        <v>7.5048337100853351</v>
      </c>
      <c r="O78">
        <v>4142.6682079671045</v>
      </c>
      <c r="P78">
        <v>2.092977075177289E-21</v>
      </c>
      <c r="Q78">
        <v>1.1553233454978635E-18</v>
      </c>
      <c r="R78">
        <v>6.2554640784757005</v>
      </c>
      <c r="S78">
        <v>3453.0161713185867</v>
      </c>
      <c r="T78">
        <v>7.211041503282007</v>
      </c>
      <c r="U78">
        <v>3980.4949098116676</v>
      </c>
      <c r="V78">
        <v>2.398824580889773</v>
      </c>
      <c r="W78">
        <v>1324.1511686511546</v>
      </c>
      <c r="X78">
        <v>7</v>
      </c>
      <c r="Y78">
        <v>3864</v>
      </c>
      <c r="Z78">
        <v>8</v>
      </c>
      <c r="AA78">
        <v>4416</v>
      </c>
      <c r="AB78">
        <v>10</v>
      </c>
      <c r="AC78">
        <v>5520</v>
      </c>
      <c r="AD78">
        <v>8</v>
      </c>
      <c r="AE78">
        <v>4416</v>
      </c>
      <c r="AF78">
        <v>8</v>
      </c>
      <c r="AG78">
        <v>4416</v>
      </c>
      <c r="AH78">
        <v>8</v>
      </c>
      <c r="AI78">
        <v>4416</v>
      </c>
      <c r="AJ78">
        <v>11</v>
      </c>
      <c r="AK78">
        <v>6072</v>
      </c>
      <c r="AL78">
        <v>9</v>
      </c>
      <c r="AM78">
        <v>4968</v>
      </c>
      <c r="AN78">
        <v>9</v>
      </c>
      <c r="AO78">
        <v>4968</v>
      </c>
      <c r="AP78">
        <v>8.431547200771444</v>
      </c>
      <c r="AQ78">
        <v>4654.2140548258367</v>
      </c>
      <c r="AR78">
        <v>9</v>
      </c>
      <c r="AS78">
        <v>4968</v>
      </c>
      <c r="AT78">
        <v>11</v>
      </c>
      <c r="AU78">
        <v>6072</v>
      </c>
      <c r="AV78">
        <v>15</v>
      </c>
      <c r="AW78">
        <v>8280</v>
      </c>
      <c r="AX78">
        <v>10</v>
      </c>
      <c r="AY78">
        <v>5520</v>
      </c>
      <c r="AZ78">
        <v>12</v>
      </c>
      <c r="BA78">
        <v>6624</v>
      </c>
      <c r="BB78">
        <v>3.3691297948067547</v>
      </c>
      <c r="BC78">
        <v>1859.7596467333285</v>
      </c>
      <c r="BD78">
        <v>11</v>
      </c>
      <c r="BE78">
        <v>6072</v>
      </c>
      <c r="BF78">
        <v>14.934803594943116</v>
      </c>
      <c r="BG78">
        <v>8244.0115844085994</v>
      </c>
      <c r="BH78">
        <v>9</v>
      </c>
      <c r="BI78">
        <v>4968</v>
      </c>
      <c r="BJ78">
        <v>9.9388018102165372</v>
      </c>
      <c r="BK78">
        <v>5486.2185992395289</v>
      </c>
      <c r="BL78">
        <v>10.418384066006455</v>
      </c>
      <c r="BM78">
        <v>5750.9480044355632</v>
      </c>
      <c r="BN78">
        <v>6.2165193327628767</v>
      </c>
      <c r="BO78">
        <v>3431.5186716851081</v>
      </c>
      <c r="BP78">
        <v>10</v>
      </c>
      <c r="BQ78">
        <v>5520</v>
      </c>
      <c r="BR78">
        <v>4.5672857060356815</v>
      </c>
      <c r="BS78">
        <v>2521.1417097316962</v>
      </c>
      <c r="BT78">
        <v>9</v>
      </c>
      <c r="BU78">
        <v>4968</v>
      </c>
      <c r="BV78">
        <v>5.1329290003418553</v>
      </c>
      <c r="BW78">
        <v>2833.3768081887042</v>
      </c>
      <c r="BX78">
        <v>13</v>
      </c>
      <c r="BY78">
        <v>7176</v>
      </c>
      <c r="BZ78">
        <v>14</v>
      </c>
      <c r="CA78">
        <v>7728</v>
      </c>
      <c r="CB78">
        <v>11.30666106930652</v>
      </c>
      <c r="CC78">
        <v>6241.2769102571992</v>
      </c>
      <c r="CD78">
        <v>5.9402981048348016</v>
      </c>
      <c r="CE78">
        <v>3279.0445538688105</v>
      </c>
      <c r="CF78">
        <v>15</v>
      </c>
      <c r="CG78">
        <v>8280</v>
      </c>
      <c r="CH78">
        <v>10.558378831660839</v>
      </c>
      <c r="CI78">
        <v>5828.2251150767834</v>
      </c>
      <c r="CJ78">
        <v>3.2237265494556842</v>
      </c>
      <c r="CK78">
        <v>1779.4970552995376</v>
      </c>
      <c r="CL78">
        <v>8.919023996310818</v>
      </c>
      <c r="CM78">
        <v>4923.3012459635711</v>
      </c>
      <c r="CN78">
        <v>10.889089537664612</v>
      </c>
      <c r="CO78">
        <v>6010.7774247908656</v>
      </c>
      <c r="CP78">
        <v>9</v>
      </c>
      <c r="CQ78">
        <v>4968</v>
      </c>
      <c r="CR78">
        <v>0.97008088499475298</v>
      </c>
      <c r="CS78">
        <v>535.48464851710366</v>
      </c>
      <c r="CT78">
        <v>9</v>
      </c>
      <c r="CU78">
        <v>4968</v>
      </c>
    </row>
    <row r="79" spans="2:99">
      <c r="C79" s="99" t="s">
        <v>246</v>
      </c>
      <c r="D79">
        <v>8.6875758496645936</v>
      </c>
      <c r="E79">
        <v>6578.2324333660299</v>
      </c>
      <c r="F79">
        <v>8</v>
      </c>
      <c r="G79">
        <v>6057.5999999999995</v>
      </c>
      <c r="H79">
        <v>13</v>
      </c>
      <c r="I79">
        <v>9843.5999999999985</v>
      </c>
      <c r="J79">
        <v>8</v>
      </c>
      <c r="K79">
        <v>6057.5999999999995</v>
      </c>
      <c r="L79">
        <v>15</v>
      </c>
      <c r="M79">
        <v>11357.999999999998</v>
      </c>
      <c r="N79">
        <v>7.5048337100853351</v>
      </c>
      <c r="O79">
        <v>5682.6600852766151</v>
      </c>
      <c r="P79">
        <v>2.092977075177289E-21</v>
      </c>
      <c r="Q79">
        <v>1.5848022413242431E-18</v>
      </c>
      <c r="R79">
        <v>6.2554640784757005</v>
      </c>
      <c r="S79">
        <v>4736.6374002217999</v>
      </c>
      <c r="T79">
        <v>6.2495693028444066</v>
      </c>
      <c r="U79">
        <v>4732.173876113784</v>
      </c>
      <c r="V79">
        <v>2.1989225324822916</v>
      </c>
      <c r="W79">
        <v>1665.0241415955911</v>
      </c>
      <c r="X79">
        <v>7</v>
      </c>
      <c r="Y79">
        <v>5300.4</v>
      </c>
      <c r="Z79">
        <v>9</v>
      </c>
      <c r="AA79">
        <v>6814.7999999999993</v>
      </c>
      <c r="AB79">
        <v>9</v>
      </c>
      <c r="AC79">
        <v>6814.7999999999993</v>
      </c>
      <c r="AD79">
        <v>8</v>
      </c>
      <c r="AE79">
        <v>6057.5999999999995</v>
      </c>
      <c r="AF79">
        <v>9</v>
      </c>
      <c r="AG79">
        <v>6814.7999999999993</v>
      </c>
      <c r="AH79">
        <v>9</v>
      </c>
      <c r="AI79">
        <v>6814.7999999999993</v>
      </c>
      <c r="AJ79">
        <v>12</v>
      </c>
      <c r="AK79">
        <v>9086.4</v>
      </c>
      <c r="AL79">
        <v>9</v>
      </c>
      <c r="AM79">
        <v>6814.7999999999993</v>
      </c>
      <c r="AN79">
        <v>10</v>
      </c>
      <c r="AO79">
        <v>7571.9999999999991</v>
      </c>
      <c r="AP79">
        <v>7.829293829287769</v>
      </c>
      <c r="AQ79">
        <v>5928.3412875366985</v>
      </c>
      <c r="AR79">
        <v>9</v>
      </c>
      <c r="AS79">
        <v>6814.7999999999993</v>
      </c>
      <c r="AT79">
        <v>12</v>
      </c>
      <c r="AU79">
        <v>9086.4</v>
      </c>
      <c r="AV79">
        <v>13</v>
      </c>
      <c r="AW79">
        <v>9843.5999999999985</v>
      </c>
      <c r="AX79">
        <v>10</v>
      </c>
      <c r="AY79">
        <v>7571.9999999999991</v>
      </c>
      <c r="AZ79">
        <v>11</v>
      </c>
      <c r="BA79">
        <v>8329.1999999999989</v>
      </c>
      <c r="BB79">
        <v>4.2114122435084429</v>
      </c>
      <c r="BC79">
        <v>3188.8813507845925</v>
      </c>
      <c r="BD79">
        <v>11</v>
      </c>
      <c r="BE79">
        <v>8329.1999999999989</v>
      </c>
      <c r="BF79">
        <v>14.00137837025917</v>
      </c>
      <c r="BG79">
        <v>10601.843701960242</v>
      </c>
      <c r="BH79">
        <v>9</v>
      </c>
      <c r="BI79">
        <v>6814.7999999999993</v>
      </c>
      <c r="BJ79">
        <v>9.9388018102165372</v>
      </c>
      <c r="BK79">
        <v>7525.6607306959613</v>
      </c>
      <c r="BL79">
        <v>10.418384066006455</v>
      </c>
      <c r="BM79">
        <v>7888.8004147800866</v>
      </c>
      <c r="BN79">
        <v>5.7724822375655274</v>
      </c>
      <c r="BO79">
        <v>4370.9235502846168</v>
      </c>
      <c r="BP79">
        <v>9</v>
      </c>
      <c r="BQ79">
        <v>6814.7999999999993</v>
      </c>
      <c r="BR79">
        <v>4.1105571354321135</v>
      </c>
      <c r="BS79">
        <v>3112.5138629491962</v>
      </c>
      <c r="BT79">
        <v>10</v>
      </c>
      <c r="BU79">
        <v>7571.9999999999991</v>
      </c>
      <c r="BV79">
        <v>5.646221900376041</v>
      </c>
      <c r="BW79">
        <v>4275.3192229647375</v>
      </c>
      <c r="BX79">
        <v>11</v>
      </c>
      <c r="BY79">
        <v>8329.1999999999989</v>
      </c>
      <c r="BZ79">
        <v>12</v>
      </c>
      <c r="CA79">
        <v>9086.4</v>
      </c>
      <c r="CB79">
        <v>9.7991062600656509</v>
      </c>
      <c r="CC79">
        <v>7419.88326012171</v>
      </c>
      <c r="CD79">
        <v>5.4002710043952735</v>
      </c>
      <c r="CE79">
        <v>4089.0852045281008</v>
      </c>
      <c r="CF79">
        <v>16</v>
      </c>
      <c r="CG79">
        <v>12115.199999999999</v>
      </c>
      <c r="CH79">
        <v>10.558378831660839</v>
      </c>
      <c r="CI79">
        <v>7994.8044513335863</v>
      </c>
      <c r="CJ79">
        <v>3.2237265494556842</v>
      </c>
      <c r="CK79">
        <v>2441.0057432478438</v>
      </c>
      <c r="CL79">
        <v>9.9100266625675761</v>
      </c>
      <c r="CM79">
        <v>7503.8721888961682</v>
      </c>
      <c r="CN79">
        <v>9.5279533454565346</v>
      </c>
      <c r="CO79">
        <v>7214.5662731796874</v>
      </c>
      <c r="CP79">
        <v>8</v>
      </c>
      <c r="CQ79">
        <v>6057.5999999999995</v>
      </c>
      <c r="CR79">
        <v>1.07786764999417</v>
      </c>
      <c r="CS79">
        <v>816.16138457558543</v>
      </c>
      <c r="CT79">
        <v>9</v>
      </c>
      <c r="CU79">
        <v>6814.7999999999993</v>
      </c>
    </row>
    <row r="80" spans="2:99">
      <c r="C80" s="99" t="s">
        <v>247</v>
      </c>
      <c r="D80">
        <v>9.6528620551828812</v>
      </c>
      <c r="E80">
        <v>7772.4845268332556</v>
      </c>
      <c r="F80">
        <v>8</v>
      </c>
      <c r="G80">
        <v>6441.5999999999995</v>
      </c>
      <c r="H80">
        <v>13</v>
      </c>
      <c r="I80">
        <v>10467.599999999999</v>
      </c>
      <c r="J80">
        <v>8</v>
      </c>
      <c r="K80">
        <v>6441.5999999999995</v>
      </c>
      <c r="L80">
        <v>13</v>
      </c>
      <c r="M80">
        <v>10467.599999999999</v>
      </c>
      <c r="N80">
        <v>7.5048337100853351</v>
      </c>
      <c r="O80">
        <v>6042.8921033607112</v>
      </c>
      <c r="P80">
        <v>2.092977075177289E-21</v>
      </c>
      <c r="Q80">
        <v>1.685265140932753E-18</v>
      </c>
      <c r="R80">
        <v>5.3618263529791728</v>
      </c>
      <c r="S80">
        <v>4317.3425794188297</v>
      </c>
      <c r="T80">
        <v>7.211041503282007</v>
      </c>
      <c r="U80">
        <v>5806.3306184426719</v>
      </c>
      <c r="V80">
        <v>2.398824580889773</v>
      </c>
      <c r="W80">
        <v>1931.5335525324451</v>
      </c>
      <c r="X80">
        <v>7</v>
      </c>
      <c r="Y80">
        <v>5636.4</v>
      </c>
      <c r="Z80">
        <v>8</v>
      </c>
      <c r="AA80">
        <v>6441.5999999999995</v>
      </c>
      <c r="AB80">
        <v>9</v>
      </c>
      <c r="AC80">
        <v>7246.7999999999993</v>
      </c>
      <c r="AD80">
        <v>7</v>
      </c>
      <c r="AE80">
        <v>5636.4</v>
      </c>
      <c r="AF80">
        <v>9</v>
      </c>
      <c r="AG80">
        <v>7246.7999999999993</v>
      </c>
      <c r="AH80">
        <v>8</v>
      </c>
      <c r="AI80">
        <v>6441.5999999999995</v>
      </c>
      <c r="AJ80">
        <v>11</v>
      </c>
      <c r="AK80">
        <v>8857.1999999999989</v>
      </c>
      <c r="AL80">
        <v>9</v>
      </c>
      <c r="AM80">
        <v>7246.7999999999993</v>
      </c>
      <c r="AN80">
        <v>9</v>
      </c>
      <c r="AO80">
        <v>7246.7999999999993</v>
      </c>
      <c r="AP80">
        <v>9.0338005722551173</v>
      </c>
      <c r="AQ80">
        <v>7274.0162207798203</v>
      </c>
      <c r="AR80">
        <v>8</v>
      </c>
      <c r="AS80">
        <v>6441.5999999999995</v>
      </c>
      <c r="AT80">
        <v>13</v>
      </c>
      <c r="AU80">
        <v>10467.599999999999</v>
      </c>
      <c r="AV80">
        <v>13</v>
      </c>
      <c r="AW80">
        <v>10467.599999999999</v>
      </c>
      <c r="AX80">
        <v>10</v>
      </c>
      <c r="AY80">
        <v>8051.9999999999991</v>
      </c>
      <c r="AZ80">
        <v>12</v>
      </c>
      <c r="BA80">
        <v>9662.4</v>
      </c>
      <c r="BB80">
        <v>3.7902710191575988</v>
      </c>
      <c r="BC80">
        <v>3051.9262246256981</v>
      </c>
      <c r="BD80">
        <v>12</v>
      </c>
      <c r="BE80">
        <v>9662.4</v>
      </c>
      <c r="BF80">
        <v>12.134527920891282</v>
      </c>
      <c r="BG80">
        <v>9770.7218819016598</v>
      </c>
      <c r="BH80">
        <v>8</v>
      </c>
      <c r="BI80">
        <v>6441.5999999999995</v>
      </c>
      <c r="BJ80">
        <v>10.932681991238191</v>
      </c>
      <c r="BK80">
        <v>8802.9955393449909</v>
      </c>
      <c r="BL80">
        <v>9.6742137755774245</v>
      </c>
      <c r="BM80">
        <v>7789.6769320949415</v>
      </c>
      <c r="BN80">
        <v>6.6605564279602243</v>
      </c>
      <c r="BO80">
        <v>5363.0800357935723</v>
      </c>
      <c r="BP80">
        <v>10</v>
      </c>
      <c r="BQ80">
        <v>8051.9999999999991</v>
      </c>
      <c r="BR80">
        <v>4.1105571354321135</v>
      </c>
      <c r="BS80">
        <v>3309.8206054499374</v>
      </c>
      <c r="BT80">
        <v>10</v>
      </c>
      <c r="BU80">
        <v>8051.9999999999991</v>
      </c>
      <c r="BV80">
        <v>5.1329290003418553</v>
      </c>
      <c r="BW80">
        <v>4133.0344310752616</v>
      </c>
      <c r="BX80">
        <v>13</v>
      </c>
      <c r="BY80">
        <v>10467.599999999999</v>
      </c>
      <c r="BZ80">
        <v>11</v>
      </c>
      <c r="CA80">
        <v>8857.1999999999989</v>
      </c>
      <c r="CB80">
        <v>11.30666106930652</v>
      </c>
      <c r="CC80">
        <v>9104.1234930056089</v>
      </c>
      <c r="CD80">
        <v>4.8602439039557463</v>
      </c>
      <c r="CE80">
        <v>3913.4683914651664</v>
      </c>
      <c r="CF80">
        <v>15</v>
      </c>
      <c r="CG80">
        <v>12077.999999999998</v>
      </c>
      <c r="CH80">
        <v>9.8042089151136356</v>
      </c>
      <c r="CI80">
        <v>7894.3490184494985</v>
      </c>
      <c r="CJ80">
        <v>3.7610143076982983</v>
      </c>
      <c r="CK80">
        <v>3028.3687205586693</v>
      </c>
      <c r="CL80">
        <v>9.9100266625675761</v>
      </c>
      <c r="CM80">
        <v>7979.5534686994115</v>
      </c>
      <c r="CN80">
        <v>10.208521441560574</v>
      </c>
      <c r="CO80">
        <v>8219.9014647445729</v>
      </c>
      <c r="CP80">
        <v>8</v>
      </c>
      <c r="CQ80">
        <v>6441.5999999999995</v>
      </c>
      <c r="CR80">
        <v>1.07786764999417</v>
      </c>
      <c r="CS80">
        <v>867.89903177530562</v>
      </c>
      <c r="CT80">
        <v>8</v>
      </c>
      <c r="CU80">
        <v>6441.5999999999995</v>
      </c>
    </row>
    <row r="81" spans="2:99">
      <c r="C81" s="99" t="s">
        <v>248</v>
      </c>
      <c r="D81">
        <v>10.618148260701171</v>
      </c>
      <c r="E81">
        <v>8001.8365292644021</v>
      </c>
      <c r="F81">
        <v>8</v>
      </c>
      <c r="G81">
        <v>6028.8</v>
      </c>
      <c r="H81">
        <v>13</v>
      </c>
      <c r="I81">
        <v>9796.8000000000011</v>
      </c>
      <c r="J81">
        <v>8</v>
      </c>
      <c r="K81">
        <v>6028.8</v>
      </c>
      <c r="L81">
        <v>14</v>
      </c>
      <c r="M81">
        <v>10550.4</v>
      </c>
      <c r="N81">
        <v>8.2553170810938692</v>
      </c>
      <c r="O81">
        <v>6221.20695231234</v>
      </c>
      <c r="P81">
        <v>2.5115724902127467E-21</v>
      </c>
      <c r="Q81">
        <v>1.8927210286243261E-18</v>
      </c>
      <c r="R81">
        <v>5.3618263529791728</v>
      </c>
      <c r="S81">
        <v>4040.6723396051048</v>
      </c>
      <c r="T81">
        <v>6.7303054030632072</v>
      </c>
      <c r="U81">
        <v>5071.958151748433</v>
      </c>
      <c r="V81">
        <v>2.1989225324822916</v>
      </c>
      <c r="W81">
        <v>1657.1080204786551</v>
      </c>
      <c r="X81">
        <v>7</v>
      </c>
      <c r="Y81">
        <v>5275.2</v>
      </c>
      <c r="Z81">
        <v>8</v>
      </c>
      <c r="AA81">
        <v>6028.8</v>
      </c>
      <c r="AB81">
        <v>9</v>
      </c>
      <c r="AC81">
        <v>6782.4000000000005</v>
      </c>
      <c r="AD81">
        <v>8</v>
      </c>
      <c r="AE81">
        <v>6028.8</v>
      </c>
      <c r="AF81">
        <v>9</v>
      </c>
      <c r="AG81">
        <v>6782.4000000000005</v>
      </c>
      <c r="AH81">
        <v>8</v>
      </c>
      <c r="AI81">
        <v>6028.8</v>
      </c>
      <c r="AJ81">
        <v>11</v>
      </c>
      <c r="AK81">
        <v>8289.6</v>
      </c>
      <c r="AL81">
        <v>10</v>
      </c>
      <c r="AM81">
        <v>7536</v>
      </c>
      <c r="AN81">
        <v>9</v>
      </c>
      <c r="AO81">
        <v>6782.4000000000005</v>
      </c>
      <c r="AP81">
        <v>7.829293829287769</v>
      </c>
      <c r="AQ81">
        <v>5900.1558297512629</v>
      </c>
      <c r="AR81">
        <v>9</v>
      </c>
      <c r="AS81">
        <v>6782.4000000000005</v>
      </c>
      <c r="AT81">
        <v>12</v>
      </c>
      <c r="AU81">
        <v>9043.2000000000007</v>
      </c>
      <c r="AV81">
        <v>14</v>
      </c>
      <c r="AW81">
        <v>10550.4</v>
      </c>
      <c r="AX81">
        <v>10</v>
      </c>
      <c r="AY81">
        <v>7536</v>
      </c>
      <c r="AZ81">
        <v>11</v>
      </c>
      <c r="BA81">
        <v>8289.6</v>
      </c>
      <c r="BB81">
        <v>3.3691297948067547</v>
      </c>
      <c r="BC81">
        <v>2538.9762133663703</v>
      </c>
      <c r="BD81">
        <v>11</v>
      </c>
      <c r="BE81">
        <v>8289.6</v>
      </c>
      <c r="BF81">
        <v>14.00137837025917</v>
      </c>
      <c r="BG81">
        <v>10551.43873982731</v>
      </c>
      <c r="BH81">
        <v>10</v>
      </c>
      <c r="BI81">
        <v>7536</v>
      </c>
      <c r="BJ81">
        <v>9.9388018102165372</v>
      </c>
      <c r="BK81">
        <v>7489.8810441791829</v>
      </c>
      <c r="BL81">
        <v>10.418384066006455</v>
      </c>
      <c r="BM81">
        <v>7851.2942321424644</v>
      </c>
      <c r="BN81">
        <v>6.2165193327628767</v>
      </c>
      <c r="BO81">
        <v>4684.7689691701044</v>
      </c>
      <c r="BP81">
        <v>8</v>
      </c>
      <c r="BQ81">
        <v>6028.8</v>
      </c>
      <c r="BR81">
        <v>4.1105571354321135</v>
      </c>
      <c r="BS81">
        <v>3097.7158572616408</v>
      </c>
      <c r="BT81">
        <v>11</v>
      </c>
      <c r="BU81">
        <v>8289.6</v>
      </c>
      <c r="BV81">
        <v>5.646221900376041</v>
      </c>
      <c r="BW81">
        <v>4254.9928241233847</v>
      </c>
      <c r="BX81">
        <v>13</v>
      </c>
      <c r="BY81">
        <v>9796.8000000000011</v>
      </c>
      <c r="BZ81">
        <v>14</v>
      </c>
      <c r="CA81">
        <v>10550.4</v>
      </c>
      <c r="CB81">
        <v>11.30666106930652</v>
      </c>
      <c r="CC81">
        <v>8520.699781829393</v>
      </c>
      <c r="CD81">
        <v>4.8602439039557463</v>
      </c>
      <c r="CE81">
        <v>3662.6798060210504</v>
      </c>
      <c r="CF81">
        <v>15</v>
      </c>
      <c r="CG81">
        <v>11304</v>
      </c>
      <c r="CH81">
        <v>9.8042089151136356</v>
      </c>
      <c r="CI81">
        <v>7388.4518384296362</v>
      </c>
      <c r="CJ81">
        <v>3.7610143076982983</v>
      </c>
      <c r="CK81">
        <v>2834.3003822814376</v>
      </c>
      <c r="CL81">
        <v>8.919023996310818</v>
      </c>
      <c r="CM81">
        <v>6721.3764836198325</v>
      </c>
      <c r="CN81">
        <v>10.208521441560574</v>
      </c>
      <c r="CO81">
        <v>7693.1417583600487</v>
      </c>
      <c r="CP81">
        <v>9</v>
      </c>
      <c r="CQ81">
        <v>6782.4000000000005</v>
      </c>
      <c r="CR81">
        <v>0.97008088499475298</v>
      </c>
      <c r="CS81">
        <v>731.05295493204585</v>
      </c>
      <c r="CT81">
        <v>9</v>
      </c>
      <c r="CU81">
        <v>6782.4000000000005</v>
      </c>
    </row>
    <row r="82" spans="2:99">
      <c r="C82" s="99" t="s">
        <v>249</v>
      </c>
      <c r="D82">
        <v>10.618148260701171</v>
      </c>
      <c r="E82">
        <v>5402.5138350447542</v>
      </c>
      <c r="F82">
        <v>8</v>
      </c>
      <c r="G82">
        <v>4070.3999999999992</v>
      </c>
      <c r="H82">
        <v>12</v>
      </c>
      <c r="I82">
        <v>6105.5999999999985</v>
      </c>
      <c r="J82">
        <v>8</v>
      </c>
      <c r="K82">
        <v>4070.3999999999992</v>
      </c>
      <c r="L82">
        <v>14</v>
      </c>
      <c r="M82">
        <v>7123.1999999999989</v>
      </c>
      <c r="N82">
        <v>6.7543503390768018</v>
      </c>
      <c r="O82">
        <v>3436.613452522276</v>
      </c>
      <c r="P82">
        <v>2.092977075177289E-21</v>
      </c>
      <c r="Q82">
        <v>1.0649067358502044E-18</v>
      </c>
      <c r="R82">
        <v>6.2554640784757005</v>
      </c>
      <c r="S82">
        <v>3182.7801231284357</v>
      </c>
      <c r="T82">
        <v>6.2495693028444066</v>
      </c>
      <c r="U82">
        <v>3179.7808612872336</v>
      </c>
      <c r="V82">
        <v>2.398824580889773</v>
      </c>
      <c r="W82">
        <v>1220.5219467567163</v>
      </c>
      <c r="X82">
        <v>8</v>
      </c>
      <c r="Y82">
        <v>4070.3999999999992</v>
      </c>
      <c r="Z82">
        <v>8</v>
      </c>
      <c r="AA82">
        <v>4070.3999999999992</v>
      </c>
      <c r="AB82">
        <v>10</v>
      </c>
      <c r="AC82">
        <v>5087.9999999999991</v>
      </c>
      <c r="AD82">
        <v>8</v>
      </c>
      <c r="AE82">
        <v>4070.3999999999992</v>
      </c>
      <c r="AF82">
        <v>8</v>
      </c>
      <c r="AG82">
        <v>4070.3999999999992</v>
      </c>
      <c r="AH82">
        <v>9</v>
      </c>
      <c r="AI82">
        <v>4579.1999999999989</v>
      </c>
      <c r="AJ82">
        <v>13</v>
      </c>
      <c r="AK82">
        <v>6614.3999999999987</v>
      </c>
      <c r="AL82">
        <v>10</v>
      </c>
      <c r="AM82">
        <v>5087.9999999999991</v>
      </c>
      <c r="AN82">
        <v>10</v>
      </c>
      <c r="AO82">
        <v>5087.9999999999991</v>
      </c>
      <c r="AP82">
        <v>9.0338005722551173</v>
      </c>
      <c r="AQ82">
        <v>4596.3977311634026</v>
      </c>
      <c r="AR82">
        <v>8</v>
      </c>
      <c r="AS82">
        <v>4070.3999999999992</v>
      </c>
      <c r="AT82">
        <v>11</v>
      </c>
      <c r="AU82">
        <v>5596.7999999999993</v>
      </c>
      <c r="AV82">
        <v>15</v>
      </c>
      <c r="AW82">
        <v>7631.9999999999982</v>
      </c>
      <c r="AX82">
        <v>10</v>
      </c>
      <c r="AY82">
        <v>5087.9999999999991</v>
      </c>
      <c r="AZ82">
        <v>10</v>
      </c>
      <c r="BA82">
        <v>5087.9999999999991</v>
      </c>
      <c r="BB82">
        <v>3.7902710191575988</v>
      </c>
      <c r="BC82">
        <v>1928.4898945473858</v>
      </c>
      <c r="BD82">
        <v>12</v>
      </c>
      <c r="BE82">
        <v>6105.5999999999985</v>
      </c>
      <c r="BF82">
        <v>14.00137837025917</v>
      </c>
      <c r="BG82">
        <v>7123.9013147878641</v>
      </c>
      <c r="BH82">
        <v>10</v>
      </c>
      <c r="BI82">
        <v>5087.9999999999991</v>
      </c>
      <c r="BJ82">
        <v>9.9388018102165372</v>
      </c>
      <c r="BK82">
        <v>5056.8623610381728</v>
      </c>
      <c r="BL82">
        <v>11.906724646864522</v>
      </c>
      <c r="BM82">
        <v>6058.1415003246675</v>
      </c>
      <c r="BN82">
        <v>5.7724822375655274</v>
      </c>
      <c r="BO82">
        <v>2937.0389624733398</v>
      </c>
      <c r="BP82">
        <v>9</v>
      </c>
      <c r="BQ82">
        <v>4579.1999999999989</v>
      </c>
      <c r="BR82">
        <v>4.1105571354321135</v>
      </c>
      <c r="BS82">
        <v>2091.4514705078591</v>
      </c>
      <c r="BT82">
        <v>10</v>
      </c>
      <c r="BU82">
        <v>5087.9999999999991</v>
      </c>
      <c r="BV82">
        <v>4.6196361003076696</v>
      </c>
      <c r="BW82">
        <v>2350.4708478365419</v>
      </c>
      <c r="BX82">
        <v>12</v>
      </c>
      <c r="BY82">
        <v>6105.5999999999985</v>
      </c>
      <c r="BZ82">
        <v>12</v>
      </c>
      <c r="CA82">
        <v>6105.5999999999985</v>
      </c>
      <c r="CB82">
        <v>12.060438473926956</v>
      </c>
      <c r="CC82">
        <v>6136.3510955340344</v>
      </c>
      <c r="CD82">
        <v>5.9402981048348016</v>
      </c>
      <c r="CE82">
        <v>3022.4236757399462</v>
      </c>
      <c r="CF82">
        <v>16</v>
      </c>
      <c r="CG82">
        <v>8140.7999999999984</v>
      </c>
      <c r="CH82">
        <v>11.312548748208041</v>
      </c>
      <c r="CI82">
        <v>5755.8248030882496</v>
      </c>
      <c r="CJ82">
        <v>3.7610143076982983</v>
      </c>
      <c r="CK82">
        <v>1913.6040797568937</v>
      </c>
      <c r="CL82">
        <v>8.919023996310818</v>
      </c>
      <c r="CM82">
        <v>4537.9994093229434</v>
      </c>
      <c r="CN82">
        <v>9.5279533454565346</v>
      </c>
      <c r="CO82">
        <v>4847.8226621682834</v>
      </c>
      <c r="CP82">
        <v>8</v>
      </c>
      <c r="CQ82">
        <v>4070.3999999999992</v>
      </c>
      <c r="CR82">
        <v>1.07786764999417</v>
      </c>
      <c r="CS82">
        <v>548.41906031703354</v>
      </c>
      <c r="CT82">
        <v>9</v>
      </c>
      <c r="CU82">
        <v>4579.1999999999989</v>
      </c>
    </row>
    <row r="83" spans="2:99">
      <c r="C83" s="99" t="s">
        <v>250</v>
      </c>
      <c r="D83">
        <v>10.618148260701171</v>
      </c>
      <c r="E83">
        <v>9135.8547635072864</v>
      </c>
      <c r="F83">
        <v>9</v>
      </c>
      <c r="G83">
        <v>7743.5999999999995</v>
      </c>
      <c r="H83">
        <v>12</v>
      </c>
      <c r="I83">
        <v>10324.799999999999</v>
      </c>
      <c r="J83">
        <v>8</v>
      </c>
      <c r="K83">
        <v>6883.2</v>
      </c>
      <c r="L83">
        <v>13</v>
      </c>
      <c r="M83">
        <v>11185.199999999999</v>
      </c>
      <c r="N83">
        <v>6.7543503390768018</v>
      </c>
      <c r="O83">
        <v>5811.44303174168</v>
      </c>
      <c r="P83">
        <v>2.092977075177289E-21</v>
      </c>
      <c r="Q83">
        <v>1.8007974754825395E-18</v>
      </c>
      <c r="R83">
        <v>6.2554640784757005</v>
      </c>
      <c r="S83">
        <v>5382.2012931204927</v>
      </c>
      <c r="T83">
        <v>7.211041503282007</v>
      </c>
      <c r="U83">
        <v>6204.3801094238388</v>
      </c>
      <c r="V83">
        <v>2.398824580889773</v>
      </c>
      <c r="W83">
        <v>2063.9486693975605</v>
      </c>
      <c r="X83">
        <v>7</v>
      </c>
      <c r="Y83">
        <v>6022.8</v>
      </c>
      <c r="Z83">
        <v>8</v>
      </c>
      <c r="AA83">
        <v>6883.2</v>
      </c>
      <c r="AB83">
        <v>9</v>
      </c>
      <c r="AC83">
        <v>7743.5999999999995</v>
      </c>
      <c r="AD83">
        <v>8</v>
      </c>
      <c r="AE83">
        <v>6883.2</v>
      </c>
      <c r="AF83">
        <v>8</v>
      </c>
      <c r="AG83">
        <v>6883.2</v>
      </c>
      <c r="AH83">
        <v>8</v>
      </c>
      <c r="AI83">
        <v>6883.2</v>
      </c>
      <c r="AJ83">
        <v>12</v>
      </c>
      <c r="AK83">
        <v>10324.799999999999</v>
      </c>
      <c r="AL83">
        <v>10</v>
      </c>
      <c r="AM83">
        <v>8604</v>
      </c>
      <c r="AN83">
        <v>9</v>
      </c>
      <c r="AO83">
        <v>7743.5999999999995</v>
      </c>
      <c r="AP83">
        <v>8.431547200771444</v>
      </c>
      <c r="AQ83">
        <v>7254.5032115437507</v>
      </c>
      <c r="AR83">
        <v>9</v>
      </c>
      <c r="AS83">
        <v>7743.5999999999995</v>
      </c>
      <c r="AT83">
        <v>11</v>
      </c>
      <c r="AU83">
        <v>9464.4</v>
      </c>
      <c r="AV83">
        <v>14</v>
      </c>
      <c r="AW83">
        <v>12045.6</v>
      </c>
      <c r="AX83">
        <v>9</v>
      </c>
      <c r="AY83">
        <v>7743.5999999999995</v>
      </c>
      <c r="AZ83">
        <v>11</v>
      </c>
      <c r="BA83">
        <v>9464.4</v>
      </c>
      <c r="BB83">
        <v>4.2114122435084429</v>
      </c>
      <c r="BC83">
        <v>3623.499094314664</v>
      </c>
      <c r="BD83">
        <v>11</v>
      </c>
      <c r="BE83">
        <v>9464.4</v>
      </c>
      <c r="BF83">
        <v>14.00137837025917</v>
      </c>
      <c r="BG83">
        <v>12046.785949770989</v>
      </c>
      <c r="BH83">
        <v>9</v>
      </c>
      <c r="BI83">
        <v>7743.5999999999995</v>
      </c>
      <c r="BJ83">
        <v>9.9388018102165372</v>
      </c>
      <c r="BK83">
        <v>8551.3450775103083</v>
      </c>
      <c r="BL83">
        <v>11.906724646864522</v>
      </c>
      <c r="BM83">
        <v>10244.545886162234</v>
      </c>
      <c r="BN83">
        <v>6.2165193327628767</v>
      </c>
      <c r="BO83">
        <v>5348.6932339091791</v>
      </c>
      <c r="BP83">
        <v>9</v>
      </c>
      <c r="BQ83">
        <v>7743.5999999999995</v>
      </c>
      <c r="BR83">
        <v>4.1105571354321135</v>
      </c>
      <c r="BS83">
        <v>3536.7233593257902</v>
      </c>
      <c r="BT83">
        <v>10</v>
      </c>
      <c r="BU83">
        <v>8604</v>
      </c>
      <c r="BV83">
        <v>4.6196361003076696</v>
      </c>
      <c r="BW83">
        <v>3974.7349007047187</v>
      </c>
      <c r="BX83">
        <v>13</v>
      </c>
      <c r="BY83">
        <v>11185.199999999999</v>
      </c>
      <c r="BZ83">
        <v>12</v>
      </c>
      <c r="CA83">
        <v>10324.799999999999</v>
      </c>
      <c r="CB83">
        <v>11.30666106930652</v>
      </c>
      <c r="CC83">
        <v>9728.2511840313291</v>
      </c>
      <c r="CD83">
        <v>5.4002710043952735</v>
      </c>
      <c r="CE83">
        <v>4646.3931721816934</v>
      </c>
      <c r="CF83">
        <v>16</v>
      </c>
      <c r="CG83">
        <v>13766.4</v>
      </c>
      <c r="CH83">
        <v>9.8042089151136356</v>
      </c>
      <c r="CI83">
        <v>8435.5413505637716</v>
      </c>
      <c r="CJ83">
        <v>3.492370428576991</v>
      </c>
      <c r="CK83">
        <v>3004.8355167476429</v>
      </c>
      <c r="CL83">
        <v>9.9100266625675761</v>
      </c>
      <c r="CM83">
        <v>8526.586940473142</v>
      </c>
      <c r="CN83">
        <v>9.5279533454565346</v>
      </c>
      <c r="CO83">
        <v>8197.8510584308024</v>
      </c>
      <c r="CP83">
        <v>8</v>
      </c>
      <c r="CQ83">
        <v>6883.2</v>
      </c>
      <c r="CR83">
        <v>1.07786764999417</v>
      </c>
      <c r="CS83">
        <v>927.39732605498375</v>
      </c>
      <c r="CT83">
        <v>8</v>
      </c>
      <c r="CU83">
        <v>6883.2</v>
      </c>
    </row>
    <row r="84" spans="2:99">
      <c r="C84" s="99" t="s">
        <v>251</v>
      </c>
      <c r="D84">
        <v>9.6528620551828812</v>
      </c>
      <c r="E84">
        <v>7540.815837508866</v>
      </c>
      <c r="F84">
        <v>8</v>
      </c>
      <c r="G84">
        <v>6249.5999999999995</v>
      </c>
      <c r="H84">
        <v>13</v>
      </c>
      <c r="I84">
        <v>10155.599999999999</v>
      </c>
      <c r="J84">
        <v>7</v>
      </c>
      <c r="K84">
        <v>5468.4</v>
      </c>
      <c r="L84">
        <v>15</v>
      </c>
      <c r="M84">
        <v>11717.999999999998</v>
      </c>
      <c r="N84">
        <v>6.7543503390768018</v>
      </c>
      <c r="O84">
        <v>5276.4984848867971</v>
      </c>
      <c r="P84">
        <v>2.092977075177289E-21</v>
      </c>
      <c r="Q84">
        <v>1.635033691128498E-18</v>
      </c>
      <c r="R84">
        <v>5.3618263529791728</v>
      </c>
      <c r="S84">
        <v>4188.6587469473297</v>
      </c>
      <c r="T84">
        <v>7.211041503282007</v>
      </c>
      <c r="U84">
        <v>5633.2656223639033</v>
      </c>
      <c r="V84">
        <v>2.1989225324822916</v>
      </c>
      <c r="W84">
        <v>1717.7982823751661</v>
      </c>
      <c r="X84">
        <v>8</v>
      </c>
      <c r="Y84">
        <v>6249.5999999999995</v>
      </c>
      <c r="Z84">
        <v>9</v>
      </c>
      <c r="AA84">
        <v>7030.7999999999993</v>
      </c>
      <c r="AB84">
        <v>10</v>
      </c>
      <c r="AC84">
        <v>7811.9999999999991</v>
      </c>
      <c r="AD84">
        <v>8</v>
      </c>
      <c r="AE84">
        <v>6249.5999999999995</v>
      </c>
      <c r="AF84">
        <v>8</v>
      </c>
      <c r="AG84">
        <v>6249.5999999999995</v>
      </c>
      <c r="AH84">
        <v>7</v>
      </c>
      <c r="AI84">
        <v>5468.4</v>
      </c>
      <c r="AJ84">
        <v>12</v>
      </c>
      <c r="AK84">
        <v>9374.4</v>
      </c>
      <c r="AL84">
        <v>9</v>
      </c>
      <c r="AM84">
        <v>7030.7999999999993</v>
      </c>
      <c r="AN84">
        <v>10</v>
      </c>
      <c r="AO84">
        <v>7811.9999999999991</v>
      </c>
      <c r="AP84">
        <v>9.0338005722551173</v>
      </c>
      <c r="AQ84">
        <v>7057.2050070456971</v>
      </c>
      <c r="AR84">
        <v>9</v>
      </c>
      <c r="AS84">
        <v>7030.7999999999993</v>
      </c>
      <c r="AT84">
        <v>11</v>
      </c>
      <c r="AU84">
        <v>8593.1999999999989</v>
      </c>
      <c r="AV84">
        <v>13</v>
      </c>
      <c r="AW84">
        <v>10155.599999999999</v>
      </c>
      <c r="AX84">
        <v>10</v>
      </c>
      <c r="AY84">
        <v>7811.9999999999991</v>
      </c>
      <c r="AZ84">
        <v>10</v>
      </c>
      <c r="BA84">
        <v>7811.9999999999991</v>
      </c>
      <c r="BB84">
        <v>4.2114122435084429</v>
      </c>
      <c r="BC84">
        <v>3289.9552446287953</v>
      </c>
      <c r="BD84">
        <v>10</v>
      </c>
      <c r="BE84">
        <v>7811.9999999999991</v>
      </c>
      <c r="BF84">
        <v>12.134527920891282</v>
      </c>
      <c r="BG84">
        <v>9479.4932118002689</v>
      </c>
      <c r="BH84">
        <v>9</v>
      </c>
      <c r="BI84">
        <v>7030.7999999999993</v>
      </c>
      <c r="BJ84">
        <v>10.932681991238191</v>
      </c>
      <c r="BK84">
        <v>8540.6111715552743</v>
      </c>
      <c r="BL84">
        <v>10.418384066006455</v>
      </c>
      <c r="BM84">
        <v>8138.8416323642423</v>
      </c>
      <c r="BN84">
        <v>5.7724822375655274</v>
      </c>
      <c r="BO84">
        <v>4509.4631239861892</v>
      </c>
      <c r="BP84">
        <v>9</v>
      </c>
      <c r="BQ84">
        <v>7030.7999999999993</v>
      </c>
      <c r="BR84">
        <v>4.5672857060356815</v>
      </c>
      <c r="BS84">
        <v>3567.9635935550741</v>
      </c>
      <c r="BT84">
        <v>9</v>
      </c>
      <c r="BU84">
        <v>7030.7999999999993</v>
      </c>
      <c r="BV84">
        <v>4.6196361003076696</v>
      </c>
      <c r="BW84">
        <v>3608.8597215603513</v>
      </c>
      <c r="BX84">
        <v>12</v>
      </c>
      <c r="BY84">
        <v>9374.4</v>
      </c>
      <c r="BZ84">
        <v>13</v>
      </c>
      <c r="CA84">
        <v>10155.599999999999</v>
      </c>
      <c r="CB84">
        <v>10.552883664686085</v>
      </c>
      <c r="CC84">
        <v>8243.9127188527691</v>
      </c>
      <c r="CD84">
        <v>5.4002710043952735</v>
      </c>
      <c r="CE84">
        <v>4218.691708633587</v>
      </c>
      <c r="CF84">
        <v>14</v>
      </c>
      <c r="CG84">
        <v>10936.8</v>
      </c>
      <c r="CH84">
        <v>11.312548748208041</v>
      </c>
      <c r="CI84">
        <v>8837.3630821001207</v>
      </c>
      <c r="CJ84">
        <v>3.7610143076982983</v>
      </c>
      <c r="CK84">
        <v>2938.1043771739105</v>
      </c>
      <c r="CL84">
        <v>9.9100266625675761</v>
      </c>
      <c r="CM84">
        <v>7741.7128287977894</v>
      </c>
      <c r="CN84">
        <v>9.5279533454565346</v>
      </c>
      <c r="CO84">
        <v>7443.2371534706444</v>
      </c>
      <c r="CP84">
        <v>9</v>
      </c>
      <c r="CQ84">
        <v>7030.7999999999993</v>
      </c>
      <c r="CR84">
        <v>0.86229411999533601</v>
      </c>
      <c r="CS84">
        <v>673.62416654035644</v>
      </c>
      <c r="CT84">
        <v>9</v>
      </c>
      <c r="CU84">
        <v>7030.7999999999993</v>
      </c>
    </row>
    <row r="85" spans="2:99">
      <c r="C85" s="99" t="s">
        <v>252</v>
      </c>
      <c r="D85">
        <v>9.6528620551828812</v>
      </c>
      <c r="E85">
        <v>1447.9293082774323</v>
      </c>
      <c r="F85">
        <v>9</v>
      </c>
      <c r="G85">
        <v>1350</v>
      </c>
      <c r="H85">
        <v>12</v>
      </c>
      <c r="I85">
        <v>1800</v>
      </c>
      <c r="J85">
        <v>8</v>
      </c>
      <c r="K85">
        <v>1200</v>
      </c>
      <c r="L85">
        <v>13</v>
      </c>
      <c r="M85">
        <v>1950</v>
      </c>
      <c r="N85">
        <v>7.5048337100853351</v>
      </c>
      <c r="O85">
        <v>1125.7250565128002</v>
      </c>
      <c r="P85">
        <v>2.5115724902127467E-21</v>
      </c>
      <c r="Q85">
        <v>3.7673587353191199E-19</v>
      </c>
      <c r="R85">
        <v>5.8086452157274371</v>
      </c>
      <c r="S85">
        <v>871.29678235911558</v>
      </c>
      <c r="T85">
        <v>6.7303054030632072</v>
      </c>
      <c r="U85">
        <v>1009.5458104594811</v>
      </c>
      <c r="V85">
        <v>1.9990204840748107</v>
      </c>
      <c r="W85">
        <v>299.85307261122159</v>
      </c>
      <c r="X85">
        <v>8</v>
      </c>
      <c r="Y85">
        <v>1200</v>
      </c>
      <c r="Z85">
        <v>9</v>
      </c>
      <c r="AA85">
        <v>1350</v>
      </c>
      <c r="AB85">
        <v>10</v>
      </c>
      <c r="AC85">
        <v>1500</v>
      </c>
      <c r="AD85">
        <v>8</v>
      </c>
      <c r="AE85">
        <v>1200</v>
      </c>
      <c r="AF85">
        <v>9</v>
      </c>
      <c r="AG85">
        <v>1350</v>
      </c>
      <c r="AH85">
        <v>8</v>
      </c>
      <c r="AI85">
        <v>1200</v>
      </c>
      <c r="AJ85">
        <v>12</v>
      </c>
      <c r="AK85">
        <v>1800</v>
      </c>
      <c r="AL85">
        <v>9</v>
      </c>
      <c r="AM85">
        <v>1350</v>
      </c>
      <c r="AN85">
        <v>10</v>
      </c>
      <c r="AO85">
        <v>1500</v>
      </c>
      <c r="AP85">
        <v>9.0338005722551173</v>
      </c>
      <c r="AQ85">
        <v>1355.0700858382677</v>
      </c>
      <c r="AR85">
        <v>9</v>
      </c>
      <c r="AS85">
        <v>1350</v>
      </c>
      <c r="AT85">
        <v>11</v>
      </c>
      <c r="AU85">
        <v>1650</v>
      </c>
      <c r="AV85">
        <v>15</v>
      </c>
      <c r="AW85">
        <v>2250</v>
      </c>
      <c r="AX85">
        <v>10</v>
      </c>
      <c r="AY85">
        <v>1500</v>
      </c>
      <c r="AZ85">
        <v>12</v>
      </c>
      <c r="BA85">
        <v>1800</v>
      </c>
      <c r="BB85">
        <v>4.2114122435084429</v>
      </c>
      <c r="BC85">
        <v>631.71183652626644</v>
      </c>
      <c r="BD85">
        <v>12</v>
      </c>
      <c r="BE85">
        <v>1800</v>
      </c>
      <c r="BF85">
        <v>14.00137837025917</v>
      </c>
      <c r="BG85">
        <v>2100.2067555388753</v>
      </c>
      <c r="BH85">
        <v>9</v>
      </c>
      <c r="BI85">
        <v>1350</v>
      </c>
      <c r="BJ85">
        <v>9.9388018102165372</v>
      </c>
      <c r="BK85">
        <v>1490.8202715324805</v>
      </c>
      <c r="BL85">
        <v>10.418384066006455</v>
      </c>
      <c r="BM85">
        <v>1562.7576099009682</v>
      </c>
      <c r="BN85">
        <v>6.6605564279602243</v>
      </c>
      <c r="BO85">
        <v>999.0834641940337</v>
      </c>
      <c r="BP85">
        <v>10</v>
      </c>
      <c r="BQ85">
        <v>1500</v>
      </c>
      <c r="BR85">
        <v>4.5672857060356815</v>
      </c>
      <c r="BS85">
        <v>685.09285590535228</v>
      </c>
      <c r="BT85">
        <v>11</v>
      </c>
      <c r="BU85">
        <v>1650</v>
      </c>
      <c r="BV85">
        <v>5.646221900376041</v>
      </c>
      <c r="BW85">
        <v>846.93328505640613</v>
      </c>
      <c r="BX85">
        <v>12</v>
      </c>
      <c r="BY85">
        <v>1800</v>
      </c>
      <c r="BZ85">
        <v>14</v>
      </c>
      <c r="CA85">
        <v>2100</v>
      </c>
      <c r="CB85">
        <v>12.060438473926956</v>
      </c>
      <c r="CC85">
        <v>1809.0657710890434</v>
      </c>
      <c r="CD85">
        <v>5.4002710043952735</v>
      </c>
      <c r="CE85">
        <v>810.04065065929103</v>
      </c>
      <c r="CF85">
        <v>17</v>
      </c>
      <c r="CG85">
        <v>2550</v>
      </c>
      <c r="CH85">
        <v>10.558378831660839</v>
      </c>
      <c r="CI85">
        <v>1583.7568247491258</v>
      </c>
      <c r="CJ85">
        <v>3.7610143076982983</v>
      </c>
      <c r="CK85">
        <v>564.15214615474474</v>
      </c>
      <c r="CL85">
        <v>9.9100266625675761</v>
      </c>
      <c r="CM85">
        <v>1486.5039993851365</v>
      </c>
      <c r="CN85">
        <v>10.208521441560574</v>
      </c>
      <c r="CO85">
        <v>1531.2782162340861</v>
      </c>
      <c r="CP85">
        <v>10</v>
      </c>
      <c r="CQ85">
        <v>1500</v>
      </c>
      <c r="CR85">
        <v>1.07786764999417</v>
      </c>
      <c r="CS85">
        <v>161.6801474991255</v>
      </c>
      <c r="CT85">
        <v>9</v>
      </c>
      <c r="CU85">
        <v>1350</v>
      </c>
    </row>
    <row r="86" spans="2:99">
      <c r="C86" s="99" t="s">
        <v>253</v>
      </c>
      <c r="D86">
        <v>9.6528620551828812</v>
      </c>
      <c r="E86">
        <v>5212.545509798756</v>
      </c>
      <c r="F86">
        <v>10</v>
      </c>
      <c r="G86">
        <v>5400</v>
      </c>
      <c r="H86">
        <v>13</v>
      </c>
      <c r="I86">
        <v>7020</v>
      </c>
      <c r="J86">
        <v>8</v>
      </c>
      <c r="K86">
        <v>4320</v>
      </c>
      <c r="L86">
        <v>13</v>
      </c>
      <c r="M86">
        <v>7020</v>
      </c>
      <c r="N86">
        <v>8.2553170810938692</v>
      </c>
      <c r="O86">
        <v>4457.8712237906893</v>
      </c>
      <c r="P86">
        <v>2.092977075177289E-21</v>
      </c>
      <c r="Q86">
        <v>1.1302076205957361E-18</v>
      </c>
      <c r="R86">
        <v>5.3618263529791728</v>
      </c>
      <c r="S86">
        <v>2895.3862306087531</v>
      </c>
      <c r="T86">
        <v>6.7303054030632072</v>
      </c>
      <c r="U86">
        <v>3634.3649176541321</v>
      </c>
      <c r="V86">
        <v>2.398824580889773</v>
      </c>
      <c r="W86">
        <v>1295.3652736804775</v>
      </c>
      <c r="X86">
        <v>7</v>
      </c>
      <c r="Y86">
        <v>3780</v>
      </c>
      <c r="Z86">
        <v>8</v>
      </c>
      <c r="AA86">
        <v>4320</v>
      </c>
      <c r="AB86">
        <v>9</v>
      </c>
      <c r="AC86">
        <v>4860</v>
      </c>
      <c r="AD86">
        <v>7</v>
      </c>
      <c r="AE86">
        <v>3780</v>
      </c>
      <c r="AF86">
        <v>8</v>
      </c>
      <c r="AG86">
        <v>4320</v>
      </c>
      <c r="AH86">
        <v>8</v>
      </c>
      <c r="AI86">
        <v>4320</v>
      </c>
      <c r="AJ86">
        <v>12</v>
      </c>
      <c r="AK86">
        <v>6480</v>
      </c>
      <c r="AL86">
        <v>9</v>
      </c>
      <c r="AM86">
        <v>4860</v>
      </c>
      <c r="AN86">
        <v>10</v>
      </c>
      <c r="AO86">
        <v>5400</v>
      </c>
      <c r="AP86">
        <v>9.0338005722551173</v>
      </c>
      <c r="AQ86">
        <v>4878.2523090177638</v>
      </c>
      <c r="AR86">
        <v>8</v>
      </c>
      <c r="AS86">
        <v>4320</v>
      </c>
      <c r="AT86">
        <v>12</v>
      </c>
      <c r="AU86">
        <v>6480</v>
      </c>
      <c r="AV86">
        <v>15</v>
      </c>
      <c r="AW86">
        <v>8100</v>
      </c>
      <c r="AX86">
        <v>10</v>
      </c>
      <c r="AY86">
        <v>5400</v>
      </c>
      <c r="AZ86">
        <v>11</v>
      </c>
      <c r="BA86">
        <v>5940</v>
      </c>
      <c r="BB86">
        <v>3.7902710191575988</v>
      </c>
      <c r="BC86">
        <v>2046.7463503451033</v>
      </c>
      <c r="BD86">
        <v>11</v>
      </c>
      <c r="BE86">
        <v>5940</v>
      </c>
      <c r="BF86">
        <v>13.067953145575226</v>
      </c>
      <c r="BG86">
        <v>7056.6946986106223</v>
      </c>
      <c r="BH86">
        <v>10</v>
      </c>
      <c r="BI86">
        <v>5400</v>
      </c>
      <c r="BJ86">
        <v>10.932681991238191</v>
      </c>
      <c r="BK86">
        <v>5903.6482752686234</v>
      </c>
      <c r="BL86">
        <v>10.418384066006455</v>
      </c>
      <c r="BM86">
        <v>5625.9273956434854</v>
      </c>
      <c r="BN86">
        <v>6.2165193327628767</v>
      </c>
      <c r="BO86">
        <v>3356.9204396919536</v>
      </c>
      <c r="BP86">
        <v>9</v>
      </c>
      <c r="BQ86">
        <v>4860</v>
      </c>
      <c r="BR86">
        <v>4.5672857060356815</v>
      </c>
      <c r="BS86">
        <v>2466.3342812592682</v>
      </c>
      <c r="BT86">
        <v>10</v>
      </c>
      <c r="BU86">
        <v>5400</v>
      </c>
      <c r="BV86">
        <v>5.1329290003418553</v>
      </c>
      <c r="BW86">
        <v>2771.7816601846021</v>
      </c>
      <c r="BX86">
        <v>12</v>
      </c>
      <c r="BY86">
        <v>6480</v>
      </c>
      <c r="BZ86">
        <v>13</v>
      </c>
      <c r="CA86">
        <v>7020</v>
      </c>
      <c r="CB86">
        <v>10.552883664686085</v>
      </c>
      <c r="CC86">
        <v>5698.5571789304859</v>
      </c>
      <c r="CD86">
        <v>5.4002710043952735</v>
      </c>
      <c r="CE86">
        <v>2916.1463423734476</v>
      </c>
      <c r="CF86">
        <v>16</v>
      </c>
      <c r="CG86">
        <v>8640</v>
      </c>
      <c r="CH86">
        <v>11.312548748208041</v>
      </c>
      <c r="CI86">
        <v>6108.776324032342</v>
      </c>
      <c r="CJ86">
        <v>3.2237265494556842</v>
      </c>
      <c r="CK86">
        <v>1740.8123367060693</v>
      </c>
      <c r="CL86">
        <v>9.9100266625675761</v>
      </c>
      <c r="CM86">
        <v>5351.4143977864915</v>
      </c>
      <c r="CN86">
        <v>9.5279533454565346</v>
      </c>
      <c r="CO86">
        <v>5145.0948065465291</v>
      </c>
      <c r="CP86">
        <v>9</v>
      </c>
      <c r="CQ86">
        <v>4860</v>
      </c>
      <c r="CR86">
        <v>0.86229411999533601</v>
      </c>
      <c r="CS86">
        <v>465.63882479748145</v>
      </c>
      <c r="CT86">
        <v>8</v>
      </c>
      <c r="CU86">
        <v>4320</v>
      </c>
    </row>
    <row r="87" spans="2:99">
      <c r="B87" s="99" t="s">
        <v>131</v>
      </c>
      <c r="C87" s="99" t="s">
        <v>254</v>
      </c>
      <c r="D87">
        <v>7.2518141430921803</v>
      </c>
      <c r="E87">
        <v>7788.4483896810016</v>
      </c>
      <c r="F87">
        <v>4.2806428965958192</v>
      </c>
      <c r="G87">
        <v>4597.4104709439098</v>
      </c>
      <c r="H87">
        <v>6.0519112612462127</v>
      </c>
      <c r="I87">
        <v>6499.7526945784321</v>
      </c>
      <c r="J87">
        <v>3.8171011727681843</v>
      </c>
      <c r="K87">
        <v>4099.5666595530301</v>
      </c>
      <c r="L87">
        <v>8</v>
      </c>
      <c r="M87">
        <v>8592</v>
      </c>
      <c r="N87">
        <v>4.7637645690053834</v>
      </c>
      <c r="O87">
        <v>5116.2831471117815</v>
      </c>
      <c r="P87">
        <v>3.0495994936183881</v>
      </c>
      <c r="Q87">
        <v>3275.2698561461489</v>
      </c>
      <c r="R87">
        <v>4.9419228378069868E-21</v>
      </c>
      <c r="S87">
        <v>5.3076251278047037E-18</v>
      </c>
      <c r="T87">
        <v>2.2743892087211644E-21</v>
      </c>
      <c r="U87">
        <v>2.4426940101665304E-18</v>
      </c>
      <c r="V87">
        <v>2.2477881653443087E-21</v>
      </c>
      <c r="W87">
        <v>2.4141244895797873E-18</v>
      </c>
      <c r="X87">
        <v>5.8538293270720807</v>
      </c>
      <c r="Y87">
        <v>6287.0126972754151</v>
      </c>
      <c r="Z87">
        <v>6.8724201743403883</v>
      </c>
      <c r="AA87">
        <v>7380.979267241577</v>
      </c>
      <c r="AB87">
        <v>6.6710305721619161</v>
      </c>
      <c r="AC87">
        <v>7164.6868345018975</v>
      </c>
      <c r="AD87">
        <v>5.6253014554446423</v>
      </c>
      <c r="AE87">
        <v>6041.5737631475458</v>
      </c>
      <c r="AF87">
        <v>6.244084615543553</v>
      </c>
      <c r="AG87">
        <v>6706.1468770937763</v>
      </c>
      <c r="AH87">
        <v>1.2118877028117416</v>
      </c>
      <c r="AI87">
        <v>1301.5673928198105</v>
      </c>
      <c r="AJ87">
        <v>6</v>
      </c>
      <c r="AK87">
        <v>6444</v>
      </c>
      <c r="AL87">
        <v>6</v>
      </c>
      <c r="AM87">
        <v>6444</v>
      </c>
      <c r="AN87">
        <v>6</v>
      </c>
      <c r="AO87">
        <v>6444</v>
      </c>
      <c r="AP87">
        <v>5</v>
      </c>
      <c r="AQ87">
        <v>5370</v>
      </c>
      <c r="AR87">
        <v>6</v>
      </c>
      <c r="AS87">
        <v>6444</v>
      </c>
      <c r="AT87">
        <v>3.6604759624324861</v>
      </c>
      <c r="AU87">
        <v>3931.3511836524899</v>
      </c>
      <c r="AV87">
        <v>6.3000853744273515</v>
      </c>
      <c r="AW87">
        <v>6766.2916921349752</v>
      </c>
      <c r="AX87">
        <v>7</v>
      </c>
      <c r="AY87">
        <v>7518</v>
      </c>
      <c r="AZ87">
        <v>11</v>
      </c>
      <c r="BA87">
        <v>11814</v>
      </c>
      <c r="BB87">
        <v>8</v>
      </c>
      <c r="BC87">
        <v>8592</v>
      </c>
      <c r="BD87">
        <v>6.9163249525169039</v>
      </c>
      <c r="BE87">
        <v>7428.1329990031545</v>
      </c>
      <c r="BF87">
        <v>6.0296954441944184</v>
      </c>
      <c r="BG87">
        <v>6475.8929070648055</v>
      </c>
      <c r="BH87">
        <v>8.7262052080577615</v>
      </c>
      <c r="BI87">
        <v>9371.9443934540359</v>
      </c>
      <c r="BJ87">
        <v>6.244084615543553</v>
      </c>
      <c r="BK87">
        <v>6706.1468770937763</v>
      </c>
      <c r="BL87">
        <v>4.3062652520990055</v>
      </c>
      <c r="BM87">
        <v>4624.9288807543317</v>
      </c>
      <c r="BN87">
        <v>6.4873606395257744</v>
      </c>
      <c r="BO87">
        <v>6967.4253268506818</v>
      </c>
      <c r="BP87">
        <v>5.7815598292069978</v>
      </c>
      <c r="BQ87">
        <v>6209.3952565683157</v>
      </c>
      <c r="BR87">
        <v>5.4826108819406842</v>
      </c>
      <c r="BS87">
        <v>5888.3240872042952</v>
      </c>
      <c r="BT87">
        <v>5.230046768978208</v>
      </c>
      <c r="BU87">
        <v>5617.0702298825954</v>
      </c>
      <c r="BV87">
        <v>4.5522764215592462</v>
      </c>
      <c r="BW87">
        <v>4889.1448767546308</v>
      </c>
      <c r="BX87">
        <v>8</v>
      </c>
      <c r="BY87">
        <v>8592</v>
      </c>
      <c r="BZ87">
        <v>8</v>
      </c>
      <c r="CA87">
        <v>8592</v>
      </c>
      <c r="CB87">
        <v>9.297653209650905</v>
      </c>
      <c r="CC87">
        <v>9985.6795471650712</v>
      </c>
      <c r="CD87">
        <v>3.5302815690602922</v>
      </c>
      <c r="CE87">
        <v>3791.5224051707537</v>
      </c>
      <c r="CF87">
        <v>6</v>
      </c>
      <c r="CG87">
        <v>6444</v>
      </c>
      <c r="CH87">
        <v>7</v>
      </c>
      <c r="CI87">
        <v>7518</v>
      </c>
      <c r="CJ87">
        <v>1.7503525178449473</v>
      </c>
      <c r="CK87">
        <v>1879.8786041654735</v>
      </c>
      <c r="CL87">
        <v>6.6900906595109495</v>
      </c>
      <c r="CM87">
        <v>7185.1573683147599</v>
      </c>
      <c r="CN87">
        <v>0.59955203862732787</v>
      </c>
      <c r="CO87">
        <v>643.91888948575013</v>
      </c>
      <c r="CP87">
        <v>9</v>
      </c>
      <c r="CQ87">
        <v>9666</v>
      </c>
      <c r="CR87">
        <v>8</v>
      </c>
      <c r="CS87">
        <v>8592</v>
      </c>
      <c r="CT87">
        <v>6</v>
      </c>
      <c r="CU87">
        <v>6444</v>
      </c>
    </row>
    <row r="88" spans="2:99">
      <c r="C88" s="99" t="s">
        <v>255</v>
      </c>
      <c r="D88">
        <v>7.2518141430921803</v>
      </c>
      <c r="E88">
        <v>7196.7003556046793</v>
      </c>
      <c r="F88">
        <v>4.2806428965958192</v>
      </c>
      <c r="G88">
        <v>4248.1100105816913</v>
      </c>
      <c r="H88">
        <v>6.0519112612462127</v>
      </c>
      <c r="I88">
        <v>6005.9167356607413</v>
      </c>
      <c r="J88">
        <v>3.2718010052298729</v>
      </c>
      <c r="K88">
        <v>3246.935317590126</v>
      </c>
      <c r="L88">
        <v>7</v>
      </c>
      <c r="M88">
        <v>6946.8</v>
      </c>
      <c r="N88">
        <v>5.7165174828064602</v>
      </c>
      <c r="O88">
        <v>5673.0719499371307</v>
      </c>
      <c r="P88">
        <v>3.0495994936183881</v>
      </c>
      <c r="Q88">
        <v>3026.4225374668881</v>
      </c>
      <c r="R88">
        <v>4.9419228378069868E-21</v>
      </c>
      <c r="S88">
        <v>4.9043642242396539E-18</v>
      </c>
      <c r="T88">
        <v>2.2743892087211644E-21</v>
      </c>
      <c r="U88">
        <v>2.2571038507348835E-18</v>
      </c>
      <c r="V88">
        <v>1.9668146446762701E-21</v>
      </c>
      <c r="W88">
        <v>1.9518668533767303E-18</v>
      </c>
      <c r="X88">
        <v>5.8538293270720807</v>
      </c>
      <c r="Y88">
        <v>5809.3402241863323</v>
      </c>
      <c r="Z88">
        <v>5.8906458637203327</v>
      </c>
      <c r="AA88">
        <v>5845.8769551560581</v>
      </c>
      <c r="AB88">
        <v>6.0039275149457243</v>
      </c>
      <c r="AC88">
        <v>5958.2976658321368</v>
      </c>
      <c r="AD88">
        <v>5.6253014554446423</v>
      </c>
      <c r="AE88">
        <v>5582.5491643832629</v>
      </c>
      <c r="AF88">
        <v>6.244084615543553</v>
      </c>
      <c r="AG88">
        <v>6196.6295724654219</v>
      </c>
      <c r="AH88">
        <v>1.4138689866136986</v>
      </c>
      <c r="AI88">
        <v>1403.1235823154345</v>
      </c>
      <c r="AJ88">
        <v>6</v>
      </c>
      <c r="AK88">
        <v>5954.4</v>
      </c>
      <c r="AL88">
        <v>5</v>
      </c>
      <c r="AM88">
        <v>4962</v>
      </c>
      <c r="AN88">
        <v>5</v>
      </c>
      <c r="AO88">
        <v>4962</v>
      </c>
      <c r="AP88">
        <v>6</v>
      </c>
      <c r="AQ88">
        <v>5954.4</v>
      </c>
      <c r="AR88">
        <v>6</v>
      </c>
      <c r="AS88">
        <v>5954.4</v>
      </c>
      <c r="AT88">
        <v>3.6604759624324861</v>
      </c>
      <c r="AU88">
        <v>3632.6563451179991</v>
      </c>
      <c r="AV88">
        <v>5.6000758883798678</v>
      </c>
      <c r="AW88">
        <v>5557.5153116281808</v>
      </c>
      <c r="AX88">
        <v>6</v>
      </c>
      <c r="AY88">
        <v>5954.4</v>
      </c>
      <c r="AZ88">
        <v>10</v>
      </c>
      <c r="BA88">
        <v>9924</v>
      </c>
      <c r="BB88">
        <v>8</v>
      </c>
      <c r="BC88">
        <v>7939.2</v>
      </c>
      <c r="BD88">
        <v>7.6848055027965598</v>
      </c>
      <c r="BE88">
        <v>7626.4009809753061</v>
      </c>
      <c r="BF88">
        <v>6.0296954441944184</v>
      </c>
      <c r="BG88">
        <v>5983.8697588185405</v>
      </c>
      <c r="BH88">
        <v>8.7262052080577615</v>
      </c>
      <c r="BI88">
        <v>8659.8860484765228</v>
      </c>
      <c r="BJ88">
        <v>6.244084615543553</v>
      </c>
      <c r="BK88">
        <v>6196.6295724654219</v>
      </c>
      <c r="BL88">
        <v>4.3062652520990055</v>
      </c>
      <c r="BM88">
        <v>4273.5376361830531</v>
      </c>
      <c r="BN88">
        <v>8.1092007994072173</v>
      </c>
      <c r="BO88">
        <v>8047.5708733317224</v>
      </c>
      <c r="BP88">
        <v>5.2034038462862977</v>
      </c>
      <c r="BQ88">
        <v>5163.8579770545221</v>
      </c>
      <c r="BR88">
        <v>5.4826108819406842</v>
      </c>
      <c r="BS88">
        <v>5440.9430392379345</v>
      </c>
      <c r="BT88">
        <v>5.230046768978208</v>
      </c>
      <c r="BU88">
        <v>5190.2984135339739</v>
      </c>
      <c r="BV88">
        <v>3.724589799457565</v>
      </c>
      <c r="BW88">
        <v>3696.2829169816873</v>
      </c>
      <c r="BX88">
        <v>8</v>
      </c>
      <c r="BY88">
        <v>7939.2</v>
      </c>
      <c r="BZ88">
        <v>8</v>
      </c>
      <c r="CA88">
        <v>7939.2</v>
      </c>
      <c r="CB88">
        <v>8.5228487755133315</v>
      </c>
      <c r="CC88">
        <v>8458.0751248194301</v>
      </c>
      <c r="CD88">
        <v>2.9419013075502436</v>
      </c>
      <c r="CE88">
        <v>2919.5428576128616</v>
      </c>
      <c r="CF88">
        <v>6</v>
      </c>
      <c r="CG88">
        <v>5954.4</v>
      </c>
      <c r="CH88">
        <v>7</v>
      </c>
      <c r="CI88">
        <v>6946.8</v>
      </c>
      <c r="CJ88">
        <v>1.7503525178449473</v>
      </c>
      <c r="CK88">
        <v>1737.0498387093257</v>
      </c>
      <c r="CL88">
        <v>7.4334340661232767</v>
      </c>
      <c r="CM88">
        <v>7376.9399672207401</v>
      </c>
      <c r="CN88">
        <v>0.59955203862732787</v>
      </c>
      <c r="CO88">
        <v>594.9954431337602</v>
      </c>
      <c r="CP88">
        <v>9</v>
      </c>
      <c r="CQ88">
        <v>8931.6</v>
      </c>
      <c r="CR88">
        <v>7</v>
      </c>
      <c r="CS88">
        <v>6946.8</v>
      </c>
      <c r="CT88">
        <v>6</v>
      </c>
      <c r="CU88">
        <v>5954.4</v>
      </c>
    </row>
    <row r="89" spans="2:99">
      <c r="C89" s="99" t="s">
        <v>256</v>
      </c>
      <c r="D89">
        <v>8.0575712701024234</v>
      </c>
      <c r="E89">
        <v>8557.1406888487727</v>
      </c>
      <c r="F89">
        <v>4.2806428965958192</v>
      </c>
      <c r="G89">
        <v>4546.04275618476</v>
      </c>
      <c r="H89">
        <v>6.0519112612462127</v>
      </c>
      <c r="I89">
        <v>6427.1297594434782</v>
      </c>
      <c r="J89">
        <v>3.8171011727681843</v>
      </c>
      <c r="K89">
        <v>4053.7614454798118</v>
      </c>
      <c r="L89">
        <v>7</v>
      </c>
      <c r="M89">
        <v>7434</v>
      </c>
      <c r="N89">
        <v>5.7165174828064602</v>
      </c>
      <c r="O89">
        <v>6070.941566740461</v>
      </c>
      <c r="P89">
        <v>3.0495994936183881</v>
      </c>
      <c r="Q89">
        <v>3238.6746622227283</v>
      </c>
      <c r="R89">
        <v>5.4910253753410964E-21</v>
      </c>
      <c r="S89">
        <v>5.8314689486122446E-18</v>
      </c>
      <c r="T89">
        <v>2.2743892087211644E-21</v>
      </c>
      <c r="U89">
        <v>2.4154013396618766E-18</v>
      </c>
      <c r="V89">
        <v>2.5287616860123472E-21</v>
      </c>
      <c r="W89">
        <v>2.6855449105451128E-18</v>
      </c>
      <c r="X89">
        <v>5.8538293270720807</v>
      </c>
      <c r="Y89">
        <v>6216.7667453505501</v>
      </c>
      <c r="Z89">
        <v>5.8906458637203327</v>
      </c>
      <c r="AA89">
        <v>6255.8659072709934</v>
      </c>
      <c r="AB89">
        <v>6.6710305721619161</v>
      </c>
      <c r="AC89">
        <v>7084.6344676359549</v>
      </c>
      <c r="AD89">
        <v>5.6253014554446423</v>
      </c>
      <c r="AE89">
        <v>5974.0701456822098</v>
      </c>
      <c r="AF89">
        <v>6.244084615543553</v>
      </c>
      <c r="AG89">
        <v>6631.2178617072532</v>
      </c>
      <c r="AH89">
        <v>1.2118877028117416</v>
      </c>
      <c r="AI89">
        <v>1287.0247403860697</v>
      </c>
      <c r="AJ89">
        <v>6</v>
      </c>
      <c r="AK89">
        <v>6372</v>
      </c>
      <c r="AL89">
        <v>6</v>
      </c>
      <c r="AM89">
        <v>6372</v>
      </c>
      <c r="AN89">
        <v>5</v>
      </c>
      <c r="AO89">
        <v>5310</v>
      </c>
      <c r="AP89">
        <v>6</v>
      </c>
      <c r="AQ89">
        <v>6372</v>
      </c>
      <c r="AR89">
        <v>6</v>
      </c>
      <c r="AS89">
        <v>6372</v>
      </c>
      <c r="AT89">
        <v>3.6604759624324861</v>
      </c>
      <c r="AU89">
        <v>3887.4254721033003</v>
      </c>
      <c r="AV89">
        <v>5.6000758883798678</v>
      </c>
      <c r="AW89">
        <v>5947.2805934594198</v>
      </c>
      <c r="AX89">
        <v>6</v>
      </c>
      <c r="AY89">
        <v>6372</v>
      </c>
      <c r="AZ89">
        <v>10</v>
      </c>
      <c r="BA89">
        <v>10620</v>
      </c>
      <c r="BB89">
        <v>8</v>
      </c>
      <c r="BC89">
        <v>8496</v>
      </c>
      <c r="BD89">
        <v>6.9163249525169039</v>
      </c>
      <c r="BE89">
        <v>7345.1370995729521</v>
      </c>
      <c r="BF89">
        <v>6.6996616046604647</v>
      </c>
      <c r="BG89">
        <v>7115.0406241494138</v>
      </c>
      <c r="BH89">
        <v>8.7262052080577615</v>
      </c>
      <c r="BI89">
        <v>9267.2299309573427</v>
      </c>
      <c r="BJ89">
        <v>6.244084615543553</v>
      </c>
      <c r="BK89">
        <v>6631.2178617072532</v>
      </c>
      <c r="BL89">
        <v>3.5885543767491712</v>
      </c>
      <c r="BM89">
        <v>3811.0447481076199</v>
      </c>
      <c r="BN89">
        <v>6.4873606395257744</v>
      </c>
      <c r="BO89">
        <v>6889.5769991763727</v>
      </c>
      <c r="BP89">
        <v>5.2034038462862977</v>
      </c>
      <c r="BQ89">
        <v>5526.0148847560486</v>
      </c>
      <c r="BR89">
        <v>4.8734318950583857</v>
      </c>
      <c r="BS89">
        <v>5175.5846725520059</v>
      </c>
      <c r="BT89">
        <v>5.230046768978208</v>
      </c>
      <c r="BU89">
        <v>5554.309668654857</v>
      </c>
      <c r="BV89">
        <v>4.1384331105084051</v>
      </c>
      <c r="BW89">
        <v>4395.015963359926</v>
      </c>
      <c r="BX89">
        <v>8</v>
      </c>
      <c r="BY89">
        <v>8496</v>
      </c>
      <c r="BZ89">
        <v>9</v>
      </c>
      <c r="CA89">
        <v>9558</v>
      </c>
      <c r="CB89">
        <v>7.7480443413757545</v>
      </c>
      <c r="CC89">
        <v>8228.4230905410514</v>
      </c>
      <c r="CD89">
        <v>3.2360914383052681</v>
      </c>
      <c r="CE89">
        <v>3436.7291074801947</v>
      </c>
      <c r="CF89">
        <v>6</v>
      </c>
      <c r="CG89">
        <v>6372</v>
      </c>
      <c r="CH89">
        <v>7</v>
      </c>
      <c r="CI89">
        <v>7434</v>
      </c>
      <c r="CJ89">
        <v>1.5558689047510641</v>
      </c>
      <c r="CK89">
        <v>1652.3327768456302</v>
      </c>
      <c r="CL89">
        <v>6.6900906595109495</v>
      </c>
      <c r="CM89">
        <v>7104.8762804006283</v>
      </c>
      <c r="CN89">
        <v>0.68520232985980334</v>
      </c>
      <c r="CO89">
        <v>727.68487431111112</v>
      </c>
      <c r="CP89">
        <v>9</v>
      </c>
      <c r="CQ89">
        <v>9558</v>
      </c>
      <c r="CR89">
        <v>8</v>
      </c>
      <c r="CS89">
        <v>8496</v>
      </c>
      <c r="CT89">
        <v>6</v>
      </c>
      <c r="CU89">
        <v>6372</v>
      </c>
    </row>
    <row r="90" spans="2:99">
      <c r="C90" s="99" t="s">
        <v>257</v>
      </c>
      <c r="D90">
        <v>7.2518141430921803</v>
      </c>
      <c r="E90">
        <v>8040.811521860609</v>
      </c>
      <c r="F90">
        <v>4.2806428965958192</v>
      </c>
      <c r="G90">
        <v>4746.3768437454437</v>
      </c>
      <c r="H90">
        <v>6.0519112612462127</v>
      </c>
      <c r="I90">
        <v>6710.3592064698005</v>
      </c>
      <c r="J90">
        <v>3.8171011727681843</v>
      </c>
      <c r="K90">
        <v>4232.4017803653624</v>
      </c>
      <c r="L90">
        <v>8</v>
      </c>
      <c r="M90">
        <v>8870.4</v>
      </c>
      <c r="N90">
        <v>5.7165174828064602</v>
      </c>
      <c r="O90">
        <v>6338.4745849358033</v>
      </c>
      <c r="P90">
        <v>3.0495994936183881</v>
      </c>
      <c r="Q90">
        <v>3381.3959185240687</v>
      </c>
      <c r="R90">
        <v>5.4910253753410964E-21</v>
      </c>
      <c r="S90">
        <v>6.0884489361782075E-18</v>
      </c>
      <c r="T90">
        <v>2.2743892087211644E-21</v>
      </c>
      <c r="U90">
        <v>2.5218427546300267E-18</v>
      </c>
      <c r="V90">
        <v>2.2477881653443087E-21</v>
      </c>
      <c r="W90">
        <v>2.4923475177337693E-18</v>
      </c>
      <c r="X90">
        <v>5.8538293270720807</v>
      </c>
      <c r="Y90">
        <v>6490.7259578575231</v>
      </c>
      <c r="Z90">
        <v>6.8724201743403883</v>
      </c>
      <c r="AA90">
        <v>7620.1394893086226</v>
      </c>
      <c r="AB90">
        <v>6.6710305721619161</v>
      </c>
      <c r="AC90">
        <v>7396.8386984131321</v>
      </c>
      <c r="AD90">
        <v>6.3284641373752235</v>
      </c>
      <c r="AE90">
        <v>7017.0010355216473</v>
      </c>
      <c r="AF90">
        <v>6.244084615543553</v>
      </c>
      <c r="AG90">
        <v>6923.4410217146915</v>
      </c>
      <c r="AH90">
        <v>1.2118877028117416</v>
      </c>
      <c r="AI90">
        <v>1343.741084877659</v>
      </c>
      <c r="AJ90">
        <v>6</v>
      </c>
      <c r="AK90">
        <v>6652.7999999999993</v>
      </c>
      <c r="AL90">
        <v>5</v>
      </c>
      <c r="AM90">
        <v>5544</v>
      </c>
      <c r="AN90">
        <v>5</v>
      </c>
      <c r="AO90">
        <v>5544</v>
      </c>
      <c r="AP90">
        <v>5</v>
      </c>
      <c r="AQ90">
        <v>5544</v>
      </c>
      <c r="AR90">
        <v>6</v>
      </c>
      <c r="AS90">
        <v>6652.7999999999993</v>
      </c>
      <c r="AT90">
        <v>3.6604759624324861</v>
      </c>
      <c r="AU90">
        <v>4058.7357471451405</v>
      </c>
      <c r="AV90">
        <v>5.6000758883798678</v>
      </c>
      <c r="AW90">
        <v>6209.3641450355972</v>
      </c>
      <c r="AX90">
        <v>6</v>
      </c>
      <c r="AY90">
        <v>6652.7999999999993</v>
      </c>
      <c r="AZ90">
        <v>11</v>
      </c>
      <c r="BA90">
        <v>12196.8</v>
      </c>
      <c r="BB90">
        <v>7</v>
      </c>
      <c r="BC90">
        <v>7761.5999999999995</v>
      </c>
      <c r="BD90">
        <v>6.9163249525169039</v>
      </c>
      <c r="BE90">
        <v>7668.8211073507427</v>
      </c>
      <c r="BF90">
        <v>6.6996616046604647</v>
      </c>
      <c r="BG90">
        <v>7428.5847872475233</v>
      </c>
      <c r="BH90">
        <v>8.7262052080577615</v>
      </c>
      <c r="BI90">
        <v>9675.616334694445</v>
      </c>
      <c r="BJ90">
        <v>5.35207252760876</v>
      </c>
      <c r="BK90">
        <v>5934.3780186125932</v>
      </c>
      <c r="BL90">
        <v>4.3062652520990055</v>
      </c>
      <c r="BM90">
        <v>4774.786911527377</v>
      </c>
      <c r="BN90">
        <v>6.4873606395257744</v>
      </c>
      <c r="BO90">
        <v>7193.185477106178</v>
      </c>
      <c r="BP90">
        <v>5.2034038462862977</v>
      </c>
      <c r="BQ90">
        <v>5769.5341847622467</v>
      </c>
      <c r="BR90">
        <v>4.8734318950583857</v>
      </c>
      <c r="BS90">
        <v>5403.6612852407379</v>
      </c>
      <c r="BT90">
        <v>4.5762909228559323</v>
      </c>
      <c r="BU90">
        <v>5074.1913752626579</v>
      </c>
      <c r="BV90">
        <v>4.1384331105084051</v>
      </c>
      <c r="BW90">
        <v>4588.6946329317198</v>
      </c>
      <c r="BX90">
        <v>8</v>
      </c>
      <c r="BY90">
        <v>8870.4</v>
      </c>
      <c r="BZ90">
        <v>8</v>
      </c>
      <c r="CA90">
        <v>8870.4</v>
      </c>
      <c r="CB90">
        <v>8.5228487755133315</v>
      </c>
      <c r="CC90">
        <v>9450.1347222891818</v>
      </c>
      <c r="CD90">
        <v>3.5302815690602922</v>
      </c>
      <c r="CE90">
        <v>3914.3762037740516</v>
      </c>
      <c r="CF90">
        <v>6</v>
      </c>
      <c r="CG90">
        <v>6652.7999999999993</v>
      </c>
      <c r="CH90">
        <v>7</v>
      </c>
      <c r="CI90">
        <v>7761.5999999999995</v>
      </c>
      <c r="CJ90">
        <v>1.94483613093883</v>
      </c>
      <c r="CK90">
        <v>2156.4343019849748</v>
      </c>
      <c r="CL90">
        <v>7.4334340661232767</v>
      </c>
      <c r="CM90">
        <v>8242.1916925174883</v>
      </c>
      <c r="CN90">
        <v>0.59955203862732787</v>
      </c>
      <c r="CO90">
        <v>664.78330042998107</v>
      </c>
      <c r="CP90">
        <v>9</v>
      </c>
      <c r="CQ90">
        <v>9979.1999999999989</v>
      </c>
      <c r="CR90">
        <v>7</v>
      </c>
      <c r="CS90">
        <v>7761.5999999999995</v>
      </c>
      <c r="CT90">
        <v>6</v>
      </c>
      <c r="CU90">
        <v>6652.7999999999993</v>
      </c>
    </row>
    <row r="91" spans="2:99">
      <c r="C91" s="99" t="s">
        <v>258</v>
      </c>
      <c r="D91">
        <v>7.2518141430921803</v>
      </c>
      <c r="E91">
        <v>8240.9615922099529</v>
      </c>
      <c r="F91">
        <v>3.8050159080851729</v>
      </c>
      <c r="G91">
        <v>4324.0200779479901</v>
      </c>
      <c r="H91">
        <v>6.0519112612462127</v>
      </c>
      <c r="I91">
        <v>6877.3919572801951</v>
      </c>
      <c r="J91">
        <v>3.2718010052298729</v>
      </c>
      <c r="K91">
        <v>3718.0746623432274</v>
      </c>
      <c r="L91">
        <v>7</v>
      </c>
      <c r="M91">
        <v>7954.7999999999993</v>
      </c>
      <c r="N91">
        <v>5.7165174828064602</v>
      </c>
      <c r="O91">
        <v>6496.250467461261</v>
      </c>
      <c r="P91">
        <v>3.0495994936183881</v>
      </c>
      <c r="Q91">
        <v>3465.5648645479359</v>
      </c>
      <c r="R91">
        <v>4.9419228378069868E-21</v>
      </c>
      <c r="S91">
        <v>5.6160011128838588E-18</v>
      </c>
      <c r="T91">
        <v>2.2743892087211644E-21</v>
      </c>
      <c r="U91">
        <v>2.5846158967907308E-18</v>
      </c>
      <c r="V91">
        <v>2.2477881653443087E-21</v>
      </c>
      <c r="W91">
        <v>2.5543864710972721E-18</v>
      </c>
      <c r="X91">
        <v>5.8538293270720807</v>
      </c>
      <c r="Y91">
        <v>6652.2916472847119</v>
      </c>
      <c r="Z91">
        <v>6.8724201743403883</v>
      </c>
      <c r="AA91">
        <v>7809.8182861204159</v>
      </c>
      <c r="AB91">
        <v>6.0039275149457243</v>
      </c>
      <c r="AC91">
        <v>6822.8632279843205</v>
      </c>
      <c r="AD91">
        <v>5.6253014554446423</v>
      </c>
      <c r="AE91">
        <v>6392.5925739672912</v>
      </c>
      <c r="AF91">
        <v>6.244084615543553</v>
      </c>
      <c r="AG91">
        <v>7095.7777571036931</v>
      </c>
      <c r="AH91">
        <v>1.2118877028117416</v>
      </c>
      <c r="AI91">
        <v>1377.189185475263</v>
      </c>
      <c r="AJ91">
        <v>7</v>
      </c>
      <c r="AK91">
        <v>7954.7999999999993</v>
      </c>
      <c r="AL91">
        <v>6</v>
      </c>
      <c r="AM91">
        <v>6818.4</v>
      </c>
      <c r="AN91">
        <v>6</v>
      </c>
      <c r="AO91">
        <v>6818.4</v>
      </c>
      <c r="AP91">
        <v>5</v>
      </c>
      <c r="AQ91">
        <v>5681.9999999999991</v>
      </c>
      <c r="AR91">
        <v>5</v>
      </c>
      <c r="AS91">
        <v>5681.9999999999991</v>
      </c>
      <c r="AT91">
        <v>3.0503966353604053</v>
      </c>
      <c r="AU91">
        <v>3466.4707364235642</v>
      </c>
      <c r="AV91">
        <v>5.6000758883798678</v>
      </c>
      <c r="AW91">
        <v>6363.9262395548812</v>
      </c>
      <c r="AX91">
        <v>6</v>
      </c>
      <c r="AY91">
        <v>6818.4</v>
      </c>
      <c r="AZ91">
        <v>10</v>
      </c>
      <c r="BA91">
        <v>11363.999999999998</v>
      </c>
      <c r="BB91">
        <v>8</v>
      </c>
      <c r="BC91">
        <v>9091.1999999999989</v>
      </c>
      <c r="BD91">
        <v>6.9163249525169039</v>
      </c>
      <c r="BE91">
        <v>7859.7116760402087</v>
      </c>
      <c r="BF91">
        <v>6.0296954441944184</v>
      </c>
      <c r="BG91">
        <v>6852.1459027825358</v>
      </c>
      <c r="BH91">
        <v>8.7262052080577615</v>
      </c>
      <c r="BI91">
        <v>9916.4595984368389</v>
      </c>
      <c r="BJ91">
        <v>6.244084615543553</v>
      </c>
      <c r="BK91">
        <v>7095.7777571036931</v>
      </c>
      <c r="BL91">
        <v>3.5885543767491712</v>
      </c>
      <c r="BM91">
        <v>4078.0331937377578</v>
      </c>
      <c r="BN91">
        <v>8.1092007994072173</v>
      </c>
      <c r="BO91">
        <v>9215.2957884463613</v>
      </c>
      <c r="BP91">
        <v>5.2034038462862977</v>
      </c>
      <c r="BQ91">
        <v>5913.1481309197479</v>
      </c>
      <c r="BR91">
        <v>4.8734318950583857</v>
      </c>
      <c r="BS91">
        <v>5538.1680055443485</v>
      </c>
      <c r="BT91">
        <v>4.5762909228559323</v>
      </c>
      <c r="BU91">
        <v>5200.4970047334809</v>
      </c>
      <c r="BV91">
        <v>4.5522764215592462</v>
      </c>
      <c r="BW91">
        <v>5173.2069254599264</v>
      </c>
      <c r="BX91">
        <v>9</v>
      </c>
      <c r="BY91">
        <v>10227.599999999999</v>
      </c>
      <c r="BZ91">
        <v>7</v>
      </c>
      <c r="CA91">
        <v>7954.7999999999993</v>
      </c>
      <c r="CB91">
        <v>9.297653209650905</v>
      </c>
      <c r="CC91">
        <v>10565.853107447287</v>
      </c>
      <c r="CD91">
        <v>2.9419013075502436</v>
      </c>
      <c r="CE91">
        <v>3343.1766459000964</v>
      </c>
      <c r="CF91">
        <v>6</v>
      </c>
      <c r="CG91">
        <v>6818.4</v>
      </c>
      <c r="CH91">
        <v>6</v>
      </c>
      <c r="CI91">
        <v>6818.4</v>
      </c>
      <c r="CJ91">
        <v>1.7503525178449473</v>
      </c>
      <c r="CK91">
        <v>1989.1006012789978</v>
      </c>
      <c r="CL91">
        <v>6.6900906595109495</v>
      </c>
      <c r="CM91">
        <v>7602.6190254682424</v>
      </c>
      <c r="CN91">
        <v>0.68520232985980334</v>
      </c>
      <c r="CO91">
        <v>778.6639276526804</v>
      </c>
      <c r="CP91">
        <v>8</v>
      </c>
      <c r="CQ91">
        <v>9091.1999999999989</v>
      </c>
      <c r="CR91">
        <v>8</v>
      </c>
      <c r="CS91">
        <v>9091.1999999999989</v>
      </c>
      <c r="CT91">
        <v>6</v>
      </c>
      <c r="CU91">
        <v>6818.4</v>
      </c>
    </row>
    <row r="92" spans="2:99">
      <c r="C92" s="99" t="s">
        <v>259</v>
      </c>
      <c r="D92">
        <v>8.0575712701024234</v>
      </c>
      <c r="E92">
        <v>6323.5819327763811</v>
      </c>
      <c r="F92">
        <v>4.2806428965958192</v>
      </c>
      <c r="G92">
        <v>3359.4485452483987</v>
      </c>
      <c r="H92">
        <v>6.0519112612462127</v>
      </c>
      <c r="I92">
        <v>4749.5399578260276</v>
      </c>
      <c r="J92">
        <v>3.8171011727681843</v>
      </c>
      <c r="K92">
        <v>2995.6610003884707</v>
      </c>
      <c r="L92">
        <v>7</v>
      </c>
      <c r="M92">
        <v>5493.5999999999995</v>
      </c>
      <c r="N92">
        <v>5.7165174828064602</v>
      </c>
      <c r="O92">
        <v>4486.3229205065099</v>
      </c>
      <c r="P92">
        <v>3.0495994936183881</v>
      </c>
      <c r="Q92">
        <v>2393.325682591711</v>
      </c>
      <c r="R92">
        <v>5.4910253753410964E-21</v>
      </c>
      <c r="S92">
        <v>4.3093567145676926E-18</v>
      </c>
      <c r="T92">
        <v>1.990090557631019E-21</v>
      </c>
      <c r="U92">
        <v>1.5618230696288236E-18</v>
      </c>
      <c r="V92">
        <v>2.2477881653443087E-21</v>
      </c>
      <c r="W92">
        <v>1.7640641521622132E-18</v>
      </c>
      <c r="X92">
        <v>4.8781911058934009</v>
      </c>
      <c r="Y92">
        <v>3828.404379905141</v>
      </c>
      <c r="Z92">
        <v>6.8724201743403883</v>
      </c>
      <c r="AA92">
        <v>5393.4753528223364</v>
      </c>
      <c r="AB92">
        <v>6.6710305721619161</v>
      </c>
      <c r="AC92">
        <v>5235.424793032671</v>
      </c>
      <c r="AD92">
        <v>6.3284641373752235</v>
      </c>
      <c r="AE92">
        <v>4966.5786550120747</v>
      </c>
      <c r="AF92">
        <v>6.244084615543553</v>
      </c>
      <c r="AG92">
        <v>4900.3576062785805</v>
      </c>
      <c r="AH92">
        <v>1.2118877028117416</v>
      </c>
      <c r="AI92">
        <v>951.08946916665479</v>
      </c>
      <c r="AJ92">
        <v>6</v>
      </c>
      <c r="AK92">
        <v>4708.7999999999993</v>
      </c>
      <c r="AL92">
        <v>5</v>
      </c>
      <c r="AM92">
        <v>3924</v>
      </c>
      <c r="AN92">
        <v>6</v>
      </c>
      <c r="AO92">
        <v>4708.7999999999993</v>
      </c>
      <c r="AP92">
        <v>6</v>
      </c>
      <c r="AQ92">
        <v>4708.7999999999993</v>
      </c>
      <c r="AR92">
        <v>6</v>
      </c>
      <c r="AS92">
        <v>4708.7999999999993</v>
      </c>
      <c r="AT92">
        <v>3.0503966353604053</v>
      </c>
      <c r="AU92">
        <v>2393.9512794308457</v>
      </c>
      <c r="AV92">
        <v>6.3000853744273515</v>
      </c>
      <c r="AW92">
        <v>4944.307001850585</v>
      </c>
      <c r="AX92">
        <v>6</v>
      </c>
      <c r="AY92">
        <v>4708.7999999999993</v>
      </c>
      <c r="AZ92">
        <v>11</v>
      </c>
      <c r="BA92">
        <v>8632.7999999999993</v>
      </c>
      <c r="BB92">
        <v>7</v>
      </c>
      <c r="BC92">
        <v>5493.5999999999995</v>
      </c>
      <c r="BD92">
        <v>7.6848055027965598</v>
      </c>
      <c r="BE92">
        <v>6031.0353585947396</v>
      </c>
      <c r="BF92">
        <v>6.6996616046604647</v>
      </c>
      <c r="BG92">
        <v>5257.8944273375328</v>
      </c>
      <c r="BH92">
        <v>8.7262052080577615</v>
      </c>
      <c r="BI92">
        <v>6848.3258472837306</v>
      </c>
      <c r="BJ92">
        <v>6.244084615543553</v>
      </c>
      <c r="BK92">
        <v>4900.3576062785805</v>
      </c>
      <c r="BL92">
        <v>4.3062652520990055</v>
      </c>
      <c r="BM92">
        <v>3379.5569698472991</v>
      </c>
      <c r="BN92">
        <v>6.4873606395257744</v>
      </c>
      <c r="BO92">
        <v>5091.2806298998275</v>
      </c>
      <c r="BP92">
        <v>5.7815598292069978</v>
      </c>
      <c r="BQ92">
        <v>4537.3681539616518</v>
      </c>
      <c r="BR92">
        <v>5.4826108819406842</v>
      </c>
      <c r="BS92">
        <v>4302.753020147049</v>
      </c>
      <c r="BT92">
        <v>4.5762909228559323</v>
      </c>
      <c r="BU92">
        <v>3591.4731162573353</v>
      </c>
      <c r="BV92">
        <v>4.1384331105084051</v>
      </c>
      <c r="BW92">
        <v>3247.8423051269961</v>
      </c>
      <c r="BX92">
        <v>9</v>
      </c>
      <c r="BY92">
        <v>7063.2</v>
      </c>
      <c r="BZ92">
        <v>8</v>
      </c>
      <c r="CA92">
        <v>6278.4</v>
      </c>
      <c r="CB92">
        <v>8.5228487755133315</v>
      </c>
      <c r="CC92">
        <v>6688.7317190228623</v>
      </c>
      <c r="CD92">
        <v>3.2360914383052681</v>
      </c>
      <c r="CE92">
        <v>2539.6845607819741</v>
      </c>
      <c r="CF92">
        <v>6</v>
      </c>
      <c r="CG92">
        <v>4708.7999999999993</v>
      </c>
      <c r="CH92">
        <v>7</v>
      </c>
      <c r="CI92">
        <v>5493.5999999999995</v>
      </c>
      <c r="CJ92">
        <v>1.5558689047510641</v>
      </c>
      <c r="CK92">
        <v>1221.0459164486351</v>
      </c>
      <c r="CL92">
        <v>6.6900906595109495</v>
      </c>
      <c r="CM92">
        <v>5250.3831495841932</v>
      </c>
      <c r="CN92">
        <v>0.7708526210922787</v>
      </c>
      <c r="CO92">
        <v>604.96513703322034</v>
      </c>
      <c r="CP92">
        <v>8</v>
      </c>
      <c r="CQ92">
        <v>6278.4</v>
      </c>
      <c r="CR92">
        <v>7</v>
      </c>
      <c r="CS92">
        <v>5493.5999999999995</v>
      </c>
      <c r="CT92">
        <v>6</v>
      </c>
      <c r="CU92">
        <v>4708.7999999999993</v>
      </c>
    </row>
    <row r="93" spans="2:99">
      <c r="C93" s="99" t="s">
        <v>260</v>
      </c>
      <c r="D93">
        <v>7.2518141430921803</v>
      </c>
      <c r="E93">
        <v>5029.858289648736</v>
      </c>
      <c r="F93">
        <v>3.8050159080851729</v>
      </c>
      <c r="G93">
        <v>2639.1590338478759</v>
      </c>
      <c r="H93">
        <v>6.80840016890199</v>
      </c>
      <c r="I93">
        <v>4722.3063571504208</v>
      </c>
      <c r="J93">
        <v>3.8171011727681843</v>
      </c>
      <c r="K93">
        <v>2647.5413734320127</v>
      </c>
      <c r="L93">
        <v>8</v>
      </c>
      <c r="M93">
        <v>5548.8</v>
      </c>
      <c r="N93">
        <v>5.7165174828064602</v>
      </c>
      <c r="O93">
        <v>3964.9765260745608</v>
      </c>
      <c r="P93">
        <v>3.0495994936183881</v>
      </c>
      <c r="Q93">
        <v>2115.2022087737141</v>
      </c>
      <c r="R93">
        <v>5.4910253753410964E-21</v>
      </c>
      <c r="S93">
        <v>3.8085752003365846E-18</v>
      </c>
      <c r="T93">
        <v>2.2743892087211644E-21</v>
      </c>
      <c r="U93">
        <v>1.5775163551689996E-18</v>
      </c>
      <c r="V93">
        <v>2.2477881653443087E-21</v>
      </c>
      <c r="W93">
        <v>1.5590658714828126E-18</v>
      </c>
      <c r="X93">
        <v>5.8538293270720807</v>
      </c>
      <c r="Y93">
        <v>4060.2160212571953</v>
      </c>
      <c r="Z93">
        <v>6.8724201743403883</v>
      </c>
      <c r="AA93">
        <v>4766.7106329224935</v>
      </c>
      <c r="AB93">
        <v>6.6710305721619161</v>
      </c>
      <c r="AC93">
        <v>4627.0268048515054</v>
      </c>
      <c r="AD93">
        <v>7.0316268193058029</v>
      </c>
      <c r="AE93">
        <v>4877.1363618705054</v>
      </c>
      <c r="AF93">
        <v>6.244084615543553</v>
      </c>
      <c r="AG93">
        <v>4330.8970893410087</v>
      </c>
      <c r="AH93">
        <v>1.2118877028117416</v>
      </c>
      <c r="AI93">
        <v>840.56531067022399</v>
      </c>
      <c r="AJ93">
        <v>7</v>
      </c>
      <c r="AK93">
        <v>4855.2</v>
      </c>
      <c r="AL93">
        <v>6</v>
      </c>
      <c r="AM93">
        <v>4161.6000000000004</v>
      </c>
      <c r="AN93">
        <v>5</v>
      </c>
      <c r="AO93">
        <v>3468</v>
      </c>
      <c r="AP93">
        <v>5</v>
      </c>
      <c r="AQ93">
        <v>3468</v>
      </c>
      <c r="AR93">
        <v>6</v>
      </c>
      <c r="AS93">
        <v>4161.6000000000004</v>
      </c>
      <c r="AT93">
        <v>3.6604759624324861</v>
      </c>
      <c r="AU93">
        <v>2538.9061275431723</v>
      </c>
      <c r="AV93">
        <v>5.6000758883798678</v>
      </c>
      <c r="AW93">
        <v>3884.2126361802766</v>
      </c>
      <c r="AX93">
        <v>7</v>
      </c>
      <c r="AY93">
        <v>4855.2</v>
      </c>
      <c r="AZ93">
        <v>10</v>
      </c>
      <c r="BA93">
        <v>6936</v>
      </c>
      <c r="BB93">
        <v>7</v>
      </c>
      <c r="BC93">
        <v>4855.2</v>
      </c>
      <c r="BD93">
        <v>7.6848055027965598</v>
      </c>
      <c r="BE93">
        <v>5330.1810967396941</v>
      </c>
      <c r="BF93">
        <v>6.6996616046604647</v>
      </c>
      <c r="BG93">
        <v>4646.8852889924983</v>
      </c>
      <c r="BH93">
        <v>9.6957835645086234</v>
      </c>
      <c r="BI93">
        <v>6724.995480343181</v>
      </c>
      <c r="BJ93">
        <v>6.244084615543553</v>
      </c>
      <c r="BK93">
        <v>4330.8970893410087</v>
      </c>
      <c r="BL93">
        <v>4.3062652520990055</v>
      </c>
      <c r="BM93">
        <v>2986.8255788558704</v>
      </c>
      <c r="BN93">
        <v>7.2982807194664954</v>
      </c>
      <c r="BO93">
        <v>5062.0875070219618</v>
      </c>
      <c r="BP93">
        <v>4.6252478633655985</v>
      </c>
      <c r="BQ93">
        <v>3208.071918030379</v>
      </c>
      <c r="BR93">
        <v>5.4826108819406842</v>
      </c>
      <c r="BS93">
        <v>3802.7389077140588</v>
      </c>
      <c r="BT93">
        <v>5.230046768978208</v>
      </c>
      <c r="BU93">
        <v>3627.5604389632854</v>
      </c>
      <c r="BV93">
        <v>4.5522764215592462</v>
      </c>
      <c r="BW93">
        <v>3157.4589259934933</v>
      </c>
      <c r="BX93">
        <v>10</v>
      </c>
      <c r="BY93">
        <v>6936</v>
      </c>
      <c r="BZ93">
        <v>7</v>
      </c>
      <c r="CA93">
        <v>4855.2</v>
      </c>
      <c r="CB93">
        <v>8.5228487755133315</v>
      </c>
      <c r="CC93">
        <v>5911.4479106960471</v>
      </c>
      <c r="CD93">
        <v>3.5302815690602922</v>
      </c>
      <c r="CE93">
        <v>2448.603296300219</v>
      </c>
      <c r="CF93">
        <v>6</v>
      </c>
      <c r="CG93">
        <v>4161.6000000000004</v>
      </c>
      <c r="CH93">
        <v>7</v>
      </c>
      <c r="CI93">
        <v>4855.2</v>
      </c>
      <c r="CJ93">
        <v>1.7503525178449473</v>
      </c>
      <c r="CK93">
        <v>1214.0445063772554</v>
      </c>
      <c r="CL93">
        <v>6.6900906595109495</v>
      </c>
      <c r="CM93">
        <v>4640.2468814367949</v>
      </c>
      <c r="CN93">
        <v>0.68520232985980334</v>
      </c>
      <c r="CO93">
        <v>475.25633599075962</v>
      </c>
      <c r="CP93">
        <v>10</v>
      </c>
      <c r="CQ93">
        <v>6936</v>
      </c>
      <c r="CR93">
        <v>8</v>
      </c>
      <c r="CS93">
        <v>5548.8</v>
      </c>
      <c r="CT93">
        <v>6</v>
      </c>
      <c r="CU93">
        <v>4161.6000000000004</v>
      </c>
    </row>
    <row r="94" spans="2:99">
      <c r="C94" s="99" t="s">
        <v>261</v>
      </c>
      <c r="D94">
        <v>8.0575712701024234</v>
      </c>
      <c r="E94">
        <v>9611.0710109781703</v>
      </c>
      <c r="F94">
        <v>4.756269885106466</v>
      </c>
      <c r="G94">
        <v>5673.2787189549927</v>
      </c>
      <c r="H94">
        <v>5.2954223535904363</v>
      </c>
      <c r="I94">
        <v>6316.3797833626722</v>
      </c>
      <c r="J94">
        <v>3.8171011727681843</v>
      </c>
      <c r="K94">
        <v>4553.0382788778898</v>
      </c>
      <c r="L94">
        <v>7</v>
      </c>
      <c r="M94">
        <v>8349.6</v>
      </c>
      <c r="N94">
        <v>5.7165174828064602</v>
      </c>
      <c r="O94">
        <v>6818.6620534915455</v>
      </c>
      <c r="P94">
        <v>3.0495994936183881</v>
      </c>
      <c r="Q94">
        <v>3637.5622759880134</v>
      </c>
      <c r="R94">
        <v>4.9419228378069868E-21</v>
      </c>
      <c r="S94">
        <v>5.8947255609361736E-18</v>
      </c>
      <c r="T94">
        <v>2.2743892087211644E-21</v>
      </c>
      <c r="U94">
        <v>2.7128914481626048E-18</v>
      </c>
      <c r="V94">
        <v>2.2477881653443087E-21</v>
      </c>
      <c r="W94">
        <v>2.6811617236226913E-18</v>
      </c>
      <c r="X94">
        <v>5.8538293270720807</v>
      </c>
      <c r="Y94">
        <v>6982.4476213315775</v>
      </c>
      <c r="Z94">
        <v>6.8724201743403883</v>
      </c>
      <c r="AA94">
        <v>8197.4227839532141</v>
      </c>
      <c r="AB94">
        <v>6.6710305721619161</v>
      </c>
      <c r="AC94">
        <v>7957.2052664747334</v>
      </c>
      <c r="AD94">
        <v>5.6253014554446423</v>
      </c>
      <c r="AE94">
        <v>6709.8595760543694</v>
      </c>
      <c r="AF94">
        <v>6.244084615543553</v>
      </c>
      <c r="AG94">
        <v>7447.9441294203498</v>
      </c>
      <c r="AH94">
        <v>1.4138689866136986</v>
      </c>
      <c r="AI94">
        <v>1686.4629272328198</v>
      </c>
      <c r="AJ94">
        <v>6</v>
      </c>
      <c r="AK94">
        <v>7156.7999999999993</v>
      </c>
      <c r="AL94">
        <v>5</v>
      </c>
      <c r="AM94">
        <v>5964</v>
      </c>
      <c r="AN94">
        <v>5</v>
      </c>
      <c r="AO94">
        <v>5964</v>
      </c>
      <c r="AP94">
        <v>6</v>
      </c>
      <c r="AQ94">
        <v>7156.7999999999993</v>
      </c>
      <c r="AR94">
        <v>6</v>
      </c>
      <c r="AS94">
        <v>7156.7999999999993</v>
      </c>
      <c r="AT94">
        <v>3.0503966353604053</v>
      </c>
      <c r="AU94">
        <v>3638.5131066578911</v>
      </c>
      <c r="AV94">
        <v>5.6000758883798678</v>
      </c>
      <c r="AW94">
        <v>6679.7705196595061</v>
      </c>
      <c r="AX94">
        <v>6</v>
      </c>
      <c r="AY94">
        <v>7156.7999999999993</v>
      </c>
      <c r="AZ94">
        <v>10</v>
      </c>
      <c r="BA94">
        <v>11928</v>
      </c>
      <c r="BB94">
        <v>7</v>
      </c>
      <c r="BC94">
        <v>8349.6</v>
      </c>
      <c r="BD94">
        <v>6.9163249525169039</v>
      </c>
      <c r="BE94">
        <v>8249.7924033621621</v>
      </c>
      <c r="BF94">
        <v>6.0296954441944184</v>
      </c>
      <c r="BG94">
        <v>7192.2207258351018</v>
      </c>
      <c r="BH94">
        <v>9.6957835645086234</v>
      </c>
      <c r="BI94">
        <v>11565.130635745885</v>
      </c>
      <c r="BJ94">
        <v>6.244084615543553</v>
      </c>
      <c r="BK94">
        <v>7447.9441294203498</v>
      </c>
      <c r="BL94">
        <v>3.5885543767491712</v>
      </c>
      <c r="BM94">
        <v>4280.4276605864115</v>
      </c>
      <c r="BN94">
        <v>6.4873606395257744</v>
      </c>
      <c r="BO94">
        <v>7738.1237708263434</v>
      </c>
      <c r="BP94">
        <v>4.6252478633655985</v>
      </c>
      <c r="BQ94">
        <v>5516.9956514224859</v>
      </c>
      <c r="BR94">
        <v>5.4826108819406842</v>
      </c>
      <c r="BS94">
        <v>6539.658259978848</v>
      </c>
      <c r="BT94">
        <v>4.5762909228559323</v>
      </c>
      <c r="BU94">
        <v>5458.599812782556</v>
      </c>
      <c r="BV94">
        <v>4.5522764215592462</v>
      </c>
      <c r="BW94">
        <v>5429.9553156358688</v>
      </c>
      <c r="BX94">
        <v>9</v>
      </c>
      <c r="BY94">
        <v>10735.199999999999</v>
      </c>
      <c r="BZ94">
        <v>7</v>
      </c>
      <c r="CA94">
        <v>8349.6</v>
      </c>
      <c r="CB94">
        <v>8.5228487755133315</v>
      </c>
      <c r="CC94">
        <v>10166.054019432302</v>
      </c>
      <c r="CD94">
        <v>3.2360914383052681</v>
      </c>
      <c r="CE94">
        <v>3860.0098676105235</v>
      </c>
      <c r="CF94">
        <v>6</v>
      </c>
      <c r="CG94">
        <v>7156.7999999999993</v>
      </c>
      <c r="CH94">
        <v>7</v>
      </c>
      <c r="CI94">
        <v>8349.6</v>
      </c>
      <c r="CJ94">
        <v>1.5558689047510641</v>
      </c>
      <c r="CK94">
        <v>1855.8404295870691</v>
      </c>
      <c r="CL94">
        <v>7.4334340661232767</v>
      </c>
      <c r="CM94">
        <v>8866.6001540718444</v>
      </c>
      <c r="CN94">
        <v>0.68520232985980334</v>
      </c>
      <c r="CO94">
        <v>817.30933905677341</v>
      </c>
      <c r="CP94">
        <v>9</v>
      </c>
      <c r="CQ94">
        <v>10735.199999999999</v>
      </c>
      <c r="CR94">
        <v>8</v>
      </c>
      <c r="CS94">
        <v>9542.4</v>
      </c>
      <c r="CT94">
        <v>6</v>
      </c>
      <c r="CU94">
        <v>7156.7999999999993</v>
      </c>
    </row>
    <row r="95" spans="2:99">
      <c r="B95" s="99" t="s">
        <v>132</v>
      </c>
      <c r="C95" s="99" t="s">
        <v>262</v>
      </c>
      <c r="D95">
        <v>8.0575712701024234</v>
      </c>
      <c r="E95">
        <v>2649.3294336096769</v>
      </c>
      <c r="F95">
        <v>5.7075238621277586</v>
      </c>
      <c r="G95">
        <v>1876.6338458676071</v>
      </c>
      <c r="H95">
        <v>6.0519112612462127</v>
      </c>
      <c r="I95">
        <v>1989.8684226977548</v>
      </c>
      <c r="J95">
        <v>5.4530016753831205</v>
      </c>
      <c r="K95">
        <v>1792.9469508659702</v>
      </c>
      <c r="L95">
        <v>7</v>
      </c>
      <c r="M95">
        <v>2301.6</v>
      </c>
      <c r="N95">
        <v>8.5747762242096908</v>
      </c>
      <c r="O95">
        <v>2819.3864225201464</v>
      </c>
      <c r="P95">
        <v>5.0826658226973134</v>
      </c>
      <c r="Q95">
        <v>1671.1805225028768</v>
      </c>
      <c r="R95">
        <v>4.3928203002728773E-21</v>
      </c>
      <c r="S95">
        <v>1.444359314729722E-18</v>
      </c>
      <c r="T95">
        <v>2.2743892087211644E-21</v>
      </c>
      <c r="U95">
        <v>7.4781917182751883E-19</v>
      </c>
      <c r="V95">
        <v>2.2477881653443087E-21</v>
      </c>
      <c r="W95">
        <v>7.3907274876520869E-19</v>
      </c>
      <c r="X95">
        <v>9.7563822117868018</v>
      </c>
      <c r="Y95">
        <v>3207.8984712355004</v>
      </c>
      <c r="Z95">
        <v>7.8541944849604448</v>
      </c>
      <c r="AA95">
        <v>2582.4591466549941</v>
      </c>
      <c r="AB95">
        <v>8.6723397438104897</v>
      </c>
      <c r="AC95">
        <v>2851.4653077648891</v>
      </c>
      <c r="AD95">
        <v>8.4379521831669635</v>
      </c>
      <c r="AE95">
        <v>2774.3986778252979</v>
      </c>
      <c r="AF95">
        <v>8.028108791413139</v>
      </c>
      <c r="AG95">
        <v>2639.6421706166402</v>
      </c>
      <c r="AH95">
        <v>1.4138689866136986</v>
      </c>
      <c r="AI95">
        <v>464.88012279858413</v>
      </c>
      <c r="AJ95">
        <v>7</v>
      </c>
      <c r="AK95">
        <v>2301.6</v>
      </c>
      <c r="AL95">
        <v>11</v>
      </c>
      <c r="AM95">
        <v>3616.8</v>
      </c>
      <c r="AN95">
        <v>14</v>
      </c>
      <c r="AO95">
        <v>4603.2</v>
      </c>
      <c r="AP95">
        <v>9</v>
      </c>
      <c r="AQ95">
        <v>2959.2000000000003</v>
      </c>
      <c r="AR95">
        <v>10</v>
      </c>
      <c r="AS95">
        <v>3288</v>
      </c>
      <c r="AT95">
        <v>5.4907139436487293</v>
      </c>
      <c r="AU95">
        <v>1805.3467446717023</v>
      </c>
      <c r="AV95">
        <v>9.80013280466477</v>
      </c>
      <c r="AW95">
        <v>3222.2836661737765</v>
      </c>
      <c r="AX95">
        <v>11</v>
      </c>
      <c r="AY95">
        <v>3616.8</v>
      </c>
      <c r="AZ95">
        <v>10</v>
      </c>
      <c r="BA95">
        <v>3288</v>
      </c>
      <c r="BB95">
        <v>12</v>
      </c>
      <c r="BC95">
        <v>3945.6000000000004</v>
      </c>
      <c r="BD95">
        <v>10.758727703915184</v>
      </c>
      <c r="BE95">
        <v>3537.4696690473129</v>
      </c>
      <c r="BF95">
        <v>8.7095600860586053</v>
      </c>
      <c r="BG95">
        <v>2863.7033562960696</v>
      </c>
      <c r="BH95">
        <v>6.7870484951560357</v>
      </c>
      <c r="BI95">
        <v>2231.5815452073048</v>
      </c>
      <c r="BJ95">
        <v>9.8121329672827269</v>
      </c>
      <c r="BK95">
        <v>3226.2293196425608</v>
      </c>
      <c r="BL95">
        <v>7.8948196288481771</v>
      </c>
      <c r="BM95">
        <v>2595.8166939652806</v>
      </c>
      <c r="BN95">
        <v>5.6764405595850524</v>
      </c>
      <c r="BO95">
        <v>1866.4136559915653</v>
      </c>
      <c r="BP95">
        <v>6.359715812127698</v>
      </c>
      <c r="BQ95">
        <v>2091.0745590275874</v>
      </c>
      <c r="BR95">
        <v>7.3101478425875799</v>
      </c>
      <c r="BS95">
        <v>2403.5766106427964</v>
      </c>
      <c r="BT95">
        <v>7.8450701534673124</v>
      </c>
      <c r="BU95">
        <v>2579.4590664600523</v>
      </c>
      <c r="BV95">
        <v>3.3107464884067244</v>
      </c>
      <c r="BW95">
        <v>1088.5734453881309</v>
      </c>
      <c r="BX95">
        <v>12</v>
      </c>
      <c r="BY95">
        <v>3945.6000000000004</v>
      </c>
      <c r="BZ95">
        <v>8</v>
      </c>
      <c r="CA95">
        <v>2630.4</v>
      </c>
      <c r="CB95">
        <v>10.847262077926057</v>
      </c>
      <c r="CC95">
        <v>3566.5797712220879</v>
      </c>
      <c r="CD95">
        <v>2.0593309152851709</v>
      </c>
      <c r="CE95">
        <v>677.10800494576415</v>
      </c>
      <c r="CF95">
        <v>14</v>
      </c>
      <c r="CG95">
        <v>4603.2</v>
      </c>
      <c r="CH95">
        <v>9</v>
      </c>
      <c r="CI95">
        <v>2959.2000000000003</v>
      </c>
      <c r="CJ95">
        <v>2.5282869702204791</v>
      </c>
      <c r="CK95">
        <v>831.30075580849359</v>
      </c>
      <c r="CL95">
        <v>7.4334340661232767</v>
      </c>
      <c r="CM95">
        <v>2444.1131209413334</v>
      </c>
      <c r="CN95">
        <v>0.68520232985980334</v>
      </c>
      <c r="CO95">
        <v>225.29452605790334</v>
      </c>
      <c r="CP95">
        <v>11</v>
      </c>
      <c r="CQ95">
        <v>3616.8</v>
      </c>
      <c r="CR95">
        <v>12</v>
      </c>
      <c r="CS95">
        <v>3945.6000000000004</v>
      </c>
      <c r="CT95">
        <v>9</v>
      </c>
      <c r="CU95">
        <v>2959.2000000000003</v>
      </c>
    </row>
    <row r="96" spans="2:99">
      <c r="C96" s="99" t="s">
        <v>263</v>
      </c>
      <c r="D96">
        <v>8.0575712701024234</v>
      </c>
      <c r="E96">
        <v>5598.4005184671632</v>
      </c>
      <c r="F96">
        <v>5.7075238621277586</v>
      </c>
      <c r="G96">
        <v>3965.5875794063663</v>
      </c>
      <c r="H96">
        <v>5.2954223535904363</v>
      </c>
      <c r="I96">
        <v>3679.259451274635</v>
      </c>
      <c r="J96">
        <v>5.9983018429214328</v>
      </c>
      <c r="K96">
        <v>4167.620120461811</v>
      </c>
      <c r="L96">
        <v>8</v>
      </c>
      <c r="M96">
        <v>5558.4</v>
      </c>
      <c r="N96">
        <v>9.5275291380107667</v>
      </c>
      <c r="O96">
        <v>6619.7272450898799</v>
      </c>
      <c r="P96">
        <v>5.0826658226973134</v>
      </c>
      <c r="Q96">
        <v>3531.4362136100931</v>
      </c>
      <c r="R96">
        <v>4.3928203002728773E-21</v>
      </c>
      <c r="S96">
        <v>3.0521315446295948E-18</v>
      </c>
      <c r="T96">
        <v>2.2743892087211644E-21</v>
      </c>
      <c r="U96">
        <v>1.580245622219465E-18</v>
      </c>
      <c r="V96">
        <v>2.2477881653443087E-21</v>
      </c>
      <c r="W96">
        <v>1.5617632172812256E-18</v>
      </c>
      <c r="X96">
        <v>8.7807439906081211</v>
      </c>
      <c r="Y96">
        <v>6100.8609246745218</v>
      </c>
      <c r="Z96">
        <v>7.8541944849604448</v>
      </c>
      <c r="AA96">
        <v>5457.094328150517</v>
      </c>
      <c r="AB96">
        <v>9.3394428010266832</v>
      </c>
      <c r="AC96">
        <v>6489.0448581533392</v>
      </c>
      <c r="AD96">
        <v>9.1411148650975438</v>
      </c>
      <c r="AE96">
        <v>6351.2466082697729</v>
      </c>
      <c r="AF96">
        <v>8.028108791413139</v>
      </c>
      <c r="AG96">
        <v>5577.9299882738487</v>
      </c>
      <c r="AH96">
        <v>1.2118877028117416</v>
      </c>
      <c r="AI96">
        <v>842.01957591359803</v>
      </c>
      <c r="AJ96">
        <v>6</v>
      </c>
      <c r="AK96">
        <v>4168.7999999999993</v>
      </c>
      <c r="AL96">
        <v>11</v>
      </c>
      <c r="AM96">
        <v>7642.7999999999993</v>
      </c>
      <c r="AN96">
        <v>13</v>
      </c>
      <c r="AO96">
        <v>9032.4</v>
      </c>
      <c r="AP96">
        <v>9</v>
      </c>
      <c r="AQ96">
        <v>6253.2</v>
      </c>
      <c r="AR96">
        <v>11</v>
      </c>
      <c r="AS96">
        <v>7642.7999999999993</v>
      </c>
      <c r="AT96">
        <v>5.4907139436487293</v>
      </c>
      <c r="AU96">
        <v>3814.948048047137</v>
      </c>
      <c r="AV96">
        <v>9.80013280466477</v>
      </c>
      <c r="AW96">
        <v>6809.1322726810813</v>
      </c>
      <c r="AX96">
        <v>10</v>
      </c>
      <c r="AY96">
        <v>6948</v>
      </c>
      <c r="AZ96">
        <v>9</v>
      </c>
      <c r="BA96">
        <v>6253.2</v>
      </c>
      <c r="BB96">
        <v>13</v>
      </c>
      <c r="BC96">
        <v>9032.4</v>
      </c>
      <c r="BD96">
        <v>9.2217666033558725</v>
      </c>
      <c r="BE96">
        <v>6407.2834360116594</v>
      </c>
      <c r="BF96">
        <v>8.0395939255925573</v>
      </c>
      <c r="BG96">
        <v>5585.9098595017085</v>
      </c>
      <c r="BH96">
        <v>6.7870484951560357</v>
      </c>
      <c r="BI96">
        <v>4715.6412944344129</v>
      </c>
      <c r="BJ96">
        <v>9.8121329672827269</v>
      </c>
      <c r="BK96">
        <v>6817.4699856680381</v>
      </c>
      <c r="BL96">
        <v>7.8948196288481771</v>
      </c>
      <c r="BM96">
        <v>5485.3206781237132</v>
      </c>
      <c r="BN96">
        <v>5.6764405595850524</v>
      </c>
      <c r="BO96">
        <v>3943.9909007996944</v>
      </c>
      <c r="BP96">
        <v>6.359715812127698</v>
      </c>
      <c r="BQ96">
        <v>4418.7305462663244</v>
      </c>
      <c r="BR96">
        <v>6.7009688557052804</v>
      </c>
      <c r="BS96">
        <v>4655.8331609440284</v>
      </c>
      <c r="BT96">
        <v>7.1913143073450367</v>
      </c>
      <c r="BU96">
        <v>4996.5251807433315</v>
      </c>
      <c r="BV96">
        <v>3.3107464884067244</v>
      </c>
      <c r="BW96">
        <v>2300.3066601449918</v>
      </c>
      <c r="BX96">
        <v>11</v>
      </c>
      <c r="BY96">
        <v>7642.7999999999993</v>
      </c>
      <c r="BZ96">
        <v>8</v>
      </c>
      <c r="CA96">
        <v>5558.4</v>
      </c>
      <c r="CB96">
        <v>9.297653209650905</v>
      </c>
      <c r="CC96">
        <v>6460.0094500654486</v>
      </c>
      <c r="CD96">
        <v>2.0593309152851709</v>
      </c>
      <c r="CE96">
        <v>1430.8231199401366</v>
      </c>
      <c r="CF96">
        <v>13</v>
      </c>
      <c r="CG96">
        <v>9032.4</v>
      </c>
      <c r="CH96">
        <v>9</v>
      </c>
      <c r="CI96">
        <v>6253.2</v>
      </c>
      <c r="CJ96">
        <v>2.3338033571265964</v>
      </c>
      <c r="CK96">
        <v>1621.5265725315589</v>
      </c>
      <c r="CL96">
        <v>8.9201208793479321</v>
      </c>
      <c r="CM96">
        <v>6197.6999869709425</v>
      </c>
      <c r="CN96">
        <v>0.59955203862732787</v>
      </c>
      <c r="CO96">
        <v>416.56875643826737</v>
      </c>
      <c r="CP96">
        <v>10</v>
      </c>
      <c r="CQ96">
        <v>6948</v>
      </c>
      <c r="CR96">
        <v>13</v>
      </c>
      <c r="CS96">
        <v>9032.4</v>
      </c>
      <c r="CT96">
        <v>9</v>
      </c>
      <c r="CU96">
        <v>6253.2</v>
      </c>
    </row>
    <row r="97" spans="2:99">
      <c r="C97" s="99" t="s">
        <v>264</v>
      </c>
      <c r="D97">
        <v>8.0575712701024234</v>
      </c>
      <c r="E97">
        <v>3161.7909663881906</v>
      </c>
      <c r="F97">
        <v>5.7075238621277586</v>
      </c>
      <c r="G97">
        <v>2239.6323634989321</v>
      </c>
      <c r="H97">
        <v>5.2954223535904363</v>
      </c>
      <c r="I97">
        <v>2077.9237315488872</v>
      </c>
      <c r="J97">
        <v>5.9983018429214328</v>
      </c>
      <c r="K97">
        <v>2353.7336431623703</v>
      </c>
      <c r="L97">
        <v>6</v>
      </c>
      <c r="M97">
        <v>2354.3999999999996</v>
      </c>
      <c r="N97">
        <v>8.5747762242096908</v>
      </c>
      <c r="O97">
        <v>3364.7421903798827</v>
      </c>
      <c r="P97">
        <v>4.5743992404275824</v>
      </c>
      <c r="Q97">
        <v>1794.9942619437832</v>
      </c>
      <c r="R97">
        <v>3.8437177627387677E-21</v>
      </c>
      <c r="S97">
        <v>1.5082748500986923E-18</v>
      </c>
      <c r="T97">
        <v>2.2743892087211644E-21</v>
      </c>
      <c r="U97">
        <v>8.9247032550218476E-19</v>
      </c>
      <c r="V97">
        <v>2.5287616860123472E-21</v>
      </c>
      <c r="W97">
        <v>9.922860855912449E-19</v>
      </c>
      <c r="X97">
        <v>8.7807439906081211</v>
      </c>
      <c r="Y97">
        <v>3445.5639419146264</v>
      </c>
      <c r="Z97">
        <v>7.8541944849604448</v>
      </c>
      <c r="AA97">
        <v>3081.9859158984782</v>
      </c>
      <c r="AB97">
        <v>9.3394428010266832</v>
      </c>
      <c r="AC97">
        <v>3664.7973551228702</v>
      </c>
      <c r="AD97">
        <v>9.1411148650975438</v>
      </c>
      <c r="AE97">
        <v>3586.9734730642758</v>
      </c>
      <c r="AF97">
        <v>8.9201208793479321</v>
      </c>
      <c r="AG97">
        <v>3500.2554330561284</v>
      </c>
      <c r="AH97">
        <v>1.4138689866136986</v>
      </c>
      <c r="AI97">
        <v>554.80219034721529</v>
      </c>
      <c r="AJ97">
        <v>6</v>
      </c>
      <c r="AK97">
        <v>2354.3999999999996</v>
      </c>
      <c r="AL97">
        <v>10</v>
      </c>
      <c r="AM97">
        <v>3924</v>
      </c>
      <c r="AN97">
        <v>13</v>
      </c>
      <c r="AO97">
        <v>5101.2</v>
      </c>
      <c r="AP97">
        <v>8</v>
      </c>
      <c r="AQ97">
        <v>3139.2</v>
      </c>
      <c r="AR97">
        <v>11</v>
      </c>
      <c r="AS97">
        <v>4316.3999999999996</v>
      </c>
      <c r="AT97">
        <v>6.1007932707208106</v>
      </c>
      <c r="AU97">
        <v>2393.9512794308457</v>
      </c>
      <c r="AV97">
        <v>9.80013280466477</v>
      </c>
      <c r="AW97">
        <v>3845.5721125504556</v>
      </c>
      <c r="AX97">
        <v>11</v>
      </c>
      <c r="AY97">
        <v>4316.3999999999996</v>
      </c>
      <c r="AZ97">
        <v>9</v>
      </c>
      <c r="BA97">
        <v>3531.6</v>
      </c>
      <c r="BB97">
        <v>13</v>
      </c>
      <c r="BC97">
        <v>5101.2</v>
      </c>
      <c r="BD97">
        <v>9.2217666033558725</v>
      </c>
      <c r="BE97">
        <v>3618.6212151568443</v>
      </c>
      <c r="BF97">
        <v>9.3795262465246498</v>
      </c>
      <c r="BG97">
        <v>3680.5260991362725</v>
      </c>
      <c r="BH97">
        <v>6.7870484951560357</v>
      </c>
      <c r="BI97">
        <v>2663.2378294992282</v>
      </c>
      <c r="BJ97">
        <v>8.9201208793479321</v>
      </c>
      <c r="BK97">
        <v>3500.2554330561284</v>
      </c>
      <c r="BL97">
        <v>7.8948196288481771</v>
      </c>
      <c r="BM97">
        <v>3097.9272223600246</v>
      </c>
      <c r="BN97">
        <v>5.6764405595850524</v>
      </c>
      <c r="BO97">
        <v>2227.4352755811747</v>
      </c>
      <c r="BP97">
        <v>6.9378717950483972</v>
      </c>
      <c r="BQ97">
        <v>2722.4208923769911</v>
      </c>
      <c r="BR97">
        <v>7.9193268294698775</v>
      </c>
      <c r="BS97">
        <v>3107.5438478839797</v>
      </c>
      <c r="BT97">
        <v>7.8450701534673124</v>
      </c>
      <c r="BU97">
        <v>3078.4055282205732</v>
      </c>
      <c r="BV97">
        <v>3.3107464884067244</v>
      </c>
      <c r="BW97">
        <v>1299.1369220507986</v>
      </c>
      <c r="BX97">
        <v>11</v>
      </c>
      <c r="BY97">
        <v>4316.3999999999996</v>
      </c>
      <c r="BZ97">
        <v>9</v>
      </c>
      <c r="CA97">
        <v>3531.6</v>
      </c>
      <c r="CB97">
        <v>10.847262077926057</v>
      </c>
      <c r="CC97">
        <v>4256.4656393781843</v>
      </c>
      <c r="CD97">
        <v>2.0593309152851709</v>
      </c>
      <c r="CE97">
        <v>808.08145115790103</v>
      </c>
      <c r="CF97">
        <v>14</v>
      </c>
      <c r="CG97">
        <v>5493.5999999999995</v>
      </c>
      <c r="CH97">
        <v>9</v>
      </c>
      <c r="CI97">
        <v>3531.6</v>
      </c>
      <c r="CJ97">
        <v>2.5282869702204791</v>
      </c>
      <c r="CK97">
        <v>992.0998071145159</v>
      </c>
      <c r="CL97">
        <v>8.1767774727356048</v>
      </c>
      <c r="CM97">
        <v>3208.5674803014513</v>
      </c>
      <c r="CN97">
        <v>0.68520232985980334</v>
      </c>
      <c r="CO97">
        <v>268.87339423698683</v>
      </c>
      <c r="CP97">
        <v>12</v>
      </c>
      <c r="CQ97">
        <v>4708.7999999999993</v>
      </c>
      <c r="CR97">
        <v>12</v>
      </c>
      <c r="CS97">
        <v>4708.7999999999993</v>
      </c>
      <c r="CT97">
        <v>8</v>
      </c>
      <c r="CU97">
        <v>3139.2</v>
      </c>
    </row>
    <row r="98" spans="2:99">
      <c r="C98" s="99" t="s">
        <v>265</v>
      </c>
      <c r="D98">
        <v>7.2518141430921803</v>
      </c>
      <c r="E98">
        <v>3811.5535136092503</v>
      </c>
      <c r="F98">
        <v>5.7075238621277586</v>
      </c>
      <c r="G98">
        <v>2999.87454193435</v>
      </c>
      <c r="H98">
        <v>5.2954223535904363</v>
      </c>
      <c r="I98">
        <v>2783.2739890471335</v>
      </c>
      <c r="J98">
        <v>6.5436020104597459</v>
      </c>
      <c r="K98">
        <v>3439.3172166976424</v>
      </c>
      <c r="L98">
        <v>7</v>
      </c>
      <c r="M98">
        <v>3679.2000000000003</v>
      </c>
      <c r="N98">
        <v>8.5747762242096908</v>
      </c>
      <c r="O98">
        <v>4506.9023834446134</v>
      </c>
      <c r="P98">
        <v>4.5743992404275824</v>
      </c>
      <c r="Q98">
        <v>2404.3042407687376</v>
      </c>
      <c r="R98">
        <v>3.8437177627387677E-21</v>
      </c>
      <c r="S98">
        <v>2.0202580560954965E-18</v>
      </c>
      <c r="T98">
        <v>2.2743892087211644E-21</v>
      </c>
      <c r="U98">
        <v>1.1954189681038441E-18</v>
      </c>
      <c r="V98">
        <v>2.2477881653443087E-21</v>
      </c>
      <c r="W98">
        <v>1.1814374597049687E-18</v>
      </c>
      <c r="X98">
        <v>9.7563822117868018</v>
      </c>
      <c r="Y98">
        <v>5127.9544905151433</v>
      </c>
      <c r="Z98">
        <v>7.8541944849604448</v>
      </c>
      <c r="AA98">
        <v>4128.1646212952101</v>
      </c>
      <c r="AB98">
        <v>8.0052366865942979</v>
      </c>
      <c r="AC98">
        <v>4207.5524024739634</v>
      </c>
      <c r="AD98">
        <v>8.4379521831669635</v>
      </c>
      <c r="AE98">
        <v>4434.9876674725565</v>
      </c>
      <c r="AF98">
        <v>8.028108791413139</v>
      </c>
      <c r="AG98">
        <v>4219.573980766746</v>
      </c>
      <c r="AH98">
        <v>1.4138689866136986</v>
      </c>
      <c r="AI98">
        <v>743.12953936416</v>
      </c>
      <c r="AJ98">
        <v>6</v>
      </c>
      <c r="AK98">
        <v>3153.6000000000004</v>
      </c>
      <c r="AL98">
        <v>10</v>
      </c>
      <c r="AM98">
        <v>5256</v>
      </c>
      <c r="AN98">
        <v>15</v>
      </c>
      <c r="AO98">
        <v>7884</v>
      </c>
      <c r="AP98">
        <v>9</v>
      </c>
      <c r="AQ98">
        <v>4730.4000000000005</v>
      </c>
      <c r="AR98">
        <v>10</v>
      </c>
      <c r="AS98">
        <v>5256</v>
      </c>
      <c r="AT98">
        <v>5.4907139436487293</v>
      </c>
      <c r="AU98">
        <v>2885.9192487817722</v>
      </c>
      <c r="AV98">
        <v>8.4001138325698026</v>
      </c>
      <c r="AW98">
        <v>4415.099830398688</v>
      </c>
      <c r="AX98">
        <v>11</v>
      </c>
      <c r="AY98">
        <v>5781.6</v>
      </c>
      <c r="AZ98">
        <v>9</v>
      </c>
      <c r="BA98">
        <v>4730.4000000000005</v>
      </c>
      <c r="BB98">
        <v>11</v>
      </c>
      <c r="BC98">
        <v>5781.6</v>
      </c>
      <c r="BD98">
        <v>9.2217666033558725</v>
      </c>
      <c r="BE98">
        <v>4846.9605267238467</v>
      </c>
      <c r="BF98">
        <v>8.0395939255925573</v>
      </c>
      <c r="BG98">
        <v>4225.6105672914482</v>
      </c>
      <c r="BH98">
        <v>6.7870484951560357</v>
      </c>
      <c r="BI98">
        <v>3567.2726890540125</v>
      </c>
      <c r="BJ98">
        <v>8.9201208793479321</v>
      </c>
      <c r="BK98">
        <v>4688.4155341852729</v>
      </c>
      <c r="BL98">
        <v>7.1771087534983424</v>
      </c>
      <c r="BM98">
        <v>3772.2883608387287</v>
      </c>
      <c r="BN98">
        <v>5.6764405595850524</v>
      </c>
      <c r="BO98">
        <v>2983.5371581179038</v>
      </c>
      <c r="BP98">
        <v>6.359715812127698</v>
      </c>
      <c r="BQ98">
        <v>3342.6666308543181</v>
      </c>
      <c r="BR98">
        <v>7.3101478425875799</v>
      </c>
      <c r="BS98">
        <v>3842.2137060640321</v>
      </c>
      <c r="BT98">
        <v>7.8450701534673124</v>
      </c>
      <c r="BU98">
        <v>4123.3688726624196</v>
      </c>
      <c r="BV98">
        <v>3.724589799457565</v>
      </c>
      <c r="BW98">
        <v>1957.6443985948963</v>
      </c>
      <c r="BX98">
        <v>12</v>
      </c>
      <c r="BY98">
        <v>6307.2000000000007</v>
      </c>
      <c r="BZ98">
        <v>8</v>
      </c>
      <c r="CA98">
        <v>4204.8</v>
      </c>
      <c r="CB98">
        <v>9.297653209650905</v>
      </c>
      <c r="CC98">
        <v>4886.8465269925155</v>
      </c>
      <c r="CD98">
        <v>2.353521046040195</v>
      </c>
      <c r="CE98">
        <v>1237.0106617987265</v>
      </c>
      <c r="CF98">
        <v>13</v>
      </c>
      <c r="CG98">
        <v>6832.8</v>
      </c>
      <c r="CH98">
        <v>9</v>
      </c>
      <c r="CI98">
        <v>4730.4000000000005</v>
      </c>
      <c r="CJ98">
        <v>2.3338033571265964</v>
      </c>
      <c r="CK98">
        <v>1226.6470445057391</v>
      </c>
      <c r="CL98">
        <v>8.1767774727356048</v>
      </c>
      <c r="CM98">
        <v>4297.7142396698337</v>
      </c>
      <c r="CN98">
        <v>0.68520232985980334</v>
      </c>
      <c r="CO98">
        <v>360.14234457431263</v>
      </c>
      <c r="CP98">
        <v>11</v>
      </c>
      <c r="CQ98">
        <v>5781.6</v>
      </c>
      <c r="CR98">
        <v>11</v>
      </c>
      <c r="CS98">
        <v>5781.6</v>
      </c>
      <c r="CT98">
        <v>8</v>
      </c>
      <c r="CU98">
        <v>4204.8</v>
      </c>
    </row>
    <row r="99" spans="2:99">
      <c r="C99" s="99" t="s">
        <v>266</v>
      </c>
      <c r="D99">
        <v>5.6402998890716951</v>
      </c>
      <c r="E99">
        <v>23736.638053169321</v>
      </c>
      <c r="F99">
        <v>4.756269885106466</v>
      </c>
      <c r="G99">
        <v>20016.286184482051</v>
      </c>
      <c r="H99">
        <v>4.53893344593466</v>
      </c>
      <c r="I99">
        <v>19101.647513871423</v>
      </c>
      <c r="J99">
        <v>4.9077015078448083</v>
      </c>
      <c r="K99">
        <v>20653.571025614088</v>
      </c>
      <c r="L99">
        <v>6</v>
      </c>
      <c r="M99">
        <v>25250.399999999998</v>
      </c>
      <c r="N99">
        <v>6.6692703966075371</v>
      </c>
      <c r="O99">
        <v>28066.957537083155</v>
      </c>
      <c r="P99">
        <v>4.0661326581578505</v>
      </c>
      <c r="Q99">
        <v>17111.912678591496</v>
      </c>
      <c r="R99">
        <v>3.2946152252046581E-21</v>
      </c>
      <c r="S99">
        <v>1.3865058713751282E-17</v>
      </c>
      <c r="T99">
        <v>1.990090557631019E-21</v>
      </c>
      <c r="U99">
        <v>8.3750971027343797E-18</v>
      </c>
      <c r="V99">
        <v>1.9668146446762701E-21</v>
      </c>
      <c r="W99">
        <v>8.277142750655615E-18</v>
      </c>
      <c r="X99">
        <v>7.8051057694294421</v>
      </c>
      <c r="Y99">
        <v>32847.007120066861</v>
      </c>
      <c r="Z99">
        <v>5.8906458637203327</v>
      </c>
      <c r="AA99">
        <v>24790.194052880644</v>
      </c>
      <c r="AB99">
        <v>6.6710305721619161</v>
      </c>
      <c r="AC99">
        <v>28074.365059886204</v>
      </c>
      <c r="AD99">
        <v>7.7347895012363832</v>
      </c>
      <c r="AE99">
        <v>32551.088137003193</v>
      </c>
      <c r="AF99">
        <v>6.244084615543553</v>
      </c>
      <c r="AG99">
        <v>26277.605696053488</v>
      </c>
      <c r="AH99">
        <v>1.0099064190097846</v>
      </c>
      <c r="AI99">
        <v>4250.0901737607774</v>
      </c>
      <c r="AJ99">
        <v>6</v>
      </c>
      <c r="AK99">
        <v>25250.399999999998</v>
      </c>
      <c r="AL99">
        <v>8</v>
      </c>
      <c r="AM99">
        <v>33667.199999999997</v>
      </c>
      <c r="AN99">
        <v>11</v>
      </c>
      <c r="AO99">
        <v>46292.399999999994</v>
      </c>
      <c r="AP99">
        <v>7</v>
      </c>
      <c r="AQ99">
        <v>29458.799999999996</v>
      </c>
      <c r="AR99">
        <v>9</v>
      </c>
      <c r="AS99">
        <v>37875.599999999999</v>
      </c>
      <c r="AT99">
        <v>4.2705552895045669</v>
      </c>
      <c r="AU99">
        <v>17972.204880351019</v>
      </c>
      <c r="AV99">
        <v>7.700104346522318</v>
      </c>
      <c r="AW99">
        <v>32405.119131904521</v>
      </c>
      <c r="AX99">
        <v>9</v>
      </c>
      <c r="AY99">
        <v>37875.599999999999</v>
      </c>
      <c r="AZ99">
        <v>7</v>
      </c>
      <c r="BA99">
        <v>29458.799999999996</v>
      </c>
      <c r="BB99">
        <v>10</v>
      </c>
      <c r="BC99">
        <v>42084</v>
      </c>
      <c r="BD99">
        <v>7.6848055027965598</v>
      </c>
      <c r="BE99">
        <v>32340.735477969039</v>
      </c>
      <c r="BF99">
        <v>6.6996616046604647</v>
      </c>
      <c r="BG99">
        <v>28194.855897053098</v>
      </c>
      <c r="BH99">
        <v>5.8174701387051737</v>
      </c>
      <c r="BI99">
        <v>24482.241331726851</v>
      </c>
      <c r="BJ99">
        <v>7.136096703478346</v>
      </c>
      <c r="BK99">
        <v>30031.549366918269</v>
      </c>
      <c r="BL99">
        <v>6.4593978781485077</v>
      </c>
      <c r="BM99">
        <v>27183.730030400176</v>
      </c>
      <c r="BN99">
        <v>4.0546003997036086</v>
      </c>
      <c r="BO99">
        <v>17063.380322112665</v>
      </c>
      <c r="BP99">
        <v>5.7815598292069978</v>
      </c>
      <c r="BQ99">
        <v>24331.116385234727</v>
      </c>
      <c r="BR99">
        <v>6.0917898688229828</v>
      </c>
      <c r="BS99">
        <v>25636.68848395464</v>
      </c>
      <c r="BT99">
        <v>6.5375584612227602</v>
      </c>
      <c r="BU99">
        <v>27512.661028209863</v>
      </c>
      <c r="BV99">
        <v>2.4830598663050432</v>
      </c>
      <c r="BW99">
        <v>10449.709141358142</v>
      </c>
      <c r="BX99">
        <v>10</v>
      </c>
      <c r="BY99">
        <v>42084</v>
      </c>
      <c r="BZ99">
        <v>6</v>
      </c>
      <c r="CA99">
        <v>25250.399999999998</v>
      </c>
      <c r="CB99">
        <v>8.5228487755133315</v>
      </c>
      <c r="CC99">
        <v>35867.5567868703</v>
      </c>
      <c r="CD99">
        <v>2.0593309152851709</v>
      </c>
      <c r="CE99">
        <v>8666.4882238861119</v>
      </c>
      <c r="CF99">
        <v>11</v>
      </c>
      <c r="CG99">
        <v>46292.399999999994</v>
      </c>
      <c r="CH99">
        <v>7</v>
      </c>
      <c r="CI99">
        <v>29458.799999999996</v>
      </c>
      <c r="CJ99">
        <v>1.94483613093883</v>
      </c>
      <c r="CK99">
        <v>8184.6483734429712</v>
      </c>
      <c r="CL99">
        <v>6.6900906595109495</v>
      </c>
      <c r="CM99">
        <v>28154.577531485877</v>
      </c>
      <c r="CN99">
        <v>0.5139017473948525</v>
      </c>
      <c r="CO99">
        <v>2162.7041137364972</v>
      </c>
      <c r="CP99">
        <v>10</v>
      </c>
      <c r="CQ99">
        <v>42084</v>
      </c>
      <c r="CR99">
        <v>11</v>
      </c>
      <c r="CS99">
        <v>46292.399999999994</v>
      </c>
      <c r="CT99">
        <v>6</v>
      </c>
      <c r="CU99">
        <v>25250.399999999998</v>
      </c>
    </row>
    <row r="100" spans="2:99">
      <c r="C100" s="99" t="s">
        <v>267</v>
      </c>
      <c r="D100">
        <v>8.0575712701024234</v>
      </c>
      <c r="E100">
        <v>2610.6530915131852</v>
      </c>
      <c r="F100">
        <v>5.2318968736171128</v>
      </c>
      <c r="G100">
        <v>1695.1345870519444</v>
      </c>
      <c r="H100">
        <v>6.0519112612462127</v>
      </c>
      <c r="I100">
        <v>1960.8192486437729</v>
      </c>
      <c r="J100">
        <v>5.9983018429214328</v>
      </c>
      <c r="K100">
        <v>1943.4497971065441</v>
      </c>
      <c r="L100">
        <v>8</v>
      </c>
      <c r="M100">
        <v>2592</v>
      </c>
      <c r="N100">
        <v>9.5275291380107667</v>
      </c>
      <c r="O100">
        <v>3086.9194407154882</v>
      </c>
      <c r="P100">
        <v>5.0826658226973134</v>
      </c>
      <c r="Q100">
        <v>1646.7837265539295</v>
      </c>
      <c r="R100">
        <v>3.8437177627387677E-21</v>
      </c>
      <c r="S100">
        <v>1.2453645551273607E-18</v>
      </c>
      <c r="T100">
        <v>2.2743892087211644E-21</v>
      </c>
      <c r="U100">
        <v>7.3690210362565722E-19</v>
      </c>
      <c r="V100">
        <v>2.2477881653443087E-21</v>
      </c>
      <c r="W100">
        <v>7.2828336557155597E-19</v>
      </c>
      <c r="X100">
        <v>8.7807439906081211</v>
      </c>
      <c r="Y100">
        <v>2844.9610529570314</v>
      </c>
      <c r="Z100">
        <v>7.8541944849604448</v>
      </c>
      <c r="AA100">
        <v>2544.7590131271841</v>
      </c>
      <c r="AB100">
        <v>8.6723397438104897</v>
      </c>
      <c r="AC100">
        <v>2809.8380769945989</v>
      </c>
      <c r="AD100">
        <v>8.4379521831669635</v>
      </c>
      <c r="AE100">
        <v>2733.8965073460963</v>
      </c>
      <c r="AF100">
        <v>8.028108791413139</v>
      </c>
      <c r="AG100">
        <v>2601.1072484178571</v>
      </c>
      <c r="AH100">
        <v>1.4138689866136986</v>
      </c>
      <c r="AI100">
        <v>458.09355166283837</v>
      </c>
      <c r="AJ100">
        <v>7</v>
      </c>
      <c r="AK100">
        <v>2268</v>
      </c>
      <c r="AL100">
        <v>11</v>
      </c>
      <c r="AM100">
        <v>3564</v>
      </c>
      <c r="AN100">
        <v>14</v>
      </c>
      <c r="AO100">
        <v>4536</v>
      </c>
      <c r="AP100">
        <v>9</v>
      </c>
      <c r="AQ100">
        <v>2916</v>
      </c>
      <c r="AR100">
        <v>10</v>
      </c>
      <c r="AS100">
        <v>3240</v>
      </c>
      <c r="AT100">
        <v>6.1007932707208106</v>
      </c>
      <c r="AU100">
        <v>1976.6570197135427</v>
      </c>
      <c r="AV100">
        <v>9.80013280466477</v>
      </c>
      <c r="AW100">
        <v>3175.2430287113857</v>
      </c>
      <c r="AX100">
        <v>12</v>
      </c>
      <c r="AY100">
        <v>3888</v>
      </c>
      <c r="AZ100">
        <v>9</v>
      </c>
      <c r="BA100">
        <v>2916</v>
      </c>
      <c r="BB100">
        <v>12</v>
      </c>
      <c r="BC100">
        <v>3888</v>
      </c>
      <c r="BD100">
        <v>9.2217666033558725</v>
      </c>
      <c r="BE100">
        <v>2987.8523794873026</v>
      </c>
      <c r="BF100">
        <v>8.7095600860586053</v>
      </c>
      <c r="BG100">
        <v>2821.8974678829882</v>
      </c>
      <c r="BH100">
        <v>6.7870484951560357</v>
      </c>
      <c r="BI100">
        <v>2199.0037124305554</v>
      </c>
      <c r="BJ100">
        <v>8.9201208793479321</v>
      </c>
      <c r="BK100">
        <v>2890.11916490873</v>
      </c>
      <c r="BL100">
        <v>7.1771087534983424</v>
      </c>
      <c r="BM100">
        <v>2325.383236133463</v>
      </c>
      <c r="BN100">
        <v>5.6764405595850524</v>
      </c>
      <c r="BO100">
        <v>1839.166741305557</v>
      </c>
      <c r="BP100">
        <v>7.5160277779690974</v>
      </c>
      <c r="BQ100">
        <v>2435.1930000619877</v>
      </c>
      <c r="BR100">
        <v>6.7009688557052804</v>
      </c>
      <c r="BS100">
        <v>2171.1139092485109</v>
      </c>
      <c r="BT100">
        <v>8.4988259995895881</v>
      </c>
      <c r="BU100">
        <v>2753.6196238670263</v>
      </c>
      <c r="BV100">
        <v>3.3107464884067244</v>
      </c>
      <c r="BW100">
        <v>1072.6818622437786</v>
      </c>
      <c r="BX100">
        <v>12</v>
      </c>
      <c r="BY100">
        <v>3888</v>
      </c>
      <c r="BZ100">
        <v>9</v>
      </c>
      <c r="CA100">
        <v>2916</v>
      </c>
      <c r="CB100">
        <v>10.072457643788482</v>
      </c>
      <c r="CC100">
        <v>3263.4762765874684</v>
      </c>
      <c r="CD100">
        <v>2.0593309152851709</v>
      </c>
      <c r="CE100">
        <v>667.22321655239534</v>
      </c>
      <c r="CF100">
        <v>14</v>
      </c>
      <c r="CG100">
        <v>4536</v>
      </c>
      <c r="CH100">
        <v>10</v>
      </c>
      <c r="CI100">
        <v>3240</v>
      </c>
      <c r="CJ100">
        <v>2.5282869702204791</v>
      </c>
      <c r="CK100">
        <v>819.16497835143525</v>
      </c>
      <c r="CL100">
        <v>8.9201208793479321</v>
      </c>
      <c r="CM100">
        <v>2890.11916490873</v>
      </c>
      <c r="CN100">
        <v>0.68520232985980334</v>
      </c>
      <c r="CO100">
        <v>222.00555487457629</v>
      </c>
      <c r="CP100">
        <v>12</v>
      </c>
      <c r="CQ100">
        <v>3888</v>
      </c>
      <c r="CR100">
        <v>13</v>
      </c>
      <c r="CS100">
        <v>4212</v>
      </c>
      <c r="CT100">
        <v>9</v>
      </c>
      <c r="CU100">
        <v>2916</v>
      </c>
    </row>
    <row r="101" spans="2:99">
      <c r="C101" s="99" t="s">
        <v>268</v>
      </c>
      <c r="D101">
        <v>8.0575712701024234</v>
      </c>
      <c r="E101">
        <v>5830.4585710461133</v>
      </c>
      <c r="F101">
        <v>5.7075238621277586</v>
      </c>
      <c r="G101">
        <v>4129.9642666356467</v>
      </c>
      <c r="H101">
        <v>5.2954223535904363</v>
      </c>
      <c r="I101">
        <v>3831.7676150580401</v>
      </c>
      <c r="J101">
        <v>5.4530016753831205</v>
      </c>
      <c r="K101">
        <v>3945.7920123072263</v>
      </c>
      <c r="L101">
        <v>7</v>
      </c>
      <c r="M101">
        <v>5065.2</v>
      </c>
      <c r="N101">
        <v>9.5275291380107667</v>
      </c>
      <c r="O101">
        <v>6894.1200842645912</v>
      </c>
      <c r="P101">
        <v>5.5909324049670452</v>
      </c>
      <c r="Q101">
        <v>4045.598688234154</v>
      </c>
      <c r="R101">
        <v>3.8437177627387677E-21</v>
      </c>
      <c r="S101">
        <v>2.7813141731177725E-18</v>
      </c>
      <c r="T101">
        <v>2.2743892087211644E-21</v>
      </c>
      <c r="U101">
        <v>1.6457480314306346E-18</v>
      </c>
      <c r="V101">
        <v>2.2477881653443087E-21</v>
      </c>
      <c r="W101">
        <v>1.6264995164431417E-18</v>
      </c>
      <c r="X101">
        <v>8.7807439906081211</v>
      </c>
      <c r="Y101">
        <v>6353.746351604037</v>
      </c>
      <c r="Z101">
        <v>7.8541944849604448</v>
      </c>
      <c r="AA101">
        <v>5683.2951293173783</v>
      </c>
      <c r="AB101">
        <v>8.6723397438104897</v>
      </c>
      <c r="AC101">
        <v>6275.3050386212708</v>
      </c>
      <c r="AD101">
        <v>7.7347895012363832</v>
      </c>
      <c r="AE101">
        <v>5596.8936830946468</v>
      </c>
      <c r="AF101">
        <v>8.9201208793479321</v>
      </c>
      <c r="AG101">
        <v>6454.5994682961636</v>
      </c>
      <c r="AH101">
        <v>1.4138689866136986</v>
      </c>
      <c r="AI101">
        <v>1023.0755987136723</v>
      </c>
      <c r="AJ101">
        <v>6</v>
      </c>
      <c r="AK101">
        <v>4341.6000000000004</v>
      </c>
      <c r="AL101">
        <v>11</v>
      </c>
      <c r="AM101">
        <v>7959.6</v>
      </c>
      <c r="AN101">
        <v>14</v>
      </c>
      <c r="AO101">
        <v>10130.4</v>
      </c>
      <c r="AP101">
        <v>9</v>
      </c>
      <c r="AQ101">
        <v>6512.4000000000005</v>
      </c>
      <c r="AR101">
        <v>11</v>
      </c>
      <c r="AS101">
        <v>7959.6</v>
      </c>
      <c r="AT101">
        <v>4.880634616576649</v>
      </c>
      <c r="AU101">
        <v>3531.6272085548635</v>
      </c>
      <c r="AV101">
        <v>9.80013280466477</v>
      </c>
      <c r="AW101">
        <v>7091.376097455428</v>
      </c>
      <c r="AX101">
        <v>12</v>
      </c>
      <c r="AY101">
        <v>8683.2000000000007</v>
      </c>
      <c r="AZ101">
        <v>9</v>
      </c>
      <c r="BA101">
        <v>6512.4000000000005</v>
      </c>
      <c r="BB101">
        <v>11</v>
      </c>
      <c r="BC101">
        <v>7959.6</v>
      </c>
      <c r="BD101">
        <v>8.4532860530762157</v>
      </c>
      <c r="BE101">
        <v>6116.7977880059498</v>
      </c>
      <c r="BF101">
        <v>8.7095600860586053</v>
      </c>
      <c r="BG101">
        <v>6302.2376782720066</v>
      </c>
      <c r="BH101">
        <v>6.7870484951560357</v>
      </c>
      <c r="BI101">
        <v>4911.1082910949071</v>
      </c>
      <c r="BJ101">
        <v>8.028108791413139</v>
      </c>
      <c r="BK101">
        <v>5809.1395214665472</v>
      </c>
      <c r="BL101">
        <v>7.8948196288481771</v>
      </c>
      <c r="BM101">
        <v>5712.6914834345407</v>
      </c>
      <c r="BN101">
        <v>4.8655204796443305</v>
      </c>
      <c r="BO101">
        <v>3520.6906190706377</v>
      </c>
      <c r="BP101">
        <v>6.9378717950483972</v>
      </c>
      <c r="BQ101">
        <v>5020.2440308970208</v>
      </c>
      <c r="BR101">
        <v>6.0917898688229828</v>
      </c>
      <c r="BS101">
        <v>4408.0191490803109</v>
      </c>
      <c r="BT101">
        <v>7.1913143073450367</v>
      </c>
      <c r="BU101">
        <v>5203.6350327948685</v>
      </c>
      <c r="BV101">
        <v>3.3107464884067244</v>
      </c>
      <c r="BW101">
        <v>2395.656159011106</v>
      </c>
      <c r="BX101">
        <v>10</v>
      </c>
      <c r="BY101">
        <v>7236</v>
      </c>
      <c r="BZ101">
        <v>9</v>
      </c>
      <c r="CA101">
        <v>6512.4000000000005</v>
      </c>
      <c r="CB101">
        <v>9.297653209650905</v>
      </c>
      <c r="CC101">
        <v>6727.7818625033951</v>
      </c>
      <c r="CD101">
        <v>2.0593309152851709</v>
      </c>
      <c r="CE101">
        <v>1490.1318503003497</v>
      </c>
      <c r="CF101">
        <v>14</v>
      </c>
      <c r="CG101">
        <v>10130.4</v>
      </c>
      <c r="CH101">
        <v>9</v>
      </c>
      <c r="CI101">
        <v>6512.4000000000005</v>
      </c>
      <c r="CJ101">
        <v>2.7227705833143618</v>
      </c>
      <c r="CK101">
        <v>1970.1967940862723</v>
      </c>
      <c r="CL101">
        <v>8.1767774727356048</v>
      </c>
      <c r="CM101">
        <v>5916.7161792714842</v>
      </c>
      <c r="CN101">
        <v>0.68520232985980334</v>
      </c>
      <c r="CO101">
        <v>495.81240588655373</v>
      </c>
      <c r="CP101">
        <v>11</v>
      </c>
      <c r="CQ101">
        <v>7959.6</v>
      </c>
      <c r="CR101">
        <v>13</v>
      </c>
      <c r="CS101">
        <v>9406.8000000000011</v>
      </c>
      <c r="CT101">
        <v>9</v>
      </c>
      <c r="CU101">
        <v>6512.4000000000005</v>
      </c>
    </row>
    <row r="102" spans="2:99">
      <c r="C102" s="99" t="s">
        <v>269</v>
      </c>
      <c r="D102">
        <v>8.0575712701024234</v>
      </c>
      <c r="E102">
        <v>4283.4048871864488</v>
      </c>
      <c r="F102">
        <v>5.2318968736171128</v>
      </c>
      <c r="G102">
        <v>2781.2763780148571</v>
      </c>
      <c r="H102">
        <v>5.2954223535904363</v>
      </c>
      <c r="I102">
        <v>2815.0465231686762</v>
      </c>
      <c r="J102">
        <v>5.9983018429214328</v>
      </c>
      <c r="K102">
        <v>3188.6972596970336</v>
      </c>
      <c r="L102">
        <v>7</v>
      </c>
      <c r="M102">
        <v>3721.2000000000003</v>
      </c>
      <c r="N102">
        <v>9.5275291380107667</v>
      </c>
      <c r="O102">
        <v>5064.8344897665238</v>
      </c>
      <c r="P102">
        <v>5.5909324049670452</v>
      </c>
      <c r="Q102">
        <v>2972.1396664804815</v>
      </c>
      <c r="R102">
        <v>3.8437177627387677E-21</v>
      </c>
      <c r="S102">
        <v>2.0433203626719291E-18</v>
      </c>
      <c r="T102">
        <v>1.990090557631019E-21</v>
      </c>
      <c r="U102">
        <v>1.0579321404366498E-18</v>
      </c>
      <c r="V102">
        <v>2.5287616860123472E-21</v>
      </c>
      <c r="W102">
        <v>1.3442897122841638E-18</v>
      </c>
      <c r="X102">
        <v>9.7563822117868018</v>
      </c>
      <c r="Y102">
        <v>5186.492783785864</v>
      </c>
      <c r="Z102">
        <v>7.8541944849604448</v>
      </c>
      <c r="AA102">
        <v>4175.2897882049729</v>
      </c>
      <c r="AB102">
        <v>8.6723397438104897</v>
      </c>
      <c r="AC102">
        <v>4610.2158078096563</v>
      </c>
      <c r="AD102">
        <v>8.4379521831669635</v>
      </c>
      <c r="AE102">
        <v>4485.6153805715576</v>
      </c>
      <c r="AF102">
        <v>8.028108791413139</v>
      </c>
      <c r="AG102">
        <v>4267.742633515225</v>
      </c>
      <c r="AH102">
        <v>1.4138689866136986</v>
      </c>
      <c r="AI102">
        <v>751.61275328384227</v>
      </c>
      <c r="AJ102">
        <v>6</v>
      </c>
      <c r="AK102">
        <v>3189.6000000000004</v>
      </c>
      <c r="AL102">
        <v>11</v>
      </c>
      <c r="AM102">
        <v>5847.6</v>
      </c>
      <c r="AN102">
        <v>12</v>
      </c>
      <c r="AO102">
        <v>6379.2000000000007</v>
      </c>
      <c r="AP102">
        <v>8</v>
      </c>
      <c r="AQ102">
        <v>4252.8</v>
      </c>
      <c r="AR102">
        <v>11</v>
      </c>
      <c r="AS102">
        <v>5847.6</v>
      </c>
      <c r="AT102">
        <v>6.1007932707208106</v>
      </c>
      <c r="AU102">
        <v>3243.1817027151828</v>
      </c>
      <c r="AV102">
        <v>8.4001138325698026</v>
      </c>
      <c r="AW102">
        <v>4465.5005133941077</v>
      </c>
      <c r="AX102">
        <v>11</v>
      </c>
      <c r="AY102">
        <v>5847.6</v>
      </c>
      <c r="AZ102">
        <v>10</v>
      </c>
      <c r="BA102">
        <v>5316</v>
      </c>
      <c r="BB102">
        <v>12</v>
      </c>
      <c r="BC102">
        <v>6379.2000000000007</v>
      </c>
      <c r="BD102">
        <v>9.9902471536355275</v>
      </c>
      <c r="BE102">
        <v>5310.8153868726467</v>
      </c>
      <c r="BF102">
        <v>8.7095600860586053</v>
      </c>
      <c r="BG102">
        <v>4630.0021417487551</v>
      </c>
      <c r="BH102">
        <v>6.7870484951560357</v>
      </c>
      <c r="BI102">
        <v>3607.9949800249487</v>
      </c>
      <c r="BJ102">
        <v>8.028108791413139</v>
      </c>
      <c r="BK102">
        <v>4267.742633515225</v>
      </c>
      <c r="BL102">
        <v>8.6125305041980109</v>
      </c>
      <c r="BM102">
        <v>4578.4212160316629</v>
      </c>
      <c r="BN102">
        <v>5.6764405595850524</v>
      </c>
      <c r="BO102">
        <v>3017.5958014754142</v>
      </c>
      <c r="BP102">
        <v>7.5160277779690974</v>
      </c>
      <c r="BQ102">
        <v>3995.5203667683722</v>
      </c>
      <c r="BR102">
        <v>7.3101478425875799</v>
      </c>
      <c r="BS102">
        <v>3886.0745931195574</v>
      </c>
      <c r="BT102">
        <v>7.1913143073450367</v>
      </c>
      <c r="BU102">
        <v>3822.9026857846216</v>
      </c>
      <c r="BV102">
        <v>3.3107464884067244</v>
      </c>
      <c r="BW102">
        <v>1759.9928332370148</v>
      </c>
      <c r="BX102">
        <v>11</v>
      </c>
      <c r="BY102">
        <v>5847.6</v>
      </c>
      <c r="BZ102">
        <v>8</v>
      </c>
      <c r="CA102">
        <v>4252.8</v>
      </c>
      <c r="CB102">
        <v>10.847262077926057</v>
      </c>
      <c r="CC102">
        <v>5766.4045206254923</v>
      </c>
      <c r="CD102">
        <v>2.0593309152851709</v>
      </c>
      <c r="CE102">
        <v>1094.7403145655969</v>
      </c>
      <c r="CF102">
        <v>12</v>
      </c>
      <c r="CG102">
        <v>6379.2000000000007</v>
      </c>
      <c r="CH102">
        <v>9</v>
      </c>
      <c r="CI102">
        <v>4784.4000000000005</v>
      </c>
      <c r="CJ102">
        <v>2.3338033571265964</v>
      </c>
      <c r="CK102">
        <v>1240.6498646484986</v>
      </c>
      <c r="CL102">
        <v>8.1767774727356048</v>
      </c>
      <c r="CM102">
        <v>4346.7749045062474</v>
      </c>
      <c r="CN102">
        <v>0.59955203862732787</v>
      </c>
      <c r="CO102">
        <v>318.72186373428752</v>
      </c>
      <c r="CP102">
        <v>11</v>
      </c>
      <c r="CQ102">
        <v>5847.6</v>
      </c>
      <c r="CR102">
        <v>12</v>
      </c>
      <c r="CS102">
        <v>6379.2000000000007</v>
      </c>
      <c r="CT102">
        <v>9</v>
      </c>
      <c r="CU102">
        <v>4784.4000000000005</v>
      </c>
    </row>
    <row r="103" spans="2:99">
      <c r="C103" s="99" t="s">
        <v>270</v>
      </c>
      <c r="D103">
        <v>8.0575712701024234</v>
      </c>
      <c r="E103">
        <v>4747.5209923443472</v>
      </c>
      <c r="F103">
        <v>6.1831508506384054</v>
      </c>
      <c r="G103">
        <v>3643.1124811961481</v>
      </c>
      <c r="H103">
        <v>6.0519112612462127</v>
      </c>
      <c r="I103">
        <v>3565.7861151262682</v>
      </c>
      <c r="J103">
        <v>5.9983018429214328</v>
      </c>
      <c r="K103">
        <v>3534.1994458493077</v>
      </c>
      <c r="L103">
        <v>7</v>
      </c>
      <c r="M103">
        <v>4124.3999999999996</v>
      </c>
      <c r="N103">
        <v>8.5747762242096908</v>
      </c>
      <c r="O103">
        <v>5052.2581513043497</v>
      </c>
      <c r="P103">
        <v>5.0826658226973134</v>
      </c>
      <c r="Q103">
        <v>2994.7067027332569</v>
      </c>
      <c r="R103">
        <v>4.3928203002728773E-21</v>
      </c>
      <c r="S103">
        <v>2.5882497209207792E-18</v>
      </c>
      <c r="T103">
        <v>2.5586878598113101E-21</v>
      </c>
      <c r="U103">
        <v>1.5075788870008237E-18</v>
      </c>
      <c r="V103">
        <v>2.5287616860123472E-21</v>
      </c>
      <c r="W103">
        <v>1.4899463853984747E-18</v>
      </c>
      <c r="X103">
        <v>7.8051057694294421</v>
      </c>
      <c r="Y103">
        <v>4598.7683193478269</v>
      </c>
      <c r="Z103">
        <v>7.8541944849604448</v>
      </c>
      <c r="AA103">
        <v>4627.6913905386937</v>
      </c>
      <c r="AB103">
        <v>9.3394428010266832</v>
      </c>
      <c r="AC103">
        <v>5502.7996983649209</v>
      </c>
      <c r="AD103">
        <v>9.1411148650975438</v>
      </c>
      <c r="AE103">
        <v>5385.9448785154718</v>
      </c>
      <c r="AF103">
        <v>8.9201208793479321</v>
      </c>
      <c r="AG103">
        <v>5255.7352221118008</v>
      </c>
      <c r="AH103">
        <v>1.2118877028117416</v>
      </c>
      <c r="AI103">
        <v>714.04423449667809</v>
      </c>
      <c r="AJ103">
        <v>7</v>
      </c>
      <c r="AK103">
        <v>4124.3999999999996</v>
      </c>
      <c r="AL103">
        <v>10</v>
      </c>
      <c r="AM103">
        <v>5891.9999999999991</v>
      </c>
      <c r="AN103">
        <v>12</v>
      </c>
      <c r="AO103">
        <v>7070.4</v>
      </c>
      <c r="AP103">
        <v>9</v>
      </c>
      <c r="AQ103">
        <v>5302.7999999999993</v>
      </c>
      <c r="AR103">
        <v>11</v>
      </c>
      <c r="AS103">
        <v>6481.1999999999989</v>
      </c>
      <c r="AT103">
        <v>5.4907139436487293</v>
      </c>
      <c r="AU103">
        <v>3235.1286555978309</v>
      </c>
      <c r="AV103">
        <v>8.4001138325698026</v>
      </c>
      <c r="AW103">
        <v>4949.3470701501274</v>
      </c>
      <c r="AX103">
        <v>12</v>
      </c>
      <c r="AY103">
        <v>7070.4</v>
      </c>
      <c r="AZ103">
        <v>9</v>
      </c>
      <c r="BA103">
        <v>5302.7999999999993</v>
      </c>
      <c r="BB103">
        <v>11</v>
      </c>
      <c r="BC103">
        <v>6481.1999999999989</v>
      </c>
      <c r="BD103">
        <v>9.9902471536355275</v>
      </c>
      <c r="BE103">
        <v>5886.2536229220523</v>
      </c>
      <c r="BF103">
        <v>8.0395939255925573</v>
      </c>
      <c r="BG103">
        <v>4736.9287409591343</v>
      </c>
      <c r="BH103">
        <v>6.7870484951560357</v>
      </c>
      <c r="BI103">
        <v>3998.9289733459359</v>
      </c>
      <c r="BJ103">
        <v>8.9201208793479321</v>
      </c>
      <c r="BK103">
        <v>5255.7352221118008</v>
      </c>
      <c r="BL103">
        <v>7.8948196288481771</v>
      </c>
      <c r="BM103">
        <v>4651.6277253173457</v>
      </c>
      <c r="BN103">
        <v>5.6764405595850524</v>
      </c>
      <c r="BO103">
        <v>3344.5587777075125</v>
      </c>
      <c r="BP103">
        <v>6.9378717950483972</v>
      </c>
      <c r="BQ103">
        <v>4087.7940616425153</v>
      </c>
      <c r="BR103">
        <v>7.3101478425875799</v>
      </c>
      <c r="BS103">
        <v>4307.1391088526016</v>
      </c>
      <c r="BT103">
        <v>8.4988259995895881</v>
      </c>
      <c r="BU103">
        <v>5007.5082789581847</v>
      </c>
      <c r="BV103">
        <v>3.3107464884067244</v>
      </c>
      <c r="BW103">
        <v>1950.6918309692417</v>
      </c>
      <c r="BX103">
        <v>11</v>
      </c>
      <c r="BY103">
        <v>6481.1999999999989</v>
      </c>
      <c r="BZ103">
        <v>9</v>
      </c>
      <c r="CA103">
        <v>5302.7999999999993</v>
      </c>
      <c r="CB103">
        <v>10.072457643788482</v>
      </c>
      <c r="CC103">
        <v>5934.6920437201734</v>
      </c>
      <c r="CD103">
        <v>2.0593309152851709</v>
      </c>
      <c r="CE103">
        <v>1213.3577752860226</v>
      </c>
      <c r="CF103">
        <v>13</v>
      </c>
      <c r="CG103">
        <v>7659.5999999999995</v>
      </c>
      <c r="CH103">
        <v>9</v>
      </c>
      <c r="CI103">
        <v>5302.7999999999993</v>
      </c>
      <c r="CJ103">
        <v>2.5282869702204791</v>
      </c>
      <c r="CK103">
        <v>1489.6666828539062</v>
      </c>
      <c r="CL103">
        <v>7.4334340661232767</v>
      </c>
      <c r="CM103">
        <v>4379.7793517598338</v>
      </c>
      <c r="CN103">
        <v>0.59955203862732787</v>
      </c>
      <c r="CO103">
        <v>353.25606115922153</v>
      </c>
      <c r="CP103">
        <v>11</v>
      </c>
      <c r="CQ103">
        <v>6481.1999999999989</v>
      </c>
      <c r="CR103">
        <v>11</v>
      </c>
      <c r="CS103">
        <v>6481.1999999999989</v>
      </c>
      <c r="CT103">
        <v>8</v>
      </c>
      <c r="CU103">
        <v>4713.5999999999995</v>
      </c>
    </row>
    <row r="104" spans="2:99">
      <c r="C104" s="99" t="s">
        <v>271</v>
      </c>
      <c r="D104">
        <v>7.2518141430921803</v>
      </c>
      <c r="E104">
        <v>4586.047264091495</v>
      </c>
      <c r="F104">
        <v>5.7075238621277586</v>
      </c>
      <c r="G104">
        <v>3609.4380904095942</v>
      </c>
      <c r="H104">
        <v>5.2954223535904363</v>
      </c>
      <c r="I104">
        <v>3348.8250964105919</v>
      </c>
      <c r="J104">
        <v>5.4530016753831205</v>
      </c>
      <c r="K104">
        <v>3448.4782595122851</v>
      </c>
      <c r="L104">
        <v>7</v>
      </c>
      <c r="M104">
        <v>4426.8</v>
      </c>
      <c r="N104">
        <v>9.5275291380107667</v>
      </c>
      <c r="O104">
        <v>6025.2094268780083</v>
      </c>
      <c r="P104">
        <v>4.5743992404275824</v>
      </c>
      <c r="Q104">
        <v>2892.8500796464032</v>
      </c>
      <c r="R104">
        <v>4.3928203002728773E-21</v>
      </c>
      <c r="S104">
        <v>2.7780195578925673E-18</v>
      </c>
      <c r="T104">
        <v>1.990090557631019E-21</v>
      </c>
      <c r="U104">
        <v>1.2585332686458563E-18</v>
      </c>
      <c r="V104">
        <v>2.5287616860123472E-21</v>
      </c>
      <c r="W104">
        <v>1.5991888902342083E-18</v>
      </c>
      <c r="X104">
        <v>8.7807439906081211</v>
      </c>
      <c r="Y104">
        <v>5552.9424996605758</v>
      </c>
      <c r="Z104">
        <v>7.8541944849604448</v>
      </c>
      <c r="AA104">
        <v>4966.9925922889852</v>
      </c>
      <c r="AB104">
        <v>8.0052366865942979</v>
      </c>
      <c r="AC104">
        <v>5062.5116806022334</v>
      </c>
      <c r="AD104">
        <v>9.1411148650975438</v>
      </c>
      <c r="AE104">
        <v>5780.8410406876865</v>
      </c>
      <c r="AF104">
        <v>7.136096703478346</v>
      </c>
      <c r="AG104">
        <v>4512.8675552797058</v>
      </c>
      <c r="AH104">
        <v>1.2118877028117416</v>
      </c>
      <c r="AI104">
        <v>766.39778325814541</v>
      </c>
      <c r="AJ104">
        <v>6</v>
      </c>
      <c r="AK104">
        <v>3794.3999999999996</v>
      </c>
      <c r="AL104">
        <v>10</v>
      </c>
      <c r="AM104">
        <v>6324</v>
      </c>
      <c r="AN104">
        <v>13</v>
      </c>
      <c r="AO104">
        <v>8221.1999999999989</v>
      </c>
      <c r="AP104">
        <v>8</v>
      </c>
      <c r="AQ104">
        <v>5059.2</v>
      </c>
      <c r="AR104">
        <v>12</v>
      </c>
      <c r="AS104">
        <v>7588.7999999999993</v>
      </c>
      <c r="AT104">
        <v>5.4907139436487293</v>
      </c>
      <c r="AU104">
        <v>3472.3274979634562</v>
      </c>
      <c r="AV104">
        <v>9.1001233186172854</v>
      </c>
      <c r="AW104">
        <v>5754.917986693571</v>
      </c>
      <c r="AX104">
        <v>11</v>
      </c>
      <c r="AY104">
        <v>6956.4</v>
      </c>
      <c r="AZ104">
        <v>9</v>
      </c>
      <c r="BA104">
        <v>5691.5999999999995</v>
      </c>
      <c r="BB104">
        <v>13</v>
      </c>
      <c r="BC104">
        <v>8221.1999999999989</v>
      </c>
      <c r="BD104">
        <v>9.9902471536355275</v>
      </c>
      <c r="BE104">
        <v>6317.8322999591073</v>
      </c>
      <c r="BF104">
        <v>8.0395939255925573</v>
      </c>
      <c r="BG104">
        <v>5084.239198544733</v>
      </c>
      <c r="BH104">
        <v>5.8174701387051737</v>
      </c>
      <c r="BI104">
        <v>3678.9681157171517</v>
      </c>
      <c r="BJ104">
        <v>8.9201208793479321</v>
      </c>
      <c r="BK104">
        <v>5641.0844440996325</v>
      </c>
      <c r="BL104">
        <v>7.1771087534983424</v>
      </c>
      <c r="BM104">
        <v>4538.8035757123516</v>
      </c>
      <c r="BN104">
        <v>4.8655204796443305</v>
      </c>
      <c r="BO104">
        <v>3076.9551513270744</v>
      </c>
      <c r="BP104">
        <v>6.359715812127698</v>
      </c>
      <c r="BQ104">
        <v>4021.8842795895562</v>
      </c>
      <c r="BR104">
        <v>6.0917898688229828</v>
      </c>
      <c r="BS104">
        <v>3852.4479130436544</v>
      </c>
      <c r="BT104">
        <v>7.1913143073450367</v>
      </c>
      <c r="BU104">
        <v>4547.7871679650007</v>
      </c>
      <c r="BV104">
        <v>2.8969031773558838</v>
      </c>
      <c r="BW104">
        <v>1832.0015693598609</v>
      </c>
      <c r="BX104">
        <v>12</v>
      </c>
      <c r="BY104">
        <v>7588.7999999999993</v>
      </c>
      <c r="BZ104">
        <v>9</v>
      </c>
      <c r="CA104">
        <v>5691.5999999999995</v>
      </c>
      <c r="CB104">
        <v>10.072457643788482</v>
      </c>
      <c r="CC104">
        <v>6369.8222139318359</v>
      </c>
      <c r="CD104">
        <v>2.0593309152851709</v>
      </c>
      <c r="CE104">
        <v>1302.3208708263421</v>
      </c>
      <c r="CF104">
        <v>14</v>
      </c>
      <c r="CG104">
        <v>8853.6</v>
      </c>
      <c r="CH104">
        <v>10</v>
      </c>
      <c r="CI104">
        <v>6324</v>
      </c>
      <c r="CJ104">
        <v>2.1393197440327132</v>
      </c>
      <c r="CK104">
        <v>1352.9058061262879</v>
      </c>
      <c r="CL104">
        <v>8.1767774727356048</v>
      </c>
      <c r="CM104">
        <v>5170.9940737579964</v>
      </c>
      <c r="CN104">
        <v>0.68520232985980334</v>
      </c>
      <c r="CO104">
        <v>433.32195340333959</v>
      </c>
      <c r="CP104">
        <v>11</v>
      </c>
      <c r="CQ104">
        <v>6956.4</v>
      </c>
      <c r="CR104">
        <v>12</v>
      </c>
      <c r="CS104">
        <v>7588.7999999999993</v>
      </c>
      <c r="CT104">
        <v>8</v>
      </c>
      <c r="CU104">
        <v>5059.2</v>
      </c>
    </row>
    <row r="105" spans="2:99">
      <c r="C105" s="99" t="s">
        <v>272</v>
      </c>
      <c r="D105">
        <v>7.2518141430921803</v>
      </c>
      <c r="E105">
        <v>4037.8101148737255</v>
      </c>
      <c r="F105">
        <v>5.2318968736171128</v>
      </c>
      <c r="G105">
        <v>2913.120179230008</v>
      </c>
      <c r="H105">
        <v>5.2954223535904363</v>
      </c>
      <c r="I105">
        <v>2948.4911664791548</v>
      </c>
      <c r="J105">
        <v>5.4530016753831205</v>
      </c>
      <c r="K105">
        <v>3036.2313328533214</v>
      </c>
      <c r="L105">
        <v>7</v>
      </c>
      <c r="M105">
        <v>3897.5999999999995</v>
      </c>
      <c r="N105">
        <v>9.5275291380107667</v>
      </c>
      <c r="O105">
        <v>5304.9282240443945</v>
      </c>
      <c r="P105">
        <v>4.5743992404275824</v>
      </c>
      <c r="Q105">
        <v>2547.0254970700776</v>
      </c>
      <c r="R105">
        <v>3.8437177627387677E-21</v>
      </c>
      <c r="S105">
        <v>2.1401820502929456E-18</v>
      </c>
      <c r="T105">
        <v>1.990090557631019E-21</v>
      </c>
      <c r="U105">
        <v>1.1080824224889512E-18</v>
      </c>
      <c r="V105">
        <v>2.5287616860123472E-21</v>
      </c>
      <c r="W105">
        <v>1.4080145067716748E-18</v>
      </c>
      <c r="X105">
        <v>9.7563822117868018</v>
      </c>
      <c r="Y105">
        <v>5432.3536155228903</v>
      </c>
      <c r="Z105">
        <v>7.8541944849604448</v>
      </c>
      <c r="AA105">
        <v>4373.215489225975</v>
      </c>
      <c r="AB105">
        <v>8.0052366865942979</v>
      </c>
      <c r="AC105">
        <v>4457.3157870957048</v>
      </c>
      <c r="AD105">
        <v>7.7347895012363832</v>
      </c>
      <c r="AE105">
        <v>4306.7307942884181</v>
      </c>
      <c r="AF105">
        <v>8.028108791413139</v>
      </c>
      <c r="AG105">
        <v>4470.0509750588353</v>
      </c>
      <c r="AH105">
        <v>1.4138689866136986</v>
      </c>
      <c r="AI105">
        <v>787.24225174650735</v>
      </c>
      <c r="AJ105">
        <v>6</v>
      </c>
      <c r="AK105">
        <v>3340.7999999999997</v>
      </c>
      <c r="AL105">
        <v>10</v>
      </c>
      <c r="AM105">
        <v>5568</v>
      </c>
      <c r="AN105">
        <v>14</v>
      </c>
      <c r="AO105">
        <v>7795.1999999999989</v>
      </c>
      <c r="AP105">
        <v>10</v>
      </c>
      <c r="AQ105">
        <v>5568</v>
      </c>
      <c r="AR105">
        <v>11</v>
      </c>
      <c r="AS105">
        <v>6124.7999999999993</v>
      </c>
      <c r="AT105">
        <v>5.4907139436487293</v>
      </c>
      <c r="AU105">
        <v>3057.2295238236125</v>
      </c>
      <c r="AV105">
        <v>8.4001138325698026</v>
      </c>
      <c r="AW105">
        <v>4677.1833819748654</v>
      </c>
      <c r="AX105">
        <v>12</v>
      </c>
      <c r="AY105">
        <v>6681.5999999999995</v>
      </c>
      <c r="AZ105">
        <v>9</v>
      </c>
      <c r="BA105">
        <v>5011.2</v>
      </c>
      <c r="BB105">
        <v>11</v>
      </c>
      <c r="BC105">
        <v>6124.7999999999993</v>
      </c>
      <c r="BD105">
        <v>9.2217666033558725</v>
      </c>
      <c r="BE105">
        <v>5134.6796447485494</v>
      </c>
      <c r="BF105">
        <v>8.7095600860586053</v>
      </c>
      <c r="BG105">
        <v>4849.4830559174306</v>
      </c>
      <c r="BH105">
        <v>6.7870484951560357</v>
      </c>
      <c r="BI105">
        <v>3779.0286021028805</v>
      </c>
      <c r="BJ105">
        <v>8.9201208793479321</v>
      </c>
      <c r="BK105">
        <v>4966.7233056209279</v>
      </c>
      <c r="BL105">
        <v>7.1771087534983424</v>
      </c>
      <c r="BM105">
        <v>3996.2141539478766</v>
      </c>
      <c r="BN105">
        <v>5.6764405595850524</v>
      </c>
      <c r="BO105">
        <v>3160.6421035769567</v>
      </c>
      <c r="BP105">
        <v>6.9378717950483972</v>
      </c>
      <c r="BQ105">
        <v>3863.0070154829473</v>
      </c>
      <c r="BR105">
        <v>7.3101478425875799</v>
      </c>
      <c r="BS105">
        <v>4070.2903187527641</v>
      </c>
      <c r="BT105">
        <v>7.1913143073450367</v>
      </c>
      <c r="BU105">
        <v>4004.123806329716</v>
      </c>
      <c r="BV105">
        <v>3.3107464884067244</v>
      </c>
      <c r="BW105">
        <v>1843.4236447448641</v>
      </c>
      <c r="BX105">
        <v>12</v>
      </c>
      <c r="BY105">
        <v>6681.5999999999995</v>
      </c>
      <c r="BZ105">
        <v>9</v>
      </c>
      <c r="CA105">
        <v>5011.2</v>
      </c>
      <c r="CB105">
        <v>9.297653209650905</v>
      </c>
      <c r="CC105">
        <v>5176.9333071336232</v>
      </c>
      <c r="CD105">
        <v>2.0593309152851709</v>
      </c>
      <c r="CE105">
        <v>1146.6354536307831</v>
      </c>
      <c r="CF105">
        <v>14</v>
      </c>
      <c r="CG105">
        <v>7795.1999999999989</v>
      </c>
      <c r="CH105">
        <v>10</v>
      </c>
      <c r="CI105">
        <v>5568</v>
      </c>
      <c r="CJ105">
        <v>2.7227705833143618</v>
      </c>
      <c r="CK105">
        <v>1516.0386607894366</v>
      </c>
      <c r="CL105">
        <v>8.1767774727356048</v>
      </c>
      <c r="CM105">
        <v>4552.8296968191844</v>
      </c>
      <c r="CN105">
        <v>0.68520232985980334</v>
      </c>
      <c r="CO105">
        <v>381.5206572659385</v>
      </c>
      <c r="CP105">
        <v>10</v>
      </c>
      <c r="CQ105">
        <v>5568</v>
      </c>
      <c r="CR105">
        <v>13</v>
      </c>
      <c r="CS105">
        <v>7238.4</v>
      </c>
      <c r="CT105">
        <v>9</v>
      </c>
      <c r="CU105">
        <v>5011.2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326.62763002456688</v>
      </c>
      <c r="E109">
        <f>SUM(L$6:L$19)+SUM(N$6:N$19)+SUM(P$6:P$19)+SUM(R$6:R$19)</f>
        <v>421.40837732588352</v>
      </c>
      <c r="F109">
        <f>SUM(T$6:T$19)+SUM(V$6:V$19)+SUM(X$6:X$19)+SUM(Z$6:Z$19)</f>
        <v>426</v>
      </c>
      <c r="G109">
        <f>SUM(AB$6:AB$19)+SUM(AD$6:AD$19)+SUM(AF$6:AF$19)+SUM(AH$6:AH$19)</f>
        <v>377.56886881206646</v>
      </c>
      <c r="H109">
        <f>SUM(AJ$6:AJ$19)+SUM(AL$6:AL$19)+SUM(AN$6:AN$19)+SUM(AP$6:AP$19)</f>
        <v>369.97291174979404</v>
      </c>
      <c r="I109">
        <f>SUM(AR$6:AR$19)+SUM(AT$6:AT$19)+SUM(AV$6:AV$19)+SUM(AX$6:AX$19)</f>
        <v>464</v>
      </c>
      <c r="J109">
        <f>SUM(AZ$6:AZ$19)+SUM(BB$6:BB$19)+SUM(BD$6:BD$19)+SUM(BF$6:BF$19)</f>
        <v>498</v>
      </c>
      <c r="K109">
        <f>SUM(BH$6:BH$19)+SUM(BJ$6:BJ$19)+SUM(BL$6:BL$19)+SUM(BN$6:BN$19)</f>
        <v>532</v>
      </c>
      <c r="L109">
        <f>SUM(BP$6:BP$19)+SUM(BR$6:BR$19)+SUM(BT$6:BT$19)+SUM(BV$6:BV$19)</f>
        <v>510</v>
      </c>
      <c r="M109">
        <f>SUM(BX$6:BX$19)+SUM(BZ$6:BZ$19)+SUM(CB$6:CB$19)+SUM(CD$6:CD$19)</f>
        <v>594.86164370729841</v>
      </c>
      <c r="N109">
        <f>SUM(CF$6:CF$19)+SUM(CH$6:CH$19)+SUM(CJ$6:CJ$19)+SUM(CL$6:CL$19)</f>
        <v>482.89400962508546</v>
      </c>
      <c r="O109">
        <f>SUM(CN$6:CN$19)+SUM(CP$6:CP$19)+SUM(CR$6:CR$19)+SUM(CT$6:CT$19)</f>
        <v>495.83173820001309</v>
      </c>
    </row>
    <row r="110" spans="2:99">
      <c r="C110" s="99" t="s">
        <v>127</v>
      </c>
      <c r="D110">
        <f>SUM(D$20:D$36)+SUM(F$20:F$36)+SUM(H$20:H$36)+SUM(J$20:J$36)</f>
        <v>762.49184758700721</v>
      </c>
      <c r="E110">
        <f>SUM(L$20:L$36)+SUM(N$20:N$36)+SUM(P$20:P$36)+SUM(R$20:R$36)</f>
        <v>1057.4586856811552</v>
      </c>
      <c r="F110">
        <f>SUM(T$20:T$36)+SUM(V$20:V$36)+SUM(X$20:X$36)+SUM(Z$20:Z$36)</f>
        <v>1023</v>
      </c>
      <c r="G110">
        <f>SUM(AB$20:AB$36)+SUM(AD$20:AD$36)+SUM(AF$20:AF$36)+SUM(AH$20:AH$36)</f>
        <v>845.67822158882564</v>
      </c>
      <c r="H110">
        <f>SUM(AJ$20:AJ$36)+SUM(AL$20:AL$36)+SUM(AN$20:AN$36)+SUM(AP$20:AP$36)</f>
        <v>904.91468919760803</v>
      </c>
      <c r="I110">
        <f>SUM(AR$20:AR$36)+SUM(AT$20:AT$36)+SUM(AV$20:AV$36)+SUM(AX$20:AX$36)</f>
        <v>1127</v>
      </c>
      <c r="J110">
        <f>SUM(AZ$20:AZ$36)+SUM(BB$20:BB$36)+SUM(BD$20:BD$36)+SUM(BF$20:BF$36)</f>
        <v>968</v>
      </c>
      <c r="K110">
        <f>SUM(BH$20:BH$36)+SUM(BJ$20:BJ$36)+SUM(BL$20:BL$36)+SUM(BN$20:BN$36)</f>
        <v>1198</v>
      </c>
      <c r="L110">
        <f>SUM(BP$20:BP$36)+SUM(BR$20:BR$36)+SUM(BT$20:BT$36)+SUM(BV$20:BV$36)</f>
        <v>1159</v>
      </c>
      <c r="M110">
        <f>SUM(BX$20:BX$36)+SUM(BZ$20:BZ$36)+SUM(CB$20:CB$36)+SUM(CD$20:CD$36)</f>
        <v>1085.7531035850161</v>
      </c>
      <c r="N110">
        <f>SUM(CF$20:CF$36)+SUM(CH$20:CH$36)+SUM(CJ$20:CJ$36)+SUM(CL$20:CL$36)</f>
        <v>974.1377515812751</v>
      </c>
      <c r="O110">
        <f>SUM(CN$20:CN$36)+SUM(CP$20:CP$36)+SUM(CR$20:CR$36)+SUM(CT$20:CT$36)</f>
        <v>1241.7149014605443</v>
      </c>
    </row>
    <row r="111" spans="2:99">
      <c r="C111" s="99" t="s">
        <v>128</v>
      </c>
      <c r="D111">
        <f>SUM(D$37:D$48)+SUM(F$37:F$48)+SUM(H$37:H$48)+SUM(J$37:J$48)</f>
        <v>395.09058923160933</v>
      </c>
      <c r="E111">
        <f>SUM(L$37:L$48)+SUM(N$37:N$48)+SUM(P$37:P$48)+SUM(R$37:R$48)</f>
        <v>533.59298929511647</v>
      </c>
      <c r="F111">
        <f>SUM(T$37:T$48)+SUM(V$37:V$48)+SUM(X$37:X$48)+SUM(Z$37:Z$48)</f>
        <v>506</v>
      </c>
      <c r="G111">
        <f>SUM(AB$37:AB$48)+SUM(AD$37:AD$48)+SUM(AF$37:AF$48)+SUM(AH$37:AH$48)</f>
        <v>532.53276677087467</v>
      </c>
      <c r="H111">
        <f>SUM(AJ$37:AJ$48)+SUM(AL$37:AL$48)+SUM(AN$37:AN$48)+SUM(AP$37:AP$48)</f>
        <v>403.24828550216614</v>
      </c>
      <c r="I111">
        <f>SUM(AR$37:AR$48)+SUM(AT$37:AT$48)+SUM(AV$37:AV$48)+SUM(AX$37:AX$48)</f>
        <v>446</v>
      </c>
      <c r="J111">
        <f>SUM(AZ$37:AZ$48)+SUM(BB$37:BB$48)+SUM(BD$37:BD$48)+SUM(BF$37:BF$48)</f>
        <v>439</v>
      </c>
      <c r="K111">
        <f>SUM(BH$37:BH$48)+SUM(BJ$37:BJ$48)+SUM(BL$37:BL$48)+SUM(BN$37:BN$48)</f>
        <v>451</v>
      </c>
      <c r="L111">
        <f>SUM(BP$37:BP$48)+SUM(BR$37:BR$48)+SUM(BT$37:BT$48)+SUM(BV$37:BV$48)</f>
        <v>538</v>
      </c>
      <c r="M111">
        <f>SUM(BX$37:BX$48)+SUM(BZ$37:BZ$48)+SUM(CB$37:CB$48)+SUM(CD$37:CD$48)</f>
        <v>501.28107327445667</v>
      </c>
      <c r="N111">
        <f>SUM(CF$37:CF$48)+SUM(CH$37:CH$48)+SUM(CJ$37:CJ$48)+SUM(CL$37:CL$48)</f>
        <v>526.97853674336955</v>
      </c>
      <c r="O111">
        <f>SUM(CN$37:CN$48)+SUM(CP$37:CP$48)+SUM(CR$37:CR$48)+SUM(CT$37:CT$48)</f>
        <v>547.39015656974743</v>
      </c>
    </row>
    <row r="112" spans="2:99">
      <c r="C112" s="99" t="s">
        <v>129</v>
      </c>
      <c r="D112">
        <f>SUM(D$49:D$70)+SUM(F$49:F$70)+SUM(H$49:H$70)+SUM(J$49:J$70)</f>
        <v>660.24496946114573</v>
      </c>
      <c r="E112">
        <f>SUM(L$49:L$70)+SUM(N$49:N$70)+SUM(P$49:P$70)+SUM(R$49:R$70)</f>
        <v>756.47227104937338</v>
      </c>
      <c r="F112">
        <f>SUM(T$49:T$70)+SUM(V$49:V$70)+SUM(X$49:X$70)+SUM(Z$49:Z$70)</f>
        <v>686.97462328641348</v>
      </c>
      <c r="G112">
        <f>SUM(AB$49:AB$70)+SUM(AD$49:AD$70)+SUM(AF$49:AF$70)+SUM(AH$49:AH$70)</f>
        <v>652.10225150661404</v>
      </c>
      <c r="H112">
        <f>SUM(AJ$49:AJ$70)+SUM(AL$49:AL$70)+SUM(AN$49:AN$70)+SUM(AP$49:AP$70)</f>
        <v>474.13566057775103</v>
      </c>
      <c r="I112">
        <f>SUM(AR$49:AR$70)+SUM(AT$49:AT$70)+SUM(AV$49:AV$70)+SUM(AX$49:AX$70)</f>
        <v>690.26141152386549</v>
      </c>
      <c r="J112">
        <f>SUM(AZ$49:AZ$70)+SUM(BB$49:BB$70)+SUM(BD$49:BD$70)+SUM(BF$49:BF$70)</f>
        <v>661.08732185087592</v>
      </c>
      <c r="K112">
        <f>SUM(BH$49:BH$70)+SUM(BJ$49:BJ$70)+SUM(BL$49:BL$70)+SUM(BN$49:BN$70)</f>
        <v>560.32958876166981</v>
      </c>
      <c r="L112">
        <f>SUM(BP$49:BP$70)+SUM(BR$49:BR$70)+SUM(BT$49:BT$70)+SUM(BV$49:BV$70)</f>
        <v>651.63295888514517</v>
      </c>
      <c r="M112">
        <f>SUM(BX$49:BX$70)+SUM(BZ$49:BZ$70)+SUM(CB$49:CB$70)+SUM(CD$49:CD$70)</f>
        <v>696.76576671417274</v>
      </c>
      <c r="N112">
        <f>SUM(CF$49:CF$70)+SUM(CH$49:CH$70)+SUM(CJ$49:CJ$70)+SUM(CL$49:CL$70)</f>
        <v>568.33967769957383</v>
      </c>
      <c r="O112">
        <f>SUM(CN$49:CN$70)+SUM(CP$49:CP$70)+SUM(CR$49:CR$70)+SUM(CT$49:CT$70)</f>
        <v>542.60873146269432</v>
      </c>
    </row>
    <row r="113" spans="2:15">
      <c r="C113" s="99" t="s">
        <v>130</v>
      </c>
      <c r="D113">
        <f>SUM(D$71:D$86)+SUM(F$71:F$86)+SUM(H$71:H$86)+SUM(J$71:J$86)</f>
        <v>623.2722239105176</v>
      </c>
      <c r="E113">
        <f>SUM(L$71:L$86)+SUM(N$71:N$86)+SUM(P$71:P$86)+SUM(R$71:R$86)</f>
        <v>431.67520622475956</v>
      </c>
      <c r="F113">
        <f>SUM(T$71:T$86)+SUM(V$71:V$86)+SUM(X$71:X$86)+SUM(Z$71:Z$86)</f>
        <v>397.70916960823672</v>
      </c>
      <c r="G113">
        <f>SUM(AB$71:AB$86)+SUM(AD$71:AD$86)+SUM(AF$71:AF$86)+SUM(AH$71:AH$86)</f>
        <v>541</v>
      </c>
      <c r="H113">
        <f>SUM(AJ$71:AJ$86)+SUM(AL$71:AL$86)+SUM(AN$71:AN$86)+SUM(AP$71:AP$86)</f>
        <v>636.12052881272882</v>
      </c>
      <c r="I113">
        <f>SUM(AR$71:AR$86)+SUM(AT$71:AT$86)+SUM(AV$71:AV$86)+SUM(AX$71:AX$86)</f>
        <v>708</v>
      </c>
      <c r="J113">
        <f>SUM(AZ$71:AZ$86)+SUM(BB$71:BB$86)+SUM(BD$71:BD$86)+SUM(BF$71:BF$86)</f>
        <v>638.750403779968</v>
      </c>
      <c r="K113">
        <f>SUM(BH$71:BH$86)+SUM(BJ$71:BJ$86)+SUM(BL$71:BL$86)+SUM(BN$71:BN$86)</f>
        <v>583.96426249132708</v>
      </c>
      <c r="L113">
        <f>SUM(BP$71:BP$86)+SUM(BR$71:BR$86)+SUM(BT$71:BT$86)+SUM(BV$71:BV$86)</f>
        <v>462.71590699621004</v>
      </c>
      <c r="M113">
        <f>SUM(BX$71:BX$86)+SUM(BZ$71:BZ$86)+SUM(CB$71:CB$86)+SUM(CD$71:CD$86)</f>
        <v>664.23311203258481</v>
      </c>
      <c r="N113">
        <f>SUM(CF$71:CF$86)+SUM(CH$71:CH$86)+SUM(CJ$71:CJ$86)+SUM(CL$71:CL$86)</f>
        <v>623.05207850399916</v>
      </c>
      <c r="O113">
        <f>SUM(CN$71:CN$86)+SUM(CP$71:CP$86)+SUM(CR$71:CR$86)+SUM(CT$71:CT$86)</f>
        <v>450.46265352656962</v>
      </c>
    </row>
    <row r="114" spans="2:15">
      <c r="C114" s="99" t="s">
        <v>131</v>
      </c>
      <c r="D114">
        <f>SUM(D$87:D$94)+SUM(F$87:F$94)+SUM(H$87:H$94)+SUM(J$87:J$94)</f>
        <v>172.06279984706265</v>
      </c>
      <c r="E114">
        <f>SUM(L$87:L$94)+SUM(N$87:N$94)+SUM(P$87:P$94)+SUM(R$87:R$94)</f>
        <v>128.1761828975977</v>
      </c>
      <c r="F114">
        <f>SUM(T$87:T$94)+SUM(V$87:V$94)+SUM(X$87:X$94)+SUM(Z$87:Z$94)</f>
        <v>98.870809168880967</v>
      </c>
      <c r="G114">
        <f>SUM(AB$87:AB$94)+SUM(AD$87:AD$94)+SUM(AF$87:AF$94)+SUM(AH$87:AH$94)</f>
        <v>159.90084194858869</v>
      </c>
      <c r="H114">
        <f>SUM(AJ$87:AJ$94)+SUM(AL$87:AL$94)+SUM(AN$87:AN$94)+SUM(AP$87:AP$94)</f>
        <v>181</v>
      </c>
      <c r="I114">
        <f>SUM(AR$87:AR$94)+SUM(AT$87:AT$94)+SUM(AV$87:AV$94)+SUM(AX$87:AX$94)</f>
        <v>170.65419579737755</v>
      </c>
      <c r="J114">
        <f>SUM(AZ$87:AZ$94)+SUM(BB$87:BB$94)+SUM(BD$87:BD$94)+SUM(BF$87:BF$94)</f>
        <v>251.55346946639372</v>
      </c>
      <c r="K114">
        <f>SUM(BH$87:BH$94)+SUM(BJ$87:BJ$94)+SUM(BL$87:BL$94)+SUM(BN$87:BN$94)</f>
        <v>209.05993812042982</v>
      </c>
      <c r="L114">
        <f>SUM(BP$87:BP$94)+SUM(BR$87:BR$94)+SUM(BT$87:BT$94)+SUM(BV$87:BV$94)</f>
        <v>157.23492644972529</v>
      </c>
      <c r="M114">
        <f>SUM(BX$87:BX$94)+SUM(BZ$87:BZ$94)+SUM(CB$87:CB$94)+SUM(CD$87:CD$94)</f>
        <v>226.1405162754414</v>
      </c>
      <c r="N114">
        <f>SUM(CF$87:CF$94)+SUM(CH$87:CH$94)+SUM(CJ$87:CJ$94)+SUM(CL$87:CL$94)</f>
        <v>172.36460841249641</v>
      </c>
      <c r="O114">
        <f>SUM(CN$87:CN$94)+SUM(CP$87:CP$94)+SUM(CR$87:CR$94)+SUM(CT$87:CT$94)</f>
        <v>185.31031805641348</v>
      </c>
    </row>
    <row r="115" spans="2:15">
      <c r="C115" s="99" t="s">
        <v>132</v>
      </c>
      <c r="D115">
        <f>SUM(D$95:D$105)+SUM(F$95:F$105)+SUM(H$95:H$105)+SUM(J$95:J$105)</f>
        <v>267.69643887767847</v>
      </c>
      <c r="E115">
        <f>SUM(L$95:L$105)+SUM(N$95:N$105)+SUM(P$95:P$105)+SUM(R$95:R$105)</f>
        <v>229.00980784210242</v>
      </c>
      <c r="F115">
        <f>SUM(T$95:T$105)+SUM(V$95:V$105)+SUM(X$95:X$105)+SUM(Z$95:Z$105)</f>
        <v>182.97205105237146</v>
      </c>
      <c r="G115">
        <f>SUM(AB$95:AB$105)+SUM(AD$95:AD$105)+SUM(AF$95:AF$105)+SUM(AH$95:AH$105)</f>
        <v>289.76691384631943</v>
      </c>
      <c r="H115">
        <f>SUM(AJ$95:AJ$105)+SUM(AL$95:AL$105)+SUM(AN$95:AN$105)+SUM(AP$95:AP$105)</f>
        <v>422</v>
      </c>
      <c r="I115">
        <f>SUM(AR$95:AR$105)+SUM(AT$95:AT$105)+SUM(AV$95:AV$105)+SUM(AX$95:AX$105)</f>
        <v>398.79920039887867</v>
      </c>
      <c r="J115">
        <f>SUM(AZ$95:AZ$105)+SUM(BB$95:BB$105)+SUM(BD$95:BD$105)+SUM(BF$95:BF$105)</f>
        <v>422.76175772132228</v>
      </c>
      <c r="K115">
        <f>SUM(BH$95:BH$105)+SUM(BJ$95:BJ$105)+SUM(BL$95:BL$105)+SUM(BN$95:BN$105)</f>
        <v>311.50730960702583</v>
      </c>
      <c r="L115">
        <f>SUM(BP$95:BP$105)+SUM(BR$95:BR$105)+SUM(BT$95:BT$105)+SUM(BV$95:BV$105)</f>
        <v>268.76885638203817</v>
      </c>
      <c r="M115">
        <f>SUM(BX$95:BX$105)+SUM(BZ$95:BZ$105)+SUM(CB$95:CB$105)+SUM(CD$95:CD$105)</f>
        <v>347.4194509781525</v>
      </c>
      <c r="N115">
        <f>SUM(CF$95:CF$105)+SUM(CH$95:CH$105)+SUM(CJ$95:CJ$105)+SUM(CL$95:CL$105)</f>
        <v>361.10212038072899</v>
      </c>
      <c r="O115">
        <f>SUM(CN$95:CN$105)+SUM(CP$95:CP$105)+SUM(CR$95:CR$105)+SUM(CT$95:CT$105)</f>
        <v>352.10897417229546</v>
      </c>
    </row>
    <row r="116" spans="2:15">
      <c r="C116" s="99" t="s">
        <v>279</v>
      </c>
      <c r="D116">
        <f t="shared" ref="D116:O116" si="0">SUM(D$109:D$115)</f>
        <v>3207.4864989395883</v>
      </c>
      <c r="E116">
        <f t="shared" si="0"/>
        <v>3557.7935203159886</v>
      </c>
      <c r="F116">
        <f t="shared" si="0"/>
        <v>3321.5266531159027</v>
      </c>
      <c r="G116">
        <f t="shared" si="0"/>
        <v>3398.5498644732888</v>
      </c>
      <c r="H116">
        <f t="shared" si="0"/>
        <v>3391.3920758400482</v>
      </c>
      <c r="I116">
        <f t="shared" si="0"/>
        <v>4004.7148077201223</v>
      </c>
      <c r="J116">
        <f t="shared" si="0"/>
        <v>3879.1529528185602</v>
      </c>
      <c r="K116">
        <f t="shared" si="0"/>
        <v>3845.8610989804524</v>
      </c>
      <c r="L116">
        <f t="shared" si="0"/>
        <v>3747.3526487131185</v>
      </c>
      <c r="M116">
        <f t="shared" si="0"/>
        <v>4116.4546665671223</v>
      </c>
      <c r="N116">
        <f t="shared" si="0"/>
        <v>3708.8687829465284</v>
      </c>
      <c r="O116">
        <f t="shared" si="0"/>
        <v>3815.4274734482779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D109*pricing!D15*2000</f>
        <v>2286393.4101719684</v>
      </c>
      <c r="E120">
        <f>E109*pricing!E15*2000</f>
        <v>2949858.6412811847</v>
      </c>
      <c r="F120">
        <f>F109*pricing!F15*2000</f>
        <v>2982000</v>
      </c>
      <c r="G120">
        <f>G109*pricing!G15*2000</f>
        <v>2642982.0816844655</v>
      </c>
      <c r="H120">
        <f>H109*pricing!H15*2000</f>
        <v>2589810.3822485581</v>
      </c>
      <c r="I120">
        <f>I109*pricing!I15*2000</f>
        <v>3248000</v>
      </c>
      <c r="J120">
        <f>J109*pricing!J15*2000</f>
        <v>3486000</v>
      </c>
      <c r="K120">
        <f>K109*pricing!K15*2000</f>
        <v>3724000</v>
      </c>
      <c r="L120">
        <f>L109*pricing!L15*2000</f>
        <v>3570000</v>
      </c>
      <c r="M120">
        <f>M109*pricing!M15*2000</f>
        <v>4164031.5059510884</v>
      </c>
      <c r="N120">
        <f>N109*pricing!N15*2000</f>
        <v>3380258.0673755985</v>
      </c>
      <c r="O120">
        <f>O109*pricing!O15*2000</f>
        <v>3470822.1674000914</v>
      </c>
    </row>
    <row r="121" spans="2:15">
      <c r="C121" s="99" t="s">
        <v>127</v>
      </c>
      <c r="D121">
        <f>D110*pricing!D16*2000</f>
        <v>5337442.9331090506</v>
      </c>
      <c r="E121">
        <f>E110*pricing!E16*2000</f>
        <v>7402210.7997680865</v>
      </c>
      <c r="F121">
        <f>F110*pricing!F16*2000</f>
        <v>7161000</v>
      </c>
      <c r="G121">
        <f>G110*pricing!G16*2000</f>
        <v>5919747.5511217797</v>
      </c>
      <c r="H121">
        <f>H110*pricing!H16*2000</f>
        <v>6334402.824383256</v>
      </c>
      <c r="I121">
        <f>I110*pricing!I16*2000</f>
        <v>7889000</v>
      </c>
      <c r="J121">
        <f>J110*pricing!J16*2000</f>
        <v>6776000</v>
      </c>
      <c r="K121">
        <f>K110*pricing!K16*2000</f>
        <v>8386000</v>
      </c>
      <c r="L121">
        <f>L110*pricing!L16*2000</f>
        <v>8113000</v>
      </c>
      <c r="M121">
        <f>M110*pricing!M16*2000</f>
        <v>7600271.7250951128</v>
      </c>
      <c r="N121">
        <f>N110*pricing!N16*2000</f>
        <v>6818964.2610689262</v>
      </c>
      <c r="O121">
        <f>O110*pricing!O16*2000</f>
        <v>8692004.3102238104</v>
      </c>
    </row>
    <row r="122" spans="2:15">
      <c r="C122" s="99" t="s">
        <v>128</v>
      </c>
      <c r="D122">
        <f>D111*pricing!D17*2000</f>
        <v>2765634.1246212651</v>
      </c>
      <c r="E122">
        <f>E111*pricing!E17*2000</f>
        <v>3735150.9250658154</v>
      </c>
      <c r="F122">
        <f>F111*pricing!F17*2000</f>
        <v>3542000</v>
      </c>
      <c r="G122">
        <f>G111*pricing!G17*2000</f>
        <v>3727729.3673961228</v>
      </c>
      <c r="H122">
        <f>H111*pricing!H17*2000</f>
        <v>2822737.9985151631</v>
      </c>
      <c r="I122">
        <f>I111*pricing!I17*2000</f>
        <v>3122000</v>
      </c>
      <c r="J122">
        <f>J111*pricing!J17*2000</f>
        <v>3073000</v>
      </c>
      <c r="K122">
        <f>K111*pricing!K17*2000</f>
        <v>3157000</v>
      </c>
      <c r="L122">
        <f>L111*pricing!L17*2000</f>
        <v>3766000</v>
      </c>
      <c r="M122">
        <f>M111*pricing!M17*2000</f>
        <v>3508967.5129211969</v>
      </c>
      <c r="N122">
        <f>N111*pricing!N17*2000</f>
        <v>3688849.7572035869</v>
      </c>
      <c r="O122">
        <f>O111*pricing!O17*2000</f>
        <v>3831731.0959882322</v>
      </c>
    </row>
    <row r="123" spans="2:15">
      <c r="C123" s="99" t="s">
        <v>129</v>
      </c>
      <c r="D123">
        <f>D112*pricing!D18*2000</f>
        <v>4621714.7862280197</v>
      </c>
      <c r="E123">
        <f>E112*pricing!E18*2000</f>
        <v>5295305.8973456137</v>
      </c>
      <c r="F123">
        <f>F112*pricing!F18*2000</f>
        <v>4808822.363004894</v>
      </c>
      <c r="G123">
        <f>G112*pricing!G18*2000</f>
        <v>4564715.7605462978</v>
      </c>
      <c r="H123">
        <f>H112*pricing!H18*2000</f>
        <v>3318949.6240442572</v>
      </c>
      <c r="I123">
        <f>I112*pricing!I18*2000</f>
        <v>4831829.8806670578</v>
      </c>
      <c r="J123">
        <f>J112*pricing!J18*2000</f>
        <v>4627611.2529561315</v>
      </c>
      <c r="K123">
        <f>K112*pricing!K18*2000</f>
        <v>3922307.1213316889</v>
      </c>
      <c r="L123">
        <f>L112*pricing!L18*2000</f>
        <v>4561430.7121960167</v>
      </c>
      <c r="M123">
        <f>M112*pricing!M18*2000</f>
        <v>4877360.3669992089</v>
      </c>
      <c r="N123">
        <f>N112*pricing!N18*2000</f>
        <v>3978377.7438970171</v>
      </c>
      <c r="O123">
        <f>O112*pricing!O18*2000</f>
        <v>3798261.1202388601</v>
      </c>
    </row>
    <row r="124" spans="2:15">
      <c r="C124" s="99" t="s">
        <v>130</v>
      </c>
      <c r="D124">
        <f>D113*pricing!D19*2000</f>
        <v>4362905.5673736231</v>
      </c>
      <c r="E124">
        <f>E113*pricing!E19*2000</f>
        <v>3021726.443573317</v>
      </c>
      <c r="F124">
        <f>F113*pricing!F19*2000</f>
        <v>2783964.1872576573</v>
      </c>
      <c r="G124">
        <f>G113*pricing!G19*2000</f>
        <v>3787000</v>
      </c>
      <c r="H124">
        <f>H113*pricing!H19*2000</f>
        <v>4452843.7016891018</v>
      </c>
      <c r="I124">
        <f>I113*pricing!I19*2000</f>
        <v>4956000</v>
      </c>
      <c r="J124">
        <f>J113*pricing!J19*2000</f>
        <v>4471252.8264597757</v>
      </c>
      <c r="K124">
        <f>K113*pricing!K19*2000</f>
        <v>4087749.8374392893</v>
      </c>
      <c r="L124">
        <f>L113*pricing!L19*2000</f>
        <v>3239011.3489734703</v>
      </c>
      <c r="M124">
        <f>M113*pricing!M19*2000</f>
        <v>4649631.784228093</v>
      </c>
      <c r="N124">
        <f>N113*pricing!N19*2000</f>
        <v>4361364.5495279944</v>
      </c>
      <c r="O124">
        <f>O113*pricing!O19*2000</f>
        <v>3153238.5746859871</v>
      </c>
    </row>
    <row r="125" spans="2:15">
      <c r="C125" s="99" t="s">
        <v>131</v>
      </c>
      <c r="D125">
        <f>D114*pricing!D20*2000</f>
        <v>1204439.5989294385</v>
      </c>
      <c r="E125">
        <f>E114*pricing!E20*2000</f>
        <v>897233.28028318379</v>
      </c>
      <c r="F125">
        <f>F114*pricing!F20*2000</f>
        <v>692095.66418216669</v>
      </c>
      <c r="G125">
        <f>G114*pricing!G20*2000</f>
        <v>1119305.8936401207</v>
      </c>
      <c r="H125">
        <f>H114*pricing!H20*2000</f>
        <v>1267000</v>
      </c>
      <c r="I125">
        <f>I114*pricing!I20*2000</f>
        <v>1194579.370581643</v>
      </c>
      <c r="J125">
        <f>J114*pricing!J20*2000</f>
        <v>1760874.286264756</v>
      </c>
      <c r="K125">
        <f>K114*pricing!K20*2000</f>
        <v>1463419.5668430089</v>
      </c>
      <c r="L125">
        <f>L114*pricing!L20*2000</f>
        <v>1100644.4851480771</v>
      </c>
      <c r="M125">
        <f>M114*pricing!M20*2000</f>
        <v>1582983.6139280898</v>
      </c>
      <c r="N125">
        <f>N114*pricing!N20*2000</f>
        <v>1206552.2588874749</v>
      </c>
      <c r="O125">
        <f>O114*pricing!O20*2000</f>
        <v>1297172.2263948943</v>
      </c>
    </row>
    <row r="126" spans="2:15">
      <c r="C126" s="99" t="s">
        <v>132</v>
      </c>
      <c r="D126">
        <f>D115*pricing!D21*2000</f>
        <v>1873875.0721437493</v>
      </c>
      <c r="E126">
        <f>E115*pricing!E21*2000</f>
        <v>1603068.654894717</v>
      </c>
      <c r="F126">
        <f>F115*pricing!F21*2000</f>
        <v>1280804.3573666003</v>
      </c>
      <c r="G126">
        <f>G115*pricing!G21*2000</f>
        <v>2028368.3969242361</v>
      </c>
      <c r="H126">
        <f>H115*pricing!H21*2000</f>
        <v>2954000</v>
      </c>
      <c r="I126">
        <f>I115*pricing!I21*2000</f>
        <v>2791594.4027921506</v>
      </c>
      <c r="J126">
        <f>J115*pricing!J21*2000</f>
        <v>2959332.3040492558</v>
      </c>
      <c r="K126">
        <f>K115*pricing!K21*2000</f>
        <v>2180551.1672491808</v>
      </c>
      <c r="L126">
        <f>L115*pricing!L21*2000</f>
        <v>1881381.9946742672</v>
      </c>
      <c r="M126">
        <f>M115*pricing!M21*2000</f>
        <v>2431936.1568470676</v>
      </c>
      <c r="N126">
        <f>N115*pricing!N21*2000</f>
        <v>2527714.8426651028</v>
      </c>
      <c r="O126">
        <f>O115*pricing!O21*2000</f>
        <v>2464762.8192060683</v>
      </c>
    </row>
    <row r="127" spans="2:15">
      <c r="C127" s="99" t="s">
        <v>279</v>
      </c>
      <c r="D127">
        <f t="shared" ref="D127:O127" si="1">SUM(D$120:D$126)</f>
        <v>22452405.492577113</v>
      </c>
      <c r="E127">
        <f t="shared" si="1"/>
        <v>24904554.642211918</v>
      </c>
      <c r="F127">
        <f t="shared" si="1"/>
        <v>23250686.571811318</v>
      </c>
      <c r="G127">
        <f t="shared" si="1"/>
        <v>23789849.05131302</v>
      </c>
      <c r="H127">
        <f t="shared" si="1"/>
        <v>23739744.530880336</v>
      </c>
      <c r="I127">
        <f t="shared" si="1"/>
        <v>28033003.654040851</v>
      </c>
      <c r="J127">
        <f t="shared" si="1"/>
        <v>27154070.669729918</v>
      </c>
      <c r="K127">
        <f t="shared" si="1"/>
        <v>26921027.692863166</v>
      </c>
      <c r="L127">
        <f t="shared" si="1"/>
        <v>26231468.540991828</v>
      </c>
      <c r="M127">
        <f t="shared" si="1"/>
        <v>28815182.66596986</v>
      </c>
      <c r="N127">
        <f t="shared" si="1"/>
        <v>25962081.4806257</v>
      </c>
      <c r="O127">
        <f t="shared" si="1"/>
        <v>26707992.314137943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164189.73093087878</v>
      </c>
      <c r="E131" s="104">
        <f>SUM(M$6:M$19)+SUM(O$6:O$19)+SUM(Q$6:Q$19)+SUM(S$6:S$19)</f>
        <v>213388.23227831631</v>
      </c>
      <c r="F131" s="104">
        <f>SUM(U$6:U$19)+SUM(W$6:W$19)+SUM(Y$6:Y$19)+SUM(AA$6:AA$19)</f>
        <v>215799.6</v>
      </c>
      <c r="G131" s="104">
        <f>SUM(AC$6:AC$19)+SUM(AE$6:AE$19)+SUM(AG$6:AG$19)+SUM(AI$6:AI$19)</f>
        <v>191149.26464981405</v>
      </c>
      <c r="H131" s="104">
        <f>SUM(AK$6:AK$19)+SUM(AM$6:AM$19)+SUM(AO$6:AO$19)+SUM(AQ$6:AQ$19)</f>
        <v>186843.6240407211</v>
      </c>
      <c r="I131" s="104">
        <f>SUM(AS$6:AS$19)+SUM(AU$6:AU$19)+SUM(AW$6:AW$19)+SUM(AY$6:AY$19)</f>
        <v>235017.59999999995</v>
      </c>
      <c r="J131" s="104">
        <f>SUM(BA$6:BA$19)+SUM(BC$6:BC$19)+SUM(BE$6:BE$19)+SUM(BG$6:BG$19)</f>
        <v>251678.39999999997</v>
      </c>
      <c r="K131" s="104">
        <f>SUM(BI$6:BI$19)+SUM(BK$6:BK$19)+SUM(BM$6:BM$19)+SUM(BO$6:BO$19)</f>
        <v>268686.00000000006</v>
      </c>
      <c r="L131" s="104">
        <f>SUM(BQ$6:BQ$19)+SUM(BS$6:BS$19)+SUM(BU$6:BU$19)+SUM(BW$6:BW$19)</f>
        <v>258506.39999999997</v>
      </c>
      <c r="M131" s="104">
        <f>SUM(BY$6:BY$19)+SUM(CA$6:CA$19)+SUM(CC$6:CC$19)+SUM(CE$6:CE$19)</f>
        <v>299539.51988999313</v>
      </c>
      <c r="N131" s="104">
        <f>SUM(CG$6:CG$19)+SUM(CI$6:CI$19)+SUM(CK$6:CK$19)+SUM(CM$6:CM$19)</f>
        <v>244146.56745267479</v>
      </c>
      <c r="O131" s="104">
        <f>SUM(CO$6:CO$19)+SUM(CQ$6:CQ$19)+SUM(CS$6:CS$19)+SUM(CU$6:CU$19)</f>
        <v>251034.79420200342</v>
      </c>
    </row>
    <row r="132" spans="2:15">
      <c r="C132" s="103" t="s">
        <v>127</v>
      </c>
      <c r="D132" s="104">
        <f>SUM(E$20:E$36)+SUM(G$20:G$36)+SUM(I$20:I$36)+SUM(K$20:K$36)</f>
        <v>326394.96689323452</v>
      </c>
      <c r="E132" s="104">
        <f>SUM(M$20:M$36)+SUM(O$20:O$36)+SUM(Q$20:Q$36)+SUM(S$20:S$36)</f>
        <v>450165.73568160727</v>
      </c>
      <c r="F132" s="104">
        <f>SUM(U$20:U$36)+SUM(W$20:W$36)+SUM(Y$20:Y$36)+SUM(AA$20:AA$36)</f>
        <v>436347.6</v>
      </c>
      <c r="G132" s="104">
        <f>SUM(AC$20:AC$36)+SUM(AE$20:AE$36)+SUM(AG$20:AG$36)+SUM(AI$20:AI$36)</f>
        <v>361602.19596307003</v>
      </c>
      <c r="H132" s="104">
        <f>SUM(AK$20:AK$36)+SUM(AM$20:AM$36)+SUM(AO$20:AO$36)+SUM(AQ$20:AQ$36)</f>
        <v>388006.02045569138</v>
      </c>
      <c r="I132" s="104">
        <f>SUM(AS$20:AS$36)+SUM(AU$20:AU$36)+SUM(AW$20:AW$36)+SUM(AY$20:AY$36)</f>
        <v>480926.39999999997</v>
      </c>
      <c r="J132" s="104">
        <f>SUM(BA$20:BA$36)+SUM(BC$20:BC$36)+SUM(BE$20:BE$36)+SUM(BG$20:BG$36)</f>
        <v>411582</v>
      </c>
      <c r="K132" s="104">
        <f>SUM(BI$20:BI$36)+SUM(BK$20:BK$36)+SUM(BM$20:BM$36)+SUM(BO$20:BO$36)</f>
        <v>511437.6</v>
      </c>
      <c r="L132" s="104">
        <f>SUM(BQ$20:BQ$36)+SUM(BS$20:BS$36)+SUM(BU$20:BU$36)+SUM(BW$20:BW$36)</f>
        <v>495482.4</v>
      </c>
      <c r="M132" s="104">
        <f>SUM(BY$20:BY$36)+SUM(CA$20:CA$36)+SUM(CC$20:CC$36)+SUM(CE$20:CE$36)</f>
        <v>461314.75619368581</v>
      </c>
      <c r="N132" s="104">
        <f>SUM(CG$20:CG$36)+SUM(CI$20:CI$36)+SUM(CK$20:CK$36)+SUM(CM$20:CM$36)</f>
        <v>416685.75857398991</v>
      </c>
      <c r="O132" s="104">
        <f>SUM(CO$20:CO$36)+SUM(CQ$20:CQ$36)+SUM(CS$20:CS$36)+SUM(CU$20:CU$36)</f>
        <v>533152.73819796462</v>
      </c>
    </row>
    <row r="133" spans="2:15">
      <c r="C133" s="103" t="s">
        <v>128</v>
      </c>
      <c r="D133" s="104">
        <f>SUM(E$37:E$48)+SUM(G$37:G$48)+SUM(I$37:I$48)+SUM(K$37:K$48)</f>
        <v>415252.64002438565</v>
      </c>
      <c r="E133" s="104">
        <f>SUM(M$37:M$48)+SUM(O$37:O$48)+SUM(Q$37:Q$48)+SUM(S$37:S$48)</f>
        <v>562236.79196033161</v>
      </c>
      <c r="F133" s="104">
        <f>SUM(U$37:U$48)+SUM(W$37:W$48)+SUM(Y$37:Y$48)+SUM(AA$37:AA$48)</f>
        <v>533958</v>
      </c>
      <c r="G133" s="104">
        <f>SUM(AC$37:AC$48)+SUM(AE$37:AE$48)+SUM(AG$37:AG$48)+SUM(AI$37:AI$48)</f>
        <v>559262.57104760152</v>
      </c>
      <c r="H133" s="104">
        <f>SUM(AK$37:AK$48)+SUM(AM$37:AM$48)+SUM(AO$37:AO$48)+SUM(AQ$37:AQ$48)</f>
        <v>423811.2828931933</v>
      </c>
      <c r="I133" s="104">
        <f>SUM(AS$37:AS$48)+SUM(AU$37:AU$48)+SUM(AW$37:AW$48)+SUM(AY$37:AY$48)</f>
        <v>469960.80000000005</v>
      </c>
      <c r="J133" s="104">
        <f>SUM(BA$37:BA$48)+SUM(BC$37:BC$48)+SUM(BE$37:BE$48)+SUM(BG$37:BG$48)</f>
        <v>462698.4</v>
      </c>
      <c r="K133" s="104">
        <f>SUM(BI$37:BI$48)+SUM(BK$37:BK$48)+SUM(BM$37:BM$48)+SUM(BO$37:BO$48)</f>
        <v>474901.19999999995</v>
      </c>
      <c r="L133" s="104">
        <f>SUM(BQ$37:BQ$48)+SUM(BS$37:BS$48)+SUM(BU$37:BU$48)+SUM(BW$37:BW$48)</f>
        <v>565167.60000000009</v>
      </c>
      <c r="M133" s="104">
        <f>SUM(BY$37:BY$48)+SUM(CA$37:CA$48)+SUM(CC$37:CC$48)+SUM(CE$37:CE$48)</f>
        <v>526912.94081333408</v>
      </c>
      <c r="N133" s="104">
        <f>SUM(CG$37:CG$48)+SUM(CI$37:CI$48)+SUM(CK$37:CK$48)+SUM(CM$37:CM$48)</f>
        <v>554117.68881603167</v>
      </c>
      <c r="O133" s="104">
        <f>SUM(CO$37:CO$48)+SUM(CQ$37:CQ$48)+SUM(CS$37:CS$48)+SUM(CU$37:CU$48)</f>
        <v>573865.67020407168</v>
      </c>
    </row>
    <row r="134" spans="2:15">
      <c r="C134" s="103" t="s">
        <v>129</v>
      </c>
      <c r="D134" s="104">
        <f>SUM(E$49:E$70)+SUM(G$49:G$70)+SUM(I$49:I$70)+SUM(K$49:K$70)</f>
        <v>550853.43023069995</v>
      </c>
      <c r="E134" s="104">
        <f>SUM(M$49:M$70)+SUM(O$49:O$70)+SUM(Q$49:Q$70)+SUM(S$49:S$70)</f>
        <v>614215.5073664661</v>
      </c>
      <c r="F134" s="104">
        <f>SUM(U$49:U$70)+SUM(W$49:W$70)+SUM(Y$49:Y$70)+SUM(AA$49:AA$70)</f>
        <v>556877.28478238871</v>
      </c>
      <c r="G134" s="104">
        <f>SUM(AC$49:AC$70)+SUM(AE$49:AE$70)+SUM(AG$49:AG$70)+SUM(AI$49:AI$70)</f>
        <v>545974.3250841127</v>
      </c>
      <c r="H134" s="104">
        <f>SUM(AK$49:AK$70)+SUM(AM$49:AM$70)+SUM(AO$49:AO$70)+SUM(AQ$49:AQ$70)</f>
        <v>407286.0119622479</v>
      </c>
      <c r="I134" s="104">
        <f>SUM(AS$49:AS$70)+SUM(AU$49:AU$70)+SUM(AW$49:AW$70)+SUM(AY$49:AY$70)</f>
        <v>575732.73809503438</v>
      </c>
      <c r="J134" s="104">
        <f>SUM(BA$49:BA$70)+SUM(BC$49:BC$70)+SUM(BE$49:BE$70)+SUM(BG$49:BG$70)</f>
        <v>548390.86021969235</v>
      </c>
      <c r="K134" s="104">
        <f>SUM(BI$49:BI$70)+SUM(BK$49:BK$70)+SUM(BM$49:BM$70)+SUM(BO$49:BO$70)</f>
        <v>465666.93180766242</v>
      </c>
      <c r="L134" s="104">
        <f>SUM(BQ$49:BQ$70)+SUM(BS$49:BS$70)+SUM(BU$49:BU$70)+SUM(BW$49:BW$70)</f>
        <v>531566.39699926798</v>
      </c>
      <c r="M134" s="104">
        <f>SUM(BY$49:BY$70)+SUM(CA$49:CA$70)+SUM(CC$49:CC$70)+SUM(CE$49:CE$70)</f>
        <v>577552.71341242606</v>
      </c>
      <c r="N134" s="104">
        <f>SUM(CG$49:CG$70)+SUM(CI$49:CI$70)+SUM(CK$49:CK$70)+SUM(CM$49:CM$70)</f>
        <v>466757.58649271901</v>
      </c>
      <c r="O134" s="104">
        <f>SUM(CO$49:CO$70)+SUM(CQ$49:CQ$70)+SUM(CS$49:CS$70)+SUM(CU$49:CU$70)</f>
        <v>447568.84489242593</v>
      </c>
    </row>
    <row r="135" spans="2:15">
      <c r="C135" s="103" t="s">
        <v>130</v>
      </c>
      <c r="D135" s="104">
        <f>SUM(E$71:E$86)+SUM(G$71:G$86)+SUM(I$71:I$86)+SUM(K$71:K$86)</f>
        <v>349932.42979523179</v>
      </c>
      <c r="E135" s="104">
        <f>SUM(M$71:M$86)+SUM(O$71:O$86)+SUM(Q$71:Q$86)+SUM(S$71:S$86)</f>
        <v>242284.87367915362</v>
      </c>
      <c r="F135" s="104">
        <f>SUM(U$71:U$86)+SUM(W$71:W$86)+SUM(Y$71:Y$86)+SUM(AA$71:AA$86)</f>
        <v>222583.35065463372</v>
      </c>
      <c r="G135" s="104">
        <f>SUM(AC$71:AC$86)+SUM(AE$71:AE$86)+SUM(AG$71:AG$86)+SUM(AI$71:AI$86)</f>
        <v>303432</v>
      </c>
      <c r="H135" s="104">
        <f>SUM(AK$71:AK$86)+SUM(AM$71:AM$86)+SUM(AO$71:AO$86)+SUM(AQ$71:AQ$86)</f>
        <v>355947.76858367748</v>
      </c>
      <c r="I135" s="104">
        <f>SUM(AS$71:AS$86)+SUM(AU$71:AU$86)+SUM(AW$71:AW$86)+SUM(AY$71:AY$86)</f>
        <v>396715.2</v>
      </c>
      <c r="J135" s="104">
        <f>SUM(BA$71:BA$86)+SUM(BC$71:BC$86)+SUM(BE$71:BE$86)+SUM(BG$71:BG$86)</f>
        <v>356384.16292687599</v>
      </c>
      <c r="K135" s="104">
        <f>SUM(BI$71:BI$86)+SUM(BK$71:BK$86)+SUM(BM$71:BM$86)+SUM(BO$71:BO$86)</f>
        <v>328507.65511964099</v>
      </c>
      <c r="L135" s="104">
        <f>SUM(BQ$71:BQ$86)+SUM(BS$71:BS$86)+SUM(BU$71:BU$86)+SUM(BW$71:BW$86)</f>
        <v>258090.99918015732</v>
      </c>
      <c r="M135" s="104">
        <f>SUM(BY$71:BY$86)+SUM(CA$71:CA$86)+SUM(CC$71:CC$86)+SUM(CE$71:CE$86)</f>
        <v>373067.62097589247</v>
      </c>
      <c r="N135" s="104">
        <f>SUM(CG$71:CG$86)+SUM(CI$71:CI$86)+SUM(CK$71:CK$86)+SUM(CM$71:CM$86)</f>
        <v>349561.47623288585</v>
      </c>
      <c r="O135" s="104">
        <f>SUM(CO$71:CO$86)+SUM(CQ$71:CQ$86)+SUM(CS$71:CS$86)+SUM(CU$71:CU$86)</f>
        <v>252969.46668188198</v>
      </c>
    </row>
    <row r="136" spans="2:15">
      <c r="C136" s="103" t="s">
        <v>131</v>
      </c>
      <c r="D136" s="104">
        <f>SUM(E$87:E$94)+SUM(G$87:G$94)+SUM(I$87:I$94)+SUM(K$87:K$94)</f>
        <v>172778.17720886506</v>
      </c>
      <c r="E136" s="104">
        <f>SUM(M$87:M$94)+SUM(O$87:O$94)+SUM(Q$87:Q$94)+SUM(S$87:S$94)</f>
        <v>128688.40122252028</v>
      </c>
      <c r="F136" s="104">
        <f>SUM(U$87:U$94)+SUM(W$87:W$94)+SUM(Y$87:Y$94)+SUM(AA$87:AA$94)</f>
        <v>99597.493969244155</v>
      </c>
      <c r="G136" s="104">
        <f>SUM(AC$87:AC$94)+SUM(AE$87:AE$94)+SUM(AG$87:AG$94)+SUM(AI$87:AI$94)</f>
        <v>160231.51464243396</v>
      </c>
      <c r="H136" s="104">
        <f>SUM(AK$87:AK$94)+SUM(AM$87:AM$94)+SUM(AO$87:AO$94)+SUM(AQ$87:AQ$94)</f>
        <v>181764</v>
      </c>
      <c r="I136" s="104">
        <f>SUM(AS$87:AS$94)+SUM(AU$87:AU$94)+SUM(AW$87:AW$94)+SUM(AY$87:AY$94)</f>
        <v>171069.47813757783</v>
      </c>
      <c r="J136" s="104">
        <f>SUM(BA$87:BA$94)+SUM(BC$87:BC$94)+SUM(BE$87:BE$94)+SUM(BG$87:BG$94)</f>
        <v>252485.7471438669</v>
      </c>
      <c r="K136" s="104">
        <f>SUM(BI$87:BI$94)+SUM(BK$87:BK$94)+SUM(BM$87:BM$94)+SUM(BO$87:BO$94)</f>
        <v>209686.62513367384</v>
      </c>
      <c r="L136" s="104">
        <f>SUM(BQ$87:BQ$94)+SUM(BS$87:BS$94)+SUM(BU$87:BU$94)+SUM(BW$87:BW$94)</f>
        <v>157827.81935740967</v>
      </c>
      <c r="M136" s="104">
        <f>SUM(BY$87:BY$94)+SUM(CA$87:CA$94)+SUM(CC$87:CC$94)+SUM(CE$87:CE$94)</f>
        <v>226965.24418604391</v>
      </c>
      <c r="N136" s="104">
        <f>SUM(CG$87:CG$94)+SUM(CI$87:CI$94)+SUM(CK$87:CK$94)+SUM(CM$87:CM$94)</f>
        <v>173420.74149441204</v>
      </c>
      <c r="O136" s="104">
        <f>SUM(CO$87:CO$94)+SUM(CQ$87:CQ$94)+SUM(CS$87:CS$94)+SUM(CU$87:CU$94)</f>
        <v>186224.37724709403</v>
      </c>
    </row>
    <row r="137" spans="2:15">
      <c r="C137" s="103" t="s">
        <v>132</v>
      </c>
      <c r="D137" s="104">
        <f>SUM(E$95:E$105)+SUM(G$95:G$105)+SUM(I$95:I$105)+SUM(K$95:K$105)</f>
        <v>214530.41384148036</v>
      </c>
      <c r="E137" s="104">
        <f>SUM(M$95:M$105)+SUM(O$95:O$105)+SUM(Q$95:Q$105)+SUM(S$95:S$105)</f>
        <v>183390.11787362632</v>
      </c>
      <c r="F137" s="104">
        <f>SUM(U$95:U$105)+SUM(W$95:W$105)+SUM(Y$95:Y$105)+SUM(AA$95:AA$105)</f>
        <v>147109.69103886792</v>
      </c>
      <c r="G137" s="104">
        <f>SUM(AC$95:AC$105)+SUM(AE$95:AE$105)+SUM(AG$95:AG$105)+SUM(AI$95:AI$105)</f>
        <v>233126.32606782109</v>
      </c>
      <c r="H137" s="104">
        <f>SUM(AK$95:AK$105)+SUM(AM$95:AM$105)+SUM(AO$95:AO$105)+SUM(AQ$95:AQ$105)</f>
        <v>340747.19999999995</v>
      </c>
      <c r="I137" s="104">
        <f>SUM(AS$95:AS$105)+SUM(AU$95:AU$105)+SUM(AW$95:AW$105)+SUM(AY$95:AY$105)</f>
        <v>321485.69690173899</v>
      </c>
      <c r="J137" s="104">
        <f>SUM(BA$95:BA$105)+SUM(BC$95:BC$105)+SUM(BE$95:BE$105)+SUM(BG$95:BG$105)</f>
        <v>338491.49550950795</v>
      </c>
      <c r="K137" s="104">
        <f>SUM(BI$95:BI$105)+SUM(BK$95:BK$105)+SUM(BM$95:BM$105)+SUM(BO$95:BO$105)</f>
        <v>250912.06217916263</v>
      </c>
      <c r="L137" s="104">
        <f>SUM(BQ$95:BQ$105)+SUM(BS$95:BS$105)+SUM(BU$95:BU$105)+SUM(BW$95:BW$105)</f>
        <v>218250.40730888769</v>
      </c>
      <c r="M137" s="104">
        <f>SUM(BY$95:BY$105)+SUM(CA$95:CA$105)+SUM(CC$95:CC$105)+SUM(CE$95:CE$105)</f>
        <v>280892.08934192068</v>
      </c>
      <c r="N137" s="104">
        <f>SUM(CG$95:CG$105)+SUM(CI$95:CI$105)+SUM(CK$95:CK$105)+SUM(CM$95:CM$105)</f>
        <v>289077.93107065203</v>
      </c>
      <c r="O137" s="104">
        <f>SUM(CO$95:CO$105)+SUM(CQ$95:CQ$105)+SUM(CS$95:CS$105)+SUM(CU$95:CU$105)</f>
        <v>287349.02163136785</v>
      </c>
    </row>
    <row r="138" spans="2:15">
      <c r="C138" s="103" t="s">
        <v>279</v>
      </c>
      <c r="D138">
        <f t="shared" ref="D138:O138" si="2">SUM(D$131:D$137)</f>
        <v>2193931.788924776</v>
      </c>
      <c r="E138">
        <f t="shared" si="2"/>
        <v>2394369.6600620216</v>
      </c>
      <c r="F138">
        <f t="shared" si="2"/>
        <v>2212273.0204451345</v>
      </c>
      <c r="G138">
        <f t="shared" si="2"/>
        <v>2354778.197454853</v>
      </c>
      <c r="H138">
        <f t="shared" si="2"/>
        <v>2284405.9079355309</v>
      </c>
      <c r="I138">
        <f t="shared" si="2"/>
        <v>2650907.9131343514</v>
      </c>
      <c r="J138">
        <f t="shared" si="2"/>
        <v>2621711.0657999432</v>
      </c>
      <c r="K138">
        <f t="shared" si="2"/>
        <v>2509798.0742401397</v>
      </c>
      <c r="L138">
        <f t="shared" si="2"/>
        <v>2484892.0228457227</v>
      </c>
      <c r="M138">
        <f t="shared" si="2"/>
        <v>2746244.8848132961</v>
      </c>
      <c r="N138">
        <f t="shared" si="2"/>
        <v>2493767.7501333654</v>
      </c>
      <c r="O138">
        <f t="shared" si="2"/>
        <v>2532164.9130568095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282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5.9837502154458377</v>
      </c>
      <c r="E6">
        <v>3461.0011246138724</v>
      </c>
      <c r="F6">
        <v>1.1895503047997298</v>
      </c>
      <c r="G6">
        <v>688.03589629616363</v>
      </c>
      <c r="H6">
        <v>4.7293937821493639</v>
      </c>
      <c r="I6">
        <v>2735.4813635951919</v>
      </c>
      <c r="J6">
        <v>4.5498095803216749</v>
      </c>
      <c r="K6">
        <v>2631.6098612580568</v>
      </c>
      <c r="L6">
        <v>7</v>
      </c>
      <c r="M6">
        <v>4048.7999999999997</v>
      </c>
      <c r="N6">
        <v>6.8905360190443732</v>
      </c>
      <c r="O6">
        <v>3985.4860334152654</v>
      </c>
      <c r="P6">
        <v>8.0908501726643518</v>
      </c>
      <c r="Q6">
        <v>4679.7477398690608</v>
      </c>
      <c r="R6">
        <v>7</v>
      </c>
      <c r="S6">
        <v>4048.7999999999997</v>
      </c>
      <c r="T6">
        <v>8</v>
      </c>
      <c r="U6">
        <v>4627.2</v>
      </c>
      <c r="V6">
        <v>9</v>
      </c>
      <c r="W6">
        <v>5205.5999999999995</v>
      </c>
      <c r="X6">
        <v>8</v>
      </c>
      <c r="Y6">
        <v>4627.2</v>
      </c>
      <c r="Z6">
        <v>7.7800321392851428</v>
      </c>
      <c r="AA6">
        <v>4499.9705893625269</v>
      </c>
      <c r="AB6">
        <v>7.1352607738265457</v>
      </c>
      <c r="AC6">
        <v>4127.0348315812735</v>
      </c>
      <c r="AD6">
        <v>5.2505644816048962</v>
      </c>
      <c r="AE6">
        <v>3036.9264961602717</v>
      </c>
      <c r="AF6">
        <v>2.1461309441694447</v>
      </c>
      <c r="AG6">
        <v>1241.3221381076069</v>
      </c>
      <c r="AH6">
        <v>3.0459882408193004</v>
      </c>
      <c r="AI6">
        <v>1761.7995984898832</v>
      </c>
      <c r="AJ6">
        <v>9</v>
      </c>
      <c r="AK6">
        <v>5205.5999999999995</v>
      </c>
      <c r="AL6">
        <v>5.4186767427853937</v>
      </c>
      <c r="AM6">
        <v>3134.1626280270716</v>
      </c>
      <c r="AN6">
        <v>0.92043150960739539</v>
      </c>
      <c r="AO6">
        <v>532.37758515691746</v>
      </c>
      <c r="AP6">
        <v>6</v>
      </c>
      <c r="AQ6">
        <v>3470.3999999999996</v>
      </c>
      <c r="AR6">
        <v>8</v>
      </c>
      <c r="AS6">
        <v>4627.2</v>
      </c>
      <c r="AT6">
        <v>6</v>
      </c>
      <c r="AU6">
        <v>3470.3999999999996</v>
      </c>
      <c r="AV6">
        <v>8</v>
      </c>
      <c r="AW6">
        <v>4627.2</v>
      </c>
      <c r="AX6">
        <v>9</v>
      </c>
      <c r="AY6">
        <v>5205.5999999999995</v>
      </c>
      <c r="AZ6">
        <v>9</v>
      </c>
      <c r="BA6">
        <v>5205.5999999999995</v>
      </c>
      <c r="BB6">
        <v>9</v>
      </c>
      <c r="BC6">
        <v>5205.5999999999995</v>
      </c>
      <c r="BD6">
        <v>7</v>
      </c>
      <c r="BE6">
        <v>4048.7999999999997</v>
      </c>
      <c r="BF6">
        <v>6</v>
      </c>
      <c r="BG6">
        <v>3470.3999999999996</v>
      </c>
      <c r="BH6">
        <v>6</v>
      </c>
      <c r="BI6">
        <v>3470.3999999999996</v>
      </c>
      <c r="BJ6">
        <v>9</v>
      </c>
      <c r="BK6">
        <v>5205.5999999999995</v>
      </c>
      <c r="BL6">
        <v>7</v>
      </c>
      <c r="BM6">
        <v>4048.7999999999997</v>
      </c>
      <c r="BN6">
        <v>10</v>
      </c>
      <c r="BO6">
        <v>5784</v>
      </c>
      <c r="BP6">
        <v>6.0255331607098057</v>
      </c>
      <c r="BQ6">
        <v>3485.1683801545514</v>
      </c>
      <c r="BR6">
        <v>9</v>
      </c>
      <c r="BS6">
        <v>5205.5999999999995</v>
      </c>
      <c r="BT6">
        <v>4.8101958579838646</v>
      </c>
      <c r="BU6">
        <v>2782.217284257867</v>
      </c>
      <c r="BV6">
        <v>9</v>
      </c>
      <c r="BW6">
        <v>5205.5999999999995</v>
      </c>
      <c r="BX6">
        <v>7</v>
      </c>
      <c r="BY6">
        <v>4048.7999999999997</v>
      </c>
      <c r="BZ6">
        <v>6.657029469376166</v>
      </c>
      <c r="CA6">
        <v>3850.4258450871744</v>
      </c>
      <c r="CB6">
        <v>4.1894053650653147</v>
      </c>
      <c r="CC6">
        <v>2423.1520631537778</v>
      </c>
      <c r="CD6">
        <v>8.1905912120895916</v>
      </c>
      <c r="CE6">
        <v>4737.4379570726196</v>
      </c>
      <c r="CF6">
        <v>4.157891245739445</v>
      </c>
      <c r="CG6">
        <v>2404.9242965356948</v>
      </c>
      <c r="CH6">
        <v>7</v>
      </c>
      <c r="CI6">
        <v>4048.7999999999997</v>
      </c>
      <c r="CJ6">
        <v>7</v>
      </c>
      <c r="CK6">
        <v>4048.7999999999997</v>
      </c>
      <c r="CL6">
        <v>9.0935692933757437</v>
      </c>
      <c r="CM6">
        <v>5259.7204792885295</v>
      </c>
      <c r="CN6">
        <v>1.8936299011727908</v>
      </c>
      <c r="CO6">
        <v>1095.2755348383421</v>
      </c>
      <c r="CP6">
        <v>9</v>
      </c>
      <c r="CQ6">
        <v>5205.5999999999995</v>
      </c>
      <c r="CR6">
        <v>5.1118716085562124</v>
      </c>
      <c r="CS6">
        <v>2956.706538388913</v>
      </c>
      <c r="CT6">
        <v>2.890254268287237</v>
      </c>
      <c r="CU6">
        <v>1671.7230687773379</v>
      </c>
    </row>
    <row r="7" spans="1:99">
      <c r="C7" s="99" t="s">
        <v>174</v>
      </c>
      <c r="D7">
        <v>5.2483397947353936</v>
      </c>
      <c r="E7">
        <v>4137.7910941693845</v>
      </c>
      <c r="F7">
        <v>1.3594860626282625</v>
      </c>
      <c r="G7">
        <v>1071.8188117761222</v>
      </c>
      <c r="H7">
        <v>3.7835150257194914</v>
      </c>
      <c r="I7">
        <v>2982.923246277247</v>
      </c>
      <c r="J7">
        <v>4.5498095803216749</v>
      </c>
      <c r="K7">
        <v>3587.0698731256084</v>
      </c>
      <c r="L7">
        <v>7</v>
      </c>
      <c r="M7">
        <v>5518.8</v>
      </c>
      <c r="N7">
        <v>6.8905360190443732</v>
      </c>
      <c r="O7">
        <v>5432.4985974145839</v>
      </c>
      <c r="P7">
        <v>7.0908501726643518</v>
      </c>
      <c r="Q7">
        <v>5590.4262761285745</v>
      </c>
      <c r="R7">
        <v>7</v>
      </c>
      <c r="S7">
        <v>5518.8</v>
      </c>
      <c r="T7">
        <v>9</v>
      </c>
      <c r="U7">
        <v>7095.5999999999995</v>
      </c>
      <c r="V7">
        <v>8</v>
      </c>
      <c r="W7">
        <v>6307.2</v>
      </c>
      <c r="X7">
        <v>8</v>
      </c>
      <c r="Y7">
        <v>6307.2</v>
      </c>
      <c r="Z7">
        <v>6.8075281218745003</v>
      </c>
      <c r="AA7">
        <v>5367.055171285856</v>
      </c>
      <c r="AB7">
        <v>7.1352607738265457</v>
      </c>
      <c r="AC7">
        <v>5625.4395940848481</v>
      </c>
      <c r="AD7">
        <v>4.5004838413756261</v>
      </c>
      <c r="AE7">
        <v>3548.1814605405434</v>
      </c>
      <c r="AF7">
        <v>2.1270376829373649</v>
      </c>
      <c r="AG7">
        <v>1676.9565092278185</v>
      </c>
      <c r="AH7">
        <v>3.0459882408193004</v>
      </c>
      <c r="AI7">
        <v>2401.4571290619365</v>
      </c>
      <c r="AJ7">
        <v>9</v>
      </c>
      <c r="AK7">
        <v>7095.5999999999995</v>
      </c>
      <c r="AL7">
        <v>5.4063342171415876</v>
      </c>
      <c r="AM7">
        <v>4262.3538967944278</v>
      </c>
      <c r="AN7">
        <v>0.92043150960739539</v>
      </c>
      <c r="AO7">
        <v>725.66820217447048</v>
      </c>
      <c r="AP7">
        <v>7</v>
      </c>
      <c r="AQ7">
        <v>5518.8</v>
      </c>
      <c r="AR7">
        <v>8</v>
      </c>
      <c r="AS7">
        <v>6307.2</v>
      </c>
      <c r="AT7">
        <v>6</v>
      </c>
      <c r="AU7">
        <v>4730.3999999999996</v>
      </c>
      <c r="AV7">
        <v>9</v>
      </c>
      <c r="AW7">
        <v>7095.5999999999995</v>
      </c>
      <c r="AX7">
        <v>9</v>
      </c>
      <c r="AY7">
        <v>7095.5999999999995</v>
      </c>
      <c r="AZ7">
        <v>10</v>
      </c>
      <c r="BA7">
        <v>7884</v>
      </c>
      <c r="BB7">
        <v>9</v>
      </c>
      <c r="BC7">
        <v>7095.5999999999995</v>
      </c>
      <c r="BD7">
        <v>7</v>
      </c>
      <c r="BE7">
        <v>5518.8</v>
      </c>
      <c r="BF7">
        <v>5</v>
      </c>
      <c r="BG7">
        <v>3942</v>
      </c>
      <c r="BH7">
        <v>6</v>
      </c>
      <c r="BI7">
        <v>4730.3999999999996</v>
      </c>
      <c r="BJ7">
        <v>8</v>
      </c>
      <c r="BK7">
        <v>6307.2</v>
      </c>
      <c r="BL7">
        <v>6</v>
      </c>
      <c r="BM7">
        <v>4730.3999999999996</v>
      </c>
      <c r="BN7">
        <v>9</v>
      </c>
      <c r="BO7">
        <v>7095.5999999999995</v>
      </c>
      <c r="BP7">
        <v>6.0255331607098057</v>
      </c>
      <c r="BQ7">
        <v>4750.5303439036106</v>
      </c>
      <c r="BR7">
        <v>10</v>
      </c>
      <c r="BS7">
        <v>7884</v>
      </c>
      <c r="BT7">
        <v>4.8101958579838646</v>
      </c>
      <c r="BU7">
        <v>3792.3584144344786</v>
      </c>
      <c r="BV7">
        <v>8</v>
      </c>
      <c r="BW7">
        <v>6307.2</v>
      </c>
      <c r="BX7">
        <v>6</v>
      </c>
      <c r="BY7">
        <v>4730.3999999999996</v>
      </c>
      <c r="BZ7">
        <v>6.657029469376166</v>
      </c>
      <c r="CA7">
        <v>5248.4020336561689</v>
      </c>
      <c r="CB7">
        <v>4.1894053650653147</v>
      </c>
      <c r="CC7">
        <v>3302.9271898174939</v>
      </c>
      <c r="CD7">
        <v>8.1905912120895916</v>
      </c>
      <c r="CE7">
        <v>6457.462111611434</v>
      </c>
      <c r="CF7">
        <v>3.5639067820623809</v>
      </c>
      <c r="CG7">
        <v>2809.7841069779811</v>
      </c>
      <c r="CH7">
        <v>6</v>
      </c>
      <c r="CI7">
        <v>4730.3999999999996</v>
      </c>
      <c r="CJ7">
        <v>7</v>
      </c>
      <c r="CK7">
        <v>5518.8</v>
      </c>
      <c r="CL7">
        <v>8.0831727052228839</v>
      </c>
      <c r="CM7">
        <v>6372.7733607977216</v>
      </c>
      <c r="CN7">
        <v>1.8936299011727908</v>
      </c>
      <c r="CO7">
        <v>1492.9378140846281</v>
      </c>
      <c r="CP7">
        <v>9</v>
      </c>
      <c r="CQ7">
        <v>7095.5999999999995</v>
      </c>
      <c r="CR7">
        <v>5.1118716085562124</v>
      </c>
      <c r="CS7">
        <v>4030.1995761857179</v>
      </c>
      <c r="CT7">
        <v>3.3719633130017761</v>
      </c>
      <c r="CU7">
        <v>2658.4558759706001</v>
      </c>
    </row>
    <row r="8" spans="1:99">
      <c r="C8" s="99" t="s">
        <v>175</v>
      </c>
      <c r="D8">
        <v>5.916772315604315</v>
      </c>
      <c r="E8">
        <v>1831.8327089110958</v>
      </c>
      <c r="F8">
        <v>1.3594860626282625</v>
      </c>
      <c r="G8">
        <v>420.89688498971003</v>
      </c>
      <c r="H8">
        <v>4.7293937821493639</v>
      </c>
      <c r="I8">
        <v>1464.220314953443</v>
      </c>
      <c r="J8">
        <v>4.5498095803216749</v>
      </c>
      <c r="K8">
        <v>1408.6210460675904</v>
      </c>
      <c r="L8">
        <v>7</v>
      </c>
      <c r="M8">
        <v>2167.1999999999998</v>
      </c>
      <c r="N8">
        <v>7.8748983074792838</v>
      </c>
      <c r="O8">
        <v>2438.068515995586</v>
      </c>
      <c r="P8">
        <v>7.0908501726643518</v>
      </c>
      <c r="Q8">
        <v>2195.3272134568829</v>
      </c>
      <c r="R8">
        <v>7</v>
      </c>
      <c r="S8">
        <v>2167.1999999999998</v>
      </c>
      <c r="T8">
        <v>9</v>
      </c>
      <c r="U8">
        <v>2786.3999999999996</v>
      </c>
      <c r="V8">
        <v>9</v>
      </c>
      <c r="W8">
        <v>2786.3999999999996</v>
      </c>
      <c r="X8">
        <v>9</v>
      </c>
      <c r="Y8">
        <v>2786.3999999999996</v>
      </c>
      <c r="Z8">
        <v>7.7800321392851428</v>
      </c>
      <c r="AA8">
        <v>2408.6979503226798</v>
      </c>
      <c r="AB8">
        <v>6.3424540211791509</v>
      </c>
      <c r="AC8">
        <v>1963.6237649570649</v>
      </c>
      <c r="AD8">
        <v>4.5004838413756261</v>
      </c>
      <c r="AE8">
        <v>1393.3497972898938</v>
      </c>
      <c r="AF8">
        <v>2.1270376829373649</v>
      </c>
      <c r="AG8">
        <v>658.53086663740817</v>
      </c>
      <c r="AH8">
        <v>3.0459882408193004</v>
      </c>
      <c r="AI8">
        <v>943.03795935765527</v>
      </c>
      <c r="AJ8">
        <v>9</v>
      </c>
      <c r="AK8">
        <v>2786.3999999999996</v>
      </c>
      <c r="AL8">
        <v>6.0713262843459566</v>
      </c>
      <c r="AM8">
        <v>1879.682617633508</v>
      </c>
      <c r="AN8">
        <v>1.0519217252655948</v>
      </c>
      <c r="AO8">
        <v>325.67496614222813</v>
      </c>
      <c r="AP8">
        <v>6</v>
      </c>
      <c r="AQ8">
        <v>1857.6</v>
      </c>
      <c r="AR8">
        <v>8</v>
      </c>
      <c r="AS8">
        <v>2476.7999999999997</v>
      </c>
      <c r="AT8">
        <v>6</v>
      </c>
      <c r="AU8">
        <v>1857.6</v>
      </c>
      <c r="AV8">
        <v>9</v>
      </c>
      <c r="AW8">
        <v>2786.3999999999996</v>
      </c>
      <c r="AX8">
        <v>10</v>
      </c>
      <c r="AY8">
        <v>3095.9999999999995</v>
      </c>
      <c r="AZ8">
        <v>9</v>
      </c>
      <c r="BA8">
        <v>2786.3999999999996</v>
      </c>
      <c r="BB8">
        <v>8</v>
      </c>
      <c r="BC8">
        <v>2476.7999999999997</v>
      </c>
      <c r="BD8">
        <v>8</v>
      </c>
      <c r="BE8">
        <v>2476.7999999999997</v>
      </c>
      <c r="BF8">
        <v>6</v>
      </c>
      <c r="BG8">
        <v>1857.6</v>
      </c>
      <c r="BH8">
        <v>6</v>
      </c>
      <c r="BI8">
        <v>1857.6</v>
      </c>
      <c r="BJ8">
        <v>8</v>
      </c>
      <c r="BK8">
        <v>2476.7999999999997</v>
      </c>
      <c r="BL8">
        <v>7</v>
      </c>
      <c r="BM8">
        <v>2167.1999999999998</v>
      </c>
      <c r="BN8">
        <v>9</v>
      </c>
      <c r="BO8">
        <v>2786.3999999999996</v>
      </c>
      <c r="BP8">
        <v>6.0255331607098057</v>
      </c>
      <c r="BQ8">
        <v>1865.5050665557555</v>
      </c>
      <c r="BR8">
        <v>9</v>
      </c>
      <c r="BS8">
        <v>2786.3999999999996</v>
      </c>
      <c r="BT8">
        <v>4.8101958579838646</v>
      </c>
      <c r="BU8">
        <v>1489.2366376318043</v>
      </c>
      <c r="BV8">
        <v>9</v>
      </c>
      <c r="BW8">
        <v>2786.3999999999996</v>
      </c>
      <c r="BX8">
        <v>6</v>
      </c>
      <c r="BY8">
        <v>1857.6</v>
      </c>
      <c r="BZ8">
        <v>6.657029469376166</v>
      </c>
      <c r="CA8">
        <v>2061.0163237188608</v>
      </c>
      <c r="CB8">
        <v>4.8876395925761997</v>
      </c>
      <c r="CC8">
        <v>1513.2132178615914</v>
      </c>
      <c r="CD8">
        <v>8.207917685915918</v>
      </c>
      <c r="CE8">
        <v>2541.171315559568</v>
      </c>
      <c r="CF8">
        <v>4.7518757094165078</v>
      </c>
      <c r="CG8">
        <v>1471.1807196353507</v>
      </c>
      <c r="CH8">
        <v>7</v>
      </c>
      <c r="CI8">
        <v>2167.1999999999998</v>
      </c>
      <c r="CJ8">
        <v>8</v>
      </c>
      <c r="CK8">
        <v>2476.7999999999997</v>
      </c>
      <c r="CL8">
        <v>10.083172705222884</v>
      </c>
      <c r="CM8">
        <v>3121.7502695370044</v>
      </c>
      <c r="CN8">
        <v>2.104033223525323</v>
      </c>
      <c r="CO8">
        <v>651.40868600343993</v>
      </c>
      <c r="CP8">
        <v>10</v>
      </c>
      <c r="CQ8">
        <v>3095.9999999999995</v>
      </c>
      <c r="CR8">
        <v>6.1118716085562124</v>
      </c>
      <c r="CS8">
        <v>1892.2354500090032</v>
      </c>
      <c r="CT8">
        <v>3.3719633130017761</v>
      </c>
      <c r="CU8">
        <v>1043.9598417053498</v>
      </c>
    </row>
    <row r="9" spans="1:99">
      <c r="C9" s="99" t="s">
        <v>176</v>
      </c>
      <c r="D9">
        <v>5.2483397947353936</v>
      </c>
      <c r="E9">
        <v>3684.3345359042464</v>
      </c>
      <c r="F9">
        <v>1.1895503047997298</v>
      </c>
      <c r="G9">
        <v>835.06431396941036</v>
      </c>
      <c r="H9">
        <v>4.7293937821493639</v>
      </c>
      <c r="I9">
        <v>3320.0344350688533</v>
      </c>
      <c r="J9">
        <v>4.5498095803216749</v>
      </c>
      <c r="K9">
        <v>3193.9663253858157</v>
      </c>
      <c r="L9">
        <v>6</v>
      </c>
      <c r="M9">
        <v>4212</v>
      </c>
      <c r="N9">
        <v>7.8748983074792838</v>
      </c>
      <c r="O9">
        <v>5528.1786118504569</v>
      </c>
      <c r="P9">
        <v>6.0908501726643518</v>
      </c>
      <c r="Q9">
        <v>4275.7768212103747</v>
      </c>
      <c r="R9">
        <v>7</v>
      </c>
      <c r="S9">
        <v>4914</v>
      </c>
      <c r="T9">
        <v>10</v>
      </c>
      <c r="U9">
        <v>7020</v>
      </c>
      <c r="V9">
        <v>9</v>
      </c>
      <c r="W9">
        <v>6318</v>
      </c>
      <c r="X9">
        <v>9</v>
      </c>
      <c r="Y9">
        <v>6318</v>
      </c>
      <c r="Z9">
        <v>6.8075281218745003</v>
      </c>
      <c r="AA9">
        <v>4778.8847415558994</v>
      </c>
      <c r="AB9">
        <v>6.3424540211791509</v>
      </c>
      <c r="AC9">
        <v>4452.4027228677642</v>
      </c>
      <c r="AD9">
        <v>4.5004838413756261</v>
      </c>
      <c r="AE9">
        <v>3159.3396566456895</v>
      </c>
      <c r="AF9">
        <v>2.1461309441694447</v>
      </c>
      <c r="AG9">
        <v>1506.5839228069501</v>
      </c>
      <c r="AH9">
        <v>3.0459882408193004</v>
      </c>
      <c r="AI9">
        <v>2138.2837450551488</v>
      </c>
      <c r="AJ9">
        <v>9</v>
      </c>
      <c r="AK9">
        <v>6318</v>
      </c>
      <c r="AL9">
        <v>5.4063342171415876</v>
      </c>
      <c r="AM9">
        <v>3795.2466204333946</v>
      </c>
      <c r="AN9">
        <v>0.92043150960739539</v>
      </c>
      <c r="AO9">
        <v>646.14291974439152</v>
      </c>
      <c r="AP9">
        <v>7</v>
      </c>
      <c r="AQ9">
        <v>4914</v>
      </c>
      <c r="AR9">
        <v>8</v>
      </c>
      <c r="AS9">
        <v>5616</v>
      </c>
      <c r="AT9">
        <v>6</v>
      </c>
      <c r="AU9">
        <v>4212</v>
      </c>
      <c r="AV9">
        <v>9</v>
      </c>
      <c r="AW9">
        <v>6318</v>
      </c>
      <c r="AX9">
        <v>9</v>
      </c>
      <c r="AY9">
        <v>6318</v>
      </c>
      <c r="AZ9">
        <v>10</v>
      </c>
      <c r="BA9">
        <v>7020</v>
      </c>
      <c r="BB9">
        <v>10</v>
      </c>
      <c r="BC9">
        <v>7020</v>
      </c>
      <c r="BD9">
        <v>7</v>
      </c>
      <c r="BE9">
        <v>4914</v>
      </c>
      <c r="BF9">
        <v>6</v>
      </c>
      <c r="BG9">
        <v>4212</v>
      </c>
      <c r="BH9">
        <v>6</v>
      </c>
      <c r="BI9">
        <v>4212</v>
      </c>
      <c r="BJ9">
        <v>8</v>
      </c>
      <c r="BK9">
        <v>5616</v>
      </c>
      <c r="BL9">
        <v>6</v>
      </c>
      <c r="BM9">
        <v>4212</v>
      </c>
      <c r="BN9">
        <v>10</v>
      </c>
      <c r="BO9">
        <v>7020</v>
      </c>
      <c r="BP9">
        <v>6.0255331607098057</v>
      </c>
      <c r="BQ9">
        <v>4229.9242788182837</v>
      </c>
      <c r="BR9">
        <v>9</v>
      </c>
      <c r="BS9">
        <v>6318</v>
      </c>
      <c r="BT9">
        <v>4.0084965483198873</v>
      </c>
      <c r="BU9">
        <v>2813.9645769205608</v>
      </c>
      <c r="BV9">
        <v>9</v>
      </c>
      <c r="BW9">
        <v>6318</v>
      </c>
      <c r="BX9">
        <v>7</v>
      </c>
      <c r="BY9">
        <v>4914</v>
      </c>
      <c r="BZ9">
        <v>7.4891581530481863</v>
      </c>
      <c r="CA9">
        <v>5257.3890234398268</v>
      </c>
      <c r="CB9">
        <v>4.1894053650653147</v>
      </c>
      <c r="CC9">
        <v>2940.9625662758508</v>
      </c>
      <c r="CD9">
        <v>9.207917685915918</v>
      </c>
      <c r="CE9">
        <v>6463.9582155129747</v>
      </c>
      <c r="CF9">
        <v>3.5639067820623809</v>
      </c>
      <c r="CG9">
        <v>2501.8625610077916</v>
      </c>
      <c r="CH9">
        <v>6</v>
      </c>
      <c r="CI9">
        <v>4212</v>
      </c>
      <c r="CJ9">
        <v>8</v>
      </c>
      <c r="CK9">
        <v>5616</v>
      </c>
      <c r="CL9">
        <v>8.0831727052228839</v>
      </c>
      <c r="CM9">
        <v>5674.3872390664646</v>
      </c>
      <c r="CN9">
        <v>2.104033223525323</v>
      </c>
      <c r="CO9">
        <v>1477.0313229147766</v>
      </c>
      <c r="CP9">
        <v>9</v>
      </c>
      <c r="CQ9">
        <v>6318</v>
      </c>
      <c r="CR9">
        <v>6.1220417547885955</v>
      </c>
      <c r="CS9">
        <v>4297.6733118615939</v>
      </c>
      <c r="CT9">
        <v>3.3719633130017761</v>
      </c>
      <c r="CU9">
        <v>2367.1182457272466</v>
      </c>
    </row>
    <row r="10" spans="1:99">
      <c r="C10" s="99" t="s">
        <v>177</v>
      </c>
      <c r="D10">
        <v>5.916772315604315</v>
      </c>
      <c r="E10">
        <v>3223.4575575412305</v>
      </c>
      <c r="F10">
        <v>1.3594860626282625</v>
      </c>
      <c r="G10">
        <v>740.64800691987739</v>
      </c>
      <c r="H10">
        <v>4.7293937821493639</v>
      </c>
      <c r="I10">
        <v>2576.573732514973</v>
      </c>
      <c r="J10">
        <v>3.7915079836013956</v>
      </c>
      <c r="K10">
        <v>2065.6135494660402</v>
      </c>
      <c r="L10">
        <v>6</v>
      </c>
      <c r="M10">
        <v>3268.7999999999997</v>
      </c>
      <c r="N10">
        <v>6.8905360190443732</v>
      </c>
      <c r="O10">
        <v>3753.9640231753742</v>
      </c>
      <c r="P10">
        <v>7.0908501726643518</v>
      </c>
      <c r="Q10">
        <v>3863.0951740675387</v>
      </c>
      <c r="R10">
        <v>8</v>
      </c>
      <c r="S10">
        <v>4358.3999999999996</v>
      </c>
      <c r="T10">
        <v>9</v>
      </c>
      <c r="U10">
        <v>4903.2</v>
      </c>
      <c r="V10">
        <v>10</v>
      </c>
      <c r="W10">
        <v>5448</v>
      </c>
      <c r="X10">
        <v>9</v>
      </c>
      <c r="Y10">
        <v>4903.2</v>
      </c>
      <c r="Z10">
        <v>7.7800321392851428</v>
      </c>
      <c r="AA10">
        <v>4238.5615094825453</v>
      </c>
      <c r="AB10">
        <v>6.3424540211791509</v>
      </c>
      <c r="AC10">
        <v>3455.3689507384011</v>
      </c>
      <c r="AD10">
        <v>4.5004838413756261</v>
      </c>
      <c r="AE10">
        <v>2451.8635967814407</v>
      </c>
      <c r="AF10">
        <v>2.1652242054015245</v>
      </c>
      <c r="AG10">
        <v>1179.6141471027504</v>
      </c>
      <c r="AH10">
        <v>3.0459882408193004</v>
      </c>
      <c r="AI10">
        <v>1659.4543935983547</v>
      </c>
      <c r="AJ10">
        <v>9</v>
      </c>
      <c r="AK10">
        <v>4903.2</v>
      </c>
      <c r="AL10">
        <v>6.0713262843459566</v>
      </c>
      <c r="AM10">
        <v>3307.6585597116768</v>
      </c>
      <c r="AN10">
        <v>0.92043150960739539</v>
      </c>
      <c r="AO10">
        <v>501.45108643410896</v>
      </c>
      <c r="AP10">
        <v>6</v>
      </c>
      <c r="AQ10">
        <v>3268.7999999999997</v>
      </c>
      <c r="AR10">
        <v>9</v>
      </c>
      <c r="AS10">
        <v>4903.2</v>
      </c>
      <c r="AT10">
        <v>7</v>
      </c>
      <c r="AU10">
        <v>3813.5999999999995</v>
      </c>
      <c r="AV10">
        <v>9</v>
      </c>
      <c r="AW10">
        <v>4903.2</v>
      </c>
      <c r="AX10">
        <v>10</v>
      </c>
      <c r="AY10">
        <v>5448</v>
      </c>
      <c r="AZ10">
        <v>9</v>
      </c>
      <c r="BA10">
        <v>4903.2</v>
      </c>
      <c r="BB10">
        <v>9</v>
      </c>
      <c r="BC10">
        <v>4903.2</v>
      </c>
      <c r="BD10">
        <v>7</v>
      </c>
      <c r="BE10">
        <v>3813.5999999999995</v>
      </c>
      <c r="BF10">
        <v>5</v>
      </c>
      <c r="BG10">
        <v>2724</v>
      </c>
      <c r="BH10">
        <v>6</v>
      </c>
      <c r="BI10">
        <v>3268.7999999999997</v>
      </c>
      <c r="BJ10">
        <v>8</v>
      </c>
      <c r="BK10">
        <v>4358.3999999999996</v>
      </c>
      <c r="BL10">
        <v>6</v>
      </c>
      <c r="BM10">
        <v>3268.7999999999997</v>
      </c>
      <c r="BN10">
        <v>10</v>
      </c>
      <c r="BO10">
        <v>5448</v>
      </c>
      <c r="BP10">
        <v>5.1647427091798326</v>
      </c>
      <c r="BQ10">
        <v>2813.7518279611727</v>
      </c>
      <c r="BR10">
        <v>9</v>
      </c>
      <c r="BS10">
        <v>4903.2</v>
      </c>
      <c r="BT10">
        <v>4.8101958579838646</v>
      </c>
      <c r="BU10">
        <v>2620.5947034296091</v>
      </c>
      <c r="BV10">
        <v>8</v>
      </c>
      <c r="BW10">
        <v>4358.3999999999996</v>
      </c>
      <c r="BX10">
        <v>7</v>
      </c>
      <c r="BY10">
        <v>3813.5999999999995</v>
      </c>
      <c r="BZ10">
        <v>6.657029469376166</v>
      </c>
      <c r="CA10">
        <v>3626.7496549161351</v>
      </c>
      <c r="CB10">
        <v>4.1894053650653147</v>
      </c>
      <c r="CC10">
        <v>2282.3880428875832</v>
      </c>
      <c r="CD10">
        <v>9.207917685915918</v>
      </c>
      <c r="CE10">
        <v>5016.4735552869915</v>
      </c>
      <c r="CF10">
        <v>4.157891245739445</v>
      </c>
      <c r="CG10">
        <v>2265.2191506788495</v>
      </c>
      <c r="CH10">
        <v>6</v>
      </c>
      <c r="CI10">
        <v>3268.7999999999997</v>
      </c>
      <c r="CJ10">
        <v>7</v>
      </c>
      <c r="CK10">
        <v>3813.5999999999995</v>
      </c>
      <c r="CL10">
        <v>9.0831727052228839</v>
      </c>
      <c r="CM10">
        <v>4948.5124898054264</v>
      </c>
      <c r="CN10">
        <v>2.3144365458778555</v>
      </c>
      <c r="CO10">
        <v>1260.9050301942557</v>
      </c>
      <c r="CP10">
        <v>9</v>
      </c>
      <c r="CQ10">
        <v>4903.2</v>
      </c>
      <c r="CR10">
        <v>6.1118716085562124</v>
      </c>
      <c r="CS10">
        <v>3329.7476523414243</v>
      </c>
      <c r="CT10">
        <v>2.890254268287237</v>
      </c>
      <c r="CU10">
        <v>1574.6105253628866</v>
      </c>
    </row>
    <row r="11" spans="1:99">
      <c r="C11" s="99" t="s">
        <v>178</v>
      </c>
      <c r="D11">
        <v>5.2818287446561545</v>
      </c>
      <c r="E11">
        <v>2814.1583551527988</v>
      </c>
      <c r="F11">
        <v>1.3594860626282625</v>
      </c>
      <c r="G11">
        <v>724.33417416833822</v>
      </c>
      <c r="H11">
        <v>3.7835150257194914</v>
      </c>
      <c r="I11">
        <v>2015.8568057033449</v>
      </c>
      <c r="J11">
        <v>4.5498095803216749</v>
      </c>
      <c r="K11">
        <v>2424.1385443953882</v>
      </c>
      <c r="L11">
        <v>7</v>
      </c>
      <c r="M11">
        <v>3729.5999999999995</v>
      </c>
      <c r="N11">
        <v>7.8748983074792838</v>
      </c>
      <c r="O11">
        <v>4195.745818224962</v>
      </c>
      <c r="P11">
        <v>7.1059918681084104</v>
      </c>
      <c r="Q11">
        <v>3786.0724673281607</v>
      </c>
      <c r="R11">
        <v>8</v>
      </c>
      <c r="S11">
        <v>4262.3999999999996</v>
      </c>
      <c r="T11">
        <v>9</v>
      </c>
      <c r="U11">
        <v>4795.2</v>
      </c>
      <c r="V11">
        <v>8</v>
      </c>
      <c r="W11">
        <v>4262.3999999999996</v>
      </c>
      <c r="X11">
        <v>9</v>
      </c>
      <c r="Y11">
        <v>4795.2</v>
      </c>
      <c r="Z11">
        <v>6.8075281218745003</v>
      </c>
      <c r="AA11">
        <v>3627.0509833347332</v>
      </c>
      <c r="AB11">
        <v>6.3424540211791509</v>
      </c>
      <c r="AC11">
        <v>3379.2595024842512</v>
      </c>
      <c r="AD11">
        <v>5.2505644816048962</v>
      </c>
      <c r="AE11">
        <v>2797.5007557990884</v>
      </c>
      <c r="AF11">
        <v>2.1652242054015245</v>
      </c>
      <c r="AG11">
        <v>1153.6314566379322</v>
      </c>
      <c r="AH11">
        <v>3.0459882408193004</v>
      </c>
      <c r="AI11">
        <v>1622.902534708523</v>
      </c>
      <c r="AJ11">
        <v>9</v>
      </c>
      <c r="AK11">
        <v>4795.2</v>
      </c>
      <c r="AL11">
        <v>5.4186767427853937</v>
      </c>
      <c r="AM11">
        <v>2887.0709685560573</v>
      </c>
      <c r="AN11">
        <v>0.92043150960739539</v>
      </c>
      <c r="AO11">
        <v>490.4059083188202</v>
      </c>
      <c r="AP11">
        <v>7</v>
      </c>
      <c r="AQ11">
        <v>3729.5999999999995</v>
      </c>
      <c r="AR11">
        <v>8</v>
      </c>
      <c r="AS11">
        <v>4262.3999999999996</v>
      </c>
      <c r="AT11">
        <v>7</v>
      </c>
      <c r="AU11">
        <v>3729.5999999999995</v>
      </c>
      <c r="AV11">
        <v>8</v>
      </c>
      <c r="AW11">
        <v>4262.3999999999996</v>
      </c>
      <c r="AX11">
        <v>10</v>
      </c>
      <c r="AY11">
        <v>5328</v>
      </c>
      <c r="AZ11">
        <v>9</v>
      </c>
      <c r="BA11">
        <v>4795.2</v>
      </c>
      <c r="BB11">
        <v>8</v>
      </c>
      <c r="BC11">
        <v>4262.3999999999996</v>
      </c>
      <c r="BD11">
        <v>7</v>
      </c>
      <c r="BE11">
        <v>3729.5999999999995</v>
      </c>
      <c r="BF11">
        <v>5</v>
      </c>
      <c r="BG11">
        <v>2664</v>
      </c>
      <c r="BH11">
        <v>7</v>
      </c>
      <c r="BI11">
        <v>3729.5999999999995</v>
      </c>
      <c r="BJ11">
        <v>8</v>
      </c>
      <c r="BK11">
        <v>4262.3999999999996</v>
      </c>
      <c r="BL11">
        <v>7</v>
      </c>
      <c r="BM11">
        <v>3729.5999999999995</v>
      </c>
      <c r="BN11">
        <v>9</v>
      </c>
      <c r="BO11">
        <v>4795.2</v>
      </c>
      <c r="BP11">
        <v>6.0255331607098057</v>
      </c>
      <c r="BQ11">
        <v>3210.4040680261842</v>
      </c>
      <c r="BR11">
        <v>9</v>
      </c>
      <c r="BS11">
        <v>4795.2</v>
      </c>
      <c r="BT11">
        <v>4.8101958579838646</v>
      </c>
      <c r="BU11">
        <v>2562.8723531338028</v>
      </c>
      <c r="BV11">
        <v>10</v>
      </c>
      <c r="BW11">
        <v>5328</v>
      </c>
      <c r="BX11">
        <v>6</v>
      </c>
      <c r="BY11">
        <v>3196.7999999999997</v>
      </c>
      <c r="BZ11">
        <v>7.4891581530481863</v>
      </c>
      <c r="CA11">
        <v>3990.2234639440735</v>
      </c>
      <c r="CB11">
        <v>4.1894053650653147</v>
      </c>
      <c r="CC11">
        <v>2232.1151785067996</v>
      </c>
      <c r="CD11">
        <v>8.207917685915918</v>
      </c>
      <c r="CE11">
        <v>4373.1785430560003</v>
      </c>
      <c r="CF11">
        <v>4.157891245739445</v>
      </c>
      <c r="CG11">
        <v>2215.3244557299763</v>
      </c>
      <c r="CH11">
        <v>7</v>
      </c>
      <c r="CI11">
        <v>3729.5999999999995</v>
      </c>
      <c r="CJ11">
        <v>8</v>
      </c>
      <c r="CK11">
        <v>4262.3999999999996</v>
      </c>
      <c r="CL11">
        <v>9.0727761170700223</v>
      </c>
      <c r="CM11">
        <v>4833.9751151749078</v>
      </c>
      <c r="CN11">
        <v>2.104033223525323</v>
      </c>
      <c r="CO11">
        <v>1121.0289014942921</v>
      </c>
      <c r="CP11">
        <v>8</v>
      </c>
      <c r="CQ11">
        <v>4262.3999999999996</v>
      </c>
      <c r="CR11">
        <v>6.1017014623238301</v>
      </c>
      <c r="CS11">
        <v>3250.9865391261364</v>
      </c>
      <c r="CT11">
        <v>3.3719633130017761</v>
      </c>
      <c r="CU11">
        <v>1796.5820531673462</v>
      </c>
    </row>
    <row r="12" spans="1:99">
      <c r="C12" s="99" t="s">
        <v>179</v>
      </c>
      <c r="D12">
        <v>5.2483397947353936</v>
      </c>
      <c r="E12">
        <v>2953.7656364770792</v>
      </c>
      <c r="F12">
        <v>1.3594860626282625</v>
      </c>
      <c r="G12">
        <v>765.11875604718614</v>
      </c>
      <c r="H12">
        <v>3.7835150257194914</v>
      </c>
      <c r="I12">
        <v>2129.3622564749294</v>
      </c>
      <c r="J12">
        <v>4.5498095803216749</v>
      </c>
      <c r="K12">
        <v>2560.6328318050382</v>
      </c>
      <c r="L12">
        <v>6</v>
      </c>
      <c r="M12">
        <v>3376.7999999999997</v>
      </c>
      <c r="N12">
        <v>6.8905360190443732</v>
      </c>
      <c r="O12">
        <v>3877.993671518173</v>
      </c>
      <c r="P12">
        <v>7.1059918681084104</v>
      </c>
      <c r="Q12">
        <v>3999.252223371413</v>
      </c>
      <c r="R12">
        <v>7</v>
      </c>
      <c r="S12">
        <v>3939.5999999999995</v>
      </c>
      <c r="T12">
        <v>8</v>
      </c>
      <c r="U12">
        <v>4502.3999999999996</v>
      </c>
      <c r="V12">
        <v>9</v>
      </c>
      <c r="W12">
        <v>5065.2</v>
      </c>
      <c r="X12">
        <v>9</v>
      </c>
      <c r="Y12">
        <v>5065.2</v>
      </c>
      <c r="Z12">
        <v>6.8075281218745003</v>
      </c>
      <c r="AA12">
        <v>3831.2768269909684</v>
      </c>
      <c r="AB12">
        <v>7.1352607738265457</v>
      </c>
      <c r="AC12">
        <v>4015.7247635095796</v>
      </c>
      <c r="AD12">
        <v>4.5004838413756261</v>
      </c>
      <c r="AE12">
        <v>2532.872305926202</v>
      </c>
      <c r="AF12">
        <v>2.1270376829373649</v>
      </c>
      <c r="AG12">
        <v>1197.0968079571489</v>
      </c>
      <c r="AH12">
        <v>3.0459882408193004</v>
      </c>
      <c r="AI12">
        <v>1714.282181933102</v>
      </c>
      <c r="AJ12">
        <v>9</v>
      </c>
      <c r="AK12">
        <v>5065.2</v>
      </c>
      <c r="AL12">
        <v>6.0836688099897627</v>
      </c>
      <c r="AM12">
        <v>3423.8888062622382</v>
      </c>
      <c r="AN12">
        <v>0.92043150960739539</v>
      </c>
      <c r="AO12">
        <v>518.01885360704205</v>
      </c>
      <c r="AP12">
        <v>7</v>
      </c>
      <c r="AQ12">
        <v>3939.5999999999995</v>
      </c>
      <c r="AR12">
        <v>9</v>
      </c>
      <c r="AS12">
        <v>5065.2</v>
      </c>
      <c r="AT12">
        <v>7</v>
      </c>
      <c r="AU12">
        <v>3939.5999999999995</v>
      </c>
      <c r="AV12">
        <v>9</v>
      </c>
      <c r="AW12">
        <v>5065.2</v>
      </c>
      <c r="AX12">
        <v>9</v>
      </c>
      <c r="AY12">
        <v>5065.2</v>
      </c>
      <c r="AZ12">
        <v>9</v>
      </c>
      <c r="BA12">
        <v>5065.2</v>
      </c>
      <c r="BB12">
        <v>9</v>
      </c>
      <c r="BC12">
        <v>5065.2</v>
      </c>
      <c r="BD12">
        <v>7</v>
      </c>
      <c r="BE12">
        <v>3939.5999999999995</v>
      </c>
      <c r="BF12">
        <v>6</v>
      </c>
      <c r="BG12">
        <v>3376.7999999999997</v>
      </c>
      <c r="BH12">
        <v>6</v>
      </c>
      <c r="BI12">
        <v>3376.7999999999997</v>
      </c>
      <c r="BJ12">
        <v>9</v>
      </c>
      <c r="BK12">
        <v>5065.2</v>
      </c>
      <c r="BL12">
        <v>6</v>
      </c>
      <c r="BM12">
        <v>3376.7999999999997</v>
      </c>
      <c r="BN12">
        <v>9</v>
      </c>
      <c r="BO12">
        <v>5065.2</v>
      </c>
      <c r="BP12">
        <v>6.0255331607098057</v>
      </c>
      <c r="BQ12">
        <v>3391.1700628474782</v>
      </c>
      <c r="BR12">
        <v>9</v>
      </c>
      <c r="BS12">
        <v>5065.2</v>
      </c>
      <c r="BT12">
        <v>4.8101958579838646</v>
      </c>
      <c r="BU12">
        <v>2707.1782288733189</v>
      </c>
      <c r="BV12">
        <v>9</v>
      </c>
      <c r="BW12">
        <v>5065.2</v>
      </c>
      <c r="BX12">
        <v>6</v>
      </c>
      <c r="BY12">
        <v>3376.7999999999997</v>
      </c>
      <c r="BZ12">
        <v>6.657029469376166</v>
      </c>
      <c r="CA12">
        <v>3746.576185364906</v>
      </c>
      <c r="CB12">
        <v>4.1894053650653147</v>
      </c>
      <c r="CC12">
        <v>2357.7973394587589</v>
      </c>
      <c r="CD12">
        <v>9.207917685915918</v>
      </c>
      <c r="CE12">
        <v>5182.2160736334781</v>
      </c>
      <c r="CF12">
        <v>3.5639067820623809</v>
      </c>
      <c r="CG12">
        <v>2005.7667369447079</v>
      </c>
      <c r="CH12">
        <v>6</v>
      </c>
      <c r="CI12">
        <v>3376.7999999999997</v>
      </c>
      <c r="CJ12">
        <v>8</v>
      </c>
      <c r="CK12">
        <v>4502.3999999999996</v>
      </c>
      <c r="CL12">
        <v>9.0831727052228839</v>
      </c>
      <c r="CM12">
        <v>5112.0095984994387</v>
      </c>
      <c r="CN12">
        <v>2.3144365458778555</v>
      </c>
      <c r="CO12">
        <v>1302.564888020057</v>
      </c>
      <c r="CP12">
        <v>9</v>
      </c>
      <c r="CQ12">
        <v>5065.2</v>
      </c>
      <c r="CR12">
        <v>6.1118716085562124</v>
      </c>
      <c r="CS12">
        <v>3439.7613412954361</v>
      </c>
      <c r="CT12">
        <v>3.3719633130017761</v>
      </c>
      <c r="CU12">
        <v>1897.7409525573994</v>
      </c>
    </row>
    <row r="13" spans="1:99">
      <c r="C13" s="99" t="s">
        <v>180</v>
      </c>
      <c r="D13">
        <v>5.916772315604315</v>
      </c>
      <c r="E13">
        <v>504.10900128948765</v>
      </c>
      <c r="F13">
        <v>1.1895503047997298</v>
      </c>
      <c r="G13">
        <v>101.34968596893698</v>
      </c>
      <c r="H13">
        <v>4.7293937821493639</v>
      </c>
      <c r="I13">
        <v>402.94435023912581</v>
      </c>
      <c r="J13">
        <v>4.5498095803216749</v>
      </c>
      <c r="K13">
        <v>387.64377624340671</v>
      </c>
      <c r="L13">
        <v>6</v>
      </c>
      <c r="M13">
        <v>511.20000000000005</v>
      </c>
      <c r="N13">
        <v>7.8748983074792838</v>
      </c>
      <c r="O13">
        <v>670.94133579723496</v>
      </c>
      <c r="P13">
        <v>7.1059918681084104</v>
      </c>
      <c r="Q13">
        <v>605.43050716283653</v>
      </c>
      <c r="R13">
        <v>7</v>
      </c>
      <c r="S13">
        <v>596.4</v>
      </c>
      <c r="T13">
        <v>9</v>
      </c>
      <c r="U13">
        <v>766.80000000000007</v>
      </c>
      <c r="V13">
        <v>8</v>
      </c>
      <c r="W13">
        <v>681.6</v>
      </c>
      <c r="X13">
        <v>9</v>
      </c>
      <c r="Y13">
        <v>766.80000000000007</v>
      </c>
      <c r="Z13">
        <v>7.7800321392851428</v>
      </c>
      <c r="AA13">
        <v>662.85873826709417</v>
      </c>
      <c r="AB13">
        <v>6.3424540211791509</v>
      </c>
      <c r="AC13">
        <v>540.37708260446368</v>
      </c>
      <c r="AD13">
        <v>4.5004838413756261</v>
      </c>
      <c r="AE13">
        <v>383.44122328520336</v>
      </c>
      <c r="AF13">
        <v>2.1270376829373649</v>
      </c>
      <c r="AG13">
        <v>181.2236105862635</v>
      </c>
      <c r="AH13">
        <v>3.0459882408193004</v>
      </c>
      <c r="AI13">
        <v>259.51819811780439</v>
      </c>
      <c r="AJ13">
        <v>9</v>
      </c>
      <c r="AK13">
        <v>766.80000000000007</v>
      </c>
      <c r="AL13">
        <v>6.0713262843459566</v>
      </c>
      <c r="AM13">
        <v>517.27699942627555</v>
      </c>
      <c r="AN13">
        <v>0.92043150960739539</v>
      </c>
      <c r="AO13">
        <v>78.420764618550095</v>
      </c>
      <c r="AP13">
        <v>7</v>
      </c>
      <c r="AQ13">
        <v>596.4</v>
      </c>
      <c r="AR13">
        <v>8</v>
      </c>
      <c r="AS13">
        <v>681.6</v>
      </c>
      <c r="AT13">
        <v>7</v>
      </c>
      <c r="AU13">
        <v>596.4</v>
      </c>
      <c r="AV13">
        <v>9</v>
      </c>
      <c r="AW13">
        <v>766.80000000000007</v>
      </c>
      <c r="AX13">
        <v>10</v>
      </c>
      <c r="AY13">
        <v>852</v>
      </c>
      <c r="AZ13">
        <v>10</v>
      </c>
      <c r="BA13">
        <v>852</v>
      </c>
      <c r="BB13">
        <v>9</v>
      </c>
      <c r="BC13">
        <v>766.80000000000007</v>
      </c>
      <c r="BD13">
        <v>8</v>
      </c>
      <c r="BE13">
        <v>681.6</v>
      </c>
      <c r="BF13">
        <v>6</v>
      </c>
      <c r="BG13">
        <v>511.20000000000005</v>
      </c>
      <c r="BH13">
        <v>7</v>
      </c>
      <c r="BI13">
        <v>596.4</v>
      </c>
      <c r="BJ13">
        <v>9</v>
      </c>
      <c r="BK13">
        <v>766.80000000000007</v>
      </c>
      <c r="BL13">
        <v>7</v>
      </c>
      <c r="BM13">
        <v>596.4</v>
      </c>
      <c r="BN13">
        <v>9</v>
      </c>
      <c r="BO13">
        <v>766.80000000000007</v>
      </c>
      <c r="BP13">
        <v>6.0255331607098057</v>
      </c>
      <c r="BQ13">
        <v>513.37542529247548</v>
      </c>
      <c r="BR13">
        <v>9</v>
      </c>
      <c r="BS13">
        <v>766.80000000000007</v>
      </c>
      <c r="BT13">
        <v>4.8101958579838646</v>
      </c>
      <c r="BU13">
        <v>409.8286871002253</v>
      </c>
      <c r="BV13">
        <v>10</v>
      </c>
      <c r="BW13">
        <v>852</v>
      </c>
      <c r="BX13">
        <v>6</v>
      </c>
      <c r="BY13">
        <v>511.20000000000005</v>
      </c>
      <c r="BZ13">
        <v>6.657029469376166</v>
      </c>
      <c r="CA13">
        <v>567.17891079084939</v>
      </c>
      <c r="CB13">
        <v>4.8876395925761997</v>
      </c>
      <c r="CC13">
        <v>416.42689328749225</v>
      </c>
      <c r="CD13">
        <v>9.1905912120895916</v>
      </c>
      <c r="CE13">
        <v>783.03837127003328</v>
      </c>
      <c r="CF13">
        <v>4.157891245739445</v>
      </c>
      <c r="CG13">
        <v>354.25233413700073</v>
      </c>
      <c r="CH13">
        <v>7</v>
      </c>
      <c r="CI13">
        <v>596.4</v>
      </c>
      <c r="CJ13">
        <v>9</v>
      </c>
      <c r="CK13">
        <v>766.80000000000007</v>
      </c>
      <c r="CL13">
        <v>9.0727761170700223</v>
      </c>
      <c r="CM13">
        <v>773.00052517436598</v>
      </c>
      <c r="CN13">
        <v>2.3144365458778555</v>
      </c>
      <c r="CO13">
        <v>197.18999370879331</v>
      </c>
      <c r="CP13">
        <v>9</v>
      </c>
      <c r="CQ13">
        <v>766.80000000000007</v>
      </c>
      <c r="CR13">
        <v>6.1220417547885955</v>
      </c>
      <c r="CS13">
        <v>521.59795750798833</v>
      </c>
      <c r="CT13">
        <v>3.3719633130017761</v>
      </c>
      <c r="CU13">
        <v>287.29127426775131</v>
      </c>
    </row>
    <row r="14" spans="1:99">
      <c r="C14" s="99" t="s">
        <v>181</v>
      </c>
      <c r="D14">
        <v>5.9502612655250759</v>
      </c>
      <c r="E14">
        <v>2906.1076020824471</v>
      </c>
      <c r="F14">
        <v>1.3594860626282625</v>
      </c>
      <c r="G14">
        <v>663.97299298764335</v>
      </c>
      <c r="H14">
        <v>3.7835150257194914</v>
      </c>
      <c r="I14">
        <v>1847.8687385613996</v>
      </c>
      <c r="J14">
        <v>4.5498095803216749</v>
      </c>
      <c r="K14">
        <v>2222.1269990291057</v>
      </c>
      <c r="L14">
        <v>6</v>
      </c>
      <c r="M14">
        <v>2930.3999999999996</v>
      </c>
      <c r="N14">
        <v>6.8905360190443732</v>
      </c>
      <c r="O14">
        <v>3365.3377917012717</v>
      </c>
      <c r="P14">
        <v>7.1059918681084104</v>
      </c>
      <c r="Q14">
        <v>3470.5664283841475</v>
      </c>
      <c r="R14">
        <v>7</v>
      </c>
      <c r="S14">
        <v>3418.7999999999997</v>
      </c>
      <c r="T14">
        <v>9</v>
      </c>
      <c r="U14">
        <v>4395.5999999999995</v>
      </c>
      <c r="V14">
        <v>10</v>
      </c>
      <c r="W14">
        <v>4884</v>
      </c>
      <c r="X14">
        <v>9</v>
      </c>
      <c r="Y14">
        <v>4395.5999999999995</v>
      </c>
      <c r="Z14">
        <v>7.7800321392851428</v>
      </c>
      <c r="AA14">
        <v>3799.7676968268634</v>
      </c>
      <c r="AB14">
        <v>7.1352607738265457</v>
      </c>
      <c r="AC14">
        <v>3484.8613619368848</v>
      </c>
      <c r="AD14">
        <v>4.5004838413756261</v>
      </c>
      <c r="AE14">
        <v>2198.0363081278556</v>
      </c>
      <c r="AF14">
        <v>2.1461309441694447</v>
      </c>
      <c r="AG14">
        <v>1048.1703531323567</v>
      </c>
      <c r="AH14">
        <v>3.0459882408193004</v>
      </c>
      <c r="AI14">
        <v>1487.6606568161462</v>
      </c>
      <c r="AJ14">
        <v>9</v>
      </c>
      <c r="AK14">
        <v>4395.5999999999995</v>
      </c>
      <c r="AL14">
        <v>6.0836688099897627</v>
      </c>
      <c r="AM14">
        <v>2971.263846799</v>
      </c>
      <c r="AN14">
        <v>1.0519217252655948</v>
      </c>
      <c r="AO14">
        <v>513.75857061971647</v>
      </c>
      <c r="AP14">
        <v>6</v>
      </c>
      <c r="AQ14">
        <v>2930.3999999999996</v>
      </c>
      <c r="AR14">
        <v>9</v>
      </c>
      <c r="AS14">
        <v>4395.5999999999995</v>
      </c>
      <c r="AT14">
        <v>7</v>
      </c>
      <c r="AU14">
        <v>3418.7999999999997</v>
      </c>
      <c r="AV14">
        <v>9</v>
      </c>
      <c r="AW14">
        <v>4395.5999999999995</v>
      </c>
      <c r="AX14">
        <v>10</v>
      </c>
      <c r="AY14">
        <v>4884</v>
      </c>
      <c r="AZ14">
        <v>10</v>
      </c>
      <c r="BA14">
        <v>4884</v>
      </c>
      <c r="BB14">
        <v>9</v>
      </c>
      <c r="BC14">
        <v>4395.5999999999995</v>
      </c>
      <c r="BD14">
        <v>8</v>
      </c>
      <c r="BE14">
        <v>3907.2</v>
      </c>
      <c r="BF14">
        <v>5</v>
      </c>
      <c r="BG14">
        <v>2442</v>
      </c>
      <c r="BH14">
        <v>7</v>
      </c>
      <c r="BI14">
        <v>3418.7999999999997</v>
      </c>
      <c r="BJ14">
        <v>8</v>
      </c>
      <c r="BK14">
        <v>3907.2</v>
      </c>
      <c r="BL14">
        <v>7</v>
      </c>
      <c r="BM14">
        <v>3418.7999999999997</v>
      </c>
      <c r="BN14">
        <v>10</v>
      </c>
      <c r="BO14">
        <v>4884</v>
      </c>
      <c r="BP14">
        <v>6.0255331607098057</v>
      </c>
      <c r="BQ14">
        <v>2942.8703956906688</v>
      </c>
      <c r="BR14">
        <v>9</v>
      </c>
      <c r="BS14">
        <v>4395.5999999999995</v>
      </c>
      <c r="BT14">
        <v>4.0084965483198873</v>
      </c>
      <c r="BU14">
        <v>1957.7497141994329</v>
      </c>
      <c r="BV14">
        <v>10</v>
      </c>
      <c r="BW14">
        <v>4884</v>
      </c>
      <c r="BX14">
        <v>6</v>
      </c>
      <c r="BY14">
        <v>2930.3999999999996</v>
      </c>
      <c r="BZ14">
        <v>6.657029469376166</v>
      </c>
      <c r="CA14">
        <v>3251.2931928433195</v>
      </c>
      <c r="CB14">
        <v>4.8876395925761997</v>
      </c>
      <c r="CC14">
        <v>2387.1231770142158</v>
      </c>
      <c r="CD14">
        <v>9.1732647382632653</v>
      </c>
      <c r="CE14">
        <v>4480.2224981677782</v>
      </c>
      <c r="CF14">
        <v>4.157891245739445</v>
      </c>
      <c r="CG14">
        <v>2030.7140844191449</v>
      </c>
      <c r="CH14">
        <v>7</v>
      </c>
      <c r="CI14">
        <v>3418.7999999999997</v>
      </c>
      <c r="CJ14">
        <v>8</v>
      </c>
      <c r="CK14">
        <v>3907.2</v>
      </c>
      <c r="CL14">
        <v>10.083172705222884</v>
      </c>
      <c r="CM14">
        <v>4924.6215492308565</v>
      </c>
      <c r="CN14">
        <v>2.3144365458778555</v>
      </c>
      <c r="CO14">
        <v>1130.3708090067446</v>
      </c>
      <c r="CP14">
        <v>10</v>
      </c>
      <c r="CQ14">
        <v>4884</v>
      </c>
      <c r="CR14">
        <v>5.1118716085562124</v>
      </c>
      <c r="CS14">
        <v>2496.6380936188539</v>
      </c>
      <c r="CT14">
        <v>3.3719633130017761</v>
      </c>
      <c r="CU14">
        <v>1646.8668820700673</v>
      </c>
    </row>
    <row r="15" spans="1:99">
      <c r="C15" s="99" t="s">
        <v>182</v>
      </c>
      <c r="D15">
        <v>5.2148508448146327</v>
      </c>
      <c r="E15">
        <v>3979.9741647625274</v>
      </c>
      <c r="F15">
        <v>1.3594860626282625</v>
      </c>
      <c r="G15">
        <v>1037.5597629978899</v>
      </c>
      <c r="H15">
        <v>3.7835150257194914</v>
      </c>
      <c r="I15">
        <v>2887.5786676291154</v>
      </c>
      <c r="J15">
        <v>4.5498095803216749</v>
      </c>
      <c r="K15">
        <v>3472.4146717015019</v>
      </c>
      <c r="L15">
        <v>7</v>
      </c>
      <c r="M15">
        <v>5342.4</v>
      </c>
      <c r="N15">
        <v>7.8748983074792838</v>
      </c>
      <c r="O15">
        <v>6010.1223882681888</v>
      </c>
      <c r="P15">
        <v>7.1059918681084104</v>
      </c>
      <c r="Q15">
        <v>5423.2929937403387</v>
      </c>
      <c r="R15">
        <v>7</v>
      </c>
      <c r="S15">
        <v>5342.4</v>
      </c>
      <c r="T15">
        <v>9</v>
      </c>
      <c r="U15">
        <v>6868.7999999999993</v>
      </c>
      <c r="V15">
        <v>9</v>
      </c>
      <c r="W15">
        <v>6868.7999999999993</v>
      </c>
      <c r="X15">
        <v>9</v>
      </c>
      <c r="Y15">
        <v>6868.7999999999993</v>
      </c>
      <c r="Z15">
        <v>6.8075281218745003</v>
      </c>
      <c r="AA15">
        <v>5195.5054626146184</v>
      </c>
      <c r="AB15">
        <v>6.3424540211791509</v>
      </c>
      <c r="AC15">
        <v>4840.5609089639274</v>
      </c>
      <c r="AD15">
        <v>4.5004838413756261</v>
      </c>
      <c r="AE15">
        <v>3434.7692677378777</v>
      </c>
      <c r="AF15">
        <v>2.1270376829373649</v>
      </c>
      <c r="AG15">
        <v>1623.3551596177967</v>
      </c>
      <c r="AH15">
        <v>3.0459882408193004</v>
      </c>
      <c r="AI15">
        <v>2324.6982253932897</v>
      </c>
      <c r="AJ15">
        <v>10</v>
      </c>
      <c r="AK15">
        <v>7631.9999999999991</v>
      </c>
      <c r="AL15">
        <v>6.0836688099897627</v>
      </c>
      <c r="AM15">
        <v>4643.0560357841869</v>
      </c>
      <c r="AN15">
        <v>0.92043150960739539</v>
      </c>
      <c r="AO15">
        <v>702.47332813236414</v>
      </c>
      <c r="AP15">
        <v>6</v>
      </c>
      <c r="AQ15">
        <v>4579.2</v>
      </c>
      <c r="AR15">
        <v>8</v>
      </c>
      <c r="AS15">
        <v>6105.5999999999995</v>
      </c>
      <c r="AT15">
        <v>7</v>
      </c>
      <c r="AU15">
        <v>5342.4</v>
      </c>
      <c r="AV15">
        <v>10</v>
      </c>
      <c r="AW15">
        <v>7631.9999999999991</v>
      </c>
      <c r="AX15">
        <v>8</v>
      </c>
      <c r="AY15">
        <v>6105.5999999999995</v>
      </c>
      <c r="AZ15">
        <v>9</v>
      </c>
      <c r="BA15">
        <v>6868.7999999999993</v>
      </c>
      <c r="BB15">
        <v>8</v>
      </c>
      <c r="BC15">
        <v>6105.5999999999995</v>
      </c>
      <c r="BD15">
        <v>8</v>
      </c>
      <c r="BE15">
        <v>6105.5999999999995</v>
      </c>
      <c r="BF15">
        <v>6</v>
      </c>
      <c r="BG15">
        <v>4579.2</v>
      </c>
      <c r="BH15">
        <v>6</v>
      </c>
      <c r="BI15">
        <v>4579.2</v>
      </c>
      <c r="BJ15">
        <v>8</v>
      </c>
      <c r="BK15">
        <v>6105.5999999999995</v>
      </c>
      <c r="BL15">
        <v>7</v>
      </c>
      <c r="BM15">
        <v>5342.4</v>
      </c>
      <c r="BN15">
        <v>9</v>
      </c>
      <c r="BO15">
        <v>6868.7999999999993</v>
      </c>
      <c r="BP15">
        <v>5.1647427091798326</v>
      </c>
      <c r="BQ15">
        <v>3941.7316356460478</v>
      </c>
      <c r="BR15">
        <v>8</v>
      </c>
      <c r="BS15">
        <v>6105.5999999999995</v>
      </c>
      <c r="BT15">
        <v>4.8101958579838646</v>
      </c>
      <c r="BU15">
        <v>3671.1414788132852</v>
      </c>
      <c r="BV15">
        <v>9</v>
      </c>
      <c r="BW15">
        <v>6868.7999999999993</v>
      </c>
      <c r="BX15">
        <v>6</v>
      </c>
      <c r="BY15">
        <v>4579.2</v>
      </c>
      <c r="BZ15">
        <v>6.657029469376166</v>
      </c>
      <c r="CA15">
        <v>5080.6448910278896</v>
      </c>
      <c r="CB15">
        <v>4.1894053650653147</v>
      </c>
      <c r="CC15">
        <v>3197.354174617848</v>
      </c>
      <c r="CD15">
        <v>8.1732647382632653</v>
      </c>
      <c r="CE15">
        <v>6237.8356482425233</v>
      </c>
      <c r="CF15">
        <v>3.5639067820623809</v>
      </c>
      <c r="CG15">
        <v>2719.9736560700089</v>
      </c>
      <c r="CH15">
        <v>7</v>
      </c>
      <c r="CI15">
        <v>5342.4</v>
      </c>
      <c r="CJ15">
        <v>7</v>
      </c>
      <c r="CK15">
        <v>5342.4</v>
      </c>
      <c r="CL15">
        <v>8.0831727052228839</v>
      </c>
      <c r="CM15">
        <v>6169.0774086261044</v>
      </c>
      <c r="CN15">
        <v>2.3144365458778555</v>
      </c>
      <c r="CO15">
        <v>1766.3779718139792</v>
      </c>
      <c r="CP15">
        <v>10</v>
      </c>
      <c r="CQ15">
        <v>7631.9999999999991</v>
      </c>
      <c r="CR15">
        <v>6.1017014623238301</v>
      </c>
      <c r="CS15">
        <v>4656.8185560455468</v>
      </c>
      <c r="CT15">
        <v>3.3719633130017761</v>
      </c>
      <c r="CU15">
        <v>2573.4824004829552</v>
      </c>
    </row>
    <row r="16" spans="1:99">
      <c r="C16" s="99" t="s">
        <v>183</v>
      </c>
      <c r="D16">
        <v>5.916772315604315</v>
      </c>
      <c r="E16">
        <v>2016.4360051579506</v>
      </c>
      <c r="F16">
        <v>1.3594860626282625</v>
      </c>
      <c r="G16">
        <v>463.3128501437119</v>
      </c>
      <c r="H16">
        <v>4.7293937821493639</v>
      </c>
      <c r="I16">
        <v>1611.7774009565032</v>
      </c>
      <c r="J16">
        <v>3.7915079836013956</v>
      </c>
      <c r="K16">
        <v>1292.1459208113556</v>
      </c>
      <c r="L16">
        <v>7</v>
      </c>
      <c r="M16">
        <v>2385.6</v>
      </c>
      <c r="N16">
        <v>6.8905360190443732</v>
      </c>
      <c r="O16">
        <v>2348.2946752903226</v>
      </c>
      <c r="P16">
        <v>7.1059918681084104</v>
      </c>
      <c r="Q16">
        <v>2421.7220286513461</v>
      </c>
      <c r="R16">
        <v>7</v>
      </c>
      <c r="S16">
        <v>2385.6</v>
      </c>
      <c r="T16">
        <v>10</v>
      </c>
      <c r="U16">
        <v>3408</v>
      </c>
      <c r="V16">
        <v>9</v>
      </c>
      <c r="W16">
        <v>3067.2000000000003</v>
      </c>
      <c r="X16">
        <v>8</v>
      </c>
      <c r="Y16">
        <v>2726.4</v>
      </c>
      <c r="Z16">
        <v>6.8075281218745003</v>
      </c>
      <c r="AA16">
        <v>2320.0055839348297</v>
      </c>
      <c r="AB16">
        <v>6.3424540211791509</v>
      </c>
      <c r="AC16">
        <v>2161.5083304178547</v>
      </c>
      <c r="AD16">
        <v>5.2505644816048962</v>
      </c>
      <c r="AE16">
        <v>1789.3923753309487</v>
      </c>
      <c r="AF16">
        <v>2.1461309441694447</v>
      </c>
      <c r="AG16">
        <v>731.40142577294682</v>
      </c>
      <c r="AH16">
        <v>3.0459882408193004</v>
      </c>
      <c r="AI16">
        <v>1038.0727924712176</v>
      </c>
      <c r="AJ16">
        <v>10</v>
      </c>
      <c r="AK16">
        <v>3408</v>
      </c>
      <c r="AL16">
        <v>5.4186767427853937</v>
      </c>
      <c r="AM16">
        <v>1846.6850339412622</v>
      </c>
      <c r="AN16">
        <v>0.92043150960739539</v>
      </c>
      <c r="AO16">
        <v>313.68305847420038</v>
      </c>
      <c r="AP16">
        <v>6</v>
      </c>
      <c r="AQ16">
        <v>2044.8000000000002</v>
      </c>
      <c r="AR16">
        <v>8</v>
      </c>
      <c r="AS16">
        <v>2726.4</v>
      </c>
      <c r="AT16">
        <v>6</v>
      </c>
      <c r="AU16">
        <v>2044.8000000000002</v>
      </c>
      <c r="AV16">
        <v>8</v>
      </c>
      <c r="AW16">
        <v>2726.4</v>
      </c>
      <c r="AX16">
        <v>8</v>
      </c>
      <c r="AY16">
        <v>2726.4</v>
      </c>
      <c r="AZ16">
        <v>10</v>
      </c>
      <c r="BA16">
        <v>3408</v>
      </c>
      <c r="BB16">
        <v>9</v>
      </c>
      <c r="BC16">
        <v>3067.2000000000003</v>
      </c>
      <c r="BD16">
        <v>7</v>
      </c>
      <c r="BE16">
        <v>2385.6</v>
      </c>
      <c r="BF16">
        <v>6</v>
      </c>
      <c r="BG16">
        <v>2044.8000000000002</v>
      </c>
      <c r="BH16">
        <v>7</v>
      </c>
      <c r="BI16">
        <v>2385.6</v>
      </c>
      <c r="BJ16">
        <v>8</v>
      </c>
      <c r="BK16">
        <v>2726.4</v>
      </c>
      <c r="BL16">
        <v>7</v>
      </c>
      <c r="BM16">
        <v>2385.6</v>
      </c>
      <c r="BN16">
        <v>9</v>
      </c>
      <c r="BO16">
        <v>3067.2000000000003</v>
      </c>
      <c r="BP16">
        <v>6.0255331607098057</v>
      </c>
      <c r="BQ16">
        <v>2053.5017011699019</v>
      </c>
      <c r="BR16">
        <v>9</v>
      </c>
      <c r="BS16">
        <v>3067.2000000000003</v>
      </c>
      <c r="BT16">
        <v>4.8101958579838646</v>
      </c>
      <c r="BU16">
        <v>1639.3147484009012</v>
      </c>
      <c r="BV16">
        <v>9</v>
      </c>
      <c r="BW16">
        <v>3067.2000000000003</v>
      </c>
      <c r="BX16">
        <v>6</v>
      </c>
      <c r="BY16">
        <v>2044.8000000000002</v>
      </c>
      <c r="BZ16">
        <v>7.4891581530481863</v>
      </c>
      <c r="CA16">
        <v>2552.305098558822</v>
      </c>
      <c r="CB16">
        <v>4.8876395925761997</v>
      </c>
      <c r="CC16">
        <v>1665.707573149969</v>
      </c>
      <c r="CD16">
        <v>8.1905912120895916</v>
      </c>
      <c r="CE16">
        <v>2791.3534850801329</v>
      </c>
      <c r="CF16">
        <v>4.157891245739445</v>
      </c>
      <c r="CG16">
        <v>1417.0093365480029</v>
      </c>
      <c r="CH16">
        <v>7</v>
      </c>
      <c r="CI16">
        <v>2385.6</v>
      </c>
      <c r="CJ16">
        <v>8</v>
      </c>
      <c r="CK16">
        <v>2726.4</v>
      </c>
      <c r="CL16">
        <v>8.0831727052228839</v>
      </c>
      <c r="CM16">
        <v>2754.7452579399587</v>
      </c>
      <c r="CN16">
        <v>2.104033223525323</v>
      </c>
      <c r="CO16">
        <v>717.05452257743013</v>
      </c>
      <c r="CP16">
        <v>10</v>
      </c>
      <c r="CQ16">
        <v>3408</v>
      </c>
      <c r="CR16">
        <v>6.1118716085562124</v>
      </c>
      <c r="CS16">
        <v>2082.9258441959573</v>
      </c>
      <c r="CT16">
        <v>3.3719633130017761</v>
      </c>
      <c r="CU16">
        <v>1149.1650970710052</v>
      </c>
    </row>
    <row r="17" spans="2:99">
      <c r="C17" s="99" t="s">
        <v>184</v>
      </c>
      <c r="D17">
        <v>5.9837502154458377</v>
      </c>
      <c r="E17">
        <v>2527.5360910043219</v>
      </c>
      <c r="F17">
        <v>1.3594860626282625</v>
      </c>
      <c r="G17">
        <v>574.24691285417805</v>
      </c>
      <c r="H17">
        <v>3.7835150257194914</v>
      </c>
      <c r="I17">
        <v>1598.156746863913</v>
      </c>
      <c r="J17">
        <v>3.7915079836013956</v>
      </c>
      <c r="K17">
        <v>1601.5329722732295</v>
      </c>
      <c r="L17">
        <v>7</v>
      </c>
      <c r="M17">
        <v>2956.7999999999997</v>
      </c>
      <c r="N17">
        <v>6.8905360190443732</v>
      </c>
      <c r="O17">
        <v>2910.5624144443432</v>
      </c>
      <c r="P17">
        <v>7.1059918681084104</v>
      </c>
      <c r="Q17">
        <v>3001.5709650889926</v>
      </c>
      <c r="R17">
        <v>7</v>
      </c>
      <c r="S17">
        <v>2956.7999999999997</v>
      </c>
      <c r="T17">
        <v>10</v>
      </c>
      <c r="U17">
        <v>4224</v>
      </c>
      <c r="V17">
        <v>9</v>
      </c>
      <c r="W17">
        <v>3801.6</v>
      </c>
      <c r="X17">
        <v>9</v>
      </c>
      <c r="Y17">
        <v>3801.6</v>
      </c>
      <c r="Z17">
        <v>7.7800321392851428</v>
      </c>
      <c r="AA17">
        <v>3286.2855756340441</v>
      </c>
      <c r="AB17">
        <v>7.1352607738265457</v>
      </c>
      <c r="AC17">
        <v>3013.9341508643329</v>
      </c>
      <c r="AD17">
        <v>5.2505644816048962</v>
      </c>
      <c r="AE17">
        <v>2217.8384370299082</v>
      </c>
      <c r="AF17">
        <v>2.1461309441694447</v>
      </c>
      <c r="AG17">
        <v>906.52571081717338</v>
      </c>
      <c r="AH17">
        <v>3.0459882408193004</v>
      </c>
      <c r="AI17">
        <v>1286.6254329220724</v>
      </c>
      <c r="AJ17">
        <v>9</v>
      </c>
      <c r="AK17">
        <v>3801.6</v>
      </c>
      <c r="AL17">
        <v>5.4186767427853937</v>
      </c>
      <c r="AM17">
        <v>2288.84905615255</v>
      </c>
      <c r="AN17">
        <v>0.92043150960739539</v>
      </c>
      <c r="AO17">
        <v>388.79026965816377</v>
      </c>
      <c r="AP17">
        <v>7</v>
      </c>
      <c r="AQ17">
        <v>2956.7999999999997</v>
      </c>
      <c r="AR17">
        <v>8</v>
      </c>
      <c r="AS17">
        <v>3379.2</v>
      </c>
      <c r="AT17">
        <v>7</v>
      </c>
      <c r="AU17">
        <v>2956.7999999999997</v>
      </c>
      <c r="AV17">
        <v>9</v>
      </c>
      <c r="AW17">
        <v>3801.6</v>
      </c>
      <c r="AX17">
        <v>9</v>
      </c>
      <c r="AY17">
        <v>3801.6</v>
      </c>
      <c r="AZ17">
        <v>9</v>
      </c>
      <c r="BA17">
        <v>3801.6</v>
      </c>
      <c r="BB17">
        <v>9</v>
      </c>
      <c r="BC17">
        <v>3801.6</v>
      </c>
      <c r="BD17">
        <v>8</v>
      </c>
      <c r="BE17">
        <v>3379.2</v>
      </c>
      <c r="BF17">
        <v>6</v>
      </c>
      <c r="BG17">
        <v>2534.3999999999996</v>
      </c>
      <c r="BH17">
        <v>7</v>
      </c>
      <c r="BI17">
        <v>2956.7999999999997</v>
      </c>
      <c r="BJ17">
        <v>8</v>
      </c>
      <c r="BK17">
        <v>3379.2</v>
      </c>
      <c r="BL17">
        <v>7</v>
      </c>
      <c r="BM17">
        <v>2956.7999999999997</v>
      </c>
      <c r="BN17">
        <v>9</v>
      </c>
      <c r="BO17">
        <v>3801.6</v>
      </c>
      <c r="BP17">
        <v>6.0255331607098057</v>
      </c>
      <c r="BQ17">
        <v>2545.1852070838218</v>
      </c>
      <c r="BR17">
        <v>8</v>
      </c>
      <c r="BS17">
        <v>3379.2</v>
      </c>
      <c r="BT17">
        <v>4.8101958579838646</v>
      </c>
      <c r="BU17">
        <v>2031.8267304123842</v>
      </c>
      <c r="BV17">
        <v>8</v>
      </c>
      <c r="BW17">
        <v>3379.2</v>
      </c>
      <c r="BX17">
        <v>7</v>
      </c>
      <c r="BY17">
        <v>2956.7999999999997</v>
      </c>
      <c r="BZ17">
        <v>6.657029469376166</v>
      </c>
      <c r="CA17">
        <v>2811.9292478644925</v>
      </c>
      <c r="CB17">
        <v>4.1894053650653147</v>
      </c>
      <c r="CC17">
        <v>1769.6048262035888</v>
      </c>
      <c r="CD17">
        <v>9.207917685915918</v>
      </c>
      <c r="CE17">
        <v>3889.4244305308835</v>
      </c>
      <c r="CF17">
        <v>3.5639067820623809</v>
      </c>
      <c r="CG17">
        <v>1505.3942247431496</v>
      </c>
      <c r="CH17">
        <v>7</v>
      </c>
      <c r="CI17">
        <v>2956.7999999999997</v>
      </c>
      <c r="CJ17">
        <v>8</v>
      </c>
      <c r="CK17">
        <v>3379.2</v>
      </c>
      <c r="CL17">
        <v>10.083172705222884</v>
      </c>
      <c r="CM17">
        <v>4259.1321506861459</v>
      </c>
      <c r="CN17">
        <v>2.104033223525323</v>
      </c>
      <c r="CO17">
        <v>888.74363361709641</v>
      </c>
      <c r="CP17">
        <v>10</v>
      </c>
      <c r="CQ17">
        <v>4224</v>
      </c>
      <c r="CR17">
        <v>6.1017014623238301</v>
      </c>
      <c r="CS17">
        <v>2577.3586976855859</v>
      </c>
      <c r="CT17">
        <v>3.3719633130017761</v>
      </c>
      <c r="CU17">
        <v>1424.3173034119502</v>
      </c>
    </row>
    <row r="18" spans="2:99">
      <c r="C18" s="99" t="s">
        <v>185</v>
      </c>
      <c r="D18">
        <v>5.2818287446561545</v>
      </c>
      <c r="E18">
        <v>3447.9778045115372</v>
      </c>
      <c r="F18">
        <v>1.1895503047997298</v>
      </c>
      <c r="G18">
        <v>776.53843897326351</v>
      </c>
      <c r="H18">
        <v>3.7835150257194914</v>
      </c>
      <c r="I18">
        <v>2469.8786087896838</v>
      </c>
      <c r="J18">
        <v>4.5498095803216749</v>
      </c>
      <c r="K18">
        <v>2970.1156940339893</v>
      </c>
      <c r="L18">
        <v>6</v>
      </c>
      <c r="M18">
        <v>3916.7999999999997</v>
      </c>
      <c r="N18">
        <v>6.8905360190443732</v>
      </c>
      <c r="O18">
        <v>4498.1419132321662</v>
      </c>
      <c r="P18">
        <v>6.0908501726643518</v>
      </c>
      <c r="Q18">
        <v>3976.1069927152885</v>
      </c>
      <c r="R18">
        <v>7</v>
      </c>
      <c r="S18">
        <v>4569.5999999999995</v>
      </c>
      <c r="T18">
        <v>9</v>
      </c>
      <c r="U18">
        <v>5875.2</v>
      </c>
      <c r="V18">
        <v>9</v>
      </c>
      <c r="W18">
        <v>5875.2</v>
      </c>
      <c r="X18">
        <v>8</v>
      </c>
      <c r="Y18">
        <v>5222.3999999999996</v>
      </c>
      <c r="Z18">
        <v>7.7800321392851428</v>
      </c>
      <c r="AA18">
        <v>5078.8049805253413</v>
      </c>
      <c r="AB18">
        <v>5.549647268531757</v>
      </c>
      <c r="AC18">
        <v>3622.8097368975309</v>
      </c>
      <c r="AD18">
        <v>5.2505644816048962</v>
      </c>
      <c r="AE18">
        <v>3427.5684935916761</v>
      </c>
      <c r="AF18">
        <v>2.1461309441694447</v>
      </c>
      <c r="AG18">
        <v>1400.9942803538133</v>
      </c>
      <c r="AH18">
        <v>3.0459882408193004</v>
      </c>
      <c r="AI18">
        <v>1988.4211236068393</v>
      </c>
      <c r="AJ18">
        <v>9</v>
      </c>
      <c r="AK18">
        <v>5875.2</v>
      </c>
      <c r="AL18">
        <v>5.4063342171415876</v>
      </c>
      <c r="AM18">
        <v>3529.2549769500283</v>
      </c>
      <c r="AN18">
        <v>0.78894129394919621</v>
      </c>
      <c r="AO18">
        <v>515.02087669003527</v>
      </c>
      <c r="AP18">
        <v>6</v>
      </c>
      <c r="AQ18">
        <v>3916.7999999999997</v>
      </c>
      <c r="AR18">
        <v>8</v>
      </c>
      <c r="AS18">
        <v>5222.3999999999996</v>
      </c>
      <c r="AT18">
        <v>7</v>
      </c>
      <c r="AU18">
        <v>4569.5999999999995</v>
      </c>
      <c r="AV18">
        <v>9</v>
      </c>
      <c r="AW18">
        <v>5875.2</v>
      </c>
      <c r="AX18">
        <v>8</v>
      </c>
      <c r="AY18">
        <v>5222.3999999999996</v>
      </c>
      <c r="AZ18">
        <v>9</v>
      </c>
      <c r="BA18">
        <v>5875.2</v>
      </c>
      <c r="BB18">
        <v>8</v>
      </c>
      <c r="BC18">
        <v>5222.3999999999996</v>
      </c>
      <c r="BD18">
        <v>8</v>
      </c>
      <c r="BE18">
        <v>5222.3999999999996</v>
      </c>
      <c r="BF18">
        <v>5</v>
      </c>
      <c r="BG18">
        <v>3264</v>
      </c>
      <c r="BH18">
        <v>6</v>
      </c>
      <c r="BI18">
        <v>3916.7999999999997</v>
      </c>
      <c r="BJ18">
        <v>8</v>
      </c>
      <c r="BK18">
        <v>5222.3999999999996</v>
      </c>
      <c r="BL18">
        <v>6</v>
      </c>
      <c r="BM18">
        <v>3916.7999999999997</v>
      </c>
      <c r="BN18">
        <v>9</v>
      </c>
      <c r="BO18">
        <v>5875.2</v>
      </c>
      <c r="BP18">
        <v>6.0255331607098057</v>
      </c>
      <c r="BQ18">
        <v>3933.4680473113608</v>
      </c>
      <c r="BR18">
        <v>9</v>
      </c>
      <c r="BS18">
        <v>5875.2</v>
      </c>
      <c r="BT18">
        <v>4.8101958579838646</v>
      </c>
      <c r="BU18">
        <v>3140.0958560918666</v>
      </c>
      <c r="BV18">
        <v>8</v>
      </c>
      <c r="BW18">
        <v>5222.3999999999996</v>
      </c>
      <c r="BX18">
        <v>6</v>
      </c>
      <c r="BY18">
        <v>3916.7999999999997</v>
      </c>
      <c r="BZ18">
        <v>7.4891581530481863</v>
      </c>
      <c r="CA18">
        <v>4888.9224423098558</v>
      </c>
      <c r="CB18">
        <v>4.1894053650653147</v>
      </c>
      <c r="CC18">
        <v>2734.8438223146372</v>
      </c>
      <c r="CD18">
        <v>9.1905912120895916</v>
      </c>
      <c r="CE18">
        <v>5999.6179432520848</v>
      </c>
      <c r="CF18">
        <v>3.5639067820623809</v>
      </c>
      <c r="CG18">
        <v>2326.5183473303223</v>
      </c>
      <c r="CH18">
        <v>7</v>
      </c>
      <c r="CI18">
        <v>4569.5999999999995</v>
      </c>
      <c r="CJ18">
        <v>8</v>
      </c>
      <c r="CK18">
        <v>5222.3999999999996</v>
      </c>
      <c r="CL18">
        <v>10.083172705222884</v>
      </c>
      <c r="CM18">
        <v>6582.2951419694982</v>
      </c>
      <c r="CN18">
        <v>1.8936299011727908</v>
      </c>
      <c r="CO18">
        <v>1236.1615994855977</v>
      </c>
      <c r="CP18">
        <v>10</v>
      </c>
      <c r="CQ18">
        <v>6528</v>
      </c>
      <c r="CR18">
        <v>6.1017014623238301</v>
      </c>
      <c r="CS18">
        <v>3983.1907146049962</v>
      </c>
      <c r="CT18">
        <v>2.890254268287237</v>
      </c>
      <c r="CU18">
        <v>1886.7579863379081</v>
      </c>
    </row>
    <row r="19" spans="2:99">
      <c r="C19" s="99" t="s">
        <v>186</v>
      </c>
      <c r="D19">
        <v>5.9502612655250759</v>
      </c>
      <c r="E19">
        <v>1963.5862176232752</v>
      </c>
      <c r="F19">
        <v>1.3594860626282625</v>
      </c>
      <c r="G19">
        <v>448.63040066732663</v>
      </c>
      <c r="H19">
        <v>4.7293937821493639</v>
      </c>
      <c r="I19">
        <v>1560.6999481092901</v>
      </c>
      <c r="J19">
        <v>4.5498095803216749</v>
      </c>
      <c r="K19">
        <v>1501.4371615061527</v>
      </c>
      <c r="L19">
        <v>7</v>
      </c>
      <c r="M19">
        <v>2310</v>
      </c>
      <c r="N19">
        <v>7.8748983074792838</v>
      </c>
      <c r="O19">
        <v>2598.7164414681638</v>
      </c>
      <c r="P19">
        <v>7.1059918681084104</v>
      </c>
      <c r="Q19">
        <v>2344.9773164757753</v>
      </c>
      <c r="R19">
        <v>7</v>
      </c>
      <c r="S19">
        <v>2310</v>
      </c>
      <c r="T19">
        <v>10</v>
      </c>
      <c r="U19">
        <v>3300</v>
      </c>
      <c r="V19">
        <v>8</v>
      </c>
      <c r="W19">
        <v>2640</v>
      </c>
      <c r="X19">
        <v>9</v>
      </c>
      <c r="Y19">
        <v>2970</v>
      </c>
      <c r="Z19">
        <v>8.7525361566957862</v>
      </c>
      <c r="AA19">
        <v>2888.3369317096094</v>
      </c>
      <c r="AB19">
        <v>6.3424540211791509</v>
      </c>
      <c r="AC19">
        <v>2093.0098269891196</v>
      </c>
      <c r="AD19">
        <v>4.5004838413756261</v>
      </c>
      <c r="AE19">
        <v>1485.1596676539566</v>
      </c>
      <c r="AF19">
        <v>2.1652242054015245</v>
      </c>
      <c r="AG19">
        <v>714.52398778250313</v>
      </c>
      <c r="AH19">
        <v>3.0459882408193004</v>
      </c>
      <c r="AI19">
        <v>1005.1761194703691</v>
      </c>
      <c r="AJ19">
        <v>9</v>
      </c>
      <c r="AK19">
        <v>2970</v>
      </c>
      <c r="AL19">
        <v>5.4186767427853937</v>
      </c>
      <c r="AM19">
        <v>1788.1633251191799</v>
      </c>
      <c r="AN19">
        <v>0.92043150960739539</v>
      </c>
      <c r="AO19">
        <v>303.74239817044048</v>
      </c>
      <c r="AP19">
        <v>7</v>
      </c>
      <c r="AQ19">
        <v>2310</v>
      </c>
      <c r="AR19">
        <v>8</v>
      </c>
      <c r="AS19">
        <v>2640</v>
      </c>
      <c r="AT19">
        <v>6</v>
      </c>
      <c r="AU19">
        <v>1980</v>
      </c>
      <c r="AV19">
        <v>9</v>
      </c>
      <c r="AW19">
        <v>2970</v>
      </c>
      <c r="AX19">
        <v>9</v>
      </c>
      <c r="AY19">
        <v>2970</v>
      </c>
      <c r="AZ19">
        <v>10</v>
      </c>
      <c r="BA19">
        <v>3300</v>
      </c>
      <c r="BB19">
        <v>10</v>
      </c>
      <c r="BC19">
        <v>3300</v>
      </c>
      <c r="BD19">
        <v>8</v>
      </c>
      <c r="BE19">
        <v>2640</v>
      </c>
      <c r="BF19">
        <v>5</v>
      </c>
      <c r="BG19">
        <v>1650</v>
      </c>
      <c r="BH19">
        <v>6</v>
      </c>
      <c r="BI19">
        <v>1980</v>
      </c>
      <c r="BJ19">
        <v>8</v>
      </c>
      <c r="BK19">
        <v>2640</v>
      </c>
      <c r="BL19">
        <v>7</v>
      </c>
      <c r="BM19">
        <v>2310</v>
      </c>
      <c r="BN19">
        <v>10</v>
      </c>
      <c r="BO19">
        <v>3300</v>
      </c>
      <c r="BP19">
        <v>6.0255331607098057</v>
      </c>
      <c r="BQ19">
        <v>1988.4259430342358</v>
      </c>
      <c r="BR19">
        <v>9</v>
      </c>
      <c r="BS19">
        <v>2970</v>
      </c>
      <c r="BT19">
        <v>4.8101958579838646</v>
      </c>
      <c r="BU19">
        <v>1587.3646331346754</v>
      </c>
      <c r="BV19">
        <v>10</v>
      </c>
      <c r="BW19">
        <v>3300</v>
      </c>
      <c r="BX19">
        <v>7</v>
      </c>
      <c r="BY19">
        <v>2310</v>
      </c>
      <c r="BZ19">
        <v>6.657029469376166</v>
      </c>
      <c r="CA19">
        <v>2196.8197248941347</v>
      </c>
      <c r="CB19">
        <v>4.8876395925761997</v>
      </c>
      <c r="CC19">
        <v>1612.9210655501458</v>
      </c>
      <c r="CD19">
        <v>8.1905912120895916</v>
      </c>
      <c r="CE19">
        <v>2702.8950999895651</v>
      </c>
      <c r="CF19">
        <v>4.157891245739445</v>
      </c>
      <c r="CG19">
        <v>1372.1041110940168</v>
      </c>
      <c r="CH19">
        <v>6</v>
      </c>
      <c r="CI19">
        <v>1980</v>
      </c>
      <c r="CJ19">
        <v>8</v>
      </c>
      <c r="CK19">
        <v>2640</v>
      </c>
      <c r="CL19">
        <v>9.0831727052228839</v>
      </c>
      <c r="CM19">
        <v>2997.4469927235518</v>
      </c>
      <c r="CN19">
        <v>2.104033223525323</v>
      </c>
      <c r="CO19">
        <v>694.33096376335652</v>
      </c>
      <c r="CP19">
        <v>10</v>
      </c>
      <c r="CQ19">
        <v>3300</v>
      </c>
      <c r="CR19">
        <v>6.1118716085562124</v>
      </c>
      <c r="CS19">
        <v>2016.9176308235501</v>
      </c>
      <c r="CT19">
        <v>3.3719633130017761</v>
      </c>
      <c r="CU19">
        <v>1112.747893290586</v>
      </c>
    </row>
    <row r="20" spans="2:99">
      <c r="B20" s="99" t="s">
        <v>127</v>
      </c>
      <c r="C20" s="99" t="s">
        <v>187</v>
      </c>
      <c r="D20">
        <v>7.3875931570252042</v>
      </c>
      <c r="E20">
        <v>2118.7617174348288</v>
      </c>
      <c r="F20">
        <v>1.3594860626282625</v>
      </c>
      <c r="G20">
        <v>389.90060276178571</v>
      </c>
      <c r="H20">
        <v>13.24230259001822</v>
      </c>
      <c r="I20">
        <v>3797.8923828172256</v>
      </c>
      <c r="J20">
        <v>6.8247143704825133</v>
      </c>
      <c r="K20">
        <v>1957.3280814543848</v>
      </c>
      <c r="L20">
        <v>11</v>
      </c>
      <c r="M20">
        <v>3154.8</v>
      </c>
      <c r="N20">
        <v>11.812347461218927</v>
      </c>
      <c r="O20">
        <v>3387.7812518775886</v>
      </c>
      <c r="P20">
        <v>8</v>
      </c>
      <c r="Q20">
        <v>2294.4</v>
      </c>
      <c r="R20">
        <v>14</v>
      </c>
      <c r="S20">
        <v>4015.2000000000003</v>
      </c>
      <c r="T20">
        <v>12</v>
      </c>
      <c r="U20">
        <v>3441.6000000000004</v>
      </c>
      <c r="V20">
        <v>12</v>
      </c>
      <c r="W20">
        <v>3441.6000000000004</v>
      </c>
      <c r="X20">
        <v>13</v>
      </c>
      <c r="Y20">
        <v>3728.4</v>
      </c>
      <c r="Z20">
        <v>11.670048208927716</v>
      </c>
      <c r="AA20">
        <v>3346.9698263204691</v>
      </c>
      <c r="AB20">
        <v>10.306487784416122</v>
      </c>
      <c r="AC20">
        <v>2955.9006965705439</v>
      </c>
      <c r="AD20">
        <v>11.251209603439063</v>
      </c>
      <c r="AE20">
        <v>3226.8469142663234</v>
      </c>
      <c r="AF20">
        <v>4.2349821046426506</v>
      </c>
      <c r="AG20">
        <v>1214.5928676115122</v>
      </c>
      <c r="AH20">
        <v>8.5287670742940396</v>
      </c>
      <c r="AI20">
        <v>2446.0503969075307</v>
      </c>
      <c r="AJ20">
        <v>11</v>
      </c>
      <c r="AK20">
        <v>3154.8</v>
      </c>
      <c r="AL20">
        <v>8.177385216753315</v>
      </c>
      <c r="AM20">
        <v>2345.2740801648506</v>
      </c>
      <c r="AN20">
        <v>1.5778825878983924</v>
      </c>
      <c r="AO20">
        <v>452.53672620925897</v>
      </c>
      <c r="AP20">
        <v>10</v>
      </c>
      <c r="AQ20">
        <v>2868</v>
      </c>
      <c r="AR20">
        <v>16</v>
      </c>
      <c r="AS20">
        <v>4588.8</v>
      </c>
      <c r="AT20">
        <v>12</v>
      </c>
      <c r="AU20">
        <v>3441.6000000000004</v>
      </c>
      <c r="AV20">
        <v>11</v>
      </c>
      <c r="AW20">
        <v>3154.8</v>
      </c>
      <c r="AX20">
        <v>9</v>
      </c>
      <c r="AY20">
        <v>2581.2000000000003</v>
      </c>
      <c r="AZ20">
        <v>13</v>
      </c>
      <c r="BA20">
        <v>3728.4</v>
      </c>
      <c r="BB20">
        <v>8</v>
      </c>
      <c r="BC20">
        <v>2294.4</v>
      </c>
      <c r="BD20">
        <v>15</v>
      </c>
      <c r="BE20">
        <v>4302</v>
      </c>
      <c r="BF20">
        <v>11</v>
      </c>
      <c r="BG20">
        <v>3154.8</v>
      </c>
      <c r="BH20">
        <v>10</v>
      </c>
      <c r="BI20">
        <v>2868</v>
      </c>
      <c r="BJ20">
        <v>12</v>
      </c>
      <c r="BK20">
        <v>3441.6000000000004</v>
      </c>
      <c r="BL20">
        <v>9</v>
      </c>
      <c r="BM20">
        <v>2581.2000000000003</v>
      </c>
      <c r="BN20">
        <v>8</v>
      </c>
      <c r="BO20">
        <v>2294.4</v>
      </c>
      <c r="BP20">
        <v>12.051066321419611</v>
      </c>
      <c r="BQ20">
        <v>3456.2458209831448</v>
      </c>
      <c r="BR20">
        <v>14</v>
      </c>
      <c r="BS20">
        <v>4015.2000000000003</v>
      </c>
      <c r="BT20">
        <v>7.2152937869757965</v>
      </c>
      <c r="BU20">
        <v>2069.3462581046583</v>
      </c>
      <c r="BV20">
        <v>14</v>
      </c>
      <c r="BW20">
        <v>4015.2000000000003</v>
      </c>
      <c r="BX20">
        <v>9</v>
      </c>
      <c r="BY20">
        <v>2581.2000000000003</v>
      </c>
      <c r="BZ20">
        <v>10.81767288773627</v>
      </c>
      <c r="CA20">
        <v>3102.5085842027624</v>
      </c>
      <c r="CB20">
        <v>6.2841080475979716</v>
      </c>
      <c r="CC20">
        <v>1802.2821880510983</v>
      </c>
      <c r="CD20">
        <v>12</v>
      </c>
      <c r="CE20">
        <v>3441.6000000000004</v>
      </c>
      <c r="CF20">
        <v>9.5037514188330157</v>
      </c>
      <c r="CG20">
        <v>2725.675906921309</v>
      </c>
      <c r="CH20">
        <v>13</v>
      </c>
      <c r="CI20">
        <v>3728.4</v>
      </c>
      <c r="CJ20">
        <v>15</v>
      </c>
      <c r="CK20">
        <v>4302</v>
      </c>
      <c r="CL20">
        <v>8.166345410445766</v>
      </c>
      <c r="CM20">
        <v>2342.1078637158457</v>
      </c>
      <c r="CN20">
        <v>3.1560498352879849</v>
      </c>
      <c r="CO20">
        <v>905.15509276059413</v>
      </c>
      <c r="CP20">
        <v>15</v>
      </c>
      <c r="CQ20">
        <v>4302</v>
      </c>
      <c r="CR20">
        <v>13.132211901020979</v>
      </c>
      <c r="CS20">
        <v>3766.3183732128168</v>
      </c>
      <c r="CT20">
        <v>8.1890537601471713</v>
      </c>
      <c r="CU20">
        <v>2348.6206184102089</v>
      </c>
    </row>
    <row r="21" spans="2:99">
      <c r="C21" s="99" t="s">
        <v>188</v>
      </c>
      <c r="D21">
        <v>6.685671686235521</v>
      </c>
      <c r="E21">
        <v>417.18591322109648</v>
      </c>
      <c r="F21">
        <v>1.5294218204567953</v>
      </c>
      <c r="G21">
        <v>95.435921596504031</v>
      </c>
      <c r="H21">
        <v>15.134060102877966</v>
      </c>
      <c r="I21">
        <v>944.36535041958507</v>
      </c>
      <c r="J21">
        <v>8.3413175639230701</v>
      </c>
      <c r="K21">
        <v>520.49821598879953</v>
      </c>
      <c r="L21">
        <v>10</v>
      </c>
      <c r="M21">
        <v>624</v>
      </c>
      <c r="N21">
        <v>10.827985172784015</v>
      </c>
      <c r="O21">
        <v>675.66627478172245</v>
      </c>
      <c r="P21">
        <v>8</v>
      </c>
      <c r="Q21">
        <v>499.2</v>
      </c>
      <c r="R21">
        <v>12</v>
      </c>
      <c r="S21">
        <v>748.8</v>
      </c>
      <c r="T21">
        <v>13</v>
      </c>
      <c r="U21">
        <v>811.19999999999993</v>
      </c>
      <c r="V21">
        <v>13</v>
      </c>
      <c r="W21">
        <v>811.19999999999993</v>
      </c>
      <c r="X21">
        <v>15</v>
      </c>
      <c r="Y21">
        <v>936</v>
      </c>
      <c r="Z21">
        <v>12.642552226338358</v>
      </c>
      <c r="AA21">
        <v>788.89525892351355</v>
      </c>
      <c r="AB21">
        <v>9.5136810317687264</v>
      </c>
      <c r="AC21">
        <v>593.65369638236848</v>
      </c>
      <c r="AD21">
        <v>10.501128963209792</v>
      </c>
      <c r="AE21">
        <v>655.270447304291</v>
      </c>
      <c r="AF21">
        <v>3.8057559158087617</v>
      </c>
      <c r="AG21">
        <v>237.47916914646672</v>
      </c>
      <c r="AH21">
        <v>8.5287670742940396</v>
      </c>
      <c r="AI21">
        <v>532.1950654359481</v>
      </c>
      <c r="AJ21">
        <v>10</v>
      </c>
      <c r="AK21">
        <v>624</v>
      </c>
      <c r="AL21">
        <v>7.5000506239051408</v>
      </c>
      <c r="AM21">
        <v>468.00315893168079</v>
      </c>
      <c r="AN21">
        <v>1.7093728035565916</v>
      </c>
      <c r="AO21">
        <v>106.66486294193132</v>
      </c>
      <c r="AP21">
        <v>8</v>
      </c>
      <c r="AQ21">
        <v>499.2</v>
      </c>
      <c r="AR21">
        <v>14</v>
      </c>
      <c r="AS21">
        <v>873.6</v>
      </c>
      <c r="AT21">
        <v>14</v>
      </c>
      <c r="AU21">
        <v>873.6</v>
      </c>
      <c r="AV21">
        <v>12</v>
      </c>
      <c r="AW21">
        <v>748.8</v>
      </c>
      <c r="AX21">
        <v>9</v>
      </c>
      <c r="AY21">
        <v>561.6</v>
      </c>
      <c r="AZ21">
        <v>14</v>
      </c>
      <c r="BA21">
        <v>873.6</v>
      </c>
      <c r="BB21">
        <v>9</v>
      </c>
      <c r="BC21">
        <v>561.6</v>
      </c>
      <c r="BD21">
        <v>14</v>
      </c>
      <c r="BE21">
        <v>873.6</v>
      </c>
      <c r="BF21">
        <v>10</v>
      </c>
      <c r="BG21">
        <v>624</v>
      </c>
      <c r="BH21">
        <v>10</v>
      </c>
      <c r="BI21">
        <v>624</v>
      </c>
      <c r="BJ21">
        <v>13</v>
      </c>
      <c r="BK21">
        <v>811.19999999999993</v>
      </c>
      <c r="BL21">
        <v>8</v>
      </c>
      <c r="BM21">
        <v>499.2</v>
      </c>
      <c r="BN21">
        <v>9</v>
      </c>
      <c r="BO21">
        <v>561.6</v>
      </c>
      <c r="BP21">
        <v>11.190275869889639</v>
      </c>
      <c r="BQ21">
        <v>698.2732142811135</v>
      </c>
      <c r="BR21">
        <v>16</v>
      </c>
      <c r="BS21">
        <v>998.4</v>
      </c>
      <c r="BT21">
        <v>8.0169930966397747</v>
      </c>
      <c r="BU21">
        <v>500.26036923032194</v>
      </c>
      <c r="BV21">
        <v>14</v>
      </c>
      <c r="BW21">
        <v>873.6</v>
      </c>
      <c r="BX21">
        <v>10</v>
      </c>
      <c r="BY21">
        <v>624</v>
      </c>
      <c r="BZ21">
        <v>11.64980157140829</v>
      </c>
      <c r="CA21">
        <v>726.94761805587723</v>
      </c>
      <c r="CB21">
        <v>5.5858738200870857</v>
      </c>
      <c r="CC21">
        <v>348.55852637343412</v>
      </c>
      <c r="CD21">
        <v>12.363855950352857</v>
      </c>
      <c r="CE21">
        <v>771.50461130201825</v>
      </c>
      <c r="CF21">
        <v>9.5037514188330157</v>
      </c>
      <c r="CG21">
        <v>593.03408853518022</v>
      </c>
      <c r="CH21">
        <v>14</v>
      </c>
      <c r="CI21">
        <v>873.6</v>
      </c>
      <c r="CJ21">
        <v>16</v>
      </c>
      <c r="CK21">
        <v>998.4</v>
      </c>
      <c r="CL21">
        <v>8.1559488222929062</v>
      </c>
      <c r="CM21">
        <v>508.93120651107733</v>
      </c>
      <c r="CN21">
        <v>2.7352431905829202</v>
      </c>
      <c r="CO21">
        <v>170.67917509237421</v>
      </c>
      <c r="CP21">
        <v>15</v>
      </c>
      <c r="CQ21">
        <v>936</v>
      </c>
      <c r="CR21">
        <v>13.122041754788595</v>
      </c>
      <c r="CS21">
        <v>818.81540549880833</v>
      </c>
      <c r="CT21">
        <v>7.7073447154326313</v>
      </c>
      <c r="CU21">
        <v>480.93831024299618</v>
      </c>
    </row>
    <row r="22" spans="2:99">
      <c r="C22" s="99" t="s">
        <v>189</v>
      </c>
      <c r="D22">
        <v>7.3875931570252042</v>
      </c>
      <c r="E22">
        <v>1382.9574389951181</v>
      </c>
      <c r="F22">
        <v>1.1895503047997298</v>
      </c>
      <c r="G22">
        <v>222.68381705850939</v>
      </c>
      <c r="H22">
        <v>14.188181346448092</v>
      </c>
      <c r="I22">
        <v>2656.0275480550827</v>
      </c>
      <c r="J22">
        <v>7.5830159672027913</v>
      </c>
      <c r="K22">
        <v>1419.5405890603624</v>
      </c>
      <c r="L22">
        <v>10</v>
      </c>
      <c r="M22">
        <v>1872</v>
      </c>
      <c r="N22">
        <v>10.827985172784015</v>
      </c>
      <c r="O22">
        <v>2026.9988243451673</v>
      </c>
      <c r="P22">
        <v>8</v>
      </c>
      <c r="Q22">
        <v>1497.6</v>
      </c>
      <c r="R22">
        <v>13</v>
      </c>
      <c r="S22">
        <v>2433.6</v>
      </c>
      <c r="T22">
        <v>14</v>
      </c>
      <c r="U22">
        <v>2620.7999999999997</v>
      </c>
      <c r="V22">
        <v>14</v>
      </c>
      <c r="W22">
        <v>2620.7999999999997</v>
      </c>
      <c r="X22">
        <v>13</v>
      </c>
      <c r="Y22">
        <v>2433.6</v>
      </c>
      <c r="Z22">
        <v>11.670048208927716</v>
      </c>
      <c r="AA22">
        <v>2184.6330247112683</v>
      </c>
      <c r="AB22">
        <v>9.5136810317687264</v>
      </c>
      <c r="AC22">
        <v>1780.9610891471054</v>
      </c>
      <c r="AD22">
        <v>9.7510483229805214</v>
      </c>
      <c r="AE22">
        <v>1825.3962460619534</v>
      </c>
      <c r="AF22">
        <v>4.2349821046426506</v>
      </c>
      <c r="AG22">
        <v>792.7886499891041</v>
      </c>
      <c r="AH22">
        <v>9.7471623706217603</v>
      </c>
      <c r="AI22">
        <v>1824.6687957803933</v>
      </c>
      <c r="AJ22">
        <v>10</v>
      </c>
      <c r="AK22">
        <v>1872</v>
      </c>
      <c r="AL22">
        <v>7.5000506239051408</v>
      </c>
      <c r="AM22">
        <v>1404.0094767950422</v>
      </c>
      <c r="AN22">
        <v>1.8408630192147908</v>
      </c>
      <c r="AO22">
        <v>344.60955719700883</v>
      </c>
      <c r="AP22">
        <v>10</v>
      </c>
      <c r="AQ22">
        <v>1872</v>
      </c>
      <c r="AR22">
        <v>15</v>
      </c>
      <c r="AS22">
        <v>2808</v>
      </c>
      <c r="AT22">
        <v>13</v>
      </c>
      <c r="AU22">
        <v>2433.6</v>
      </c>
      <c r="AV22">
        <v>12</v>
      </c>
      <c r="AW22">
        <v>2246.3999999999996</v>
      </c>
      <c r="AX22">
        <v>9</v>
      </c>
      <c r="AY22">
        <v>1684.8</v>
      </c>
      <c r="AZ22">
        <v>15</v>
      </c>
      <c r="BA22">
        <v>2808</v>
      </c>
      <c r="BB22">
        <v>9</v>
      </c>
      <c r="BC22">
        <v>1684.8</v>
      </c>
      <c r="BD22">
        <v>14</v>
      </c>
      <c r="BE22">
        <v>2620.7999999999997</v>
      </c>
      <c r="BF22">
        <v>10</v>
      </c>
      <c r="BG22">
        <v>1872</v>
      </c>
      <c r="BH22">
        <v>10</v>
      </c>
      <c r="BI22">
        <v>1872</v>
      </c>
      <c r="BJ22">
        <v>12</v>
      </c>
      <c r="BK22">
        <v>2246.3999999999996</v>
      </c>
      <c r="BL22">
        <v>9</v>
      </c>
      <c r="BM22">
        <v>1684.8</v>
      </c>
      <c r="BN22">
        <v>9</v>
      </c>
      <c r="BO22">
        <v>1684.8</v>
      </c>
      <c r="BP22">
        <v>11.190275869889639</v>
      </c>
      <c r="BQ22">
        <v>2094.8196428433403</v>
      </c>
      <c r="BR22">
        <v>15</v>
      </c>
      <c r="BS22">
        <v>2808</v>
      </c>
      <c r="BT22">
        <v>8.0169930966397747</v>
      </c>
      <c r="BU22">
        <v>1500.7811076909657</v>
      </c>
      <c r="BV22">
        <v>14</v>
      </c>
      <c r="BW22">
        <v>2620.7999999999997</v>
      </c>
      <c r="BX22">
        <v>9</v>
      </c>
      <c r="BY22">
        <v>1684.8</v>
      </c>
      <c r="BZ22">
        <v>10.81767288773627</v>
      </c>
      <c r="CA22">
        <v>2025.0683645842296</v>
      </c>
      <c r="CB22">
        <v>6.2841080475979716</v>
      </c>
      <c r="CC22">
        <v>1176.3850265103401</v>
      </c>
      <c r="CD22">
        <v>11.363855950352857</v>
      </c>
      <c r="CE22">
        <v>2127.3138339060547</v>
      </c>
      <c r="CF22">
        <v>9.5037514188330157</v>
      </c>
      <c r="CG22">
        <v>1779.1022656055404</v>
      </c>
      <c r="CH22">
        <v>11</v>
      </c>
      <c r="CI22">
        <v>2059.1999999999998</v>
      </c>
      <c r="CJ22">
        <v>16</v>
      </c>
      <c r="CK22">
        <v>2995.2</v>
      </c>
      <c r="CL22">
        <v>9.1455522341400446</v>
      </c>
      <c r="CM22">
        <v>1712.0473782310162</v>
      </c>
      <c r="CN22">
        <v>2.7352431905829202</v>
      </c>
      <c r="CO22">
        <v>512.03752527712265</v>
      </c>
      <c r="CP22">
        <v>16</v>
      </c>
      <c r="CQ22">
        <v>2995.2</v>
      </c>
      <c r="CR22">
        <v>11.122041754788595</v>
      </c>
      <c r="CS22">
        <v>2082.0462164964251</v>
      </c>
      <c r="CT22">
        <v>7.7073447154326313</v>
      </c>
      <c r="CU22">
        <v>1442.8149307289884</v>
      </c>
    </row>
    <row r="23" spans="2:99">
      <c r="C23" s="99" t="s">
        <v>190</v>
      </c>
      <c r="D23">
        <v>7.3875931570252042</v>
      </c>
      <c r="E23">
        <v>2171.95238816541</v>
      </c>
      <c r="F23">
        <v>1.3594860626282625</v>
      </c>
      <c r="G23">
        <v>399.68890241270918</v>
      </c>
      <c r="H23">
        <v>14.188181346448092</v>
      </c>
      <c r="I23">
        <v>4171.3253158557391</v>
      </c>
      <c r="J23">
        <v>6.8247143704825133</v>
      </c>
      <c r="K23">
        <v>2006.4660249218589</v>
      </c>
      <c r="L23">
        <v>10</v>
      </c>
      <c r="M23">
        <v>2940</v>
      </c>
      <c r="N23">
        <v>9.843622884349104</v>
      </c>
      <c r="O23">
        <v>2894.0251279986364</v>
      </c>
      <c r="P23">
        <v>8</v>
      </c>
      <c r="Q23">
        <v>2352</v>
      </c>
      <c r="R23">
        <v>12</v>
      </c>
      <c r="S23">
        <v>3528</v>
      </c>
      <c r="T23">
        <v>14</v>
      </c>
      <c r="U23">
        <v>4116</v>
      </c>
      <c r="V23">
        <v>12</v>
      </c>
      <c r="W23">
        <v>3528</v>
      </c>
      <c r="X23">
        <v>14</v>
      </c>
      <c r="Y23">
        <v>4116</v>
      </c>
      <c r="Z23">
        <v>11.670048208927716</v>
      </c>
      <c r="AA23">
        <v>3430.9941734247482</v>
      </c>
      <c r="AB23">
        <v>8.7208742791213343</v>
      </c>
      <c r="AC23">
        <v>2563.9370380616724</v>
      </c>
      <c r="AD23">
        <v>10.501128963209792</v>
      </c>
      <c r="AE23">
        <v>3087.331915183679</v>
      </c>
      <c r="AF23">
        <v>4.2158888434105704</v>
      </c>
      <c r="AG23">
        <v>1239.4713199627076</v>
      </c>
      <c r="AH23">
        <v>8.5287670742940396</v>
      </c>
      <c r="AI23">
        <v>2507.4575198424477</v>
      </c>
      <c r="AJ23">
        <v>11</v>
      </c>
      <c r="AK23">
        <v>3234</v>
      </c>
      <c r="AL23">
        <v>6.8227160310569666</v>
      </c>
      <c r="AM23">
        <v>2005.8785131307482</v>
      </c>
      <c r="AN23">
        <v>1.5778825878983924</v>
      </c>
      <c r="AO23">
        <v>463.89748084212738</v>
      </c>
      <c r="AP23">
        <v>8</v>
      </c>
      <c r="AQ23">
        <v>2352</v>
      </c>
      <c r="AR23">
        <v>14</v>
      </c>
      <c r="AS23">
        <v>4116</v>
      </c>
      <c r="AT23">
        <v>13</v>
      </c>
      <c r="AU23">
        <v>3822</v>
      </c>
      <c r="AV23">
        <v>11</v>
      </c>
      <c r="AW23">
        <v>3234</v>
      </c>
      <c r="AX23">
        <v>9</v>
      </c>
      <c r="AY23">
        <v>2646</v>
      </c>
      <c r="AZ23">
        <v>13</v>
      </c>
      <c r="BA23">
        <v>3822</v>
      </c>
      <c r="BB23">
        <v>9</v>
      </c>
      <c r="BC23">
        <v>2646</v>
      </c>
      <c r="BD23">
        <v>16</v>
      </c>
      <c r="BE23">
        <v>4704</v>
      </c>
      <c r="BF23">
        <v>10</v>
      </c>
      <c r="BG23">
        <v>2940</v>
      </c>
      <c r="BH23">
        <v>9</v>
      </c>
      <c r="BI23">
        <v>2646</v>
      </c>
      <c r="BJ23">
        <v>11</v>
      </c>
      <c r="BK23">
        <v>3234</v>
      </c>
      <c r="BL23">
        <v>9</v>
      </c>
      <c r="BM23">
        <v>2646</v>
      </c>
      <c r="BN23">
        <v>9</v>
      </c>
      <c r="BO23">
        <v>2646</v>
      </c>
      <c r="BP23">
        <v>12.051066321419611</v>
      </c>
      <c r="BQ23">
        <v>3543.0134984973656</v>
      </c>
      <c r="BR23">
        <v>14</v>
      </c>
      <c r="BS23">
        <v>4116</v>
      </c>
      <c r="BT23">
        <v>8.0169930966397747</v>
      </c>
      <c r="BU23">
        <v>2356.9959704120938</v>
      </c>
      <c r="BV23">
        <v>16</v>
      </c>
      <c r="BW23">
        <v>4704</v>
      </c>
      <c r="BX23">
        <v>9</v>
      </c>
      <c r="BY23">
        <v>2646</v>
      </c>
      <c r="BZ23">
        <v>11.64980157140829</v>
      </c>
      <c r="CA23">
        <v>3425.041661994037</v>
      </c>
      <c r="CB23">
        <v>6.2841080475979716</v>
      </c>
      <c r="CC23">
        <v>1847.5277659938035</v>
      </c>
      <c r="CD23">
        <v>11.363855950352857</v>
      </c>
      <c r="CE23">
        <v>3340.9736494037397</v>
      </c>
      <c r="CF23">
        <v>9.5037514188330157</v>
      </c>
      <c r="CG23">
        <v>2794.1029171369064</v>
      </c>
      <c r="CH23">
        <v>11</v>
      </c>
      <c r="CI23">
        <v>3234</v>
      </c>
      <c r="CJ23">
        <v>15</v>
      </c>
      <c r="CK23">
        <v>4410</v>
      </c>
      <c r="CL23">
        <v>8.1559488222929062</v>
      </c>
      <c r="CM23">
        <v>2397.8489537541145</v>
      </c>
      <c r="CN23">
        <v>2.7352431905829202</v>
      </c>
      <c r="CO23">
        <v>804.16149803137853</v>
      </c>
      <c r="CP23">
        <v>15</v>
      </c>
      <c r="CQ23">
        <v>4410</v>
      </c>
      <c r="CR23">
        <v>12.122041754788595</v>
      </c>
      <c r="CS23">
        <v>3563.8802759078471</v>
      </c>
      <c r="CT23">
        <v>7.7073447154326313</v>
      </c>
      <c r="CU23">
        <v>2265.9593463371934</v>
      </c>
    </row>
    <row r="24" spans="2:99">
      <c r="C24" s="99" t="s">
        <v>191</v>
      </c>
      <c r="D24">
        <v>7.3875931570252042</v>
      </c>
      <c r="E24">
        <v>2712.724207259655</v>
      </c>
      <c r="F24">
        <v>1.3594860626282625</v>
      </c>
      <c r="G24">
        <v>499.20328219709802</v>
      </c>
      <c r="H24">
        <v>13.24230259001822</v>
      </c>
      <c r="I24">
        <v>4862.5735110546902</v>
      </c>
      <c r="J24">
        <v>7.5830159672027913</v>
      </c>
      <c r="K24">
        <v>2784.4834631568647</v>
      </c>
      <c r="L24">
        <v>10</v>
      </c>
      <c r="M24">
        <v>3672</v>
      </c>
      <c r="N24">
        <v>10.827985172784015</v>
      </c>
      <c r="O24">
        <v>3976.0361554462902</v>
      </c>
      <c r="P24">
        <v>9</v>
      </c>
      <c r="Q24">
        <v>3304.7999999999997</v>
      </c>
      <c r="R24">
        <v>12</v>
      </c>
      <c r="S24">
        <v>4406.3999999999996</v>
      </c>
      <c r="T24">
        <v>12</v>
      </c>
      <c r="U24">
        <v>4406.3999999999996</v>
      </c>
      <c r="V24">
        <v>14</v>
      </c>
      <c r="W24">
        <v>5140.8</v>
      </c>
      <c r="X24">
        <v>14</v>
      </c>
      <c r="Y24">
        <v>5140.8</v>
      </c>
      <c r="Z24">
        <v>12.642552226338358</v>
      </c>
      <c r="AA24">
        <v>4642.3451775114445</v>
      </c>
      <c r="AB24">
        <v>10.306487784416122</v>
      </c>
      <c r="AC24">
        <v>3784.5423144376</v>
      </c>
      <c r="AD24">
        <v>10.501128963209792</v>
      </c>
      <c r="AE24">
        <v>3856.0145552906356</v>
      </c>
      <c r="AF24">
        <v>3.8057559158087617</v>
      </c>
      <c r="AG24">
        <v>1397.4735722849773</v>
      </c>
      <c r="AH24">
        <v>9.1379647224578999</v>
      </c>
      <c r="AI24">
        <v>3355.4606460865407</v>
      </c>
      <c r="AJ24">
        <v>11</v>
      </c>
      <c r="AK24">
        <v>4039.2</v>
      </c>
      <c r="AL24">
        <v>6.8474010823445788</v>
      </c>
      <c r="AM24">
        <v>2514.3656774369292</v>
      </c>
      <c r="AN24">
        <v>1.7093728035565916</v>
      </c>
      <c r="AO24">
        <v>627.6816934659804</v>
      </c>
      <c r="AP24">
        <v>9</v>
      </c>
      <c r="AQ24">
        <v>3304.7999999999997</v>
      </c>
      <c r="AR24">
        <v>14</v>
      </c>
      <c r="AS24">
        <v>5140.8</v>
      </c>
      <c r="AT24">
        <v>15</v>
      </c>
      <c r="AU24">
        <v>5508</v>
      </c>
      <c r="AV24">
        <v>11</v>
      </c>
      <c r="AW24">
        <v>4039.2</v>
      </c>
      <c r="AX24">
        <v>9</v>
      </c>
      <c r="AY24">
        <v>3304.7999999999997</v>
      </c>
      <c r="AZ24">
        <v>13</v>
      </c>
      <c r="BA24">
        <v>4773.5999999999995</v>
      </c>
      <c r="BB24">
        <v>8</v>
      </c>
      <c r="BC24">
        <v>2937.6</v>
      </c>
      <c r="BD24">
        <v>13</v>
      </c>
      <c r="BE24">
        <v>4773.5999999999995</v>
      </c>
      <c r="BF24">
        <v>12</v>
      </c>
      <c r="BG24">
        <v>4406.3999999999996</v>
      </c>
      <c r="BH24">
        <v>10</v>
      </c>
      <c r="BI24">
        <v>3672</v>
      </c>
      <c r="BJ24">
        <v>13</v>
      </c>
      <c r="BK24">
        <v>4773.5999999999995</v>
      </c>
      <c r="BL24">
        <v>8</v>
      </c>
      <c r="BM24">
        <v>2937.6</v>
      </c>
      <c r="BN24">
        <v>9</v>
      </c>
      <c r="BO24">
        <v>3304.7999999999997</v>
      </c>
      <c r="BP24">
        <v>10.329485418359665</v>
      </c>
      <c r="BQ24">
        <v>3792.987045621669</v>
      </c>
      <c r="BR24">
        <v>14</v>
      </c>
      <c r="BS24">
        <v>5140.8</v>
      </c>
      <c r="BT24">
        <v>7.2152937869757965</v>
      </c>
      <c r="BU24">
        <v>2649.4558785775125</v>
      </c>
      <c r="BV24">
        <v>14</v>
      </c>
      <c r="BW24">
        <v>5140.8</v>
      </c>
      <c r="BX24">
        <v>10</v>
      </c>
      <c r="BY24">
        <v>3672</v>
      </c>
      <c r="BZ24">
        <v>11.64980157140829</v>
      </c>
      <c r="CA24">
        <v>4277.8071370211237</v>
      </c>
      <c r="CB24">
        <v>5.5858738200870857</v>
      </c>
      <c r="CC24">
        <v>2051.1328667359776</v>
      </c>
      <c r="CD24">
        <v>11.329203002700204</v>
      </c>
      <c r="CE24">
        <v>4160.0833425915152</v>
      </c>
      <c r="CF24">
        <v>8.909766955155952</v>
      </c>
      <c r="CG24">
        <v>3271.6664259332656</v>
      </c>
      <c r="CH24">
        <v>11</v>
      </c>
      <c r="CI24">
        <v>4039.2</v>
      </c>
      <c r="CJ24">
        <v>16</v>
      </c>
      <c r="CK24">
        <v>5875.2</v>
      </c>
      <c r="CL24">
        <v>9</v>
      </c>
      <c r="CM24">
        <v>3304.7999999999997</v>
      </c>
      <c r="CN24">
        <v>2.9456465129354523</v>
      </c>
      <c r="CO24">
        <v>1081.6413995498981</v>
      </c>
      <c r="CP24">
        <v>17</v>
      </c>
      <c r="CQ24">
        <v>6242.4</v>
      </c>
      <c r="CR24">
        <v>12.132211901020979</v>
      </c>
      <c r="CS24">
        <v>4454.948210054903</v>
      </c>
      <c r="CT24">
        <v>8.1890537601471713</v>
      </c>
      <c r="CU24">
        <v>3007.0205407260414</v>
      </c>
    </row>
    <row r="25" spans="2:99">
      <c r="C25" s="99" t="s">
        <v>192</v>
      </c>
      <c r="D25">
        <v>7.3541042071044425</v>
      </c>
      <c r="E25">
        <v>3900.616871448196</v>
      </c>
      <c r="F25">
        <v>1.3594860626282625</v>
      </c>
      <c r="G25">
        <v>721.07140761803043</v>
      </c>
      <c r="H25">
        <v>14.188181346448092</v>
      </c>
      <c r="I25">
        <v>7525.4113861560672</v>
      </c>
      <c r="J25">
        <v>7.5830159672027913</v>
      </c>
      <c r="K25">
        <v>4022.0316690043601</v>
      </c>
      <c r="L25">
        <v>11</v>
      </c>
      <c r="M25">
        <v>5834.4</v>
      </c>
      <c r="N25">
        <v>10.827985172784015</v>
      </c>
      <c r="O25">
        <v>5743.1633356446409</v>
      </c>
      <c r="P25">
        <v>9</v>
      </c>
      <c r="Q25">
        <v>4773.5999999999995</v>
      </c>
      <c r="R25">
        <v>12</v>
      </c>
      <c r="S25">
        <v>6364.7999999999993</v>
      </c>
      <c r="T25">
        <v>12</v>
      </c>
      <c r="U25">
        <v>6364.7999999999993</v>
      </c>
      <c r="V25">
        <v>12</v>
      </c>
      <c r="W25">
        <v>6364.7999999999993</v>
      </c>
      <c r="X25">
        <v>13</v>
      </c>
      <c r="Y25">
        <v>6895.2</v>
      </c>
      <c r="Z25">
        <v>11.670048208927716</v>
      </c>
      <c r="AA25">
        <v>6189.7935700152602</v>
      </c>
      <c r="AB25">
        <v>9.5136810317687264</v>
      </c>
      <c r="AC25">
        <v>5046.0564192501324</v>
      </c>
      <c r="AD25">
        <v>9.7510483229805214</v>
      </c>
      <c r="AE25">
        <v>5171.956030508868</v>
      </c>
      <c r="AF25">
        <v>3.7866626545766815</v>
      </c>
      <c r="AG25">
        <v>2008.4458719874717</v>
      </c>
      <c r="AH25">
        <v>7.9195694261301801</v>
      </c>
      <c r="AI25">
        <v>4200.5396236194474</v>
      </c>
      <c r="AJ25">
        <v>11</v>
      </c>
      <c r="AK25">
        <v>5834.4</v>
      </c>
      <c r="AL25">
        <v>7.4877080982613347</v>
      </c>
      <c r="AM25">
        <v>3971.4803753178116</v>
      </c>
      <c r="AN25">
        <v>1.7093728035565916</v>
      </c>
      <c r="AO25">
        <v>906.65133500641616</v>
      </c>
      <c r="AP25">
        <v>10</v>
      </c>
      <c r="AQ25">
        <v>5304</v>
      </c>
      <c r="AR25">
        <v>15</v>
      </c>
      <c r="AS25">
        <v>7956</v>
      </c>
      <c r="AT25">
        <v>13</v>
      </c>
      <c r="AU25">
        <v>6895.2</v>
      </c>
      <c r="AV25">
        <v>10</v>
      </c>
      <c r="AW25">
        <v>5304</v>
      </c>
      <c r="AX25">
        <v>8</v>
      </c>
      <c r="AY25">
        <v>4243.2</v>
      </c>
      <c r="AZ25">
        <v>14</v>
      </c>
      <c r="BA25">
        <v>7425.5999999999995</v>
      </c>
      <c r="BB25">
        <v>9</v>
      </c>
      <c r="BC25">
        <v>4773.5999999999995</v>
      </c>
      <c r="BD25">
        <v>14</v>
      </c>
      <c r="BE25">
        <v>7425.5999999999995</v>
      </c>
      <c r="BF25">
        <v>10</v>
      </c>
      <c r="BG25">
        <v>5304</v>
      </c>
      <c r="BH25">
        <v>9</v>
      </c>
      <c r="BI25">
        <v>4773.5999999999995</v>
      </c>
      <c r="BJ25">
        <v>12</v>
      </c>
      <c r="BK25">
        <v>6364.7999999999993</v>
      </c>
      <c r="BL25">
        <v>9</v>
      </c>
      <c r="BM25">
        <v>4773.5999999999995</v>
      </c>
      <c r="BN25">
        <v>8</v>
      </c>
      <c r="BO25">
        <v>4243.2</v>
      </c>
      <c r="BP25">
        <v>12.051066321419611</v>
      </c>
      <c r="BQ25">
        <v>6391.8855768809617</v>
      </c>
      <c r="BR25">
        <v>15</v>
      </c>
      <c r="BS25">
        <v>7956</v>
      </c>
      <c r="BT25">
        <v>8.0169930966397747</v>
      </c>
      <c r="BU25">
        <v>4252.213138457736</v>
      </c>
      <c r="BV25">
        <v>14</v>
      </c>
      <c r="BW25">
        <v>7425.5999999999995</v>
      </c>
      <c r="BX25">
        <v>9</v>
      </c>
      <c r="BY25">
        <v>4773.5999999999995</v>
      </c>
      <c r="BZ25">
        <v>10.81767288773627</v>
      </c>
      <c r="CA25">
        <v>5737.6936996553177</v>
      </c>
      <c r="CB25">
        <v>6.2841080475979716</v>
      </c>
      <c r="CC25">
        <v>3333.090908445964</v>
      </c>
      <c r="CD25">
        <v>11</v>
      </c>
      <c r="CE25">
        <v>5834.4</v>
      </c>
      <c r="CF25">
        <v>8.909766955155952</v>
      </c>
      <c r="CG25">
        <v>4725.7403930147166</v>
      </c>
      <c r="CH25">
        <v>12</v>
      </c>
      <c r="CI25">
        <v>6364.7999999999993</v>
      </c>
      <c r="CJ25">
        <v>14</v>
      </c>
      <c r="CK25">
        <v>7425.5999999999995</v>
      </c>
      <c r="CL25">
        <v>9.1351556459871848</v>
      </c>
      <c r="CM25">
        <v>4845.2865546316025</v>
      </c>
      <c r="CN25">
        <v>2.9456465129354523</v>
      </c>
      <c r="CO25">
        <v>1562.3709104609638</v>
      </c>
      <c r="CP25">
        <v>18</v>
      </c>
      <c r="CQ25">
        <v>9547.1999999999989</v>
      </c>
      <c r="CR25">
        <v>12.111871608556212</v>
      </c>
      <c r="CS25">
        <v>6424.1367011782149</v>
      </c>
      <c r="CT25">
        <v>7.7073447154326313</v>
      </c>
      <c r="CU25">
        <v>4087.9756370654677</v>
      </c>
    </row>
    <row r="26" spans="2:99">
      <c r="C26" s="99" t="s">
        <v>193</v>
      </c>
      <c r="D26">
        <v>6.7191606361562828</v>
      </c>
      <c r="E26">
        <v>3265.5120691719535</v>
      </c>
      <c r="F26">
        <v>1.3594860626282625</v>
      </c>
      <c r="G26">
        <v>660.71022643733556</v>
      </c>
      <c r="H26">
        <v>14.188181346448092</v>
      </c>
      <c r="I26">
        <v>6895.4561343737723</v>
      </c>
      <c r="J26">
        <v>7.5830159672027913</v>
      </c>
      <c r="K26">
        <v>3685.3457600605566</v>
      </c>
      <c r="L26">
        <v>11</v>
      </c>
      <c r="M26">
        <v>5346</v>
      </c>
      <c r="N26">
        <v>11.812347461218927</v>
      </c>
      <c r="O26">
        <v>5740.8008661523982</v>
      </c>
      <c r="P26">
        <v>9</v>
      </c>
      <c r="Q26">
        <v>4374</v>
      </c>
      <c r="R26">
        <v>14</v>
      </c>
      <c r="S26">
        <v>6804</v>
      </c>
      <c r="T26">
        <v>12</v>
      </c>
      <c r="U26">
        <v>5832</v>
      </c>
      <c r="V26">
        <v>12</v>
      </c>
      <c r="W26">
        <v>5832</v>
      </c>
      <c r="X26">
        <v>12</v>
      </c>
      <c r="Y26">
        <v>5832</v>
      </c>
      <c r="Z26">
        <v>12.642552226338358</v>
      </c>
      <c r="AA26">
        <v>6144.2803820004419</v>
      </c>
      <c r="AB26">
        <v>9.5136810317687264</v>
      </c>
      <c r="AC26">
        <v>4623.6489814396009</v>
      </c>
      <c r="AD26">
        <v>10.501128963209792</v>
      </c>
      <c r="AE26">
        <v>5103.5486761199591</v>
      </c>
      <c r="AF26">
        <v>3.824849177040841</v>
      </c>
      <c r="AG26">
        <v>1858.8767000418488</v>
      </c>
      <c r="AH26">
        <v>9.1379647224578999</v>
      </c>
      <c r="AI26">
        <v>4441.0508551145394</v>
      </c>
      <c r="AJ26">
        <v>9</v>
      </c>
      <c r="AK26">
        <v>4374</v>
      </c>
      <c r="AL26">
        <v>7.4877080982613347</v>
      </c>
      <c r="AM26">
        <v>3639.0261357550085</v>
      </c>
      <c r="AN26">
        <v>1.7093728035565916</v>
      </c>
      <c r="AO26">
        <v>830.7551825285035</v>
      </c>
      <c r="AP26">
        <v>9</v>
      </c>
      <c r="AQ26">
        <v>4374</v>
      </c>
      <c r="AR26">
        <v>16</v>
      </c>
      <c r="AS26">
        <v>7776</v>
      </c>
      <c r="AT26">
        <v>14</v>
      </c>
      <c r="AU26">
        <v>6804</v>
      </c>
      <c r="AV26">
        <v>11</v>
      </c>
      <c r="AW26">
        <v>5346</v>
      </c>
      <c r="AX26">
        <v>8</v>
      </c>
      <c r="AY26">
        <v>3888</v>
      </c>
      <c r="AZ26">
        <v>14</v>
      </c>
      <c r="BA26">
        <v>6804</v>
      </c>
      <c r="BB26">
        <v>9</v>
      </c>
      <c r="BC26">
        <v>4374</v>
      </c>
      <c r="BD26">
        <v>14</v>
      </c>
      <c r="BE26">
        <v>6804</v>
      </c>
      <c r="BF26">
        <v>11</v>
      </c>
      <c r="BG26">
        <v>5346</v>
      </c>
      <c r="BH26">
        <v>9</v>
      </c>
      <c r="BI26">
        <v>4374</v>
      </c>
      <c r="BJ26">
        <v>13</v>
      </c>
      <c r="BK26">
        <v>6318</v>
      </c>
      <c r="BL26">
        <v>9</v>
      </c>
      <c r="BM26">
        <v>4374</v>
      </c>
      <c r="BN26">
        <v>8</v>
      </c>
      <c r="BO26">
        <v>3888</v>
      </c>
      <c r="BP26">
        <v>12.051066321419611</v>
      </c>
      <c r="BQ26">
        <v>5856.818232209931</v>
      </c>
      <c r="BR26">
        <v>15</v>
      </c>
      <c r="BS26">
        <v>7290</v>
      </c>
      <c r="BT26">
        <v>7.2152937869757965</v>
      </c>
      <c r="BU26">
        <v>3506.6327804702369</v>
      </c>
      <c r="BV26">
        <v>15</v>
      </c>
      <c r="BW26">
        <v>7290</v>
      </c>
      <c r="BX26">
        <v>10</v>
      </c>
      <c r="BY26">
        <v>4860</v>
      </c>
      <c r="BZ26">
        <v>10.81767288773627</v>
      </c>
      <c r="CA26">
        <v>5257.3890234398277</v>
      </c>
      <c r="CB26">
        <v>6.2841080475979716</v>
      </c>
      <c r="CC26">
        <v>3054.0765111326141</v>
      </c>
      <c r="CD26">
        <v>12</v>
      </c>
      <c r="CE26">
        <v>5832</v>
      </c>
      <c r="CF26">
        <v>9.5037514188330157</v>
      </c>
      <c r="CG26">
        <v>4618.8231895528452</v>
      </c>
      <c r="CH26">
        <v>11</v>
      </c>
      <c r="CI26">
        <v>5346</v>
      </c>
      <c r="CJ26">
        <v>16</v>
      </c>
      <c r="CK26">
        <v>7776</v>
      </c>
      <c r="CL26">
        <v>9.1559488222929062</v>
      </c>
      <c r="CM26">
        <v>4449.7911276343521</v>
      </c>
      <c r="CN26">
        <v>2.5248398682303876</v>
      </c>
      <c r="CO26">
        <v>1227.0721759599685</v>
      </c>
      <c r="CP26">
        <v>15</v>
      </c>
      <c r="CQ26">
        <v>7290</v>
      </c>
      <c r="CR26">
        <v>11.122041754788595</v>
      </c>
      <c r="CS26">
        <v>5405.3122928272578</v>
      </c>
      <c r="CT26">
        <v>8.1890537601471713</v>
      </c>
      <c r="CU26">
        <v>3979.8801274315251</v>
      </c>
    </row>
    <row r="27" spans="2:99">
      <c r="C27" s="99" t="s">
        <v>194</v>
      </c>
      <c r="D27">
        <v>7.4210821069459652</v>
      </c>
      <c r="E27">
        <v>3170.2862760873163</v>
      </c>
      <c r="F27">
        <v>1.3594860626282625</v>
      </c>
      <c r="G27">
        <v>580.77244595479374</v>
      </c>
      <c r="H27">
        <v>13.24230259001822</v>
      </c>
      <c r="I27">
        <v>5657.1116664557831</v>
      </c>
      <c r="J27">
        <v>7.5830159672027913</v>
      </c>
      <c r="K27">
        <v>3239.4644211890322</v>
      </c>
      <c r="L27">
        <v>12</v>
      </c>
      <c r="M27">
        <v>5126.3999999999996</v>
      </c>
      <c r="N27">
        <v>9.843622884349104</v>
      </c>
      <c r="O27">
        <v>4205.1956961939368</v>
      </c>
      <c r="P27">
        <v>9</v>
      </c>
      <c r="Q27">
        <v>3844.7999999999997</v>
      </c>
      <c r="R27">
        <v>14</v>
      </c>
      <c r="S27">
        <v>5980.8</v>
      </c>
      <c r="T27">
        <v>12</v>
      </c>
      <c r="U27">
        <v>5126.3999999999996</v>
      </c>
      <c r="V27">
        <v>13</v>
      </c>
      <c r="W27">
        <v>5553.5999999999995</v>
      </c>
      <c r="X27">
        <v>12</v>
      </c>
      <c r="Y27">
        <v>5126.3999999999996</v>
      </c>
      <c r="Z27">
        <v>11.670048208927716</v>
      </c>
      <c r="AA27">
        <v>4985.4445948539196</v>
      </c>
      <c r="AB27">
        <v>10.306487784416122</v>
      </c>
      <c r="AC27">
        <v>4402.9315815025675</v>
      </c>
      <c r="AD27">
        <v>10.501128963209792</v>
      </c>
      <c r="AE27">
        <v>4486.0822930832228</v>
      </c>
      <c r="AF27">
        <v>4.2158888434105704</v>
      </c>
      <c r="AG27">
        <v>1801.0277139049956</v>
      </c>
      <c r="AH27">
        <v>7.9195694261301801</v>
      </c>
      <c r="AI27">
        <v>3383.2400588428127</v>
      </c>
      <c r="AJ27">
        <v>10</v>
      </c>
      <c r="AK27">
        <v>4272</v>
      </c>
      <c r="AL27">
        <v>7.5123931495489469</v>
      </c>
      <c r="AM27">
        <v>3209.2943534873102</v>
      </c>
      <c r="AN27">
        <v>1.8408630192147908</v>
      </c>
      <c r="AO27">
        <v>786.41668180855856</v>
      </c>
      <c r="AP27">
        <v>9</v>
      </c>
      <c r="AQ27">
        <v>3844.7999999999997</v>
      </c>
      <c r="AR27">
        <v>16</v>
      </c>
      <c r="AS27">
        <v>6835.2</v>
      </c>
      <c r="AT27">
        <v>12</v>
      </c>
      <c r="AU27">
        <v>5126.3999999999996</v>
      </c>
      <c r="AV27">
        <v>11</v>
      </c>
      <c r="AW27">
        <v>4699.2</v>
      </c>
      <c r="AX27">
        <v>9</v>
      </c>
      <c r="AY27">
        <v>3844.7999999999997</v>
      </c>
      <c r="AZ27">
        <v>13</v>
      </c>
      <c r="BA27">
        <v>5553.5999999999995</v>
      </c>
      <c r="BB27">
        <v>8</v>
      </c>
      <c r="BC27">
        <v>3417.6</v>
      </c>
      <c r="BD27">
        <v>16</v>
      </c>
      <c r="BE27">
        <v>6835.2</v>
      </c>
      <c r="BF27">
        <v>10</v>
      </c>
      <c r="BG27">
        <v>4272</v>
      </c>
      <c r="BH27">
        <v>9</v>
      </c>
      <c r="BI27">
        <v>3844.7999999999997</v>
      </c>
      <c r="BJ27">
        <v>13</v>
      </c>
      <c r="BK27">
        <v>5553.5999999999995</v>
      </c>
      <c r="BL27">
        <v>8</v>
      </c>
      <c r="BM27">
        <v>3417.6</v>
      </c>
      <c r="BN27">
        <v>9</v>
      </c>
      <c r="BO27">
        <v>3844.7999999999997</v>
      </c>
      <c r="BP27">
        <v>11.190275869889639</v>
      </c>
      <c r="BQ27">
        <v>4780.4858516168533</v>
      </c>
      <c r="BR27">
        <v>15</v>
      </c>
      <c r="BS27">
        <v>6408</v>
      </c>
      <c r="BT27">
        <v>7.2152937869757965</v>
      </c>
      <c r="BU27">
        <v>3082.3735057960603</v>
      </c>
      <c r="BV27">
        <v>15</v>
      </c>
      <c r="BW27">
        <v>6408</v>
      </c>
      <c r="BX27">
        <v>9</v>
      </c>
      <c r="BY27">
        <v>3844.7999999999997</v>
      </c>
      <c r="BZ27">
        <v>12.481930255080311</v>
      </c>
      <c r="CA27">
        <v>5332.2806049703086</v>
      </c>
      <c r="CB27">
        <v>5.5858738200870857</v>
      </c>
      <c r="CC27">
        <v>2386.285295941203</v>
      </c>
      <c r="CD27">
        <v>12.363855950352857</v>
      </c>
      <c r="CE27">
        <v>5281.8392619907399</v>
      </c>
      <c r="CF27">
        <v>9.5037514188330157</v>
      </c>
      <c r="CG27">
        <v>4060.0026061254644</v>
      </c>
      <c r="CH27">
        <v>11</v>
      </c>
      <c r="CI27">
        <v>4699.2</v>
      </c>
      <c r="CJ27">
        <v>14</v>
      </c>
      <c r="CK27">
        <v>5980.8</v>
      </c>
      <c r="CL27">
        <v>8.1559488222929062</v>
      </c>
      <c r="CM27">
        <v>3484.2213368835296</v>
      </c>
      <c r="CN27">
        <v>2.9456465129354523</v>
      </c>
      <c r="CO27">
        <v>1258.3801903260253</v>
      </c>
      <c r="CP27">
        <v>18</v>
      </c>
      <c r="CQ27">
        <v>7689.5999999999995</v>
      </c>
      <c r="CR27">
        <v>13.122041754788595</v>
      </c>
      <c r="CS27">
        <v>5605.7362376456877</v>
      </c>
      <c r="CT27">
        <v>8.1890537601471713</v>
      </c>
      <c r="CU27">
        <v>3498.3637663348713</v>
      </c>
    </row>
    <row r="28" spans="2:99">
      <c r="C28" s="99" t="s">
        <v>195</v>
      </c>
      <c r="D28">
        <v>6.7191606361562828</v>
      </c>
      <c r="E28">
        <v>4958.7405494833365</v>
      </c>
      <c r="F28">
        <v>1.1895503047997298</v>
      </c>
      <c r="G28">
        <v>877.88812494220053</v>
      </c>
      <c r="H28">
        <v>13.24230259001822</v>
      </c>
      <c r="I28">
        <v>9772.8193114334463</v>
      </c>
      <c r="J28">
        <v>7.5830159672027913</v>
      </c>
      <c r="K28">
        <v>5596.2657837956604</v>
      </c>
      <c r="L28">
        <v>10</v>
      </c>
      <c r="M28">
        <v>7380</v>
      </c>
      <c r="N28">
        <v>11.812347461218927</v>
      </c>
      <c r="O28">
        <v>8717.5124263795678</v>
      </c>
      <c r="P28">
        <v>9</v>
      </c>
      <c r="Q28">
        <v>6642</v>
      </c>
      <c r="R28">
        <v>13</v>
      </c>
      <c r="S28">
        <v>9594</v>
      </c>
      <c r="T28">
        <v>11</v>
      </c>
      <c r="U28">
        <v>8118</v>
      </c>
      <c r="V28">
        <v>13</v>
      </c>
      <c r="W28">
        <v>9594</v>
      </c>
      <c r="X28">
        <v>13</v>
      </c>
      <c r="Y28">
        <v>9594</v>
      </c>
      <c r="Z28">
        <v>11.670048208927716</v>
      </c>
      <c r="AA28">
        <v>8612.4955781886547</v>
      </c>
      <c r="AB28">
        <v>9.5136810317687264</v>
      </c>
      <c r="AC28">
        <v>7021.0966014453197</v>
      </c>
      <c r="AD28">
        <v>10.501128963209792</v>
      </c>
      <c r="AE28">
        <v>7749.8331748488272</v>
      </c>
      <c r="AF28">
        <v>4.1777023209464117</v>
      </c>
      <c r="AG28">
        <v>3083.1443128584519</v>
      </c>
      <c r="AH28">
        <v>9.1379647224578999</v>
      </c>
      <c r="AI28">
        <v>6743.8179651739301</v>
      </c>
      <c r="AJ28">
        <v>11</v>
      </c>
      <c r="AK28">
        <v>8118</v>
      </c>
      <c r="AL28">
        <v>8.177385216753315</v>
      </c>
      <c r="AM28">
        <v>6034.9102899639465</v>
      </c>
      <c r="AN28">
        <v>1.5778825878983924</v>
      </c>
      <c r="AO28">
        <v>1164.4773498690136</v>
      </c>
      <c r="AP28">
        <v>9</v>
      </c>
      <c r="AQ28">
        <v>6642</v>
      </c>
      <c r="AR28">
        <v>16</v>
      </c>
      <c r="AS28">
        <v>11808</v>
      </c>
      <c r="AT28">
        <v>15</v>
      </c>
      <c r="AU28">
        <v>11070</v>
      </c>
      <c r="AV28">
        <v>12</v>
      </c>
      <c r="AW28">
        <v>8856</v>
      </c>
      <c r="AX28">
        <v>8</v>
      </c>
      <c r="AY28">
        <v>5904</v>
      </c>
      <c r="AZ28">
        <v>13</v>
      </c>
      <c r="BA28">
        <v>9594</v>
      </c>
      <c r="BB28">
        <v>8</v>
      </c>
      <c r="BC28">
        <v>5904</v>
      </c>
      <c r="BD28">
        <v>13</v>
      </c>
      <c r="BE28">
        <v>9594</v>
      </c>
      <c r="BF28">
        <v>11</v>
      </c>
      <c r="BG28">
        <v>8118</v>
      </c>
      <c r="BH28">
        <v>10</v>
      </c>
      <c r="BI28">
        <v>7380</v>
      </c>
      <c r="BJ28">
        <v>12</v>
      </c>
      <c r="BK28">
        <v>8856</v>
      </c>
      <c r="BL28">
        <v>9</v>
      </c>
      <c r="BM28">
        <v>6642</v>
      </c>
      <c r="BN28">
        <v>8</v>
      </c>
      <c r="BO28">
        <v>5904</v>
      </c>
      <c r="BP28">
        <v>11.190275869889639</v>
      </c>
      <c r="BQ28">
        <v>8258.4235919785533</v>
      </c>
      <c r="BR28">
        <v>14</v>
      </c>
      <c r="BS28">
        <v>10332</v>
      </c>
      <c r="BT28">
        <v>7.2152937869757965</v>
      </c>
      <c r="BU28">
        <v>5324.8868147881376</v>
      </c>
      <c r="BV28">
        <v>15</v>
      </c>
      <c r="BW28">
        <v>11070</v>
      </c>
      <c r="BX28">
        <v>9</v>
      </c>
      <c r="BY28">
        <v>6642</v>
      </c>
      <c r="BZ28">
        <v>10.81767288773627</v>
      </c>
      <c r="CA28">
        <v>7983.4425911493672</v>
      </c>
      <c r="CB28">
        <v>6.2841080475979716</v>
      </c>
      <c r="CC28">
        <v>4637.6717391273032</v>
      </c>
      <c r="CD28">
        <v>11.346529476526531</v>
      </c>
      <c r="CE28">
        <v>8373.73875367658</v>
      </c>
      <c r="CF28">
        <v>8.909766955155952</v>
      </c>
      <c r="CG28">
        <v>6575.4080129050926</v>
      </c>
      <c r="CH28">
        <v>13</v>
      </c>
      <c r="CI28">
        <v>9594</v>
      </c>
      <c r="CJ28">
        <v>13</v>
      </c>
      <c r="CK28">
        <v>9594</v>
      </c>
      <c r="CL28">
        <v>8.1559488222929062</v>
      </c>
      <c r="CM28">
        <v>6019.0902308521645</v>
      </c>
      <c r="CN28">
        <v>2.7352431905829202</v>
      </c>
      <c r="CO28">
        <v>2018.6094746501951</v>
      </c>
      <c r="CP28">
        <v>16</v>
      </c>
      <c r="CQ28">
        <v>11808</v>
      </c>
      <c r="CR28">
        <v>11.132211901020979</v>
      </c>
      <c r="CS28">
        <v>8215.5723829534818</v>
      </c>
      <c r="CT28">
        <v>6.7439266260035522</v>
      </c>
      <c r="CU28">
        <v>4977.0178499906215</v>
      </c>
    </row>
    <row r="29" spans="2:99">
      <c r="C29" s="99" t="s">
        <v>196</v>
      </c>
      <c r="D29">
        <v>7.3875931570252042</v>
      </c>
      <c r="E29">
        <v>2499.9615243373291</v>
      </c>
      <c r="F29">
        <v>1.1895503047997298</v>
      </c>
      <c r="G29">
        <v>402.54382314422855</v>
      </c>
      <c r="H29">
        <v>13.24230259001822</v>
      </c>
      <c r="I29">
        <v>4481.1951964621649</v>
      </c>
      <c r="J29">
        <v>6.8247143704825133</v>
      </c>
      <c r="K29">
        <v>2309.4833429712821</v>
      </c>
      <c r="L29">
        <v>11</v>
      </c>
      <c r="M29">
        <v>3722.3999999999996</v>
      </c>
      <c r="N29">
        <v>11.812347461218927</v>
      </c>
      <c r="O29">
        <v>3997.2983808764848</v>
      </c>
      <c r="P29">
        <v>9</v>
      </c>
      <c r="Q29">
        <v>3045.6</v>
      </c>
      <c r="R29">
        <v>13</v>
      </c>
      <c r="S29">
        <v>4399.2</v>
      </c>
      <c r="T29">
        <v>14</v>
      </c>
      <c r="U29">
        <v>4737.5999999999995</v>
      </c>
      <c r="V29">
        <v>14</v>
      </c>
      <c r="W29">
        <v>4737.5999999999995</v>
      </c>
      <c r="X29">
        <v>14</v>
      </c>
      <c r="Y29">
        <v>4737.5999999999995</v>
      </c>
      <c r="Z29">
        <v>12.642552226338358</v>
      </c>
      <c r="AA29">
        <v>4278.2396733928999</v>
      </c>
      <c r="AB29">
        <v>9.5136810317687264</v>
      </c>
      <c r="AC29">
        <v>3219.429661150537</v>
      </c>
      <c r="AD29">
        <v>9.7510483229805214</v>
      </c>
      <c r="AE29">
        <v>3299.754752496608</v>
      </c>
      <c r="AF29">
        <v>4.2349821046426506</v>
      </c>
      <c r="AG29">
        <v>1433.1179442110729</v>
      </c>
      <c r="AH29">
        <v>8.5287670742940396</v>
      </c>
      <c r="AI29">
        <v>2886.1347779411026</v>
      </c>
      <c r="AJ29">
        <v>10</v>
      </c>
      <c r="AK29">
        <v>3384</v>
      </c>
      <c r="AL29">
        <v>7.5123931495489469</v>
      </c>
      <c r="AM29">
        <v>2542.1938418073632</v>
      </c>
      <c r="AN29">
        <v>1.8408630192147908</v>
      </c>
      <c r="AO29">
        <v>622.94804570228519</v>
      </c>
      <c r="AP29">
        <v>9</v>
      </c>
      <c r="AQ29">
        <v>3045.6</v>
      </c>
      <c r="AR29">
        <v>15</v>
      </c>
      <c r="AS29">
        <v>5076</v>
      </c>
      <c r="AT29">
        <v>14</v>
      </c>
      <c r="AU29">
        <v>4737.5999999999995</v>
      </c>
      <c r="AV29">
        <v>10</v>
      </c>
      <c r="AW29">
        <v>3384</v>
      </c>
      <c r="AX29">
        <v>8</v>
      </c>
      <c r="AY29">
        <v>2707.2</v>
      </c>
      <c r="AZ29">
        <v>13</v>
      </c>
      <c r="BA29">
        <v>4399.2</v>
      </c>
      <c r="BB29">
        <v>8</v>
      </c>
      <c r="BC29">
        <v>2707.2</v>
      </c>
      <c r="BD29">
        <v>16</v>
      </c>
      <c r="BE29">
        <v>5414.4</v>
      </c>
      <c r="BF29">
        <v>11</v>
      </c>
      <c r="BG29">
        <v>3722.3999999999996</v>
      </c>
      <c r="BH29">
        <v>10</v>
      </c>
      <c r="BI29">
        <v>3384</v>
      </c>
      <c r="BJ29">
        <v>13</v>
      </c>
      <c r="BK29">
        <v>4399.2</v>
      </c>
      <c r="BL29">
        <v>9</v>
      </c>
      <c r="BM29">
        <v>3045.6</v>
      </c>
      <c r="BN29">
        <v>8</v>
      </c>
      <c r="BO29">
        <v>2707.2</v>
      </c>
      <c r="BP29">
        <v>12.051066321419611</v>
      </c>
      <c r="BQ29">
        <v>4078.0808431683963</v>
      </c>
      <c r="BR29">
        <v>16</v>
      </c>
      <c r="BS29">
        <v>5414.4</v>
      </c>
      <c r="BT29">
        <v>8.0169930966397747</v>
      </c>
      <c r="BU29">
        <v>2712.9504639028996</v>
      </c>
      <c r="BV29">
        <v>16</v>
      </c>
      <c r="BW29">
        <v>5414.4</v>
      </c>
      <c r="BX29">
        <v>9</v>
      </c>
      <c r="BY29">
        <v>3045.6</v>
      </c>
      <c r="BZ29">
        <v>11.64980157140829</v>
      </c>
      <c r="CA29">
        <v>3942.2928517645651</v>
      </c>
      <c r="CB29">
        <v>6.2841080475979716</v>
      </c>
      <c r="CC29">
        <v>2126.5421633071533</v>
      </c>
      <c r="CD29">
        <v>10.381182424179183</v>
      </c>
      <c r="CE29">
        <v>3512.9921323422354</v>
      </c>
      <c r="CF29">
        <v>10.097735882510079</v>
      </c>
      <c r="CG29">
        <v>3417.0738226414105</v>
      </c>
      <c r="CH29">
        <v>13</v>
      </c>
      <c r="CI29">
        <v>4399.2</v>
      </c>
      <c r="CJ29">
        <v>14</v>
      </c>
      <c r="CK29">
        <v>4737.5999999999995</v>
      </c>
      <c r="CL29">
        <v>9.1455522341400446</v>
      </c>
      <c r="CM29">
        <v>3094.8548760329909</v>
      </c>
      <c r="CN29">
        <v>2.9456465129354523</v>
      </c>
      <c r="CO29">
        <v>996.806779977357</v>
      </c>
      <c r="CP29">
        <v>16</v>
      </c>
      <c r="CQ29">
        <v>5414.4</v>
      </c>
      <c r="CR29">
        <v>11.111871608556212</v>
      </c>
      <c r="CS29">
        <v>3760.2573523354222</v>
      </c>
      <c r="CT29">
        <v>7.2256356707180922</v>
      </c>
      <c r="CU29">
        <v>2445.1551109710022</v>
      </c>
    </row>
    <row r="30" spans="2:99">
      <c r="C30" s="99" t="s">
        <v>197</v>
      </c>
      <c r="D30">
        <v>7.3875931570252042</v>
      </c>
      <c r="E30">
        <v>1028.3529674579083</v>
      </c>
      <c r="F30">
        <v>1.1895503047997298</v>
      </c>
      <c r="G30">
        <v>165.58540242812236</v>
      </c>
      <c r="H30">
        <v>14.188181346448092</v>
      </c>
      <c r="I30">
        <v>1974.9948434255741</v>
      </c>
      <c r="J30">
        <v>7.5830159672027913</v>
      </c>
      <c r="K30">
        <v>1055.5558226346284</v>
      </c>
      <c r="L30">
        <v>12</v>
      </c>
      <c r="M30">
        <v>1670.3999999999999</v>
      </c>
      <c r="N30">
        <v>10.827985172784015</v>
      </c>
      <c r="O30">
        <v>1507.2555360515348</v>
      </c>
      <c r="P30">
        <v>9</v>
      </c>
      <c r="Q30">
        <v>1252.8</v>
      </c>
      <c r="R30">
        <v>12</v>
      </c>
      <c r="S30">
        <v>1670.3999999999999</v>
      </c>
      <c r="T30">
        <v>12</v>
      </c>
      <c r="U30">
        <v>1670.3999999999999</v>
      </c>
      <c r="V30">
        <v>13</v>
      </c>
      <c r="W30">
        <v>1809.6</v>
      </c>
      <c r="X30">
        <v>12</v>
      </c>
      <c r="Y30">
        <v>1670.3999999999999</v>
      </c>
      <c r="Z30">
        <v>13.615056243749001</v>
      </c>
      <c r="AA30">
        <v>1895.2158291298608</v>
      </c>
      <c r="AB30">
        <v>10.306487784416122</v>
      </c>
      <c r="AC30">
        <v>1434.663099590724</v>
      </c>
      <c r="AD30">
        <v>11.251209603439063</v>
      </c>
      <c r="AE30">
        <v>1566.1683767987174</v>
      </c>
      <c r="AF30">
        <v>4.2158888434105704</v>
      </c>
      <c r="AG30">
        <v>586.85172700275132</v>
      </c>
      <c r="AH30">
        <v>8.5287670742940396</v>
      </c>
      <c r="AI30">
        <v>1187.2043767417301</v>
      </c>
      <c r="AJ30">
        <v>11</v>
      </c>
      <c r="AK30">
        <v>1531.1999999999998</v>
      </c>
      <c r="AL30">
        <v>8.8423772839576849</v>
      </c>
      <c r="AM30">
        <v>1230.8589179269097</v>
      </c>
      <c r="AN30">
        <v>1.8408630192147908</v>
      </c>
      <c r="AO30">
        <v>256.24813227469883</v>
      </c>
      <c r="AP30">
        <v>10</v>
      </c>
      <c r="AQ30">
        <v>1392</v>
      </c>
      <c r="AR30">
        <v>16</v>
      </c>
      <c r="AS30">
        <v>2227.1999999999998</v>
      </c>
      <c r="AT30">
        <v>13</v>
      </c>
      <c r="AU30">
        <v>1809.6</v>
      </c>
      <c r="AV30">
        <v>12</v>
      </c>
      <c r="AW30">
        <v>1670.3999999999999</v>
      </c>
      <c r="AX30">
        <v>9</v>
      </c>
      <c r="AY30">
        <v>1252.8</v>
      </c>
      <c r="AZ30">
        <v>14</v>
      </c>
      <c r="BA30">
        <v>1948.7999999999997</v>
      </c>
      <c r="BB30">
        <v>8</v>
      </c>
      <c r="BC30">
        <v>1113.5999999999999</v>
      </c>
      <c r="BD30">
        <v>15</v>
      </c>
      <c r="BE30">
        <v>2088</v>
      </c>
      <c r="BF30">
        <v>12</v>
      </c>
      <c r="BG30">
        <v>1670.3999999999999</v>
      </c>
      <c r="BH30">
        <v>11</v>
      </c>
      <c r="BI30">
        <v>1531.1999999999998</v>
      </c>
      <c r="BJ30">
        <v>12</v>
      </c>
      <c r="BK30">
        <v>1670.3999999999999</v>
      </c>
      <c r="BL30">
        <v>9</v>
      </c>
      <c r="BM30">
        <v>1252.8</v>
      </c>
      <c r="BN30">
        <v>8</v>
      </c>
      <c r="BO30">
        <v>1113.5999999999999</v>
      </c>
      <c r="BP30">
        <v>12.051066321419611</v>
      </c>
      <c r="BQ30">
        <v>1677.5084319416098</v>
      </c>
      <c r="BR30">
        <v>15</v>
      </c>
      <c r="BS30">
        <v>2088</v>
      </c>
      <c r="BT30">
        <v>8.0169930966397747</v>
      </c>
      <c r="BU30">
        <v>1115.9654390522564</v>
      </c>
      <c r="BV30">
        <v>15</v>
      </c>
      <c r="BW30">
        <v>2088</v>
      </c>
      <c r="BX30">
        <v>10</v>
      </c>
      <c r="BY30">
        <v>1392</v>
      </c>
      <c r="BZ30">
        <v>12.481930255080311</v>
      </c>
      <c r="CA30">
        <v>1737.4846915071791</v>
      </c>
      <c r="CB30">
        <v>5.5858738200870857</v>
      </c>
      <c r="CC30">
        <v>777.55363575612228</v>
      </c>
      <c r="CD30">
        <v>11.346529476526531</v>
      </c>
      <c r="CE30">
        <v>1579.4369031324929</v>
      </c>
      <c r="CF30">
        <v>10.097735882510079</v>
      </c>
      <c r="CG30">
        <v>1405.6048348454028</v>
      </c>
      <c r="CH30">
        <v>12</v>
      </c>
      <c r="CI30">
        <v>1670.3999999999999</v>
      </c>
      <c r="CJ30">
        <v>16</v>
      </c>
      <c r="CK30">
        <v>2227.1999999999998</v>
      </c>
      <c r="CL30">
        <v>9.166345410445766</v>
      </c>
      <c r="CM30">
        <v>1275.9552811340504</v>
      </c>
      <c r="CN30">
        <v>2.9456465129354523</v>
      </c>
      <c r="CO30">
        <v>410.0339946006149</v>
      </c>
      <c r="CP30">
        <v>17</v>
      </c>
      <c r="CQ30">
        <v>2366.3999999999996</v>
      </c>
      <c r="CR30">
        <v>12.122041754788595</v>
      </c>
      <c r="CS30">
        <v>1687.3882122665723</v>
      </c>
      <c r="CT30">
        <v>7.2256356707180922</v>
      </c>
      <c r="CU30">
        <v>1005.8084853639583</v>
      </c>
    </row>
    <row r="31" spans="2:99">
      <c r="C31" s="99" t="s">
        <v>198</v>
      </c>
      <c r="D31">
        <v>6.685671686235521</v>
      </c>
      <c r="E31">
        <v>2278.4769106690655</v>
      </c>
      <c r="F31">
        <v>1.3594860626282625</v>
      </c>
      <c r="G31">
        <v>463.3128501437119</v>
      </c>
      <c r="H31">
        <v>13.24230259001822</v>
      </c>
      <c r="I31">
        <v>4512.9767226782096</v>
      </c>
      <c r="J31">
        <v>7.5830159672027913</v>
      </c>
      <c r="K31">
        <v>2584.2918416227112</v>
      </c>
      <c r="L31">
        <v>10</v>
      </c>
      <c r="M31">
        <v>3408</v>
      </c>
      <c r="N31">
        <v>10.827985172784015</v>
      </c>
      <c r="O31">
        <v>3690.1773468847923</v>
      </c>
      <c r="P31">
        <v>9</v>
      </c>
      <c r="Q31">
        <v>3067.2000000000003</v>
      </c>
      <c r="R31">
        <v>13</v>
      </c>
      <c r="S31">
        <v>4430.4000000000005</v>
      </c>
      <c r="T31">
        <v>13</v>
      </c>
      <c r="U31">
        <v>4430.4000000000005</v>
      </c>
      <c r="V31">
        <v>12</v>
      </c>
      <c r="W31">
        <v>4089.6000000000004</v>
      </c>
      <c r="X31">
        <v>14</v>
      </c>
      <c r="Y31">
        <v>4771.2</v>
      </c>
      <c r="Z31">
        <v>11.670048208927716</v>
      </c>
      <c r="AA31">
        <v>3977.1524296025655</v>
      </c>
      <c r="AB31">
        <v>10.306487784416122</v>
      </c>
      <c r="AC31">
        <v>3512.4510369290147</v>
      </c>
      <c r="AD31">
        <v>10.501128963209792</v>
      </c>
      <c r="AE31">
        <v>3578.7847506618973</v>
      </c>
      <c r="AF31">
        <v>3.8439424382729208</v>
      </c>
      <c r="AG31">
        <v>1310.0155829634114</v>
      </c>
      <c r="AH31">
        <v>9.1379647224578999</v>
      </c>
      <c r="AI31">
        <v>3114.2183774136524</v>
      </c>
      <c r="AJ31">
        <v>9</v>
      </c>
      <c r="AK31">
        <v>3067.2000000000003</v>
      </c>
      <c r="AL31">
        <v>8.177385216753315</v>
      </c>
      <c r="AM31">
        <v>2786.8528818695299</v>
      </c>
      <c r="AN31">
        <v>1.7093728035565916</v>
      </c>
      <c r="AO31">
        <v>582.55425145208642</v>
      </c>
      <c r="AP31">
        <v>9</v>
      </c>
      <c r="AQ31">
        <v>3067.2000000000003</v>
      </c>
      <c r="AR31">
        <v>15</v>
      </c>
      <c r="AS31">
        <v>5112</v>
      </c>
      <c r="AT31">
        <v>14</v>
      </c>
      <c r="AU31">
        <v>4771.2</v>
      </c>
      <c r="AV31">
        <v>10</v>
      </c>
      <c r="AW31">
        <v>3408</v>
      </c>
      <c r="AX31">
        <v>8</v>
      </c>
      <c r="AY31">
        <v>2726.4</v>
      </c>
      <c r="AZ31">
        <v>15</v>
      </c>
      <c r="BA31">
        <v>5112</v>
      </c>
      <c r="BB31">
        <v>9</v>
      </c>
      <c r="BC31">
        <v>3067.2000000000003</v>
      </c>
      <c r="BD31">
        <v>14</v>
      </c>
      <c r="BE31">
        <v>4771.2</v>
      </c>
      <c r="BF31">
        <v>11</v>
      </c>
      <c r="BG31">
        <v>3748.8</v>
      </c>
      <c r="BH31">
        <v>10</v>
      </c>
      <c r="BI31">
        <v>3408</v>
      </c>
      <c r="BJ31">
        <v>11</v>
      </c>
      <c r="BK31">
        <v>3748.8</v>
      </c>
      <c r="BL31">
        <v>9</v>
      </c>
      <c r="BM31">
        <v>3067.2000000000003</v>
      </c>
      <c r="BN31">
        <v>8</v>
      </c>
      <c r="BO31">
        <v>2726.4</v>
      </c>
      <c r="BP31">
        <v>10.329485418359665</v>
      </c>
      <c r="BQ31">
        <v>3520.2886305769739</v>
      </c>
      <c r="BR31">
        <v>14</v>
      </c>
      <c r="BS31">
        <v>4771.2</v>
      </c>
      <c r="BT31">
        <v>8.0169930966397747</v>
      </c>
      <c r="BU31">
        <v>2732.1912473348352</v>
      </c>
      <c r="BV31">
        <v>14</v>
      </c>
      <c r="BW31">
        <v>4771.2</v>
      </c>
      <c r="BX31">
        <v>11</v>
      </c>
      <c r="BY31">
        <v>3748.8</v>
      </c>
      <c r="BZ31">
        <v>11.64980157140829</v>
      </c>
      <c r="CA31">
        <v>3970.2523755359452</v>
      </c>
      <c r="CB31">
        <v>5.5858738200870857</v>
      </c>
      <c r="CC31">
        <v>1903.6657978856788</v>
      </c>
      <c r="CD31">
        <v>12.363855950352857</v>
      </c>
      <c r="CE31">
        <v>4213.6021078802542</v>
      </c>
      <c r="CF31">
        <v>9.5037514188330157</v>
      </c>
      <c r="CG31">
        <v>3238.8784835382917</v>
      </c>
      <c r="CH31">
        <v>11</v>
      </c>
      <c r="CI31">
        <v>3748.8</v>
      </c>
      <c r="CJ31">
        <v>16</v>
      </c>
      <c r="CK31">
        <v>5452.8</v>
      </c>
      <c r="CL31">
        <v>8.1559488222929062</v>
      </c>
      <c r="CM31">
        <v>2779.5473586374223</v>
      </c>
      <c r="CN31">
        <v>2.9456465129354523</v>
      </c>
      <c r="CO31">
        <v>1003.8763316084022</v>
      </c>
      <c r="CP31">
        <v>16</v>
      </c>
      <c r="CQ31">
        <v>5452.8</v>
      </c>
      <c r="CR31">
        <v>12.122041754788595</v>
      </c>
      <c r="CS31">
        <v>4131.191830031953</v>
      </c>
      <c r="CT31">
        <v>7.7073447154326313</v>
      </c>
      <c r="CU31">
        <v>2626.6630790194408</v>
      </c>
    </row>
    <row r="32" spans="2:99">
      <c r="C32" s="99" t="s">
        <v>199</v>
      </c>
      <c r="D32">
        <v>6.685671686235521</v>
      </c>
      <c r="E32">
        <v>5615.9642164378374</v>
      </c>
      <c r="F32">
        <v>1.1895503047997298</v>
      </c>
      <c r="G32">
        <v>999.22225603177299</v>
      </c>
      <c r="H32">
        <v>13.24230259001822</v>
      </c>
      <c r="I32">
        <v>11123.534175615305</v>
      </c>
      <c r="J32">
        <v>7.5830159672027913</v>
      </c>
      <c r="K32">
        <v>6369.733412450345</v>
      </c>
      <c r="L32">
        <v>10</v>
      </c>
      <c r="M32">
        <v>8400</v>
      </c>
      <c r="N32">
        <v>10.827985172784015</v>
      </c>
      <c r="O32">
        <v>9095.5075451385728</v>
      </c>
      <c r="P32">
        <v>8</v>
      </c>
      <c r="Q32">
        <v>6720</v>
      </c>
      <c r="R32">
        <v>11</v>
      </c>
      <c r="S32">
        <v>9240</v>
      </c>
      <c r="T32">
        <v>13</v>
      </c>
      <c r="U32">
        <v>10920</v>
      </c>
      <c r="V32">
        <v>11</v>
      </c>
      <c r="W32">
        <v>9240</v>
      </c>
      <c r="X32">
        <v>14</v>
      </c>
      <c r="Y32">
        <v>11760</v>
      </c>
      <c r="Z32">
        <v>11.670048208927716</v>
      </c>
      <c r="AA32">
        <v>9802.8404954992802</v>
      </c>
      <c r="AB32">
        <v>10.306487784416122</v>
      </c>
      <c r="AC32">
        <v>8657.4497389095432</v>
      </c>
      <c r="AD32">
        <v>10.501128963209792</v>
      </c>
      <c r="AE32">
        <v>8820.9483290962253</v>
      </c>
      <c r="AF32">
        <v>4.2349821046426506</v>
      </c>
      <c r="AG32">
        <v>3557.3849678998263</v>
      </c>
      <c r="AH32">
        <v>7.9195694261301801</v>
      </c>
      <c r="AI32">
        <v>6652.4383179493516</v>
      </c>
      <c r="AJ32">
        <v>10</v>
      </c>
      <c r="AK32">
        <v>8400</v>
      </c>
      <c r="AL32">
        <v>7.5123931495489469</v>
      </c>
      <c r="AM32">
        <v>6310.4102456211158</v>
      </c>
      <c r="AN32">
        <v>1.5778825878983924</v>
      </c>
      <c r="AO32">
        <v>1325.4213738346496</v>
      </c>
      <c r="AP32">
        <v>9</v>
      </c>
      <c r="AQ32">
        <v>7560</v>
      </c>
      <c r="AR32">
        <v>16</v>
      </c>
      <c r="AS32">
        <v>13440</v>
      </c>
      <c r="AT32">
        <v>13</v>
      </c>
      <c r="AU32">
        <v>10920</v>
      </c>
      <c r="AV32">
        <v>10</v>
      </c>
      <c r="AW32">
        <v>8400</v>
      </c>
      <c r="AX32">
        <v>9</v>
      </c>
      <c r="AY32">
        <v>7560</v>
      </c>
      <c r="AZ32">
        <v>12</v>
      </c>
      <c r="BA32">
        <v>10080</v>
      </c>
      <c r="BB32">
        <v>7</v>
      </c>
      <c r="BC32">
        <v>5880</v>
      </c>
      <c r="BD32">
        <v>15</v>
      </c>
      <c r="BE32">
        <v>12600</v>
      </c>
      <c r="BF32">
        <v>10</v>
      </c>
      <c r="BG32">
        <v>8400</v>
      </c>
      <c r="BH32">
        <v>10</v>
      </c>
      <c r="BI32">
        <v>8400</v>
      </c>
      <c r="BJ32">
        <v>12</v>
      </c>
      <c r="BK32">
        <v>10080</v>
      </c>
      <c r="BL32">
        <v>8</v>
      </c>
      <c r="BM32">
        <v>6720</v>
      </c>
      <c r="BN32">
        <v>8</v>
      </c>
      <c r="BO32">
        <v>6720</v>
      </c>
      <c r="BP32">
        <v>10.329485418359665</v>
      </c>
      <c r="BQ32">
        <v>8676.7677514221195</v>
      </c>
      <c r="BR32">
        <v>14</v>
      </c>
      <c r="BS32">
        <v>11760</v>
      </c>
      <c r="BT32">
        <v>8.0169930966397747</v>
      </c>
      <c r="BU32">
        <v>6734.2742011774108</v>
      </c>
      <c r="BV32">
        <v>15</v>
      </c>
      <c r="BW32">
        <v>12600</v>
      </c>
      <c r="BX32">
        <v>10</v>
      </c>
      <c r="BY32">
        <v>8400</v>
      </c>
      <c r="BZ32">
        <v>12.481930255080311</v>
      </c>
      <c r="CA32">
        <v>10484.821414267461</v>
      </c>
      <c r="CB32">
        <v>6.2841080475979716</v>
      </c>
      <c r="CC32">
        <v>5278.6507599822962</v>
      </c>
      <c r="CD32">
        <v>11.329203002700204</v>
      </c>
      <c r="CE32">
        <v>9516.5305222681709</v>
      </c>
      <c r="CF32">
        <v>8.909766955155952</v>
      </c>
      <c r="CG32">
        <v>7484.2042423309995</v>
      </c>
      <c r="CH32">
        <v>11</v>
      </c>
      <c r="CI32">
        <v>9240</v>
      </c>
      <c r="CJ32">
        <v>15</v>
      </c>
      <c r="CK32">
        <v>12600</v>
      </c>
      <c r="CL32">
        <v>8</v>
      </c>
      <c r="CM32">
        <v>6720</v>
      </c>
      <c r="CN32">
        <v>2.9456465129354523</v>
      </c>
      <c r="CO32">
        <v>2474.3430708657797</v>
      </c>
      <c r="CP32">
        <v>17</v>
      </c>
      <c r="CQ32">
        <v>14280</v>
      </c>
      <c r="CR32">
        <v>12.142382047253362</v>
      </c>
      <c r="CS32">
        <v>10199.600919692824</v>
      </c>
      <c r="CT32">
        <v>7.2256356707180922</v>
      </c>
      <c r="CU32">
        <v>6069.533963403197</v>
      </c>
    </row>
    <row r="33" spans="2:99">
      <c r="C33" s="99" t="s">
        <v>200</v>
      </c>
      <c r="D33">
        <v>6.685671686235521</v>
      </c>
      <c r="E33">
        <v>3169.0083792756368</v>
      </c>
      <c r="F33">
        <v>1.3594860626282625</v>
      </c>
      <c r="G33">
        <v>644.3963936857964</v>
      </c>
      <c r="H33">
        <v>13.24230259001822</v>
      </c>
      <c r="I33">
        <v>6276.8514276686365</v>
      </c>
      <c r="J33">
        <v>7.5830159672027913</v>
      </c>
      <c r="K33">
        <v>3594.3495684541231</v>
      </c>
      <c r="L33">
        <v>11</v>
      </c>
      <c r="M33">
        <v>5214</v>
      </c>
      <c r="N33">
        <v>10.827985172784015</v>
      </c>
      <c r="O33">
        <v>5132.4649718996234</v>
      </c>
      <c r="P33">
        <v>9</v>
      </c>
      <c r="Q33">
        <v>4266</v>
      </c>
      <c r="R33">
        <v>12</v>
      </c>
      <c r="S33">
        <v>5688</v>
      </c>
      <c r="T33">
        <v>14</v>
      </c>
      <c r="U33">
        <v>6636</v>
      </c>
      <c r="V33">
        <v>13</v>
      </c>
      <c r="W33">
        <v>6162</v>
      </c>
      <c r="X33">
        <v>14</v>
      </c>
      <c r="Y33">
        <v>6636</v>
      </c>
      <c r="Z33">
        <v>13.615056243749001</v>
      </c>
      <c r="AA33">
        <v>6453.536659537026</v>
      </c>
      <c r="AB33">
        <v>9.5136810317687264</v>
      </c>
      <c r="AC33">
        <v>4509.4848090583764</v>
      </c>
      <c r="AD33">
        <v>9.7510483229805214</v>
      </c>
      <c r="AE33">
        <v>4621.9969050927675</v>
      </c>
      <c r="AF33">
        <v>4.196795582178491</v>
      </c>
      <c r="AG33">
        <v>1989.2811059526048</v>
      </c>
      <c r="AH33">
        <v>9.1379647224578999</v>
      </c>
      <c r="AI33">
        <v>4331.3952784450448</v>
      </c>
      <c r="AJ33">
        <v>11</v>
      </c>
      <c r="AK33">
        <v>5214</v>
      </c>
      <c r="AL33">
        <v>8.177385216753315</v>
      </c>
      <c r="AM33">
        <v>3876.0805927410711</v>
      </c>
      <c r="AN33">
        <v>1.7093728035565916</v>
      </c>
      <c r="AO33">
        <v>810.24270888582441</v>
      </c>
      <c r="AP33">
        <v>10</v>
      </c>
      <c r="AQ33">
        <v>4740</v>
      </c>
      <c r="AR33">
        <v>16</v>
      </c>
      <c r="AS33">
        <v>7584</v>
      </c>
      <c r="AT33">
        <v>14</v>
      </c>
      <c r="AU33">
        <v>6636</v>
      </c>
      <c r="AV33">
        <v>12</v>
      </c>
      <c r="AW33">
        <v>5688</v>
      </c>
      <c r="AX33">
        <v>8</v>
      </c>
      <c r="AY33">
        <v>3792</v>
      </c>
      <c r="AZ33">
        <v>15</v>
      </c>
      <c r="BA33">
        <v>7110</v>
      </c>
      <c r="BB33">
        <v>8</v>
      </c>
      <c r="BC33">
        <v>3792</v>
      </c>
      <c r="BD33">
        <v>13</v>
      </c>
      <c r="BE33">
        <v>6162</v>
      </c>
      <c r="BF33">
        <v>10</v>
      </c>
      <c r="BG33">
        <v>4740</v>
      </c>
      <c r="BH33">
        <v>9</v>
      </c>
      <c r="BI33">
        <v>4266</v>
      </c>
      <c r="BJ33">
        <v>13</v>
      </c>
      <c r="BK33">
        <v>6162</v>
      </c>
      <c r="BL33">
        <v>9</v>
      </c>
      <c r="BM33">
        <v>4266</v>
      </c>
      <c r="BN33">
        <v>9</v>
      </c>
      <c r="BO33">
        <v>4266</v>
      </c>
      <c r="BP33">
        <v>12.051066321419611</v>
      </c>
      <c r="BQ33">
        <v>5712.205436352896</v>
      </c>
      <c r="BR33">
        <v>15</v>
      </c>
      <c r="BS33">
        <v>7110</v>
      </c>
      <c r="BT33">
        <v>8.0169930966397747</v>
      </c>
      <c r="BU33">
        <v>3800.0547278072531</v>
      </c>
      <c r="BV33">
        <v>14</v>
      </c>
      <c r="BW33">
        <v>6636</v>
      </c>
      <c r="BX33">
        <v>10</v>
      </c>
      <c r="BY33">
        <v>4740</v>
      </c>
      <c r="BZ33">
        <v>10.81767288773627</v>
      </c>
      <c r="CA33">
        <v>5127.576948786992</v>
      </c>
      <c r="CB33">
        <v>6.2841080475979716</v>
      </c>
      <c r="CC33">
        <v>2978.6672145614384</v>
      </c>
      <c r="CD33">
        <v>11.346529476526531</v>
      </c>
      <c r="CE33">
        <v>5378.2549718735754</v>
      </c>
      <c r="CF33">
        <v>8.909766955155952</v>
      </c>
      <c r="CG33">
        <v>4223.229536743921</v>
      </c>
      <c r="CH33">
        <v>12</v>
      </c>
      <c r="CI33">
        <v>5688</v>
      </c>
      <c r="CJ33">
        <v>16</v>
      </c>
      <c r="CK33">
        <v>7584</v>
      </c>
      <c r="CL33">
        <v>9.1351556459871848</v>
      </c>
      <c r="CM33">
        <v>4330.063776197926</v>
      </c>
      <c r="CN33">
        <v>3.1560498352879849</v>
      </c>
      <c r="CO33">
        <v>1495.9676219265048</v>
      </c>
      <c r="CP33">
        <v>16</v>
      </c>
      <c r="CQ33">
        <v>7584</v>
      </c>
      <c r="CR33">
        <v>13.132211901020979</v>
      </c>
      <c r="CS33">
        <v>6224.6684410839434</v>
      </c>
      <c r="CT33">
        <v>7.7073447154326313</v>
      </c>
      <c r="CU33">
        <v>3653.2813951150674</v>
      </c>
    </row>
    <row r="34" spans="2:99">
      <c r="C34" s="99" t="s">
        <v>201</v>
      </c>
      <c r="D34">
        <v>7.3875931570252042</v>
      </c>
      <c r="E34">
        <v>4051.3560873126216</v>
      </c>
      <c r="F34">
        <v>1.3594860626282625</v>
      </c>
      <c r="G34">
        <v>745.54215674533918</v>
      </c>
      <c r="H34">
        <v>14.188181346448092</v>
      </c>
      <c r="I34">
        <v>7780.7986503921329</v>
      </c>
      <c r="J34">
        <v>7.5830159672027913</v>
      </c>
      <c r="K34">
        <v>4158.5259564140106</v>
      </c>
      <c r="L34">
        <v>12</v>
      </c>
      <c r="M34">
        <v>6580.7999999999993</v>
      </c>
      <c r="N34">
        <v>10.827985172784015</v>
      </c>
      <c r="O34">
        <v>5938.0670687547536</v>
      </c>
      <c r="P34">
        <v>9</v>
      </c>
      <c r="Q34">
        <v>4935.5999999999995</v>
      </c>
      <c r="R34">
        <v>13</v>
      </c>
      <c r="S34">
        <v>7129.2</v>
      </c>
      <c r="T34">
        <v>13</v>
      </c>
      <c r="U34">
        <v>7129.2</v>
      </c>
      <c r="V34">
        <v>13</v>
      </c>
      <c r="W34">
        <v>7129.2</v>
      </c>
      <c r="X34">
        <v>14</v>
      </c>
      <c r="Y34">
        <v>7677.5999999999995</v>
      </c>
      <c r="Z34">
        <v>12.642552226338358</v>
      </c>
      <c r="AA34">
        <v>6933.1756409239551</v>
      </c>
      <c r="AB34">
        <v>10.306487784416122</v>
      </c>
      <c r="AC34">
        <v>5652.0779009738008</v>
      </c>
      <c r="AD34">
        <v>10.501128963209792</v>
      </c>
      <c r="AE34">
        <v>5758.8191234242495</v>
      </c>
      <c r="AF34">
        <v>4.196795582178491</v>
      </c>
      <c r="AG34">
        <v>2301.5226972666842</v>
      </c>
      <c r="AH34">
        <v>8.5287670742940396</v>
      </c>
      <c r="AI34">
        <v>4677.1758635428514</v>
      </c>
      <c r="AJ34">
        <v>10</v>
      </c>
      <c r="AK34">
        <v>5484</v>
      </c>
      <c r="AL34">
        <v>7.4877080982613347</v>
      </c>
      <c r="AM34">
        <v>4106.2591210865157</v>
      </c>
      <c r="AN34">
        <v>1.8408630192147908</v>
      </c>
      <c r="AO34">
        <v>1009.5292797373912</v>
      </c>
      <c r="AP34">
        <v>10</v>
      </c>
      <c r="AQ34">
        <v>5484</v>
      </c>
      <c r="AR34">
        <v>15</v>
      </c>
      <c r="AS34">
        <v>8226</v>
      </c>
      <c r="AT34">
        <v>14</v>
      </c>
      <c r="AU34">
        <v>7677.5999999999995</v>
      </c>
      <c r="AV34">
        <v>12</v>
      </c>
      <c r="AW34">
        <v>6580.7999999999993</v>
      </c>
      <c r="AX34">
        <v>9</v>
      </c>
      <c r="AY34">
        <v>4935.5999999999995</v>
      </c>
      <c r="AZ34">
        <v>13</v>
      </c>
      <c r="BA34">
        <v>7129.2</v>
      </c>
      <c r="BB34">
        <v>8</v>
      </c>
      <c r="BC34">
        <v>4387.2</v>
      </c>
      <c r="BD34">
        <v>16</v>
      </c>
      <c r="BE34">
        <v>8774.4</v>
      </c>
      <c r="BF34">
        <v>12</v>
      </c>
      <c r="BG34">
        <v>6580.7999999999993</v>
      </c>
      <c r="BH34">
        <v>10</v>
      </c>
      <c r="BI34">
        <v>5484</v>
      </c>
      <c r="BJ34">
        <v>13</v>
      </c>
      <c r="BK34">
        <v>7129.2</v>
      </c>
      <c r="BL34">
        <v>9</v>
      </c>
      <c r="BM34">
        <v>4935.5999999999995</v>
      </c>
      <c r="BN34">
        <v>9</v>
      </c>
      <c r="BO34">
        <v>4935.5999999999995</v>
      </c>
      <c r="BP34">
        <v>10.329485418359665</v>
      </c>
      <c r="BQ34">
        <v>5664.6898034284404</v>
      </c>
      <c r="BR34">
        <v>14</v>
      </c>
      <c r="BS34">
        <v>7677.5999999999995</v>
      </c>
      <c r="BT34">
        <v>7.2152937869757965</v>
      </c>
      <c r="BU34">
        <v>3956.8671127775265</v>
      </c>
      <c r="BV34">
        <v>15</v>
      </c>
      <c r="BW34">
        <v>8226</v>
      </c>
      <c r="BX34">
        <v>10</v>
      </c>
      <c r="BY34">
        <v>5484</v>
      </c>
      <c r="BZ34">
        <v>11.64980157140829</v>
      </c>
      <c r="CA34">
        <v>6388.7511817603054</v>
      </c>
      <c r="CB34">
        <v>6.2841080475979716</v>
      </c>
      <c r="CC34">
        <v>3446.2048533027273</v>
      </c>
      <c r="CD34">
        <v>10.363855950352857</v>
      </c>
      <c r="CE34">
        <v>5683.5386031735061</v>
      </c>
      <c r="CF34">
        <v>8.909766955155952</v>
      </c>
      <c r="CG34">
        <v>4886.1161982075237</v>
      </c>
      <c r="CH34">
        <v>12</v>
      </c>
      <c r="CI34">
        <v>6580.7999999999993</v>
      </c>
      <c r="CJ34">
        <v>15</v>
      </c>
      <c r="CK34">
        <v>8226</v>
      </c>
      <c r="CL34">
        <v>9.166345410445766</v>
      </c>
      <c r="CM34">
        <v>5026.8238230884581</v>
      </c>
      <c r="CN34">
        <v>2.9456465129354523</v>
      </c>
      <c r="CO34">
        <v>1615.392547693802</v>
      </c>
      <c r="CP34">
        <v>15</v>
      </c>
      <c r="CQ34">
        <v>8226</v>
      </c>
      <c r="CR34">
        <v>12.142382047253362</v>
      </c>
      <c r="CS34">
        <v>6658.8823147137437</v>
      </c>
      <c r="CT34">
        <v>7.7073447154326313</v>
      </c>
      <c r="CU34">
        <v>4226.7078419432546</v>
      </c>
    </row>
    <row r="35" spans="2:99">
      <c r="C35" s="99" t="s">
        <v>202</v>
      </c>
      <c r="D35">
        <v>7.3541042071044425</v>
      </c>
      <c r="E35">
        <v>3697.6435953321129</v>
      </c>
      <c r="F35">
        <v>1.3594860626282625</v>
      </c>
      <c r="G35">
        <v>683.54959228949031</v>
      </c>
      <c r="H35">
        <v>12.296423833588346</v>
      </c>
      <c r="I35">
        <v>6182.6419035282188</v>
      </c>
      <c r="J35">
        <v>7.5830159672027913</v>
      </c>
      <c r="K35">
        <v>3812.7404283095625</v>
      </c>
      <c r="L35">
        <v>10</v>
      </c>
      <c r="M35">
        <v>5027.9999999999991</v>
      </c>
      <c r="N35">
        <v>10.827985172784015</v>
      </c>
      <c r="O35">
        <v>5444.3109448758014</v>
      </c>
      <c r="P35">
        <v>8</v>
      </c>
      <c r="Q35">
        <v>4022.3999999999992</v>
      </c>
      <c r="R35">
        <v>12</v>
      </c>
      <c r="S35">
        <v>6033.5999999999985</v>
      </c>
      <c r="T35">
        <v>14</v>
      </c>
      <c r="U35">
        <v>7039.1999999999989</v>
      </c>
      <c r="V35">
        <v>13</v>
      </c>
      <c r="W35">
        <v>6536.3999999999987</v>
      </c>
      <c r="X35">
        <v>13</v>
      </c>
      <c r="Y35">
        <v>6536.3999999999987</v>
      </c>
      <c r="Z35">
        <v>12.642552226338358</v>
      </c>
      <c r="AA35">
        <v>6356.6752594029249</v>
      </c>
      <c r="AB35">
        <v>9.5136810317687264</v>
      </c>
      <c r="AC35">
        <v>4783.4788227733143</v>
      </c>
      <c r="AD35">
        <v>9.7510483229805214</v>
      </c>
      <c r="AE35">
        <v>4902.8270967946055</v>
      </c>
      <c r="AF35">
        <v>3.824849177040841</v>
      </c>
      <c r="AG35">
        <v>1923.1341662161344</v>
      </c>
      <c r="AH35">
        <v>8.5287670742940396</v>
      </c>
      <c r="AI35">
        <v>4288.2640849550426</v>
      </c>
      <c r="AJ35">
        <v>10</v>
      </c>
      <c r="AK35">
        <v>5027.9999999999991</v>
      </c>
      <c r="AL35">
        <v>7.4877080982613347</v>
      </c>
      <c r="AM35">
        <v>3764.8196318057985</v>
      </c>
      <c r="AN35">
        <v>1.8408630192147908</v>
      </c>
      <c r="AO35">
        <v>925.58592606119657</v>
      </c>
      <c r="AP35">
        <v>9</v>
      </c>
      <c r="AQ35">
        <v>4525.1999999999989</v>
      </c>
      <c r="AR35">
        <v>15</v>
      </c>
      <c r="AS35">
        <v>7541.9999999999982</v>
      </c>
      <c r="AT35">
        <v>15</v>
      </c>
      <c r="AU35">
        <v>7541.9999999999982</v>
      </c>
      <c r="AV35">
        <v>11</v>
      </c>
      <c r="AW35">
        <v>5530.7999999999993</v>
      </c>
      <c r="AX35">
        <v>9</v>
      </c>
      <c r="AY35">
        <v>4525.1999999999989</v>
      </c>
      <c r="AZ35">
        <v>13</v>
      </c>
      <c r="BA35">
        <v>6536.3999999999987</v>
      </c>
      <c r="BB35">
        <v>8</v>
      </c>
      <c r="BC35">
        <v>4022.3999999999992</v>
      </c>
      <c r="BD35">
        <v>14</v>
      </c>
      <c r="BE35">
        <v>7039.1999999999989</v>
      </c>
      <c r="BF35">
        <v>11</v>
      </c>
      <c r="BG35">
        <v>5530.7999999999993</v>
      </c>
      <c r="BH35">
        <v>9</v>
      </c>
      <c r="BI35">
        <v>4525.1999999999989</v>
      </c>
      <c r="BJ35">
        <v>12</v>
      </c>
      <c r="BK35">
        <v>6033.5999999999985</v>
      </c>
      <c r="BL35">
        <v>8</v>
      </c>
      <c r="BM35">
        <v>4022.3999999999992</v>
      </c>
      <c r="BN35">
        <v>8</v>
      </c>
      <c r="BO35">
        <v>4022.3999999999992</v>
      </c>
      <c r="BP35">
        <v>10.329485418359665</v>
      </c>
      <c r="BQ35">
        <v>5193.6652683512384</v>
      </c>
      <c r="BR35">
        <v>16</v>
      </c>
      <c r="BS35">
        <v>8044.7999999999984</v>
      </c>
      <c r="BT35">
        <v>7.2152937869757965</v>
      </c>
      <c r="BU35">
        <v>3627.8497160914299</v>
      </c>
      <c r="BV35">
        <v>15</v>
      </c>
      <c r="BW35">
        <v>7541.9999999999982</v>
      </c>
      <c r="BX35">
        <v>10</v>
      </c>
      <c r="BY35">
        <v>5027.9999999999991</v>
      </c>
      <c r="BZ35">
        <v>11.64980157140829</v>
      </c>
      <c r="CA35">
        <v>5857.5202301040872</v>
      </c>
      <c r="CB35">
        <v>6.2841080475979716</v>
      </c>
      <c r="CC35">
        <v>3159.6495263322595</v>
      </c>
      <c r="CD35">
        <v>10.346529476526531</v>
      </c>
      <c r="CE35">
        <v>5202.2350207975387</v>
      </c>
      <c r="CF35">
        <v>8.909766955155952</v>
      </c>
      <c r="CG35">
        <v>4479.8308250524115</v>
      </c>
      <c r="CH35">
        <v>11</v>
      </c>
      <c r="CI35">
        <v>5530.7999999999993</v>
      </c>
      <c r="CJ35">
        <v>14</v>
      </c>
      <c r="CK35">
        <v>7039.1999999999989</v>
      </c>
      <c r="CL35">
        <v>9.1559488222929062</v>
      </c>
      <c r="CM35">
        <v>4603.6110678488722</v>
      </c>
      <c r="CN35">
        <v>2.5248398682303876</v>
      </c>
      <c r="CO35">
        <v>1269.4894857462386</v>
      </c>
      <c r="CP35">
        <v>17</v>
      </c>
      <c r="CQ35">
        <v>8547.5999999999985</v>
      </c>
      <c r="CR35">
        <v>12.132211901020979</v>
      </c>
      <c r="CS35">
        <v>6100.0761438333466</v>
      </c>
      <c r="CT35">
        <v>8.1890537601471713</v>
      </c>
      <c r="CU35">
        <v>4117.456230601997</v>
      </c>
    </row>
    <row r="36" spans="2:99">
      <c r="C36" s="99" t="s">
        <v>203</v>
      </c>
      <c r="D36">
        <v>6.6521827363147592</v>
      </c>
      <c r="E36">
        <v>5060.9806257882683</v>
      </c>
      <c r="F36">
        <v>1.1895503047997298</v>
      </c>
      <c r="G36">
        <v>905.00987189163436</v>
      </c>
      <c r="H36">
        <v>13.24230259001822</v>
      </c>
      <c r="I36">
        <v>10074.743810485861</v>
      </c>
      <c r="J36">
        <v>7.5830159672027913</v>
      </c>
      <c r="K36">
        <v>5769.1585478478828</v>
      </c>
      <c r="L36">
        <v>11</v>
      </c>
      <c r="M36">
        <v>8368.7999999999993</v>
      </c>
      <c r="N36">
        <v>10.827985172784015</v>
      </c>
      <c r="O36">
        <v>8237.9311194540787</v>
      </c>
      <c r="P36">
        <v>9</v>
      </c>
      <c r="Q36">
        <v>6847.2</v>
      </c>
      <c r="R36">
        <v>14</v>
      </c>
      <c r="S36">
        <v>10651.199999999999</v>
      </c>
      <c r="T36">
        <v>12</v>
      </c>
      <c r="U36">
        <v>9129.5999999999985</v>
      </c>
      <c r="V36">
        <v>13</v>
      </c>
      <c r="W36">
        <v>9890.4</v>
      </c>
      <c r="X36">
        <v>13</v>
      </c>
      <c r="Y36">
        <v>9890.4</v>
      </c>
      <c r="Z36">
        <v>11.670048208927716</v>
      </c>
      <c r="AA36">
        <v>8878.5726773522056</v>
      </c>
      <c r="AB36">
        <v>10.306487784416122</v>
      </c>
      <c r="AC36">
        <v>7841.1759063837853</v>
      </c>
      <c r="AD36">
        <v>9.7510483229805214</v>
      </c>
      <c r="AE36">
        <v>7418.59756412358</v>
      </c>
      <c r="AF36">
        <v>3.8439424382729208</v>
      </c>
      <c r="AG36">
        <v>2924.4714070380378</v>
      </c>
      <c r="AH36">
        <v>8.5287670742940396</v>
      </c>
      <c r="AI36">
        <v>6488.6859901229045</v>
      </c>
      <c r="AJ36">
        <v>10</v>
      </c>
      <c r="AK36">
        <v>7608</v>
      </c>
      <c r="AL36">
        <v>6.8474010823445788</v>
      </c>
      <c r="AM36">
        <v>5209.5027434477552</v>
      </c>
      <c r="AN36">
        <v>1.7093728035565916</v>
      </c>
      <c r="AO36">
        <v>1300.4908289458549</v>
      </c>
      <c r="AP36">
        <v>8</v>
      </c>
      <c r="AQ36">
        <v>6086.4</v>
      </c>
      <c r="AR36">
        <v>15</v>
      </c>
      <c r="AS36">
        <v>11412</v>
      </c>
      <c r="AT36">
        <v>14</v>
      </c>
      <c r="AU36">
        <v>10651.199999999999</v>
      </c>
      <c r="AV36">
        <v>10</v>
      </c>
      <c r="AW36">
        <v>7608</v>
      </c>
      <c r="AX36">
        <v>8</v>
      </c>
      <c r="AY36">
        <v>6086.4</v>
      </c>
      <c r="AZ36">
        <v>13</v>
      </c>
      <c r="BA36">
        <v>9890.4</v>
      </c>
      <c r="BB36">
        <v>9</v>
      </c>
      <c r="BC36">
        <v>6847.2</v>
      </c>
      <c r="BD36">
        <v>15</v>
      </c>
      <c r="BE36">
        <v>11412</v>
      </c>
      <c r="BF36">
        <v>10</v>
      </c>
      <c r="BG36">
        <v>7608</v>
      </c>
      <c r="BH36">
        <v>10</v>
      </c>
      <c r="BI36">
        <v>7608</v>
      </c>
      <c r="BJ36">
        <v>12</v>
      </c>
      <c r="BK36">
        <v>9129.5999999999985</v>
      </c>
      <c r="BL36">
        <v>8</v>
      </c>
      <c r="BM36">
        <v>6086.4</v>
      </c>
      <c r="BN36">
        <v>9</v>
      </c>
      <c r="BO36">
        <v>6847.2</v>
      </c>
      <c r="BP36">
        <v>11.190275869889639</v>
      </c>
      <c r="BQ36">
        <v>8513.5618818120365</v>
      </c>
      <c r="BR36">
        <v>15</v>
      </c>
      <c r="BS36">
        <v>11412</v>
      </c>
      <c r="BT36">
        <v>7.2152937869757965</v>
      </c>
      <c r="BU36">
        <v>5489.3955131311859</v>
      </c>
      <c r="BV36">
        <v>15</v>
      </c>
      <c r="BW36">
        <v>11412</v>
      </c>
      <c r="BX36">
        <v>9</v>
      </c>
      <c r="BY36">
        <v>6847.2</v>
      </c>
      <c r="BZ36">
        <v>9.9855442040642473</v>
      </c>
      <c r="CA36">
        <v>7597.0020304520785</v>
      </c>
      <c r="CB36">
        <v>6.2841080475979716</v>
      </c>
      <c r="CC36">
        <v>4780.9494026125367</v>
      </c>
      <c r="CD36">
        <v>10.311876528873878</v>
      </c>
      <c r="CE36">
        <v>7845.2756631672455</v>
      </c>
      <c r="CF36">
        <v>8.909766955155952</v>
      </c>
      <c r="CG36">
        <v>6778.5506994826483</v>
      </c>
      <c r="CH36">
        <v>12</v>
      </c>
      <c r="CI36">
        <v>9129.5999999999985</v>
      </c>
      <c r="CJ36">
        <v>15</v>
      </c>
      <c r="CK36">
        <v>11412</v>
      </c>
      <c r="CL36">
        <v>9.1351556459871848</v>
      </c>
      <c r="CM36">
        <v>6950.0264154670494</v>
      </c>
      <c r="CN36">
        <v>2.9456465129354523</v>
      </c>
      <c r="CO36">
        <v>2241.0478670412922</v>
      </c>
      <c r="CP36">
        <v>18</v>
      </c>
      <c r="CQ36">
        <v>13694.4</v>
      </c>
      <c r="CR36">
        <v>11.111871608556212</v>
      </c>
      <c r="CS36">
        <v>8453.9119197895652</v>
      </c>
      <c r="CT36">
        <v>7.2256356707180922</v>
      </c>
      <c r="CU36">
        <v>5497.2636182823244</v>
      </c>
    </row>
    <row r="37" spans="2:99">
      <c r="B37" s="99" t="s">
        <v>128</v>
      </c>
      <c r="C37" s="99" t="s">
        <v>204</v>
      </c>
      <c r="D37">
        <v>3.844496853156028</v>
      </c>
      <c r="E37">
        <v>3307.8050924554464</v>
      </c>
      <c r="F37">
        <v>1.1895503047997298</v>
      </c>
      <c r="G37">
        <v>1023.4890822496875</v>
      </c>
      <c r="H37">
        <v>3.7835150257194914</v>
      </c>
      <c r="I37">
        <v>3255.3363281290503</v>
      </c>
      <c r="J37">
        <v>5.3081111770419547</v>
      </c>
      <c r="K37">
        <v>4567.0988567268978</v>
      </c>
      <c r="L37">
        <v>7</v>
      </c>
      <c r="M37">
        <v>6022.8</v>
      </c>
      <c r="N37">
        <v>4.921811442174552</v>
      </c>
      <c r="O37">
        <v>4234.7265648469847</v>
      </c>
      <c r="P37">
        <v>5.1514169544405854</v>
      </c>
      <c r="Q37">
        <v>4432.2791476006796</v>
      </c>
      <c r="R37">
        <v>5</v>
      </c>
      <c r="S37">
        <v>4302</v>
      </c>
      <c r="T37">
        <v>8</v>
      </c>
      <c r="U37">
        <v>6883.2</v>
      </c>
      <c r="V37">
        <v>8</v>
      </c>
      <c r="W37">
        <v>6883.2</v>
      </c>
      <c r="X37">
        <v>8</v>
      </c>
      <c r="Y37">
        <v>6883.2</v>
      </c>
      <c r="Z37">
        <v>4.8625200870532144</v>
      </c>
      <c r="AA37">
        <v>4183.7122829005857</v>
      </c>
      <c r="AB37">
        <v>3.9640337632369693</v>
      </c>
      <c r="AC37">
        <v>3410.6546498890884</v>
      </c>
      <c r="AD37">
        <v>5.2505644816048962</v>
      </c>
      <c r="AE37">
        <v>4517.5856799728526</v>
      </c>
      <c r="AF37">
        <v>3.7293828708804431</v>
      </c>
      <c r="AG37">
        <v>3208.7610221055334</v>
      </c>
      <c r="AH37">
        <v>3.0459882408193004</v>
      </c>
      <c r="AI37">
        <v>2620.7682824009262</v>
      </c>
      <c r="AJ37">
        <v>6</v>
      </c>
      <c r="AK37">
        <v>5162.3999999999996</v>
      </c>
      <c r="AL37">
        <v>5.4186767427853937</v>
      </c>
      <c r="AM37">
        <v>4662.2294694925522</v>
      </c>
      <c r="AN37">
        <v>0.92043150960739539</v>
      </c>
      <c r="AO37">
        <v>791.93927086620295</v>
      </c>
      <c r="AP37">
        <v>8</v>
      </c>
      <c r="AQ37">
        <v>6883.2</v>
      </c>
      <c r="AR37">
        <v>8</v>
      </c>
      <c r="AS37">
        <v>6883.2</v>
      </c>
      <c r="AT37">
        <v>9</v>
      </c>
      <c r="AU37">
        <v>7743.5999999999995</v>
      </c>
      <c r="AV37">
        <v>5</v>
      </c>
      <c r="AW37">
        <v>4302</v>
      </c>
      <c r="AX37">
        <v>7</v>
      </c>
      <c r="AY37">
        <v>6022.8</v>
      </c>
      <c r="AZ37">
        <v>6</v>
      </c>
      <c r="BA37">
        <v>5162.3999999999996</v>
      </c>
      <c r="BB37">
        <v>6</v>
      </c>
      <c r="BC37">
        <v>5162.3999999999996</v>
      </c>
      <c r="BD37">
        <v>6</v>
      </c>
      <c r="BE37">
        <v>5162.3999999999996</v>
      </c>
      <c r="BF37">
        <v>6</v>
      </c>
      <c r="BG37">
        <v>5162.3999999999996</v>
      </c>
      <c r="BH37">
        <v>9</v>
      </c>
      <c r="BI37">
        <v>7743.5999999999995</v>
      </c>
      <c r="BJ37">
        <v>10</v>
      </c>
      <c r="BK37">
        <v>8604</v>
      </c>
      <c r="BL37">
        <v>8</v>
      </c>
      <c r="BM37">
        <v>6883.2</v>
      </c>
      <c r="BN37">
        <v>9</v>
      </c>
      <c r="BO37">
        <v>7743.5999999999995</v>
      </c>
      <c r="BP37">
        <v>5.1647427091798326</v>
      </c>
      <c r="BQ37">
        <v>4443.7446269783277</v>
      </c>
      <c r="BR37">
        <v>6</v>
      </c>
      <c r="BS37">
        <v>5162.3999999999996</v>
      </c>
      <c r="BT37">
        <v>6.4135944773118192</v>
      </c>
      <c r="BU37">
        <v>5518.2566882790888</v>
      </c>
      <c r="BV37">
        <v>6</v>
      </c>
      <c r="BW37">
        <v>5162.3999999999996</v>
      </c>
      <c r="BX37">
        <v>8</v>
      </c>
      <c r="BY37">
        <v>6883.2</v>
      </c>
      <c r="BZ37">
        <v>4.9927721020321236</v>
      </c>
      <c r="CA37">
        <v>4295.7811165884386</v>
      </c>
      <c r="CB37">
        <v>4.8876395925761997</v>
      </c>
      <c r="CC37">
        <v>4205.3251054525617</v>
      </c>
      <c r="CD37">
        <v>9.1386117906106126</v>
      </c>
      <c r="CE37">
        <v>7862.8615846413704</v>
      </c>
      <c r="CF37">
        <v>4.157891245739445</v>
      </c>
      <c r="CG37">
        <v>3577.4496278342185</v>
      </c>
      <c r="CH37">
        <v>8</v>
      </c>
      <c r="CI37">
        <v>6883.2</v>
      </c>
      <c r="CJ37">
        <v>6</v>
      </c>
      <c r="CK37">
        <v>5162.3999999999996</v>
      </c>
      <c r="CL37">
        <v>10.145552234140045</v>
      </c>
      <c r="CM37">
        <v>8729.2331422540938</v>
      </c>
      <c r="CN37">
        <v>1.2624199341151938</v>
      </c>
      <c r="CO37">
        <v>1086.1861113127127</v>
      </c>
      <c r="CP37">
        <v>5</v>
      </c>
      <c r="CQ37">
        <v>4302</v>
      </c>
      <c r="CR37">
        <v>8.1118716085562124</v>
      </c>
      <c r="CS37">
        <v>6979.4543320017647</v>
      </c>
      <c r="CT37">
        <v>3.3719633130017761</v>
      </c>
      <c r="CU37">
        <v>2901.2372345067279</v>
      </c>
    </row>
    <row r="38" spans="2:99">
      <c r="C38" s="99" t="s">
        <v>205</v>
      </c>
      <c r="D38">
        <v>3.844496853156028</v>
      </c>
      <c r="E38">
        <v>4774.8650916197867</v>
      </c>
      <c r="F38">
        <v>1.1895503047997298</v>
      </c>
      <c r="G38">
        <v>1477.4214785612644</v>
      </c>
      <c r="H38">
        <v>4.7293937821493639</v>
      </c>
      <c r="I38">
        <v>5873.9070774295096</v>
      </c>
      <c r="J38">
        <v>4.5498095803216749</v>
      </c>
      <c r="K38">
        <v>5650.8634987595206</v>
      </c>
      <c r="L38">
        <v>7</v>
      </c>
      <c r="M38">
        <v>8694</v>
      </c>
      <c r="N38">
        <v>4.921811442174552</v>
      </c>
      <c r="O38">
        <v>6112.8898111807939</v>
      </c>
      <c r="P38">
        <v>5.1362752589965268</v>
      </c>
      <c r="Q38">
        <v>6379.2538716736863</v>
      </c>
      <c r="R38">
        <v>5</v>
      </c>
      <c r="S38">
        <v>6210</v>
      </c>
      <c r="T38">
        <v>7</v>
      </c>
      <c r="U38">
        <v>8694</v>
      </c>
      <c r="V38">
        <v>7</v>
      </c>
      <c r="W38">
        <v>8694</v>
      </c>
      <c r="X38">
        <v>7</v>
      </c>
      <c r="Y38">
        <v>8694</v>
      </c>
      <c r="Z38">
        <v>4.8625200870532144</v>
      </c>
      <c r="AA38">
        <v>6039.2499481200921</v>
      </c>
      <c r="AB38">
        <v>3.9640337632369693</v>
      </c>
      <c r="AC38">
        <v>4923.3299339403156</v>
      </c>
      <c r="AD38">
        <v>5.2505644816048962</v>
      </c>
      <c r="AE38">
        <v>6521.2010861532808</v>
      </c>
      <c r="AF38">
        <v>2.947303538140984</v>
      </c>
      <c r="AG38">
        <v>3660.5509943711022</v>
      </c>
      <c r="AH38">
        <v>3.0459882408193004</v>
      </c>
      <c r="AI38">
        <v>3783.1173950975713</v>
      </c>
      <c r="AJ38">
        <v>6</v>
      </c>
      <c r="AK38">
        <v>7452</v>
      </c>
      <c r="AL38">
        <v>6.0836688099897627</v>
      </c>
      <c r="AM38">
        <v>7555.9166620072856</v>
      </c>
      <c r="AN38">
        <v>1.0519217252655948</v>
      </c>
      <c r="AO38">
        <v>1306.4867827798687</v>
      </c>
      <c r="AP38">
        <v>8</v>
      </c>
      <c r="AQ38">
        <v>9936</v>
      </c>
      <c r="AR38">
        <v>9</v>
      </c>
      <c r="AS38">
        <v>11178</v>
      </c>
      <c r="AT38">
        <v>9</v>
      </c>
      <c r="AU38">
        <v>11178</v>
      </c>
      <c r="AV38">
        <v>5</v>
      </c>
      <c r="AW38">
        <v>6210</v>
      </c>
      <c r="AX38">
        <v>7</v>
      </c>
      <c r="AY38">
        <v>8694</v>
      </c>
      <c r="AZ38">
        <v>5</v>
      </c>
      <c r="BA38">
        <v>6210</v>
      </c>
      <c r="BB38">
        <v>5</v>
      </c>
      <c r="BC38">
        <v>6210</v>
      </c>
      <c r="BD38">
        <v>5</v>
      </c>
      <c r="BE38">
        <v>6210</v>
      </c>
      <c r="BF38">
        <v>5</v>
      </c>
      <c r="BG38">
        <v>6210</v>
      </c>
      <c r="BH38">
        <v>8</v>
      </c>
      <c r="BI38">
        <v>9936</v>
      </c>
      <c r="BJ38">
        <v>9</v>
      </c>
      <c r="BK38">
        <v>11178</v>
      </c>
      <c r="BL38">
        <v>8</v>
      </c>
      <c r="BM38">
        <v>9936</v>
      </c>
      <c r="BN38">
        <v>10</v>
      </c>
      <c r="BO38">
        <v>12420</v>
      </c>
      <c r="BP38">
        <v>5.1647427091798326</v>
      </c>
      <c r="BQ38">
        <v>6414.6104448013521</v>
      </c>
      <c r="BR38">
        <v>5</v>
      </c>
      <c r="BS38">
        <v>6210</v>
      </c>
      <c r="BT38">
        <v>5.611895167647841</v>
      </c>
      <c r="BU38">
        <v>6969.9737982186189</v>
      </c>
      <c r="BV38">
        <v>6</v>
      </c>
      <c r="BW38">
        <v>7452</v>
      </c>
      <c r="BX38">
        <v>9</v>
      </c>
      <c r="BY38">
        <v>11178</v>
      </c>
      <c r="BZ38">
        <v>4.9927721020321236</v>
      </c>
      <c r="CA38">
        <v>6201.0229507238973</v>
      </c>
      <c r="CB38">
        <v>4.8876395925761997</v>
      </c>
      <c r="CC38">
        <v>6070.4483739796397</v>
      </c>
      <c r="CD38">
        <v>10.138611790610613</v>
      </c>
      <c r="CE38">
        <v>12592.155843938381</v>
      </c>
      <c r="CF38">
        <v>4.7518757094165078</v>
      </c>
      <c r="CG38">
        <v>5901.8296310953028</v>
      </c>
      <c r="CH38">
        <v>8</v>
      </c>
      <c r="CI38">
        <v>9936</v>
      </c>
      <c r="CJ38">
        <v>7</v>
      </c>
      <c r="CK38">
        <v>8694</v>
      </c>
      <c r="CL38">
        <v>10.145552234140045</v>
      </c>
      <c r="CM38">
        <v>12600.775874801935</v>
      </c>
      <c r="CN38">
        <v>1.0520166117626615</v>
      </c>
      <c r="CO38">
        <v>1306.6046318092256</v>
      </c>
      <c r="CP38">
        <v>5</v>
      </c>
      <c r="CQ38">
        <v>6210</v>
      </c>
      <c r="CR38">
        <v>8.1118716085562124</v>
      </c>
      <c r="CS38">
        <v>10074.944537826816</v>
      </c>
      <c r="CT38">
        <v>3.3719633130017761</v>
      </c>
      <c r="CU38">
        <v>4187.9784347482055</v>
      </c>
    </row>
    <row r="39" spans="2:99">
      <c r="C39" s="99" t="s">
        <v>206</v>
      </c>
      <c r="D39">
        <v>4.5799072738664721</v>
      </c>
      <c r="E39">
        <v>6518.1240321667638</v>
      </c>
      <c r="F39">
        <v>1.1895503047997298</v>
      </c>
      <c r="G39">
        <v>1692.9679937909755</v>
      </c>
      <c r="H39">
        <v>3.7835150257194914</v>
      </c>
      <c r="I39">
        <v>5384.6985846039806</v>
      </c>
      <c r="J39">
        <v>5.3081111770419547</v>
      </c>
      <c r="K39">
        <v>7554.5038271661106</v>
      </c>
      <c r="L39">
        <v>6</v>
      </c>
      <c r="M39">
        <v>8539.2000000000007</v>
      </c>
      <c r="N39">
        <v>4.921811442174552</v>
      </c>
      <c r="O39">
        <v>7004.7220445028224</v>
      </c>
      <c r="P39">
        <v>5.1514169544405854</v>
      </c>
      <c r="Q39">
        <v>7331.4966095598411</v>
      </c>
      <c r="R39">
        <v>4</v>
      </c>
      <c r="S39">
        <v>5692.8</v>
      </c>
      <c r="T39">
        <v>7</v>
      </c>
      <c r="U39">
        <v>9962.4</v>
      </c>
      <c r="V39">
        <v>7</v>
      </c>
      <c r="W39">
        <v>9962.4</v>
      </c>
      <c r="X39">
        <v>8</v>
      </c>
      <c r="Y39">
        <v>11385.6</v>
      </c>
      <c r="Z39">
        <v>4.8625200870532144</v>
      </c>
      <c r="AA39">
        <v>6920.3385878941353</v>
      </c>
      <c r="AB39">
        <v>3.9640337632369693</v>
      </c>
      <c r="AC39">
        <v>5641.612851838855</v>
      </c>
      <c r="AD39">
        <v>4.5004838413756261</v>
      </c>
      <c r="AE39">
        <v>6405.0886030457914</v>
      </c>
      <c r="AF39">
        <v>2.9282102769089038</v>
      </c>
      <c r="AG39">
        <v>4167.4288660967522</v>
      </c>
      <c r="AH39">
        <v>3.0459882408193004</v>
      </c>
      <c r="AI39">
        <v>4335.0504643340282</v>
      </c>
      <c r="AJ39">
        <v>7</v>
      </c>
      <c r="AK39">
        <v>9962.4</v>
      </c>
      <c r="AL39">
        <v>5.4186767427853937</v>
      </c>
      <c r="AM39">
        <v>7711.8607403321721</v>
      </c>
      <c r="AN39">
        <v>1.0519217252655948</v>
      </c>
      <c r="AO39">
        <v>1497.0949993979946</v>
      </c>
      <c r="AP39">
        <v>8</v>
      </c>
      <c r="AQ39">
        <v>11385.6</v>
      </c>
      <c r="AR39">
        <v>7</v>
      </c>
      <c r="AS39">
        <v>9962.4</v>
      </c>
      <c r="AT39">
        <v>8</v>
      </c>
      <c r="AU39">
        <v>11385.6</v>
      </c>
      <c r="AV39">
        <v>6</v>
      </c>
      <c r="AW39">
        <v>8539.2000000000007</v>
      </c>
      <c r="AX39">
        <v>7</v>
      </c>
      <c r="AY39">
        <v>9962.4</v>
      </c>
      <c r="AZ39">
        <v>6</v>
      </c>
      <c r="BA39">
        <v>8539.2000000000007</v>
      </c>
      <c r="BB39">
        <v>5</v>
      </c>
      <c r="BC39">
        <v>7116</v>
      </c>
      <c r="BD39">
        <v>6</v>
      </c>
      <c r="BE39">
        <v>8539.2000000000007</v>
      </c>
      <c r="BF39">
        <v>5</v>
      </c>
      <c r="BG39">
        <v>7116</v>
      </c>
      <c r="BH39">
        <v>10</v>
      </c>
      <c r="BI39">
        <v>14232</v>
      </c>
      <c r="BJ39">
        <v>8</v>
      </c>
      <c r="BK39">
        <v>11385.6</v>
      </c>
      <c r="BL39">
        <v>8</v>
      </c>
      <c r="BM39">
        <v>11385.6</v>
      </c>
      <c r="BN39">
        <v>9</v>
      </c>
      <c r="BO39">
        <v>12808.800000000001</v>
      </c>
      <c r="BP39">
        <v>5.1647427091798326</v>
      </c>
      <c r="BQ39">
        <v>7350.461823704738</v>
      </c>
      <c r="BR39">
        <v>5</v>
      </c>
      <c r="BS39">
        <v>7116</v>
      </c>
      <c r="BT39">
        <v>6.4135944773118192</v>
      </c>
      <c r="BU39">
        <v>9127.8276601101807</v>
      </c>
      <c r="BV39">
        <v>6</v>
      </c>
      <c r="BW39">
        <v>8539.2000000000007</v>
      </c>
      <c r="BX39">
        <v>9</v>
      </c>
      <c r="BY39">
        <v>12808.800000000001</v>
      </c>
      <c r="BZ39">
        <v>4.9927721020321236</v>
      </c>
      <c r="CA39">
        <v>7105.7132556121187</v>
      </c>
      <c r="CB39">
        <v>4.8876395925761997</v>
      </c>
      <c r="CC39">
        <v>6956.088668154448</v>
      </c>
      <c r="CD39">
        <v>9.1212853167842862</v>
      </c>
      <c r="CE39">
        <v>12981.413262847396</v>
      </c>
      <c r="CF39">
        <v>4.7518757094165078</v>
      </c>
      <c r="CG39">
        <v>6762.869509641574</v>
      </c>
      <c r="CH39">
        <v>7</v>
      </c>
      <c r="CI39">
        <v>9962.4</v>
      </c>
      <c r="CJ39">
        <v>7</v>
      </c>
      <c r="CK39">
        <v>9962.4</v>
      </c>
      <c r="CL39">
        <v>9.1455522341400446</v>
      </c>
      <c r="CM39">
        <v>13015.949939628112</v>
      </c>
      <c r="CN39">
        <v>1.2624199341151938</v>
      </c>
      <c r="CO39">
        <v>1796.6760502327438</v>
      </c>
      <c r="CP39">
        <v>5</v>
      </c>
      <c r="CQ39">
        <v>7116</v>
      </c>
      <c r="CR39">
        <v>8.1017014623238293</v>
      </c>
      <c r="CS39">
        <v>11530.341521179274</v>
      </c>
      <c r="CT39">
        <v>2.890254268287237</v>
      </c>
      <c r="CU39">
        <v>4113.4098746263962</v>
      </c>
    </row>
    <row r="40" spans="2:99">
      <c r="C40" s="99" t="s">
        <v>207</v>
      </c>
      <c r="D40">
        <v>4.5799072738664721</v>
      </c>
      <c r="E40">
        <v>3319.5167920984186</v>
      </c>
      <c r="F40">
        <v>1.1895503047997298</v>
      </c>
      <c r="G40">
        <v>862.18606091884408</v>
      </c>
      <c r="H40">
        <v>4.7293937821493639</v>
      </c>
      <c r="I40">
        <v>3427.8646133018588</v>
      </c>
      <c r="J40">
        <v>5.3081111770419547</v>
      </c>
      <c r="K40">
        <v>3847.3189811200086</v>
      </c>
      <c r="L40">
        <v>8</v>
      </c>
      <c r="M40">
        <v>5798.4</v>
      </c>
      <c r="N40">
        <v>4.921811442174552</v>
      </c>
      <c r="O40">
        <v>3567.328933288115</v>
      </c>
      <c r="P40">
        <v>5.1514169544405854</v>
      </c>
      <c r="Q40">
        <v>3733.7470085785362</v>
      </c>
      <c r="R40">
        <v>5</v>
      </c>
      <c r="S40">
        <v>3624</v>
      </c>
      <c r="T40">
        <v>7</v>
      </c>
      <c r="U40">
        <v>5073.5999999999995</v>
      </c>
      <c r="V40">
        <v>7</v>
      </c>
      <c r="W40">
        <v>5073.5999999999995</v>
      </c>
      <c r="X40">
        <v>7</v>
      </c>
      <c r="Y40">
        <v>5073.5999999999995</v>
      </c>
      <c r="Z40">
        <v>4.8625200870532144</v>
      </c>
      <c r="AA40">
        <v>3524.3545590961694</v>
      </c>
      <c r="AB40">
        <v>3.9640337632369693</v>
      </c>
      <c r="AC40">
        <v>2873.1316715941553</v>
      </c>
      <c r="AD40">
        <v>4.5004838413756261</v>
      </c>
      <c r="AE40">
        <v>3261.9506882290534</v>
      </c>
      <c r="AF40">
        <v>3.3383432045107129</v>
      </c>
      <c r="AG40">
        <v>2419.6311546293646</v>
      </c>
      <c r="AH40">
        <v>2.4367905926554401</v>
      </c>
      <c r="AI40">
        <v>1766.1858215566629</v>
      </c>
      <c r="AJ40">
        <v>7</v>
      </c>
      <c r="AK40">
        <v>5073.5999999999995</v>
      </c>
      <c r="AL40">
        <v>5.4186767427853937</v>
      </c>
      <c r="AM40">
        <v>3927.4569031708529</v>
      </c>
      <c r="AN40">
        <v>1.1834119409237942</v>
      </c>
      <c r="AO40">
        <v>857.736974781566</v>
      </c>
      <c r="AP40">
        <v>8</v>
      </c>
      <c r="AQ40">
        <v>5798.4</v>
      </c>
      <c r="AR40">
        <v>8</v>
      </c>
      <c r="AS40">
        <v>5798.4</v>
      </c>
      <c r="AT40">
        <v>8</v>
      </c>
      <c r="AU40">
        <v>5798.4</v>
      </c>
      <c r="AV40">
        <v>5</v>
      </c>
      <c r="AW40">
        <v>3624</v>
      </c>
      <c r="AX40">
        <v>7</v>
      </c>
      <c r="AY40">
        <v>5073.5999999999995</v>
      </c>
      <c r="AZ40">
        <v>6</v>
      </c>
      <c r="BA40">
        <v>4348.7999999999993</v>
      </c>
      <c r="BB40">
        <v>5</v>
      </c>
      <c r="BC40">
        <v>3624</v>
      </c>
      <c r="BD40">
        <v>6</v>
      </c>
      <c r="BE40">
        <v>4348.7999999999993</v>
      </c>
      <c r="BF40">
        <v>6</v>
      </c>
      <c r="BG40">
        <v>4348.7999999999993</v>
      </c>
      <c r="BH40">
        <v>10</v>
      </c>
      <c r="BI40">
        <v>7248</v>
      </c>
      <c r="BJ40">
        <v>9</v>
      </c>
      <c r="BK40">
        <v>6523.2</v>
      </c>
      <c r="BL40">
        <v>8</v>
      </c>
      <c r="BM40">
        <v>5798.4</v>
      </c>
      <c r="BN40">
        <v>10</v>
      </c>
      <c r="BO40">
        <v>7248</v>
      </c>
      <c r="BP40">
        <v>4.3039522576498612</v>
      </c>
      <c r="BQ40">
        <v>3119.5045963446191</v>
      </c>
      <c r="BR40">
        <v>5</v>
      </c>
      <c r="BS40">
        <v>3624</v>
      </c>
      <c r="BT40">
        <v>6.4135944773118192</v>
      </c>
      <c r="BU40">
        <v>4648.5732771556059</v>
      </c>
      <c r="BV40">
        <v>6</v>
      </c>
      <c r="BW40">
        <v>4348.7999999999993</v>
      </c>
      <c r="BX40">
        <v>10</v>
      </c>
      <c r="BY40">
        <v>7248</v>
      </c>
      <c r="BZ40">
        <v>5.8249007857041448</v>
      </c>
      <c r="CA40">
        <v>4221.8880894783642</v>
      </c>
      <c r="CB40">
        <v>4.8876395925761997</v>
      </c>
      <c r="CC40">
        <v>3542.5611766992292</v>
      </c>
      <c r="CD40">
        <v>9.1212853167842862</v>
      </c>
      <c r="CE40">
        <v>6611.1075976052498</v>
      </c>
      <c r="CF40">
        <v>4.7518757094165078</v>
      </c>
      <c r="CG40">
        <v>3444.1595141850848</v>
      </c>
      <c r="CH40">
        <v>9</v>
      </c>
      <c r="CI40">
        <v>6523.2</v>
      </c>
      <c r="CJ40">
        <v>7</v>
      </c>
      <c r="CK40">
        <v>5073.5999999999995</v>
      </c>
      <c r="CL40">
        <v>9.1559488222929062</v>
      </c>
      <c r="CM40">
        <v>6636.2317063978981</v>
      </c>
      <c r="CN40">
        <v>1.2624199341151938</v>
      </c>
      <c r="CO40">
        <v>915.0019682466924</v>
      </c>
      <c r="CP40">
        <v>6</v>
      </c>
      <c r="CQ40">
        <v>4348.7999999999993</v>
      </c>
      <c r="CR40">
        <v>8.1118716085562124</v>
      </c>
      <c r="CS40">
        <v>5879.4845418815421</v>
      </c>
      <c r="CT40">
        <v>3.8536723577163157</v>
      </c>
      <c r="CU40">
        <v>2793.1417248727853</v>
      </c>
    </row>
    <row r="41" spans="2:99">
      <c r="C41" s="99" t="s">
        <v>208</v>
      </c>
      <c r="D41">
        <v>4.5799072738664721</v>
      </c>
      <c r="E41">
        <v>3022.7388007518716</v>
      </c>
      <c r="F41">
        <v>1.1895503047997298</v>
      </c>
      <c r="G41">
        <v>785.10320116782168</v>
      </c>
      <c r="H41">
        <v>4.7293937821493639</v>
      </c>
      <c r="I41">
        <v>3121.3998962185801</v>
      </c>
      <c r="J41">
        <v>5.3081111770419547</v>
      </c>
      <c r="K41">
        <v>3503.35337684769</v>
      </c>
      <c r="L41">
        <v>7</v>
      </c>
      <c r="M41">
        <v>4620</v>
      </c>
      <c r="N41">
        <v>4.921811442174552</v>
      </c>
      <c r="O41">
        <v>3248.3955518352045</v>
      </c>
      <c r="P41">
        <v>5.1362752589965268</v>
      </c>
      <c r="Q41">
        <v>3389.9416709377078</v>
      </c>
      <c r="R41">
        <v>4</v>
      </c>
      <c r="S41">
        <v>2640</v>
      </c>
      <c r="T41">
        <v>8</v>
      </c>
      <c r="U41">
        <v>5280</v>
      </c>
      <c r="V41">
        <v>7</v>
      </c>
      <c r="W41">
        <v>4620</v>
      </c>
      <c r="X41">
        <v>9</v>
      </c>
      <c r="Y41">
        <v>5940</v>
      </c>
      <c r="Z41">
        <v>4.8625200870532144</v>
      </c>
      <c r="AA41">
        <v>3209.2632574551217</v>
      </c>
      <c r="AB41">
        <v>3.9640337632369693</v>
      </c>
      <c r="AC41">
        <v>2616.2622837363997</v>
      </c>
      <c r="AD41">
        <v>4.5004838413756261</v>
      </c>
      <c r="AE41">
        <v>2970.3193353079132</v>
      </c>
      <c r="AF41">
        <v>3.7293828708804431</v>
      </c>
      <c r="AG41">
        <v>2461.3926947810924</v>
      </c>
      <c r="AH41">
        <v>3.0459882408193004</v>
      </c>
      <c r="AI41">
        <v>2010.3522389407383</v>
      </c>
      <c r="AJ41">
        <v>7</v>
      </c>
      <c r="AK41">
        <v>4620</v>
      </c>
      <c r="AL41">
        <v>5.4186767427853937</v>
      </c>
      <c r="AM41">
        <v>3576.3266502383599</v>
      </c>
      <c r="AN41">
        <v>1.1834119409237942</v>
      </c>
      <c r="AO41">
        <v>781.05188100970418</v>
      </c>
      <c r="AP41">
        <v>8</v>
      </c>
      <c r="AQ41">
        <v>5280</v>
      </c>
      <c r="AR41">
        <v>9</v>
      </c>
      <c r="AS41">
        <v>5940</v>
      </c>
      <c r="AT41">
        <v>9</v>
      </c>
      <c r="AU41">
        <v>5940</v>
      </c>
      <c r="AV41">
        <v>6</v>
      </c>
      <c r="AW41">
        <v>3960</v>
      </c>
      <c r="AX41">
        <v>8</v>
      </c>
      <c r="AY41">
        <v>5280</v>
      </c>
      <c r="AZ41">
        <v>6</v>
      </c>
      <c r="BA41">
        <v>3960</v>
      </c>
      <c r="BB41">
        <v>6</v>
      </c>
      <c r="BC41">
        <v>3960</v>
      </c>
      <c r="BD41">
        <v>7</v>
      </c>
      <c r="BE41">
        <v>4620</v>
      </c>
      <c r="BF41">
        <v>5</v>
      </c>
      <c r="BG41">
        <v>3300</v>
      </c>
      <c r="BH41">
        <v>9</v>
      </c>
      <c r="BI41">
        <v>5940</v>
      </c>
      <c r="BJ41">
        <v>10</v>
      </c>
      <c r="BK41">
        <v>6600</v>
      </c>
      <c r="BL41">
        <v>9</v>
      </c>
      <c r="BM41">
        <v>5940</v>
      </c>
      <c r="BN41">
        <v>10</v>
      </c>
      <c r="BO41">
        <v>6600</v>
      </c>
      <c r="BP41">
        <v>5.1647427091798326</v>
      </c>
      <c r="BQ41">
        <v>3408.7301880586897</v>
      </c>
      <c r="BR41">
        <v>5</v>
      </c>
      <c r="BS41">
        <v>3300</v>
      </c>
      <c r="BT41">
        <v>6.4135944773118192</v>
      </c>
      <c r="BU41">
        <v>4232.9723550258004</v>
      </c>
      <c r="BV41">
        <v>6</v>
      </c>
      <c r="BW41">
        <v>3960</v>
      </c>
      <c r="BX41">
        <v>9</v>
      </c>
      <c r="BY41">
        <v>5940</v>
      </c>
      <c r="BZ41">
        <v>4.9927721020321236</v>
      </c>
      <c r="CA41">
        <v>3295.2295873412017</v>
      </c>
      <c r="CB41">
        <v>4.8876395925761997</v>
      </c>
      <c r="CC41">
        <v>3225.8421311002917</v>
      </c>
      <c r="CD41">
        <v>9.1386117906106126</v>
      </c>
      <c r="CE41">
        <v>6031.4837818030046</v>
      </c>
      <c r="CF41">
        <v>4.157891245739445</v>
      </c>
      <c r="CG41">
        <v>2744.2082221880337</v>
      </c>
      <c r="CH41">
        <v>8</v>
      </c>
      <c r="CI41">
        <v>5280</v>
      </c>
      <c r="CJ41">
        <v>8</v>
      </c>
      <c r="CK41">
        <v>5280</v>
      </c>
      <c r="CL41">
        <v>10.145552234140045</v>
      </c>
      <c r="CM41">
        <v>6696.0644745324298</v>
      </c>
      <c r="CN41">
        <v>1.2624199341151938</v>
      </c>
      <c r="CO41">
        <v>833.19715651602792</v>
      </c>
      <c r="CP41">
        <v>6</v>
      </c>
      <c r="CQ41">
        <v>3960</v>
      </c>
      <c r="CR41">
        <v>9.1118716085562124</v>
      </c>
      <c r="CS41">
        <v>6013.8352616471002</v>
      </c>
      <c r="CT41">
        <v>3.3719633130017761</v>
      </c>
      <c r="CU41">
        <v>2225.4957865811721</v>
      </c>
    </row>
    <row r="42" spans="2:99">
      <c r="C42" s="99" t="s">
        <v>209</v>
      </c>
      <c r="D42">
        <v>4.5799072738664721</v>
      </c>
      <c r="E42">
        <v>3874.6015536910354</v>
      </c>
      <c r="F42">
        <v>1.1895503047997298</v>
      </c>
      <c r="G42">
        <v>1006.3595578605714</v>
      </c>
      <c r="H42">
        <v>4.7293937821493639</v>
      </c>
      <c r="I42">
        <v>4001.0671396983616</v>
      </c>
      <c r="J42">
        <v>5.3081111770419547</v>
      </c>
      <c r="K42">
        <v>4490.6620557774941</v>
      </c>
      <c r="L42">
        <v>6</v>
      </c>
      <c r="M42">
        <v>5076</v>
      </c>
      <c r="N42">
        <v>3.9374491537396419</v>
      </c>
      <c r="O42">
        <v>3331.0819840637369</v>
      </c>
      <c r="P42">
        <v>6.1362752589965268</v>
      </c>
      <c r="Q42">
        <v>5191.288869111062</v>
      </c>
      <c r="R42">
        <v>5</v>
      </c>
      <c r="S42">
        <v>4230</v>
      </c>
      <c r="T42">
        <v>7</v>
      </c>
      <c r="U42">
        <v>5922</v>
      </c>
      <c r="V42">
        <v>7</v>
      </c>
      <c r="W42">
        <v>5922</v>
      </c>
      <c r="X42">
        <v>7</v>
      </c>
      <c r="Y42">
        <v>5922</v>
      </c>
      <c r="Z42">
        <v>5.8350241044638578</v>
      </c>
      <c r="AA42">
        <v>4936.4303923764237</v>
      </c>
      <c r="AB42">
        <v>4.7568405158843632</v>
      </c>
      <c r="AC42">
        <v>4024.2870764381714</v>
      </c>
      <c r="AD42">
        <v>4.5004838413756261</v>
      </c>
      <c r="AE42">
        <v>3807.4093298037797</v>
      </c>
      <c r="AF42">
        <v>3.3383432045107129</v>
      </c>
      <c r="AG42">
        <v>2824.238351016063</v>
      </c>
      <c r="AH42">
        <v>3.0459882408193004</v>
      </c>
      <c r="AI42">
        <v>2576.9060517331282</v>
      </c>
      <c r="AJ42">
        <v>7</v>
      </c>
      <c r="AK42">
        <v>5922</v>
      </c>
      <c r="AL42">
        <v>5.4186767427853937</v>
      </c>
      <c r="AM42">
        <v>4584.2005243964431</v>
      </c>
      <c r="AN42">
        <v>1.0519217252655948</v>
      </c>
      <c r="AO42">
        <v>889.92577957469325</v>
      </c>
      <c r="AP42">
        <v>9</v>
      </c>
      <c r="AQ42">
        <v>7614</v>
      </c>
      <c r="AR42">
        <v>8</v>
      </c>
      <c r="AS42">
        <v>6768</v>
      </c>
      <c r="AT42">
        <v>9</v>
      </c>
      <c r="AU42">
        <v>7614</v>
      </c>
      <c r="AV42">
        <v>6</v>
      </c>
      <c r="AW42">
        <v>5076</v>
      </c>
      <c r="AX42">
        <v>7</v>
      </c>
      <c r="AY42">
        <v>5922</v>
      </c>
      <c r="AZ42">
        <v>5</v>
      </c>
      <c r="BA42">
        <v>4230</v>
      </c>
      <c r="BB42">
        <v>5</v>
      </c>
      <c r="BC42">
        <v>4230</v>
      </c>
      <c r="BD42">
        <v>6</v>
      </c>
      <c r="BE42">
        <v>5076</v>
      </c>
      <c r="BF42">
        <v>5</v>
      </c>
      <c r="BG42">
        <v>4230</v>
      </c>
      <c r="BH42">
        <v>10</v>
      </c>
      <c r="BI42">
        <v>8460</v>
      </c>
      <c r="BJ42">
        <v>9</v>
      </c>
      <c r="BK42">
        <v>7614</v>
      </c>
      <c r="BL42">
        <v>9</v>
      </c>
      <c r="BM42">
        <v>7614</v>
      </c>
      <c r="BN42">
        <v>10</v>
      </c>
      <c r="BO42">
        <v>8460</v>
      </c>
      <c r="BP42">
        <v>5.1647427091798326</v>
      </c>
      <c r="BQ42">
        <v>4369.3723319661385</v>
      </c>
      <c r="BR42">
        <v>5</v>
      </c>
      <c r="BS42">
        <v>4230</v>
      </c>
      <c r="BT42">
        <v>5.611895167647841</v>
      </c>
      <c r="BU42">
        <v>4747.6633118300733</v>
      </c>
      <c r="BV42">
        <v>5</v>
      </c>
      <c r="BW42">
        <v>4230</v>
      </c>
      <c r="BX42">
        <v>8</v>
      </c>
      <c r="BY42">
        <v>6768</v>
      </c>
      <c r="BZ42">
        <v>5.8249007857041448</v>
      </c>
      <c r="CA42">
        <v>4927.8660647057068</v>
      </c>
      <c r="CB42">
        <v>4.8876395925761997</v>
      </c>
      <c r="CC42">
        <v>4134.9430953194651</v>
      </c>
      <c r="CD42">
        <v>9.1386117906106126</v>
      </c>
      <c r="CE42">
        <v>7731.2655748565785</v>
      </c>
      <c r="CF42">
        <v>4.7518757094165078</v>
      </c>
      <c r="CG42">
        <v>4020.0868501663658</v>
      </c>
      <c r="CH42">
        <v>7</v>
      </c>
      <c r="CI42">
        <v>5922</v>
      </c>
      <c r="CJ42">
        <v>8</v>
      </c>
      <c r="CK42">
        <v>6768</v>
      </c>
      <c r="CL42">
        <v>9.1351556459871848</v>
      </c>
      <c r="CM42">
        <v>7728.3416765051579</v>
      </c>
      <c r="CN42">
        <v>1.2624199341151938</v>
      </c>
      <c r="CO42">
        <v>1068.0072642614539</v>
      </c>
      <c r="CP42">
        <v>6</v>
      </c>
      <c r="CQ42">
        <v>5076</v>
      </c>
      <c r="CR42">
        <v>8.1017014623238293</v>
      </c>
      <c r="CS42">
        <v>6854.0394371259599</v>
      </c>
      <c r="CT42">
        <v>3.3719633130017761</v>
      </c>
      <c r="CU42">
        <v>2852.6809627995026</v>
      </c>
    </row>
    <row r="43" spans="2:99">
      <c r="C43" s="99" t="s">
        <v>210</v>
      </c>
      <c r="D43">
        <v>4.5799072738664721</v>
      </c>
      <c r="E43">
        <v>4682.4971968010814</v>
      </c>
      <c r="F43">
        <v>1.1895503047997298</v>
      </c>
      <c r="G43">
        <v>1216.1962316272436</v>
      </c>
      <c r="H43">
        <v>4.7293937821493639</v>
      </c>
      <c r="I43">
        <v>4835.3322028695093</v>
      </c>
      <c r="J43">
        <v>4.5498095803216749</v>
      </c>
      <c r="K43">
        <v>4651.72531492088</v>
      </c>
      <c r="L43">
        <v>6</v>
      </c>
      <c r="M43">
        <v>6134.4</v>
      </c>
      <c r="N43">
        <v>4.921811442174552</v>
      </c>
      <c r="O43">
        <v>5032.060018479262</v>
      </c>
      <c r="P43">
        <v>6.1362752589965268</v>
      </c>
      <c r="Q43">
        <v>6273.7278247980485</v>
      </c>
      <c r="R43">
        <v>4</v>
      </c>
      <c r="S43">
        <v>4089.6</v>
      </c>
      <c r="T43">
        <v>7</v>
      </c>
      <c r="U43">
        <v>7156.8</v>
      </c>
      <c r="V43">
        <v>8</v>
      </c>
      <c r="W43">
        <v>8179.2</v>
      </c>
      <c r="X43">
        <v>8</v>
      </c>
      <c r="Y43">
        <v>8179.2</v>
      </c>
      <c r="Z43">
        <v>4.8625200870532144</v>
      </c>
      <c r="AA43">
        <v>4971.4405370032064</v>
      </c>
      <c r="AB43">
        <v>3.9640337632369693</v>
      </c>
      <c r="AC43">
        <v>4052.8281195334775</v>
      </c>
      <c r="AD43">
        <v>4.5004838413756261</v>
      </c>
      <c r="AE43">
        <v>4601.2946794224399</v>
      </c>
      <c r="AF43">
        <v>3.7293828708804431</v>
      </c>
      <c r="AG43">
        <v>3812.9210471881647</v>
      </c>
      <c r="AH43">
        <v>3.0459882408193004</v>
      </c>
      <c r="AI43">
        <v>3114.2183774136529</v>
      </c>
      <c r="AJ43">
        <v>6</v>
      </c>
      <c r="AK43">
        <v>6134.4</v>
      </c>
      <c r="AL43">
        <v>6.0836688099897627</v>
      </c>
      <c r="AM43">
        <v>6219.9429913335334</v>
      </c>
      <c r="AN43">
        <v>1.0519217252655948</v>
      </c>
      <c r="AO43">
        <v>1075.4847719115442</v>
      </c>
      <c r="AP43">
        <v>9</v>
      </c>
      <c r="AQ43">
        <v>9201.6</v>
      </c>
      <c r="AR43">
        <v>9</v>
      </c>
      <c r="AS43">
        <v>9201.6</v>
      </c>
      <c r="AT43">
        <v>9</v>
      </c>
      <c r="AU43">
        <v>9201.6</v>
      </c>
      <c r="AV43">
        <v>6</v>
      </c>
      <c r="AW43">
        <v>6134.4</v>
      </c>
      <c r="AX43">
        <v>7</v>
      </c>
      <c r="AY43">
        <v>7156.8</v>
      </c>
      <c r="AZ43">
        <v>5</v>
      </c>
      <c r="BA43">
        <v>5112</v>
      </c>
      <c r="BB43">
        <v>6</v>
      </c>
      <c r="BC43">
        <v>6134.4</v>
      </c>
      <c r="BD43">
        <v>6</v>
      </c>
      <c r="BE43">
        <v>6134.4</v>
      </c>
      <c r="BF43">
        <v>5</v>
      </c>
      <c r="BG43">
        <v>5112</v>
      </c>
      <c r="BH43">
        <v>9</v>
      </c>
      <c r="BI43">
        <v>9201.6</v>
      </c>
      <c r="BJ43">
        <v>9</v>
      </c>
      <c r="BK43">
        <v>9201.6</v>
      </c>
      <c r="BL43">
        <v>8</v>
      </c>
      <c r="BM43">
        <v>8179.2</v>
      </c>
      <c r="BN43">
        <v>9</v>
      </c>
      <c r="BO43">
        <v>9201.6</v>
      </c>
      <c r="BP43">
        <v>5.1647427091798326</v>
      </c>
      <c r="BQ43">
        <v>5280.4329458654611</v>
      </c>
      <c r="BR43">
        <v>5</v>
      </c>
      <c r="BS43">
        <v>5112</v>
      </c>
      <c r="BT43">
        <v>6.4135944773118192</v>
      </c>
      <c r="BU43">
        <v>6557.2589936036038</v>
      </c>
      <c r="BV43">
        <v>5</v>
      </c>
      <c r="BW43">
        <v>5112</v>
      </c>
      <c r="BX43">
        <v>9</v>
      </c>
      <c r="BY43">
        <v>9201.6</v>
      </c>
      <c r="BZ43">
        <v>5.8249007857041448</v>
      </c>
      <c r="CA43">
        <v>5955.3785633039179</v>
      </c>
      <c r="CB43">
        <v>4.8876395925761997</v>
      </c>
      <c r="CC43">
        <v>4997.1227194499061</v>
      </c>
      <c r="CD43">
        <v>9.1386117906106126</v>
      </c>
      <c r="CE43">
        <v>9343.3166947202899</v>
      </c>
      <c r="CF43">
        <v>4.157891245739445</v>
      </c>
      <c r="CG43">
        <v>4251.0280096440083</v>
      </c>
      <c r="CH43">
        <v>8</v>
      </c>
      <c r="CI43">
        <v>8179.2</v>
      </c>
      <c r="CJ43">
        <v>7</v>
      </c>
      <c r="CK43">
        <v>7156.8</v>
      </c>
      <c r="CL43">
        <v>10.135155645987185</v>
      </c>
      <c r="CM43">
        <v>10362.183132457298</v>
      </c>
      <c r="CN43">
        <v>1.2624199341151938</v>
      </c>
      <c r="CO43">
        <v>1290.6981406393741</v>
      </c>
      <c r="CP43">
        <v>5</v>
      </c>
      <c r="CQ43">
        <v>5112</v>
      </c>
      <c r="CR43">
        <v>9.1017014623238293</v>
      </c>
      <c r="CS43">
        <v>9305.5795750798825</v>
      </c>
      <c r="CT43">
        <v>3.3719633130017761</v>
      </c>
      <c r="CU43">
        <v>3447.4952912130157</v>
      </c>
    </row>
    <row r="44" spans="2:99">
      <c r="C44" s="99" t="s">
        <v>211</v>
      </c>
      <c r="D44">
        <v>4.6133962237872339</v>
      </c>
      <c r="E44">
        <v>4716.7362992000681</v>
      </c>
      <c r="F44">
        <v>1.019614546971197</v>
      </c>
      <c r="G44">
        <v>1042.4539128233519</v>
      </c>
      <c r="H44">
        <v>4.7293937821493639</v>
      </c>
      <c r="I44">
        <v>4835.3322028695093</v>
      </c>
      <c r="J44">
        <v>5.3081111770419547</v>
      </c>
      <c r="K44">
        <v>5427.0128674076941</v>
      </c>
      <c r="L44">
        <v>6</v>
      </c>
      <c r="M44">
        <v>6134.4</v>
      </c>
      <c r="N44">
        <v>4.921811442174552</v>
      </c>
      <c r="O44">
        <v>5032.060018479262</v>
      </c>
      <c r="P44">
        <v>5.1362752589965268</v>
      </c>
      <c r="Q44">
        <v>5251.3278247980488</v>
      </c>
      <c r="R44">
        <v>4</v>
      </c>
      <c r="S44">
        <v>4089.6</v>
      </c>
      <c r="T44">
        <v>8</v>
      </c>
      <c r="U44">
        <v>8179.2</v>
      </c>
      <c r="V44">
        <v>8</v>
      </c>
      <c r="W44">
        <v>8179.2</v>
      </c>
      <c r="X44">
        <v>7</v>
      </c>
      <c r="Y44">
        <v>7156.8</v>
      </c>
      <c r="Z44">
        <v>4.8625200870532144</v>
      </c>
      <c r="AA44">
        <v>4971.4405370032064</v>
      </c>
      <c r="AB44">
        <v>3.9640337632369693</v>
      </c>
      <c r="AC44">
        <v>4052.8281195334775</v>
      </c>
      <c r="AD44">
        <v>4.5004838413756261</v>
      </c>
      <c r="AE44">
        <v>4601.2946794224399</v>
      </c>
      <c r="AF44">
        <v>3.7102896096483629</v>
      </c>
      <c r="AG44">
        <v>3793.400096904486</v>
      </c>
      <c r="AH44">
        <v>3.0459882408193004</v>
      </c>
      <c r="AI44">
        <v>3114.2183774136529</v>
      </c>
      <c r="AJ44">
        <v>6</v>
      </c>
      <c r="AK44">
        <v>6134.4</v>
      </c>
      <c r="AL44">
        <v>6.0960113356335688</v>
      </c>
      <c r="AM44">
        <v>6232.5619895517602</v>
      </c>
      <c r="AN44">
        <v>1.0519217252655948</v>
      </c>
      <c r="AO44">
        <v>1075.4847719115442</v>
      </c>
      <c r="AP44">
        <v>8</v>
      </c>
      <c r="AQ44">
        <v>8179.2</v>
      </c>
      <c r="AR44">
        <v>8</v>
      </c>
      <c r="AS44">
        <v>8179.2</v>
      </c>
      <c r="AT44">
        <v>9</v>
      </c>
      <c r="AU44">
        <v>9201.6</v>
      </c>
      <c r="AV44">
        <v>5</v>
      </c>
      <c r="AW44">
        <v>5112</v>
      </c>
      <c r="AX44">
        <v>7</v>
      </c>
      <c r="AY44">
        <v>7156.8</v>
      </c>
      <c r="AZ44">
        <v>6</v>
      </c>
      <c r="BA44">
        <v>6134.4</v>
      </c>
      <c r="BB44">
        <v>5</v>
      </c>
      <c r="BC44">
        <v>5112</v>
      </c>
      <c r="BD44">
        <v>5</v>
      </c>
      <c r="BE44">
        <v>5112</v>
      </c>
      <c r="BF44">
        <v>6</v>
      </c>
      <c r="BG44">
        <v>6134.4</v>
      </c>
      <c r="BH44">
        <v>9</v>
      </c>
      <c r="BI44">
        <v>9201.6</v>
      </c>
      <c r="BJ44">
        <v>10</v>
      </c>
      <c r="BK44">
        <v>10224</v>
      </c>
      <c r="BL44">
        <v>9</v>
      </c>
      <c r="BM44">
        <v>9201.6</v>
      </c>
      <c r="BN44">
        <v>10</v>
      </c>
      <c r="BO44">
        <v>10224</v>
      </c>
      <c r="BP44">
        <v>5.1647427091798326</v>
      </c>
      <c r="BQ44">
        <v>5280.4329458654611</v>
      </c>
      <c r="BR44">
        <v>5</v>
      </c>
      <c r="BS44">
        <v>5112</v>
      </c>
      <c r="BT44">
        <v>7.2152937869757965</v>
      </c>
      <c r="BU44">
        <v>7376.9163678040541</v>
      </c>
      <c r="BV44">
        <v>5</v>
      </c>
      <c r="BW44">
        <v>5112</v>
      </c>
      <c r="BX44">
        <v>8</v>
      </c>
      <c r="BY44">
        <v>8179.2</v>
      </c>
      <c r="BZ44">
        <v>4.9927721020321236</v>
      </c>
      <c r="CA44">
        <v>5104.6101971176431</v>
      </c>
      <c r="CB44">
        <v>4.1894053650653147</v>
      </c>
      <c r="CC44">
        <v>4283.2480452427781</v>
      </c>
      <c r="CD44">
        <v>9.1212853167842862</v>
      </c>
      <c r="CE44">
        <v>9325.6021078802532</v>
      </c>
      <c r="CF44">
        <v>4.157891245739445</v>
      </c>
      <c r="CG44">
        <v>4251.0280096440083</v>
      </c>
      <c r="CH44">
        <v>8</v>
      </c>
      <c r="CI44">
        <v>8179.2</v>
      </c>
      <c r="CJ44">
        <v>7</v>
      </c>
      <c r="CK44">
        <v>7156.8</v>
      </c>
      <c r="CL44">
        <v>10.145552234140045</v>
      </c>
      <c r="CM44">
        <v>10372.812604184781</v>
      </c>
      <c r="CN44">
        <v>1.2624199341151938</v>
      </c>
      <c r="CO44">
        <v>1290.6981406393741</v>
      </c>
      <c r="CP44">
        <v>6</v>
      </c>
      <c r="CQ44">
        <v>6134.4</v>
      </c>
      <c r="CR44">
        <v>8.1118716085562124</v>
      </c>
      <c r="CS44">
        <v>8293.5775325878712</v>
      </c>
      <c r="CT44">
        <v>2.890254268287237</v>
      </c>
      <c r="CU44">
        <v>2954.9959638968712</v>
      </c>
    </row>
    <row r="45" spans="2:99">
      <c r="C45" s="99" t="s">
        <v>212</v>
      </c>
      <c r="D45">
        <v>4.6133962237872339</v>
      </c>
      <c r="E45">
        <v>5763.0545627550127</v>
      </c>
      <c r="F45">
        <v>1.1895503047997298</v>
      </c>
      <c r="G45">
        <v>1485.9862407558226</v>
      </c>
      <c r="H45">
        <v>3.7835150257194914</v>
      </c>
      <c r="I45">
        <v>4726.366970128789</v>
      </c>
      <c r="J45">
        <v>4.5498095803216749</v>
      </c>
      <c r="K45">
        <v>5683.6221277378363</v>
      </c>
      <c r="L45">
        <v>7</v>
      </c>
      <c r="M45">
        <v>8744.4</v>
      </c>
      <c r="N45">
        <v>4.921811442174552</v>
      </c>
      <c r="O45">
        <v>6148.3268535644502</v>
      </c>
      <c r="P45">
        <v>5.1514169544405854</v>
      </c>
      <c r="Q45">
        <v>6435.1500594871795</v>
      </c>
      <c r="R45">
        <v>5</v>
      </c>
      <c r="S45">
        <v>6246</v>
      </c>
      <c r="T45">
        <v>7</v>
      </c>
      <c r="U45">
        <v>8744.4</v>
      </c>
      <c r="V45">
        <v>7</v>
      </c>
      <c r="W45">
        <v>8744.4</v>
      </c>
      <c r="X45">
        <v>7</v>
      </c>
      <c r="Y45">
        <v>8744.4</v>
      </c>
      <c r="Z45">
        <v>4.8625200870532144</v>
      </c>
      <c r="AA45">
        <v>6074.2600927468757</v>
      </c>
      <c r="AB45">
        <v>3.9640337632369693</v>
      </c>
      <c r="AC45">
        <v>4951.8709770356227</v>
      </c>
      <c r="AD45">
        <v>4.5004838413756261</v>
      </c>
      <c r="AE45">
        <v>5622.0044146464325</v>
      </c>
      <c r="AF45">
        <v>3.7484761321125224</v>
      </c>
      <c r="AG45">
        <v>4682.5963842349629</v>
      </c>
      <c r="AH45">
        <v>3.0459882408193004</v>
      </c>
      <c r="AI45">
        <v>3805.0485104314703</v>
      </c>
      <c r="AJ45">
        <v>6</v>
      </c>
      <c r="AK45">
        <v>7495.2000000000007</v>
      </c>
      <c r="AL45">
        <v>6.0960113356335688</v>
      </c>
      <c r="AM45">
        <v>7615.1373604734545</v>
      </c>
      <c r="AN45">
        <v>1.0519217252655948</v>
      </c>
      <c r="AO45">
        <v>1314.060619201781</v>
      </c>
      <c r="AP45">
        <v>8</v>
      </c>
      <c r="AQ45">
        <v>9993.6</v>
      </c>
      <c r="AR45">
        <v>7</v>
      </c>
      <c r="AS45">
        <v>8744.4</v>
      </c>
      <c r="AT45">
        <v>9</v>
      </c>
      <c r="AU45">
        <v>11242.800000000001</v>
      </c>
      <c r="AV45">
        <v>5</v>
      </c>
      <c r="AW45">
        <v>6246</v>
      </c>
      <c r="AX45">
        <v>7</v>
      </c>
      <c r="AY45">
        <v>8744.4</v>
      </c>
      <c r="AZ45">
        <v>5</v>
      </c>
      <c r="BA45">
        <v>6246</v>
      </c>
      <c r="BB45">
        <v>5</v>
      </c>
      <c r="BC45">
        <v>6246</v>
      </c>
      <c r="BD45">
        <v>6</v>
      </c>
      <c r="BE45">
        <v>7495.2000000000007</v>
      </c>
      <c r="BF45">
        <v>6</v>
      </c>
      <c r="BG45">
        <v>7495.2000000000007</v>
      </c>
      <c r="BH45">
        <v>10</v>
      </c>
      <c r="BI45">
        <v>12492</v>
      </c>
      <c r="BJ45">
        <v>9</v>
      </c>
      <c r="BK45">
        <v>11242.800000000001</v>
      </c>
      <c r="BL45">
        <v>9</v>
      </c>
      <c r="BM45">
        <v>11242.800000000001</v>
      </c>
      <c r="BN45">
        <v>9</v>
      </c>
      <c r="BO45">
        <v>11242.800000000001</v>
      </c>
      <c r="BP45">
        <v>4.3039522576498612</v>
      </c>
      <c r="BQ45">
        <v>5376.4971602562073</v>
      </c>
      <c r="BR45">
        <v>6</v>
      </c>
      <c r="BS45">
        <v>7495.2000000000007</v>
      </c>
      <c r="BT45">
        <v>6.4135944773118192</v>
      </c>
      <c r="BU45">
        <v>8011.8622210579251</v>
      </c>
      <c r="BV45">
        <v>6</v>
      </c>
      <c r="BW45">
        <v>7495.2000000000007</v>
      </c>
      <c r="BX45">
        <v>8</v>
      </c>
      <c r="BY45">
        <v>9993.6</v>
      </c>
      <c r="BZ45">
        <v>4.9927721020321236</v>
      </c>
      <c r="CA45">
        <v>6236.970909858529</v>
      </c>
      <c r="CB45">
        <v>4.8876395925761997</v>
      </c>
      <c r="CC45">
        <v>6105.6393790461889</v>
      </c>
      <c r="CD45">
        <v>10.121285316784286</v>
      </c>
      <c r="CE45">
        <v>12643.509617726932</v>
      </c>
      <c r="CF45">
        <v>4.157891245739445</v>
      </c>
      <c r="CG45">
        <v>5194.0377441777146</v>
      </c>
      <c r="CH45">
        <v>9</v>
      </c>
      <c r="CI45">
        <v>11242.800000000001</v>
      </c>
      <c r="CJ45">
        <v>8</v>
      </c>
      <c r="CK45">
        <v>9993.6</v>
      </c>
      <c r="CL45">
        <v>9.1351556459871848</v>
      </c>
      <c r="CM45">
        <v>11411.636432967192</v>
      </c>
      <c r="CN45">
        <v>1.2624199341151938</v>
      </c>
      <c r="CO45">
        <v>1577.0149816967003</v>
      </c>
      <c r="CP45">
        <v>5</v>
      </c>
      <c r="CQ45">
        <v>6246</v>
      </c>
      <c r="CR45">
        <v>8.1017014623238293</v>
      </c>
      <c r="CS45">
        <v>10120.645466734928</v>
      </c>
      <c r="CT45">
        <v>2.890254268287237</v>
      </c>
      <c r="CU45">
        <v>3610.5056319444166</v>
      </c>
    </row>
    <row r="46" spans="2:99">
      <c r="C46" s="99" t="s">
        <v>213</v>
      </c>
      <c r="D46">
        <v>4.5464183239457103</v>
      </c>
      <c r="E46">
        <v>5510.2590086222008</v>
      </c>
      <c r="F46">
        <v>1.1895503047997298</v>
      </c>
      <c r="G46">
        <v>1441.7349694172724</v>
      </c>
      <c r="H46">
        <v>4.7293937821493639</v>
      </c>
      <c r="I46">
        <v>5732.0252639650289</v>
      </c>
      <c r="J46">
        <v>4.5498095803216749</v>
      </c>
      <c r="K46">
        <v>5514.3692113498701</v>
      </c>
      <c r="L46">
        <v>7</v>
      </c>
      <c r="M46">
        <v>8484</v>
      </c>
      <c r="N46">
        <v>4.921811442174552</v>
      </c>
      <c r="O46">
        <v>5965.2354679155569</v>
      </c>
      <c r="P46">
        <v>5.1514169544405854</v>
      </c>
      <c r="Q46">
        <v>6243.5173487819893</v>
      </c>
      <c r="R46">
        <v>4</v>
      </c>
      <c r="S46">
        <v>4848</v>
      </c>
      <c r="T46">
        <v>7</v>
      </c>
      <c r="U46">
        <v>8484</v>
      </c>
      <c r="V46">
        <v>7</v>
      </c>
      <c r="W46">
        <v>8484</v>
      </c>
      <c r="X46">
        <v>7</v>
      </c>
      <c r="Y46">
        <v>8484</v>
      </c>
      <c r="Z46">
        <v>4.8625200870532144</v>
      </c>
      <c r="AA46">
        <v>5893.3743455084959</v>
      </c>
      <c r="AB46">
        <v>3.9640337632369693</v>
      </c>
      <c r="AC46">
        <v>4804.4089210432066</v>
      </c>
      <c r="AD46">
        <v>4.5004838413756261</v>
      </c>
      <c r="AE46">
        <v>5454.5864157472588</v>
      </c>
      <c r="AF46">
        <v>3.3383432045107129</v>
      </c>
      <c r="AG46">
        <v>4046.0719638669839</v>
      </c>
      <c r="AH46">
        <v>3.0459882408193004</v>
      </c>
      <c r="AI46">
        <v>3691.7377478729923</v>
      </c>
      <c r="AJ46">
        <v>6</v>
      </c>
      <c r="AK46">
        <v>7272</v>
      </c>
      <c r="AL46">
        <v>6.0836688099897627</v>
      </c>
      <c r="AM46">
        <v>7373.4065977075925</v>
      </c>
      <c r="AN46">
        <v>1.0519217252655948</v>
      </c>
      <c r="AO46">
        <v>1274.929131021901</v>
      </c>
      <c r="AP46">
        <v>9</v>
      </c>
      <c r="AQ46">
        <v>10908</v>
      </c>
      <c r="AR46">
        <v>8</v>
      </c>
      <c r="AS46">
        <v>9696</v>
      </c>
      <c r="AT46">
        <v>9</v>
      </c>
      <c r="AU46">
        <v>10908</v>
      </c>
      <c r="AV46">
        <v>5</v>
      </c>
      <c r="AW46">
        <v>6060</v>
      </c>
      <c r="AX46">
        <v>7</v>
      </c>
      <c r="AY46">
        <v>8484</v>
      </c>
      <c r="AZ46">
        <v>6</v>
      </c>
      <c r="BA46">
        <v>7272</v>
      </c>
      <c r="BB46">
        <v>6</v>
      </c>
      <c r="BC46">
        <v>7272</v>
      </c>
      <c r="BD46">
        <v>6</v>
      </c>
      <c r="BE46">
        <v>7272</v>
      </c>
      <c r="BF46">
        <v>5</v>
      </c>
      <c r="BG46">
        <v>6060</v>
      </c>
      <c r="BH46">
        <v>10</v>
      </c>
      <c r="BI46">
        <v>12120</v>
      </c>
      <c r="BJ46">
        <v>8</v>
      </c>
      <c r="BK46">
        <v>9696</v>
      </c>
      <c r="BL46">
        <v>8</v>
      </c>
      <c r="BM46">
        <v>9696</v>
      </c>
      <c r="BN46">
        <v>9</v>
      </c>
      <c r="BO46">
        <v>10908</v>
      </c>
      <c r="BP46">
        <v>5.1647427091798326</v>
      </c>
      <c r="BQ46">
        <v>6259.6681635259574</v>
      </c>
      <c r="BR46">
        <v>6</v>
      </c>
      <c r="BS46">
        <v>7272</v>
      </c>
      <c r="BT46">
        <v>6.4135944773118192</v>
      </c>
      <c r="BU46">
        <v>7773.2765065019248</v>
      </c>
      <c r="BV46">
        <v>6</v>
      </c>
      <c r="BW46">
        <v>7272</v>
      </c>
      <c r="BX46">
        <v>9</v>
      </c>
      <c r="BY46">
        <v>10908</v>
      </c>
      <c r="BZ46">
        <v>4.9927721020321236</v>
      </c>
      <c r="CA46">
        <v>6051.2397876629338</v>
      </c>
      <c r="CB46">
        <v>4.1894053650653147</v>
      </c>
      <c r="CC46">
        <v>5077.5593024591617</v>
      </c>
      <c r="CD46">
        <v>10.138611790610613</v>
      </c>
      <c r="CE46">
        <v>12287.997490220063</v>
      </c>
      <c r="CF46">
        <v>4.7518757094165078</v>
      </c>
      <c r="CG46">
        <v>5759.2733598128079</v>
      </c>
      <c r="CH46">
        <v>8</v>
      </c>
      <c r="CI46">
        <v>9696</v>
      </c>
      <c r="CJ46">
        <v>8</v>
      </c>
      <c r="CK46">
        <v>9696</v>
      </c>
      <c r="CL46">
        <v>9.1351556459871848</v>
      </c>
      <c r="CM46">
        <v>11071.808642936468</v>
      </c>
      <c r="CN46">
        <v>1.2624199341151938</v>
      </c>
      <c r="CO46">
        <v>1530.0529601476148</v>
      </c>
      <c r="CP46">
        <v>5</v>
      </c>
      <c r="CQ46">
        <v>6060</v>
      </c>
      <c r="CR46">
        <v>9.0915313160914462</v>
      </c>
      <c r="CS46">
        <v>11018.935955102832</v>
      </c>
      <c r="CT46">
        <v>3.3719633130017761</v>
      </c>
      <c r="CU46">
        <v>4086.8195353581527</v>
      </c>
    </row>
    <row r="47" spans="2:99">
      <c r="C47" s="99" t="s">
        <v>214</v>
      </c>
      <c r="D47">
        <v>3.8779858030767893</v>
      </c>
      <c r="E47">
        <v>5924.0111127801028</v>
      </c>
      <c r="F47">
        <v>1.1895503047997298</v>
      </c>
      <c r="G47">
        <v>1817.1570456120671</v>
      </c>
      <c r="H47">
        <v>4.7293937821493639</v>
      </c>
      <c r="I47">
        <v>7224.6219416113681</v>
      </c>
      <c r="J47">
        <v>4.5498095803216749</v>
      </c>
      <c r="K47">
        <v>6950.2891148993904</v>
      </c>
      <c r="L47">
        <v>6</v>
      </c>
      <c r="M47">
        <v>9165.5999999999985</v>
      </c>
      <c r="N47">
        <v>4.921811442174552</v>
      </c>
      <c r="O47">
        <v>7518.5591590658451</v>
      </c>
      <c r="P47">
        <v>5.1362752589965268</v>
      </c>
      <c r="Q47">
        <v>7846.1740856430943</v>
      </c>
      <c r="R47">
        <v>5</v>
      </c>
      <c r="S47">
        <v>7638</v>
      </c>
      <c r="T47">
        <v>8</v>
      </c>
      <c r="U47">
        <v>12220.8</v>
      </c>
      <c r="V47">
        <v>8</v>
      </c>
      <c r="W47">
        <v>12220.8</v>
      </c>
      <c r="X47">
        <v>8</v>
      </c>
      <c r="Y47">
        <v>12220.8</v>
      </c>
      <c r="Z47">
        <v>4.8625200870532144</v>
      </c>
      <c r="AA47">
        <v>7427.9856849824901</v>
      </c>
      <c r="AB47">
        <v>3.9640337632369693</v>
      </c>
      <c r="AC47">
        <v>6055.4579767207942</v>
      </c>
      <c r="AD47">
        <v>3.7504032011463546</v>
      </c>
      <c r="AE47">
        <v>5729.1159300711706</v>
      </c>
      <c r="AF47">
        <v>3.3192499432786335</v>
      </c>
      <c r="AG47">
        <v>5070.4862133524402</v>
      </c>
      <c r="AH47">
        <v>3.0459882408193004</v>
      </c>
      <c r="AI47">
        <v>4653.0516366755628</v>
      </c>
      <c r="AJ47">
        <v>6</v>
      </c>
      <c r="AK47">
        <v>9165.5999999999985</v>
      </c>
      <c r="AL47">
        <v>5.4186767427853937</v>
      </c>
      <c r="AM47">
        <v>8277.5705922789675</v>
      </c>
      <c r="AN47">
        <v>0.92043150960739539</v>
      </c>
      <c r="AO47">
        <v>1406.0511740762572</v>
      </c>
      <c r="AP47">
        <v>8</v>
      </c>
      <c r="AQ47">
        <v>12220.8</v>
      </c>
      <c r="AR47">
        <v>8</v>
      </c>
      <c r="AS47">
        <v>12220.8</v>
      </c>
      <c r="AT47">
        <v>8</v>
      </c>
      <c r="AU47">
        <v>12220.8</v>
      </c>
      <c r="AV47">
        <v>5</v>
      </c>
      <c r="AW47">
        <v>7638</v>
      </c>
      <c r="AX47">
        <v>7</v>
      </c>
      <c r="AY47">
        <v>10693.199999999999</v>
      </c>
      <c r="AZ47">
        <v>6</v>
      </c>
      <c r="BA47">
        <v>9165.5999999999985</v>
      </c>
      <c r="BB47">
        <v>5</v>
      </c>
      <c r="BC47">
        <v>7638</v>
      </c>
      <c r="BD47">
        <v>6</v>
      </c>
      <c r="BE47">
        <v>9165.5999999999985</v>
      </c>
      <c r="BF47">
        <v>5</v>
      </c>
      <c r="BG47">
        <v>7638</v>
      </c>
      <c r="BH47">
        <v>8</v>
      </c>
      <c r="BI47">
        <v>12220.8</v>
      </c>
      <c r="BJ47">
        <v>8</v>
      </c>
      <c r="BK47">
        <v>12220.8</v>
      </c>
      <c r="BL47">
        <v>8</v>
      </c>
      <c r="BM47">
        <v>12220.8</v>
      </c>
      <c r="BN47">
        <v>9</v>
      </c>
      <c r="BO47">
        <v>13748.4</v>
      </c>
      <c r="BP47">
        <v>5.1647427091798326</v>
      </c>
      <c r="BQ47">
        <v>7889.660962543112</v>
      </c>
      <c r="BR47">
        <v>5</v>
      </c>
      <c r="BS47">
        <v>7638</v>
      </c>
      <c r="BT47">
        <v>5.611895167647841</v>
      </c>
      <c r="BU47">
        <v>8572.7310580988415</v>
      </c>
      <c r="BV47">
        <v>6</v>
      </c>
      <c r="BW47">
        <v>9165.5999999999985</v>
      </c>
      <c r="BX47">
        <v>9</v>
      </c>
      <c r="BY47">
        <v>13748.4</v>
      </c>
      <c r="BZ47">
        <v>4.9927721020321236</v>
      </c>
      <c r="CA47">
        <v>7626.9586630642716</v>
      </c>
      <c r="CB47">
        <v>4.8876395925761997</v>
      </c>
      <c r="CC47">
        <v>7466.3582416194022</v>
      </c>
      <c r="CD47">
        <v>9.1386117906106126</v>
      </c>
      <c r="CE47">
        <v>13960.143371336771</v>
      </c>
      <c r="CF47">
        <v>4.157891245739445</v>
      </c>
      <c r="CG47">
        <v>6351.5946669915757</v>
      </c>
      <c r="CH47">
        <v>7</v>
      </c>
      <c r="CI47">
        <v>10693.199999999999</v>
      </c>
      <c r="CJ47">
        <v>7</v>
      </c>
      <c r="CK47">
        <v>10693.199999999999</v>
      </c>
      <c r="CL47">
        <v>8</v>
      </c>
      <c r="CM47">
        <v>12220.8</v>
      </c>
      <c r="CN47">
        <v>1.2624199341151938</v>
      </c>
      <c r="CO47">
        <v>1928.47269135437</v>
      </c>
      <c r="CP47">
        <v>5</v>
      </c>
      <c r="CQ47">
        <v>7638</v>
      </c>
      <c r="CR47">
        <v>7.091531316091447</v>
      </c>
      <c r="CS47">
        <v>10833.023238461294</v>
      </c>
      <c r="CT47">
        <v>2.890254268287237</v>
      </c>
      <c r="CU47">
        <v>4415.1524202355831</v>
      </c>
    </row>
    <row r="48" spans="2:99">
      <c r="C48" s="99" t="s">
        <v>215</v>
      </c>
      <c r="D48">
        <v>4.5464183239457103</v>
      </c>
      <c r="E48">
        <v>3944.4725378552985</v>
      </c>
      <c r="F48">
        <v>1.1895503047997298</v>
      </c>
      <c r="G48">
        <v>1032.0538444442457</v>
      </c>
      <c r="H48">
        <v>3.7835150257194914</v>
      </c>
      <c r="I48">
        <v>3282.5776363142309</v>
      </c>
      <c r="J48">
        <v>5.3081111770419547</v>
      </c>
      <c r="K48">
        <v>4605.3172572016001</v>
      </c>
      <c r="L48">
        <v>7</v>
      </c>
      <c r="M48">
        <v>6073.2</v>
      </c>
      <c r="N48">
        <v>4.921811442174552</v>
      </c>
      <c r="O48">
        <v>4270.163607230641</v>
      </c>
      <c r="P48">
        <v>5.1514169544405854</v>
      </c>
      <c r="Q48">
        <v>4469.3693496726519</v>
      </c>
      <c r="R48">
        <v>5</v>
      </c>
      <c r="S48">
        <v>4338</v>
      </c>
      <c r="T48">
        <v>8</v>
      </c>
      <c r="U48">
        <v>6940.8</v>
      </c>
      <c r="V48">
        <v>7</v>
      </c>
      <c r="W48">
        <v>6073.2</v>
      </c>
      <c r="X48">
        <v>7</v>
      </c>
      <c r="Y48">
        <v>6073.2</v>
      </c>
      <c r="Z48">
        <v>5.8350241044638578</v>
      </c>
      <c r="AA48">
        <v>5062.466913032843</v>
      </c>
      <c r="AB48">
        <v>4.7568405158843632</v>
      </c>
      <c r="AC48">
        <v>4127.0348315812735</v>
      </c>
      <c r="AD48">
        <v>4.5004838413756261</v>
      </c>
      <c r="AE48">
        <v>3904.6197807774934</v>
      </c>
      <c r="AF48">
        <v>3.7484761321125224</v>
      </c>
      <c r="AG48">
        <v>3252.1778922208246</v>
      </c>
      <c r="AH48">
        <v>3.0459882408193004</v>
      </c>
      <c r="AI48">
        <v>2642.6993977348252</v>
      </c>
      <c r="AJ48">
        <v>6</v>
      </c>
      <c r="AK48">
        <v>5205.6000000000004</v>
      </c>
      <c r="AL48">
        <v>5.4310192684292007</v>
      </c>
      <c r="AM48">
        <v>4711.952317289175</v>
      </c>
      <c r="AN48">
        <v>0.92043150960739539</v>
      </c>
      <c r="AO48">
        <v>798.56637773537625</v>
      </c>
      <c r="AP48">
        <v>9</v>
      </c>
      <c r="AQ48">
        <v>7808.4000000000005</v>
      </c>
      <c r="AR48">
        <v>8</v>
      </c>
      <c r="AS48">
        <v>6940.8</v>
      </c>
      <c r="AT48">
        <v>8</v>
      </c>
      <c r="AU48">
        <v>6940.8</v>
      </c>
      <c r="AV48">
        <v>5</v>
      </c>
      <c r="AW48">
        <v>4338</v>
      </c>
      <c r="AX48">
        <v>7</v>
      </c>
      <c r="AY48">
        <v>6073.2</v>
      </c>
      <c r="AZ48">
        <v>6</v>
      </c>
      <c r="BA48">
        <v>5205.6000000000004</v>
      </c>
      <c r="BB48">
        <v>6</v>
      </c>
      <c r="BC48">
        <v>5205.6000000000004</v>
      </c>
      <c r="BD48">
        <v>6</v>
      </c>
      <c r="BE48">
        <v>5205.6000000000004</v>
      </c>
      <c r="BF48">
        <v>5</v>
      </c>
      <c r="BG48">
        <v>4338</v>
      </c>
      <c r="BH48">
        <v>8</v>
      </c>
      <c r="BI48">
        <v>6940.8</v>
      </c>
      <c r="BJ48">
        <v>9</v>
      </c>
      <c r="BK48">
        <v>7808.4000000000005</v>
      </c>
      <c r="BL48">
        <v>8</v>
      </c>
      <c r="BM48">
        <v>6940.8</v>
      </c>
      <c r="BN48">
        <v>10</v>
      </c>
      <c r="BO48">
        <v>8676</v>
      </c>
      <c r="BP48">
        <v>4.3039522576498612</v>
      </c>
      <c r="BQ48">
        <v>3734.1089787370197</v>
      </c>
      <c r="BR48">
        <v>5</v>
      </c>
      <c r="BS48">
        <v>4338</v>
      </c>
      <c r="BT48">
        <v>5.611895167647841</v>
      </c>
      <c r="BU48">
        <v>4868.8802474512668</v>
      </c>
      <c r="BV48">
        <v>6</v>
      </c>
      <c r="BW48">
        <v>5205.6000000000004</v>
      </c>
      <c r="BX48">
        <v>9</v>
      </c>
      <c r="BY48">
        <v>7808.4000000000005</v>
      </c>
      <c r="BZ48">
        <v>5.8249007857041448</v>
      </c>
      <c r="CA48">
        <v>5053.6839216769158</v>
      </c>
      <c r="CB48">
        <v>4.1894053650653147</v>
      </c>
      <c r="CC48">
        <v>3634.7280947306672</v>
      </c>
      <c r="CD48">
        <v>9.1212853167842862</v>
      </c>
      <c r="CE48">
        <v>7913.6271408420471</v>
      </c>
      <c r="CF48">
        <v>4.157891245739445</v>
      </c>
      <c r="CG48">
        <v>3607.3864448035424</v>
      </c>
      <c r="CH48">
        <v>8</v>
      </c>
      <c r="CI48">
        <v>6940.8</v>
      </c>
      <c r="CJ48">
        <v>7</v>
      </c>
      <c r="CK48">
        <v>6073.2</v>
      </c>
      <c r="CL48">
        <v>8.1351556459871848</v>
      </c>
      <c r="CM48">
        <v>7058.0610384584816</v>
      </c>
      <c r="CN48">
        <v>1.2624199341151938</v>
      </c>
      <c r="CO48">
        <v>1095.2755348383421</v>
      </c>
      <c r="CP48">
        <v>6</v>
      </c>
      <c r="CQ48">
        <v>5205.6000000000004</v>
      </c>
      <c r="CR48">
        <v>8.1017014623238293</v>
      </c>
      <c r="CS48">
        <v>7029.0361887121544</v>
      </c>
      <c r="CT48">
        <v>3.3719633130017761</v>
      </c>
      <c r="CU48">
        <v>2925.515370360341</v>
      </c>
    </row>
    <row r="49" spans="2:99">
      <c r="B49" s="99" t="s">
        <v>129</v>
      </c>
      <c r="C49" s="99" t="s">
        <v>216</v>
      </c>
      <c r="D49">
        <v>6.0603157445179079</v>
      </c>
      <c r="E49">
        <v>5970.6230714990425</v>
      </c>
      <c r="F49">
        <v>5</v>
      </c>
      <c r="G49">
        <v>4926</v>
      </c>
      <c r="H49">
        <v>7</v>
      </c>
      <c r="I49">
        <v>6896.4</v>
      </c>
      <c r="J49">
        <v>5</v>
      </c>
      <c r="K49">
        <v>4926</v>
      </c>
      <c r="L49">
        <v>5</v>
      </c>
      <c r="M49">
        <v>4926</v>
      </c>
      <c r="N49">
        <v>7.3370645455267622</v>
      </c>
      <c r="O49">
        <v>7228.4759902529659</v>
      </c>
      <c r="P49">
        <v>5</v>
      </c>
      <c r="Q49">
        <v>4926</v>
      </c>
      <c r="R49">
        <v>4.6981605302767147</v>
      </c>
      <c r="S49">
        <v>4628.6277544286186</v>
      </c>
      <c r="T49">
        <v>3.8057062490462017</v>
      </c>
      <c r="U49">
        <v>3749.3817965603175</v>
      </c>
      <c r="V49">
        <v>2.9905219250997019</v>
      </c>
      <c r="W49">
        <v>2946.2622006082261</v>
      </c>
      <c r="X49">
        <v>1.3103286830766443</v>
      </c>
      <c r="Y49">
        <v>1290.9358185671099</v>
      </c>
      <c r="Z49">
        <v>3.633481956407925</v>
      </c>
      <c r="AA49">
        <v>3579.7064234530876</v>
      </c>
      <c r="AB49">
        <v>5</v>
      </c>
      <c r="AC49">
        <v>4926</v>
      </c>
      <c r="AD49">
        <v>6</v>
      </c>
      <c r="AE49">
        <v>5911.2</v>
      </c>
      <c r="AF49">
        <v>4</v>
      </c>
      <c r="AG49">
        <v>3940.7999999999997</v>
      </c>
      <c r="AH49">
        <v>4</v>
      </c>
      <c r="AI49">
        <v>3940.7999999999997</v>
      </c>
      <c r="AJ49">
        <v>4</v>
      </c>
      <c r="AK49">
        <v>3940.7999999999997</v>
      </c>
      <c r="AL49">
        <v>5</v>
      </c>
      <c r="AM49">
        <v>4926</v>
      </c>
      <c r="AN49">
        <v>6</v>
      </c>
      <c r="AO49">
        <v>5911.2</v>
      </c>
      <c r="AP49">
        <v>3.2874530976242662</v>
      </c>
      <c r="AQ49">
        <v>3238.7987917794267</v>
      </c>
      <c r="AR49">
        <v>4</v>
      </c>
      <c r="AS49">
        <v>3940.7999999999997</v>
      </c>
      <c r="AT49">
        <v>5</v>
      </c>
      <c r="AU49">
        <v>4926</v>
      </c>
      <c r="AV49">
        <v>4</v>
      </c>
      <c r="AW49">
        <v>3940.7999999999997</v>
      </c>
      <c r="AX49">
        <v>6</v>
      </c>
      <c r="AY49">
        <v>5911.2</v>
      </c>
      <c r="AZ49">
        <v>5</v>
      </c>
      <c r="BA49">
        <v>4926</v>
      </c>
      <c r="BB49">
        <v>6.292537552203739</v>
      </c>
      <c r="BC49">
        <v>6199.4079964311231</v>
      </c>
      <c r="BD49">
        <v>3.8454665197184852</v>
      </c>
      <c r="BE49">
        <v>3788.5536152266513</v>
      </c>
      <c r="BF49">
        <v>6.1118566342938099</v>
      </c>
      <c r="BG49">
        <v>6021.4011561062607</v>
      </c>
      <c r="BH49">
        <v>5</v>
      </c>
      <c r="BI49">
        <v>4926</v>
      </c>
      <c r="BJ49">
        <v>4.0072988401528225</v>
      </c>
      <c r="BK49">
        <v>3947.9908173185604</v>
      </c>
      <c r="BL49">
        <v>5.0661169344935253</v>
      </c>
      <c r="BM49">
        <v>4991.1384038630204</v>
      </c>
      <c r="BN49">
        <v>6.0225503073957798</v>
      </c>
      <c r="BO49">
        <v>5933.4165628463215</v>
      </c>
      <c r="BP49">
        <v>3.4207949920578269</v>
      </c>
      <c r="BQ49">
        <v>3370.1672261753706</v>
      </c>
      <c r="BR49">
        <v>4.9175680930668886</v>
      </c>
      <c r="BS49">
        <v>4844.7880852894987</v>
      </c>
      <c r="BT49">
        <v>2.1879888402045755</v>
      </c>
      <c r="BU49">
        <v>2155.6066053695477</v>
      </c>
      <c r="BV49">
        <v>4.2997879585704171</v>
      </c>
      <c r="BW49">
        <v>4236.1510967835748</v>
      </c>
      <c r="BX49">
        <v>4.3637337138005883</v>
      </c>
      <c r="BY49">
        <v>4299.1504548363391</v>
      </c>
      <c r="BZ49">
        <v>6</v>
      </c>
      <c r="CA49">
        <v>5911.2</v>
      </c>
      <c r="CB49">
        <v>4.2598358404657626</v>
      </c>
      <c r="CC49">
        <v>4196.7902700268687</v>
      </c>
      <c r="CD49">
        <v>6.3974365299686466</v>
      </c>
      <c r="CE49">
        <v>6302.7544693251102</v>
      </c>
      <c r="CF49">
        <v>4</v>
      </c>
      <c r="CG49">
        <v>3940.7999999999997</v>
      </c>
      <c r="CH49">
        <v>4.2224771842268654</v>
      </c>
      <c r="CI49">
        <v>4159.9845219003073</v>
      </c>
      <c r="CJ49">
        <v>5.3143589525311414</v>
      </c>
      <c r="CK49">
        <v>5235.7064400336803</v>
      </c>
      <c r="CL49">
        <v>4.1305410105300364</v>
      </c>
      <c r="CM49">
        <v>4069.4090035741915</v>
      </c>
      <c r="CN49">
        <v>4.2608741952032352</v>
      </c>
      <c r="CO49">
        <v>4197.8132571142269</v>
      </c>
      <c r="CP49">
        <v>6</v>
      </c>
      <c r="CQ49">
        <v>5911.2</v>
      </c>
      <c r="CR49">
        <v>3.7228912268267909</v>
      </c>
      <c r="CS49">
        <v>3667.7924366697539</v>
      </c>
      <c r="CT49">
        <v>1.0112830902691594</v>
      </c>
      <c r="CU49">
        <v>996.31610053317581</v>
      </c>
    </row>
    <row r="50" spans="2:99">
      <c r="C50" s="99" t="s">
        <v>217</v>
      </c>
      <c r="D50">
        <v>4.5129293740249494</v>
      </c>
      <c r="E50">
        <v>1272.6460834750358</v>
      </c>
      <c r="F50">
        <v>0.84967878914266404</v>
      </c>
      <c r="G50">
        <v>239.60941853823127</v>
      </c>
      <c r="H50">
        <v>6.6211512950091098</v>
      </c>
      <c r="I50">
        <v>1867.1646651925689</v>
      </c>
      <c r="J50">
        <v>3.7915079836013956</v>
      </c>
      <c r="K50">
        <v>1069.2052513755937</v>
      </c>
      <c r="L50">
        <v>5</v>
      </c>
      <c r="M50">
        <v>1410</v>
      </c>
      <c r="N50">
        <v>6.8905360190443732</v>
      </c>
      <c r="O50">
        <v>1943.1311573705132</v>
      </c>
      <c r="P50">
        <v>5.1665586498846441</v>
      </c>
      <c r="Q50">
        <v>1456.9695392674696</v>
      </c>
      <c r="R50">
        <v>6</v>
      </c>
      <c r="S50">
        <v>1692</v>
      </c>
      <c r="T50">
        <v>6</v>
      </c>
      <c r="U50">
        <v>1692</v>
      </c>
      <c r="V50">
        <v>6</v>
      </c>
      <c r="W50">
        <v>1692</v>
      </c>
      <c r="X50">
        <v>6</v>
      </c>
      <c r="Y50">
        <v>1692</v>
      </c>
      <c r="Z50">
        <v>4.8625200870532144</v>
      </c>
      <c r="AA50">
        <v>1371.2306645490064</v>
      </c>
      <c r="AB50">
        <v>3.9640337632369693</v>
      </c>
      <c r="AC50">
        <v>1117.8575212328253</v>
      </c>
      <c r="AD50">
        <v>4.5004838413756261</v>
      </c>
      <c r="AE50">
        <v>1269.1364432679266</v>
      </c>
      <c r="AF50">
        <v>1.7932778002638745</v>
      </c>
      <c r="AG50">
        <v>505.70433967441261</v>
      </c>
      <c r="AH50">
        <v>3.0459882408193004</v>
      </c>
      <c r="AI50">
        <v>858.96868391104272</v>
      </c>
      <c r="AJ50">
        <v>4</v>
      </c>
      <c r="AK50">
        <v>1128</v>
      </c>
      <c r="AL50">
        <v>3.4483855924599012</v>
      </c>
      <c r="AM50">
        <v>972.44473707369218</v>
      </c>
      <c r="AN50">
        <v>0.78894129394919621</v>
      </c>
      <c r="AO50">
        <v>222.48144489367334</v>
      </c>
      <c r="AP50">
        <v>4</v>
      </c>
      <c r="AQ50">
        <v>1128</v>
      </c>
      <c r="AR50">
        <v>3</v>
      </c>
      <c r="AS50">
        <v>846</v>
      </c>
      <c r="AT50">
        <v>6</v>
      </c>
      <c r="AU50">
        <v>1692</v>
      </c>
      <c r="AV50">
        <v>4</v>
      </c>
      <c r="AW50">
        <v>1128</v>
      </c>
      <c r="AX50">
        <v>6</v>
      </c>
      <c r="AY50">
        <v>1692</v>
      </c>
      <c r="AZ50">
        <v>5</v>
      </c>
      <c r="BA50">
        <v>1410</v>
      </c>
      <c r="BB50">
        <v>5</v>
      </c>
      <c r="BC50">
        <v>1410</v>
      </c>
      <c r="BD50">
        <v>7</v>
      </c>
      <c r="BE50">
        <v>1974</v>
      </c>
      <c r="BF50">
        <v>6</v>
      </c>
      <c r="BG50">
        <v>1692</v>
      </c>
      <c r="BH50">
        <v>5</v>
      </c>
      <c r="BI50">
        <v>1410</v>
      </c>
      <c r="BJ50">
        <v>5</v>
      </c>
      <c r="BK50">
        <v>1410</v>
      </c>
      <c r="BL50">
        <v>6</v>
      </c>
      <c r="BM50">
        <v>1692</v>
      </c>
      <c r="BN50">
        <v>5</v>
      </c>
      <c r="BO50">
        <v>1410</v>
      </c>
      <c r="BP50">
        <v>5.1647427091798326</v>
      </c>
      <c r="BQ50">
        <v>1456.4574439887128</v>
      </c>
      <c r="BR50">
        <v>4</v>
      </c>
      <c r="BS50">
        <v>1128</v>
      </c>
      <c r="BT50">
        <v>4.0084965483198873</v>
      </c>
      <c r="BU50">
        <v>1130.3960266262081</v>
      </c>
      <c r="BV50">
        <v>3</v>
      </c>
      <c r="BW50">
        <v>846</v>
      </c>
      <c r="BX50">
        <v>7</v>
      </c>
      <c r="BY50">
        <v>1974</v>
      </c>
      <c r="BZ50">
        <v>5.8249007857041448</v>
      </c>
      <c r="CA50">
        <v>1642.6220215685689</v>
      </c>
      <c r="CB50">
        <v>2.7929369100435428</v>
      </c>
      <c r="CC50">
        <v>787.60820863227912</v>
      </c>
      <c r="CD50">
        <v>6.1386117906106126</v>
      </c>
      <c r="CE50">
        <v>1731.0885249521928</v>
      </c>
      <c r="CF50">
        <v>2.3759378547082539</v>
      </c>
      <c r="CG50">
        <v>670.0144750277276</v>
      </c>
      <c r="CH50">
        <v>5</v>
      </c>
      <c r="CI50">
        <v>1410</v>
      </c>
      <c r="CJ50">
        <v>5</v>
      </c>
      <c r="CK50">
        <v>1410</v>
      </c>
      <c r="CL50">
        <v>5.0935692933757437</v>
      </c>
      <c r="CM50">
        <v>1436.3865407319597</v>
      </c>
      <c r="CN50">
        <v>0.84161328941012925</v>
      </c>
      <c r="CO50">
        <v>237.33494761365645</v>
      </c>
      <c r="CP50">
        <v>6</v>
      </c>
      <c r="CQ50">
        <v>1692</v>
      </c>
      <c r="CR50">
        <v>4.0711910236266808</v>
      </c>
      <c r="CS50">
        <v>1148.0758686627239</v>
      </c>
      <c r="CT50">
        <v>3.8536723577163157</v>
      </c>
      <c r="CU50">
        <v>1086.7356048760009</v>
      </c>
    </row>
    <row r="51" spans="2:99">
      <c r="C51" s="99" t="s">
        <v>218</v>
      </c>
      <c r="D51">
        <v>4.4794404241041885</v>
      </c>
      <c r="E51">
        <v>3827.2338983546188</v>
      </c>
      <c r="F51">
        <v>0.84967878914266404</v>
      </c>
      <c r="G51">
        <v>725.96555744349212</v>
      </c>
      <c r="H51">
        <v>6.6211512950091098</v>
      </c>
      <c r="I51">
        <v>5657.1116664557831</v>
      </c>
      <c r="J51">
        <v>4.5498095803216749</v>
      </c>
      <c r="K51">
        <v>3887.357305426839</v>
      </c>
      <c r="L51">
        <v>5</v>
      </c>
      <c r="M51">
        <v>4272</v>
      </c>
      <c r="N51">
        <v>6.8905360190443732</v>
      </c>
      <c r="O51">
        <v>5887.2739746715124</v>
      </c>
      <c r="P51">
        <v>4.1817003453287027</v>
      </c>
      <c r="Q51">
        <v>3572.8447750488435</v>
      </c>
      <c r="R51">
        <v>6</v>
      </c>
      <c r="S51">
        <v>5126.3999999999996</v>
      </c>
      <c r="T51">
        <v>6</v>
      </c>
      <c r="U51">
        <v>5126.3999999999996</v>
      </c>
      <c r="V51">
        <v>6</v>
      </c>
      <c r="W51">
        <v>5126.3999999999996</v>
      </c>
      <c r="X51">
        <v>6</v>
      </c>
      <c r="Y51">
        <v>5126.3999999999996</v>
      </c>
      <c r="Z51">
        <v>4.8625200870532144</v>
      </c>
      <c r="AA51">
        <v>4154.5371623782667</v>
      </c>
      <c r="AB51">
        <v>3.1712270105895755</v>
      </c>
      <c r="AC51">
        <v>2709.4963578477332</v>
      </c>
      <c r="AD51">
        <v>4.5004838413756261</v>
      </c>
      <c r="AE51">
        <v>3845.2133940713347</v>
      </c>
      <c r="AF51">
        <v>1.7741845390317947</v>
      </c>
      <c r="AG51">
        <v>1515.8632701487654</v>
      </c>
      <c r="AH51">
        <v>3.0459882408193004</v>
      </c>
      <c r="AI51">
        <v>2602.4923529560101</v>
      </c>
      <c r="AJ51">
        <v>4</v>
      </c>
      <c r="AK51">
        <v>3417.6</v>
      </c>
      <c r="AL51">
        <v>2.7833935252555335</v>
      </c>
      <c r="AM51">
        <v>2378.1314279783278</v>
      </c>
      <c r="AN51">
        <v>0.78894129394919621</v>
      </c>
      <c r="AO51">
        <v>674.07144155019319</v>
      </c>
      <c r="AP51">
        <v>3</v>
      </c>
      <c r="AQ51">
        <v>2563.1999999999998</v>
      </c>
      <c r="AR51">
        <v>4</v>
      </c>
      <c r="AS51">
        <v>3417.6</v>
      </c>
      <c r="AT51">
        <v>6</v>
      </c>
      <c r="AU51">
        <v>5126.3999999999996</v>
      </c>
      <c r="AV51">
        <v>4</v>
      </c>
      <c r="AW51">
        <v>3417.6</v>
      </c>
      <c r="AX51">
        <v>7</v>
      </c>
      <c r="AY51">
        <v>5980.8</v>
      </c>
      <c r="AZ51">
        <v>5</v>
      </c>
      <c r="BA51">
        <v>4272</v>
      </c>
      <c r="BB51">
        <v>5</v>
      </c>
      <c r="BC51">
        <v>4272</v>
      </c>
      <c r="BD51">
        <v>6</v>
      </c>
      <c r="BE51">
        <v>5126.3999999999996</v>
      </c>
      <c r="BF51">
        <v>6</v>
      </c>
      <c r="BG51">
        <v>5126.3999999999996</v>
      </c>
      <c r="BH51">
        <v>5</v>
      </c>
      <c r="BI51">
        <v>4272</v>
      </c>
      <c r="BJ51">
        <v>4</v>
      </c>
      <c r="BK51">
        <v>3417.6</v>
      </c>
      <c r="BL51">
        <v>5</v>
      </c>
      <c r="BM51">
        <v>4272</v>
      </c>
      <c r="BN51">
        <v>5</v>
      </c>
      <c r="BO51">
        <v>4272</v>
      </c>
      <c r="BP51">
        <v>4.3039522576498612</v>
      </c>
      <c r="BQ51">
        <v>3677.2968089360415</v>
      </c>
      <c r="BR51">
        <v>4</v>
      </c>
      <c r="BS51">
        <v>3417.6</v>
      </c>
      <c r="BT51">
        <v>4.0084965483198873</v>
      </c>
      <c r="BU51">
        <v>3424.8594508845117</v>
      </c>
      <c r="BV51">
        <v>3</v>
      </c>
      <c r="BW51">
        <v>2563.1999999999998</v>
      </c>
      <c r="BX51">
        <v>6</v>
      </c>
      <c r="BY51">
        <v>5126.3999999999996</v>
      </c>
      <c r="BZ51">
        <v>4.9927721020321236</v>
      </c>
      <c r="CA51">
        <v>4265.8244839762465</v>
      </c>
      <c r="CB51">
        <v>2.7929369100435428</v>
      </c>
      <c r="CC51">
        <v>2386.285295941203</v>
      </c>
      <c r="CD51">
        <v>6.1386117906106126</v>
      </c>
      <c r="CE51">
        <v>5244.8299138977072</v>
      </c>
      <c r="CF51">
        <v>2.3759378547082539</v>
      </c>
      <c r="CG51">
        <v>2030.0013030627322</v>
      </c>
      <c r="CH51">
        <v>4</v>
      </c>
      <c r="CI51">
        <v>3417.6</v>
      </c>
      <c r="CJ51">
        <v>5</v>
      </c>
      <c r="CK51">
        <v>4272</v>
      </c>
      <c r="CL51">
        <v>6.083172705222883</v>
      </c>
      <c r="CM51">
        <v>5197.4627593424311</v>
      </c>
      <c r="CN51">
        <v>0.84161328941012925</v>
      </c>
      <c r="CO51">
        <v>719.07439447201443</v>
      </c>
      <c r="CP51">
        <v>6</v>
      </c>
      <c r="CQ51">
        <v>5126.3999999999996</v>
      </c>
      <c r="CR51">
        <v>3.0610208773942977</v>
      </c>
      <c r="CS51">
        <v>2615.336237645688</v>
      </c>
      <c r="CT51">
        <v>2.890254268287237</v>
      </c>
      <c r="CU51">
        <v>2469.4332468246153</v>
      </c>
    </row>
    <row r="52" spans="2:99">
      <c r="C52" s="99" t="s">
        <v>219</v>
      </c>
      <c r="D52">
        <v>4.5129293740249494</v>
      </c>
      <c r="E52">
        <v>2436.9818619734729</v>
      </c>
      <c r="F52">
        <v>0.84967878914266404</v>
      </c>
      <c r="G52">
        <v>458.82654613703858</v>
      </c>
      <c r="H52">
        <v>6.6211512950091098</v>
      </c>
      <c r="I52">
        <v>3575.4216993049195</v>
      </c>
      <c r="J52">
        <v>3.7915079836013956</v>
      </c>
      <c r="K52">
        <v>2047.4143111447536</v>
      </c>
      <c r="L52">
        <v>6</v>
      </c>
      <c r="M52">
        <v>3240</v>
      </c>
      <c r="N52">
        <v>6.8905360190443732</v>
      </c>
      <c r="O52">
        <v>3720.8894502839617</v>
      </c>
      <c r="P52">
        <v>5.1665586498846441</v>
      </c>
      <c r="Q52">
        <v>2789.9416709377078</v>
      </c>
      <c r="R52">
        <v>6</v>
      </c>
      <c r="S52">
        <v>3240</v>
      </c>
      <c r="T52">
        <v>6</v>
      </c>
      <c r="U52">
        <v>3240</v>
      </c>
      <c r="V52">
        <v>6</v>
      </c>
      <c r="W52">
        <v>3240</v>
      </c>
      <c r="X52">
        <v>6</v>
      </c>
      <c r="Y52">
        <v>3240</v>
      </c>
      <c r="Z52">
        <v>4.8625200870532144</v>
      </c>
      <c r="AA52">
        <v>2625.7608470087357</v>
      </c>
      <c r="AB52">
        <v>3.9640337632369693</v>
      </c>
      <c r="AC52">
        <v>2140.5782321479633</v>
      </c>
      <c r="AD52">
        <v>4.5004838413756261</v>
      </c>
      <c r="AE52">
        <v>2430.2612743428381</v>
      </c>
      <c r="AF52">
        <v>1.7550912777997152</v>
      </c>
      <c r="AG52">
        <v>947.74929001184626</v>
      </c>
      <c r="AH52">
        <v>2.4367905926554401</v>
      </c>
      <c r="AI52">
        <v>1315.8669200339377</v>
      </c>
      <c r="AJ52">
        <v>4</v>
      </c>
      <c r="AK52">
        <v>2160</v>
      </c>
      <c r="AL52">
        <v>3.4483855924599012</v>
      </c>
      <c r="AM52">
        <v>1862.1282199283467</v>
      </c>
      <c r="AN52">
        <v>0.78894129394919621</v>
      </c>
      <c r="AO52">
        <v>426.02829873256593</v>
      </c>
      <c r="AP52">
        <v>4</v>
      </c>
      <c r="AQ52">
        <v>2160</v>
      </c>
      <c r="AR52">
        <v>4</v>
      </c>
      <c r="AS52">
        <v>2160</v>
      </c>
      <c r="AT52">
        <v>6</v>
      </c>
      <c r="AU52">
        <v>3240</v>
      </c>
      <c r="AV52">
        <v>4</v>
      </c>
      <c r="AW52">
        <v>2160</v>
      </c>
      <c r="AX52">
        <v>7</v>
      </c>
      <c r="AY52">
        <v>3780</v>
      </c>
      <c r="AZ52">
        <v>5</v>
      </c>
      <c r="BA52">
        <v>2700</v>
      </c>
      <c r="BB52">
        <v>5</v>
      </c>
      <c r="BC52">
        <v>2700</v>
      </c>
      <c r="BD52">
        <v>6</v>
      </c>
      <c r="BE52">
        <v>3240</v>
      </c>
      <c r="BF52">
        <v>6</v>
      </c>
      <c r="BG52">
        <v>3240</v>
      </c>
      <c r="BH52">
        <v>5</v>
      </c>
      <c r="BI52">
        <v>2700</v>
      </c>
      <c r="BJ52">
        <v>4</v>
      </c>
      <c r="BK52">
        <v>2160</v>
      </c>
      <c r="BL52">
        <v>5</v>
      </c>
      <c r="BM52">
        <v>2700</v>
      </c>
      <c r="BN52">
        <v>6</v>
      </c>
      <c r="BO52">
        <v>3240</v>
      </c>
      <c r="BP52">
        <v>4.3039522576498612</v>
      </c>
      <c r="BQ52">
        <v>2324.134219130925</v>
      </c>
      <c r="BR52">
        <v>4</v>
      </c>
      <c r="BS52">
        <v>2160</v>
      </c>
      <c r="BT52">
        <v>4.0084965483198873</v>
      </c>
      <c r="BU52">
        <v>2164.5881360927392</v>
      </c>
      <c r="BV52">
        <v>3</v>
      </c>
      <c r="BW52">
        <v>1620</v>
      </c>
      <c r="BX52">
        <v>6</v>
      </c>
      <c r="BY52">
        <v>3240</v>
      </c>
      <c r="BZ52">
        <v>4.9927721020321236</v>
      </c>
      <c r="CA52">
        <v>2696.0969350973469</v>
      </c>
      <c r="CB52">
        <v>2.7929369100435428</v>
      </c>
      <c r="CC52">
        <v>1508.1859314235132</v>
      </c>
      <c r="CD52">
        <v>6.1559382644369389</v>
      </c>
      <c r="CE52">
        <v>3324.2066627959471</v>
      </c>
      <c r="CF52">
        <v>2.3759378547082539</v>
      </c>
      <c r="CG52">
        <v>1283.0064415424572</v>
      </c>
      <c r="CH52">
        <v>5</v>
      </c>
      <c r="CI52">
        <v>2700</v>
      </c>
      <c r="CJ52">
        <v>5</v>
      </c>
      <c r="CK52">
        <v>2700</v>
      </c>
      <c r="CL52">
        <v>5.083172705222883</v>
      </c>
      <c r="CM52">
        <v>2744.9132608203568</v>
      </c>
      <c r="CN52">
        <v>0.84161328941012925</v>
      </c>
      <c r="CO52">
        <v>454.47117628146981</v>
      </c>
      <c r="CP52">
        <v>6</v>
      </c>
      <c r="CQ52">
        <v>3240</v>
      </c>
      <c r="CR52">
        <v>4.0610208773942977</v>
      </c>
      <c r="CS52">
        <v>2192.9512737929208</v>
      </c>
      <c r="CT52">
        <v>3.3719633130017761</v>
      </c>
      <c r="CU52">
        <v>1820.8601890209591</v>
      </c>
    </row>
    <row r="53" spans="2:99">
      <c r="C53" s="99" t="s">
        <v>220</v>
      </c>
      <c r="D53">
        <v>5.1813618948938709</v>
      </c>
      <c r="E53">
        <v>2107.7780188428269</v>
      </c>
      <c r="F53">
        <v>0.84967878914266404</v>
      </c>
      <c r="G53">
        <v>345.64933142323576</v>
      </c>
      <c r="H53">
        <v>6.6211512950091098</v>
      </c>
      <c r="I53">
        <v>2693.484346809706</v>
      </c>
      <c r="J53">
        <v>4.5498095803216749</v>
      </c>
      <c r="K53">
        <v>1850.8625372748575</v>
      </c>
      <c r="L53">
        <v>5</v>
      </c>
      <c r="M53">
        <v>2034</v>
      </c>
      <c r="N53">
        <v>6.8905360190443732</v>
      </c>
      <c r="O53">
        <v>2803.0700525472512</v>
      </c>
      <c r="P53">
        <v>5.1665586498846441</v>
      </c>
      <c r="Q53">
        <v>2101.7560587730732</v>
      </c>
      <c r="R53">
        <v>6</v>
      </c>
      <c r="S53">
        <v>2440.8000000000002</v>
      </c>
      <c r="T53">
        <v>5</v>
      </c>
      <c r="U53">
        <v>2034</v>
      </c>
      <c r="V53">
        <v>6</v>
      </c>
      <c r="W53">
        <v>2440.8000000000002</v>
      </c>
      <c r="X53">
        <v>6</v>
      </c>
      <c r="Y53">
        <v>2440.8000000000002</v>
      </c>
      <c r="Z53">
        <v>4.8625200870532144</v>
      </c>
      <c r="AA53">
        <v>1978.0731714132476</v>
      </c>
      <c r="AB53">
        <v>3.9640337632369693</v>
      </c>
      <c r="AC53">
        <v>1612.5689348847991</v>
      </c>
      <c r="AD53">
        <v>4.5004838413756261</v>
      </c>
      <c r="AE53">
        <v>1830.7968266716048</v>
      </c>
      <c r="AF53">
        <v>2.1652242054015245</v>
      </c>
      <c r="AG53">
        <v>880.81320675734014</v>
      </c>
      <c r="AH53">
        <v>2.4367905926554401</v>
      </c>
      <c r="AI53">
        <v>991.28641309223303</v>
      </c>
      <c r="AJ53">
        <v>4</v>
      </c>
      <c r="AK53">
        <v>1627.2</v>
      </c>
      <c r="AL53">
        <v>3.4483855924599012</v>
      </c>
      <c r="AM53">
        <v>1402.8032590126879</v>
      </c>
      <c r="AN53">
        <v>0.78894129394919621</v>
      </c>
      <c r="AO53">
        <v>320.94131837853303</v>
      </c>
      <c r="AP53">
        <v>4</v>
      </c>
      <c r="AQ53">
        <v>1627.2</v>
      </c>
      <c r="AR53">
        <v>3</v>
      </c>
      <c r="AS53">
        <v>1220.4000000000001</v>
      </c>
      <c r="AT53">
        <v>5</v>
      </c>
      <c r="AU53">
        <v>2034</v>
      </c>
      <c r="AV53">
        <v>4</v>
      </c>
      <c r="AW53">
        <v>1627.2</v>
      </c>
      <c r="AX53">
        <v>7</v>
      </c>
      <c r="AY53">
        <v>2847.6</v>
      </c>
      <c r="AZ53">
        <v>5</v>
      </c>
      <c r="BA53">
        <v>2034</v>
      </c>
      <c r="BB53">
        <v>5</v>
      </c>
      <c r="BC53">
        <v>2034</v>
      </c>
      <c r="BD53">
        <v>6</v>
      </c>
      <c r="BE53">
        <v>2440.8000000000002</v>
      </c>
      <c r="BF53">
        <v>6</v>
      </c>
      <c r="BG53">
        <v>2440.8000000000002</v>
      </c>
      <c r="BH53">
        <v>5</v>
      </c>
      <c r="BI53">
        <v>2034</v>
      </c>
      <c r="BJ53">
        <v>4</v>
      </c>
      <c r="BK53">
        <v>1627.2</v>
      </c>
      <c r="BL53">
        <v>5</v>
      </c>
      <c r="BM53">
        <v>2034</v>
      </c>
      <c r="BN53">
        <v>5</v>
      </c>
      <c r="BO53">
        <v>2034</v>
      </c>
      <c r="BP53">
        <v>5.1647427091798326</v>
      </c>
      <c r="BQ53">
        <v>2101.0173340943561</v>
      </c>
      <c r="BR53">
        <v>4</v>
      </c>
      <c r="BS53">
        <v>1627.2</v>
      </c>
      <c r="BT53">
        <v>4.8101958579838646</v>
      </c>
      <c r="BU53">
        <v>1956.7876750278363</v>
      </c>
      <c r="BV53">
        <v>4</v>
      </c>
      <c r="BW53">
        <v>1627.2</v>
      </c>
      <c r="BX53">
        <v>7</v>
      </c>
      <c r="BY53">
        <v>2847.6</v>
      </c>
      <c r="BZ53">
        <v>4.9927721020321236</v>
      </c>
      <c r="CA53">
        <v>2031.059691106668</v>
      </c>
      <c r="CB53">
        <v>2.7929369100435428</v>
      </c>
      <c r="CC53">
        <v>1136.1667350057132</v>
      </c>
      <c r="CD53">
        <v>7.1386117906106126</v>
      </c>
      <c r="CE53">
        <v>2903.9872764203974</v>
      </c>
      <c r="CF53">
        <v>2.9699223183853176</v>
      </c>
      <c r="CG53">
        <v>1208.1643991191472</v>
      </c>
      <c r="CH53">
        <v>5</v>
      </c>
      <c r="CI53">
        <v>2034</v>
      </c>
      <c r="CJ53">
        <v>5</v>
      </c>
      <c r="CK53">
        <v>2034</v>
      </c>
      <c r="CL53">
        <v>6.083172705222883</v>
      </c>
      <c r="CM53">
        <v>2474.634656484669</v>
      </c>
      <c r="CN53">
        <v>0.84161328941012925</v>
      </c>
      <c r="CO53">
        <v>342.36828613204057</v>
      </c>
      <c r="CP53">
        <v>6</v>
      </c>
      <c r="CQ53">
        <v>2440.8000000000002</v>
      </c>
      <c r="CR53">
        <v>4.0610208773942977</v>
      </c>
      <c r="CS53">
        <v>1652.0232929240003</v>
      </c>
      <c r="CT53">
        <v>3.3719633130017761</v>
      </c>
      <c r="CU53">
        <v>1371.7146757291225</v>
      </c>
    </row>
    <row r="54" spans="2:99">
      <c r="C54" s="99" t="s">
        <v>221</v>
      </c>
      <c r="D54">
        <v>5.1813618948938709</v>
      </c>
      <c r="E54">
        <v>1734.719962410468</v>
      </c>
      <c r="F54">
        <v>0.67974303131413127</v>
      </c>
      <c r="G54">
        <v>227.57796688397116</v>
      </c>
      <c r="H54">
        <v>5.6752725385792369</v>
      </c>
      <c r="I54">
        <v>1900.0812459163285</v>
      </c>
      <c r="J54">
        <v>3.7915079836013956</v>
      </c>
      <c r="K54">
        <v>1269.3968729097473</v>
      </c>
      <c r="L54">
        <v>5</v>
      </c>
      <c r="M54">
        <v>1674</v>
      </c>
      <c r="N54">
        <v>6.8905360190443732</v>
      </c>
      <c r="O54">
        <v>2306.9514591760562</v>
      </c>
      <c r="P54">
        <v>5</v>
      </c>
      <c r="Q54">
        <v>1674</v>
      </c>
      <c r="R54">
        <v>7</v>
      </c>
      <c r="S54">
        <v>2343.6</v>
      </c>
      <c r="T54">
        <v>7</v>
      </c>
      <c r="U54">
        <v>2343.6</v>
      </c>
      <c r="V54">
        <v>6</v>
      </c>
      <c r="W54">
        <v>2008.8000000000002</v>
      </c>
      <c r="X54">
        <v>6</v>
      </c>
      <c r="Y54">
        <v>2008.8000000000002</v>
      </c>
      <c r="Z54">
        <v>4.8625200870532144</v>
      </c>
      <c r="AA54">
        <v>1627.9717251454163</v>
      </c>
      <c r="AB54">
        <v>3.9640337632369693</v>
      </c>
      <c r="AC54">
        <v>1327.1585039317374</v>
      </c>
      <c r="AD54">
        <v>4.5004838413756261</v>
      </c>
      <c r="AE54">
        <v>1506.7619900925597</v>
      </c>
      <c r="AF54">
        <v>1.7550912777997152</v>
      </c>
      <c r="AG54">
        <v>587.60455980734469</v>
      </c>
      <c r="AH54">
        <v>3.0459882408193004</v>
      </c>
      <c r="AI54">
        <v>1019.7968630263018</v>
      </c>
      <c r="AJ54">
        <v>4</v>
      </c>
      <c r="AK54">
        <v>1339.2</v>
      </c>
      <c r="AL54">
        <v>3.4483855924599012</v>
      </c>
      <c r="AM54">
        <v>1154.519496355575</v>
      </c>
      <c r="AN54">
        <v>0.78894129394919621</v>
      </c>
      <c r="AO54">
        <v>264.13754521419088</v>
      </c>
      <c r="AP54">
        <v>4</v>
      </c>
      <c r="AQ54">
        <v>1339.2</v>
      </c>
      <c r="AR54">
        <v>4</v>
      </c>
      <c r="AS54">
        <v>1339.2</v>
      </c>
      <c r="AT54">
        <v>5</v>
      </c>
      <c r="AU54">
        <v>1674</v>
      </c>
      <c r="AV54">
        <v>5</v>
      </c>
      <c r="AW54">
        <v>1674</v>
      </c>
      <c r="AX54">
        <v>7</v>
      </c>
      <c r="AY54">
        <v>2343.6</v>
      </c>
      <c r="AZ54">
        <v>5</v>
      </c>
      <c r="BA54">
        <v>1674</v>
      </c>
      <c r="BB54">
        <v>5</v>
      </c>
      <c r="BC54">
        <v>1674</v>
      </c>
      <c r="BD54">
        <v>7</v>
      </c>
      <c r="BE54">
        <v>2343.6</v>
      </c>
      <c r="BF54">
        <v>6</v>
      </c>
      <c r="BG54">
        <v>2008.8000000000002</v>
      </c>
      <c r="BH54">
        <v>6</v>
      </c>
      <c r="BI54">
        <v>2008.8000000000002</v>
      </c>
      <c r="BJ54">
        <v>4</v>
      </c>
      <c r="BK54">
        <v>1339.2</v>
      </c>
      <c r="BL54">
        <v>5</v>
      </c>
      <c r="BM54">
        <v>1674</v>
      </c>
      <c r="BN54">
        <v>6</v>
      </c>
      <c r="BO54">
        <v>2008.8000000000002</v>
      </c>
      <c r="BP54">
        <v>4.3039522576498612</v>
      </c>
      <c r="BQ54">
        <v>1440.9632158611737</v>
      </c>
      <c r="BR54">
        <v>5</v>
      </c>
      <c r="BS54">
        <v>1674</v>
      </c>
      <c r="BT54">
        <v>4.0084965483198873</v>
      </c>
      <c r="BU54">
        <v>1342.0446443774983</v>
      </c>
      <c r="BV54">
        <v>4</v>
      </c>
      <c r="BW54">
        <v>1339.2</v>
      </c>
      <c r="BX54">
        <v>7</v>
      </c>
      <c r="BY54">
        <v>2343.6</v>
      </c>
      <c r="BZ54">
        <v>4.9927721020321236</v>
      </c>
      <c r="CA54">
        <v>1671.5800997603551</v>
      </c>
      <c r="CB54">
        <v>2.7929369100435428</v>
      </c>
      <c r="CC54">
        <v>935.07527748257814</v>
      </c>
      <c r="CD54">
        <v>6.1386117906106126</v>
      </c>
      <c r="CE54">
        <v>2055.207227496433</v>
      </c>
      <c r="CF54">
        <v>2.9699223183853176</v>
      </c>
      <c r="CG54">
        <v>994.32999219540432</v>
      </c>
      <c r="CH54">
        <v>4</v>
      </c>
      <c r="CI54">
        <v>1339.2</v>
      </c>
      <c r="CJ54">
        <v>6</v>
      </c>
      <c r="CK54">
        <v>2008.8000000000002</v>
      </c>
      <c r="CL54">
        <v>6.083172705222883</v>
      </c>
      <c r="CM54">
        <v>2036.6462217086214</v>
      </c>
      <c r="CN54">
        <v>0.84161328941012925</v>
      </c>
      <c r="CO54">
        <v>281.77212929451127</v>
      </c>
      <c r="CP54">
        <v>7</v>
      </c>
      <c r="CQ54">
        <v>2343.6</v>
      </c>
      <c r="CR54">
        <v>4.0610208773942977</v>
      </c>
      <c r="CS54">
        <v>1359.6297897516108</v>
      </c>
      <c r="CT54">
        <v>3.3719633130017761</v>
      </c>
      <c r="CU54">
        <v>1128.9333171929948</v>
      </c>
    </row>
    <row r="55" spans="2:99">
      <c r="C55" s="99" t="s">
        <v>222</v>
      </c>
      <c r="D55">
        <v>4.5129293740249494</v>
      </c>
      <c r="E55">
        <v>2994.7799326029567</v>
      </c>
      <c r="F55">
        <v>0.84967878914266404</v>
      </c>
      <c r="G55">
        <v>563.84684447507186</v>
      </c>
      <c r="H55">
        <v>6.6211512950091098</v>
      </c>
      <c r="I55">
        <v>4393.7959993680452</v>
      </c>
      <c r="J55">
        <v>3.7915079836013956</v>
      </c>
      <c r="K55">
        <v>2516.0446979178864</v>
      </c>
      <c r="L55">
        <v>5</v>
      </c>
      <c r="M55">
        <v>3318</v>
      </c>
      <c r="N55">
        <v>5.9061737306094635</v>
      </c>
      <c r="O55">
        <v>3919.3368876324403</v>
      </c>
      <c r="P55">
        <v>4.1514169544405854</v>
      </c>
      <c r="Q55">
        <v>2754.8802909667725</v>
      </c>
      <c r="R55">
        <v>6</v>
      </c>
      <c r="S55">
        <v>3981.6000000000004</v>
      </c>
      <c r="T55">
        <v>6</v>
      </c>
      <c r="U55">
        <v>3981.6000000000004</v>
      </c>
      <c r="V55">
        <v>6</v>
      </c>
      <c r="W55">
        <v>3981.6000000000004</v>
      </c>
      <c r="X55">
        <v>6</v>
      </c>
      <c r="Y55">
        <v>3981.6000000000004</v>
      </c>
      <c r="Z55">
        <v>4.8625200870532144</v>
      </c>
      <c r="AA55">
        <v>3226.768329768513</v>
      </c>
      <c r="AB55">
        <v>3.9640337632369693</v>
      </c>
      <c r="AC55">
        <v>2630.5328052840528</v>
      </c>
      <c r="AD55">
        <v>3.7504032011463546</v>
      </c>
      <c r="AE55">
        <v>2488.7675642807212</v>
      </c>
      <c r="AF55">
        <v>1.7550912777997152</v>
      </c>
      <c r="AG55">
        <v>1164.678571947891</v>
      </c>
      <c r="AH55">
        <v>2.4367905926554401</v>
      </c>
      <c r="AI55">
        <v>1617.0542372861501</v>
      </c>
      <c r="AJ55">
        <v>4</v>
      </c>
      <c r="AK55">
        <v>2654.4</v>
      </c>
      <c r="AL55">
        <v>2.7710509996117278</v>
      </c>
      <c r="AM55">
        <v>1838.8694433423427</v>
      </c>
      <c r="AN55">
        <v>0.78894129394919621</v>
      </c>
      <c r="AO55">
        <v>523.54144266468666</v>
      </c>
      <c r="AP55">
        <v>3</v>
      </c>
      <c r="AQ55">
        <v>1990.8000000000002</v>
      </c>
      <c r="AR55">
        <v>4</v>
      </c>
      <c r="AS55">
        <v>2654.4</v>
      </c>
      <c r="AT55">
        <v>5</v>
      </c>
      <c r="AU55">
        <v>3318</v>
      </c>
      <c r="AV55">
        <v>5</v>
      </c>
      <c r="AW55">
        <v>3318</v>
      </c>
      <c r="AX55">
        <v>6</v>
      </c>
      <c r="AY55">
        <v>3981.6000000000004</v>
      </c>
      <c r="AZ55">
        <v>4</v>
      </c>
      <c r="BA55">
        <v>2654.4</v>
      </c>
      <c r="BB55">
        <v>5</v>
      </c>
      <c r="BC55">
        <v>3318</v>
      </c>
      <c r="BD55">
        <v>6</v>
      </c>
      <c r="BE55">
        <v>3981.6000000000004</v>
      </c>
      <c r="BF55">
        <v>5</v>
      </c>
      <c r="BG55">
        <v>3318</v>
      </c>
      <c r="BH55">
        <v>5</v>
      </c>
      <c r="BI55">
        <v>3318</v>
      </c>
      <c r="BJ55">
        <v>4</v>
      </c>
      <c r="BK55">
        <v>2654.4</v>
      </c>
      <c r="BL55">
        <v>5</v>
      </c>
      <c r="BM55">
        <v>3318</v>
      </c>
      <c r="BN55">
        <v>5</v>
      </c>
      <c r="BO55">
        <v>3318</v>
      </c>
      <c r="BP55">
        <v>4.3039522576498612</v>
      </c>
      <c r="BQ55">
        <v>2856.102718176448</v>
      </c>
      <c r="BR55">
        <v>5</v>
      </c>
      <c r="BS55">
        <v>3318</v>
      </c>
      <c r="BT55">
        <v>4.8101958579838646</v>
      </c>
      <c r="BU55">
        <v>3192.0459713580926</v>
      </c>
      <c r="BV55">
        <v>3</v>
      </c>
      <c r="BW55">
        <v>1990.8000000000002</v>
      </c>
      <c r="BX55">
        <v>6</v>
      </c>
      <c r="BY55">
        <v>3981.6000000000004</v>
      </c>
      <c r="BZ55">
        <v>4.9927721020321236</v>
      </c>
      <c r="CA55">
        <v>3313.2035669085171</v>
      </c>
      <c r="CB55">
        <v>2.7929369100435428</v>
      </c>
      <c r="CC55">
        <v>1853.3929335048952</v>
      </c>
      <c r="CD55">
        <v>6.1559382644369389</v>
      </c>
      <c r="CE55">
        <v>4085.0806322803528</v>
      </c>
      <c r="CF55">
        <v>2.3759378547082539</v>
      </c>
      <c r="CG55">
        <v>1576.6723603843973</v>
      </c>
      <c r="CH55">
        <v>5</v>
      </c>
      <c r="CI55">
        <v>3318</v>
      </c>
      <c r="CJ55">
        <v>5</v>
      </c>
      <c r="CK55">
        <v>3318</v>
      </c>
      <c r="CL55">
        <v>6.083172705222883</v>
      </c>
      <c r="CM55">
        <v>4036.7934071859054</v>
      </c>
      <c r="CN55">
        <v>1.0520166117626615</v>
      </c>
      <c r="CO55">
        <v>698.11822356570224</v>
      </c>
      <c r="CP55">
        <v>6</v>
      </c>
      <c r="CQ55">
        <v>3981.6000000000004</v>
      </c>
      <c r="CR55">
        <v>4.0711910236266808</v>
      </c>
      <c r="CS55">
        <v>2701.6423632786655</v>
      </c>
      <c r="CT55">
        <v>3.3719633130017761</v>
      </c>
      <c r="CU55">
        <v>2237.6348545079786</v>
      </c>
    </row>
    <row r="56" spans="2:99">
      <c r="C56" s="99" t="s">
        <v>223</v>
      </c>
      <c r="D56">
        <v>3.3820389111904632</v>
      </c>
      <c r="E56">
        <v>3319.8093952245586</v>
      </c>
      <c r="F56">
        <v>4.6421505310027982</v>
      </c>
      <c r="G56">
        <v>4556.734961232346</v>
      </c>
      <c r="H56">
        <v>4.1226747035941296</v>
      </c>
      <c r="I56">
        <v>4046.8174890479972</v>
      </c>
      <c r="J56">
        <v>2.5454240975261215</v>
      </c>
      <c r="K56">
        <v>2498.5882941316409</v>
      </c>
      <c r="L56">
        <v>2.0329003981833464</v>
      </c>
      <c r="M56">
        <v>1995.4950308567727</v>
      </c>
      <c r="N56">
        <v>6.0720236784714157</v>
      </c>
      <c r="O56">
        <v>5960.2984427875408</v>
      </c>
      <c r="P56">
        <v>2.0746532664518011</v>
      </c>
      <c r="Q56">
        <v>2036.4796463490877</v>
      </c>
      <c r="R56">
        <v>2.7200348061525226</v>
      </c>
      <c r="S56">
        <v>2669.986165719316</v>
      </c>
      <c r="T56">
        <v>0.89373479075305906</v>
      </c>
      <c r="U56">
        <v>877.29007060320271</v>
      </c>
      <c r="V56">
        <v>0.70653358458180993</v>
      </c>
      <c r="W56">
        <v>693.53336662550453</v>
      </c>
      <c r="X56">
        <v>0.63567128463521516</v>
      </c>
      <c r="Y56">
        <v>623.97493299792711</v>
      </c>
      <c r="Z56">
        <v>3.2556530963863577</v>
      </c>
      <c r="AA56">
        <v>3195.7490794128485</v>
      </c>
      <c r="AB56">
        <v>3.375198673455428</v>
      </c>
      <c r="AC56">
        <v>3313.0950178638477</v>
      </c>
      <c r="AD56">
        <v>4.630906323824945</v>
      </c>
      <c r="AE56">
        <v>4545.6976474665653</v>
      </c>
      <c r="AF56">
        <v>3.1382877530463813</v>
      </c>
      <c r="AG56">
        <v>3080.5432583903275</v>
      </c>
      <c r="AH56">
        <v>2.9128594704771338</v>
      </c>
      <c r="AI56">
        <v>2859.2628562203545</v>
      </c>
      <c r="AJ56">
        <v>0.81653003288658688</v>
      </c>
      <c r="AK56">
        <v>801.50588028147365</v>
      </c>
      <c r="AL56">
        <v>4.6876848486580096</v>
      </c>
      <c r="AM56">
        <v>4601.4314474427019</v>
      </c>
      <c r="AN56">
        <v>5.4675330739418939</v>
      </c>
      <c r="AO56">
        <v>5366.9304653813624</v>
      </c>
      <c r="AP56">
        <v>2.9869467804302987</v>
      </c>
      <c r="AQ56">
        <v>2931.9869596703811</v>
      </c>
      <c r="AR56">
        <v>2.4074042527853847</v>
      </c>
      <c r="AS56">
        <v>2363.1080145341334</v>
      </c>
      <c r="AT56">
        <v>3.3268023425714608</v>
      </c>
      <c r="AU56">
        <v>3265.5891794681456</v>
      </c>
      <c r="AV56">
        <v>1.1370783980214705</v>
      </c>
      <c r="AW56">
        <v>1116.1561554978753</v>
      </c>
      <c r="AX56">
        <v>5.3454728838729233</v>
      </c>
      <c r="AY56">
        <v>5247.116182809661</v>
      </c>
      <c r="AZ56">
        <v>4.8937796032195964</v>
      </c>
      <c r="BA56">
        <v>4803.7340585203556</v>
      </c>
      <c r="BB56">
        <v>5.9318029623898507</v>
      </c>
      <c r="BC56">
        <v>5822.6577878818771</v>
      </c>
      <c r="BD56">
        <v>3.6455017240482066</v>
      </c>
      <c r="BE56">
        <v>3578.4244923257193</v>
      </c>
      <c r="BF56">
        <v>5.430947862724131</v>
      </c>
      <c r="BG56">
        <v>5331.0184220500068</v>
      </c>
      <c r="BH56">
        <v>2.9360945462699464</v>
      </c>
      <c r="BI56">
        <v>2882.070406618579</v>
      </c>
      <c r="BJ56">
        <v>2.3468109516537168</v>
      </c>
      <c r="BK56">
        <v>2303.6296301432881</v>
      </c>
      <c r="BL56">
        <v>2.8911474525518228</v>
      </c>
      <c r="BM56">
        <v>2837.9503394248691</v>
      </c>
      <c r="BN56">
        <v>3.3657384891767452</v>
      </c>
      <c r="BO56">
        <v>3303.8089009758928</v>
      </c>
      <c r="BP56">
        <v>3.5532197524104632</v>
      </c>
      <c r="BQ56">
        <v>3487.8405089661105</v>
      </c>
      <c r="BR56">
        <v>1.9484837395102306</v>
      </c>
      <c r="BS56">
        <v>1912.6316387032421</v>
      </c>
      <c r="BT56">
        <v>2.8741133408697279</v>
      </c>
      <c r="BU56">
        <v>2821.2296553977249</v>
      </c>
      <c r="BV56">
        <v>2.7278366332727568</v>
      </c>
      <c r="BW56">
        <v>2677.6444392205381</v>
      </c>
      <c r="BX56">
        <v>2.1926370738090704</v>
      </c>
      <c r="BY56">
        <v>2152.2925516509831</v>
      </c>
      <c r="BZ56">
        <v>6</v>
      </c>
      <c r="CA56">
        <v>5889.5999999999995</v>
      </c>
      <c r="CB56">
        <v>3.3468705551036364</v>
      </c>
      <c r="CC56">
        <v>3285.2881368897292</v>
      </c>
      <c r="CD56">
        <v>3.4170329807028974</v>
      </c>
      <c r="CE56">
        <v>3354.159573857964</v>
      </c>
      <c r="CF56">
        <v>0.96656150957929332</v>
      </c>
      <c r="CG56">
        <v>948.77677780303429</v>
      </c>
      <c r="CH56">
        <v>4</v>
      </c>
      <c r="CI56">
        <v>3926.3999999999996</v>
      </c>
      <c r="CJ56">
        <v>4.739839573387056</v>
      </c>
      <c r="CK56">
        <v>4652.6265252367339</v>
      </c>
      <c r="CL56">
        <v>0.66299057669112083</v>
      </c>
      <c r="CM56">
        <v>650.79155008000419</v>
      </c>
      <c r="CN56">
        <v>2.9375178177850896</v>
      </c>
      <c r="CO56">
        <v>2883.4674899378438</v>
      </c>
      <c r="CP56">
        <v>0.89355254002135742</v>
      </c>
      <c r="CQ56">
        <v>877.11117328496437</v>
      </c>
      <c r="CR56">
        <v>3.7558306660274305</v>
      </c>
      <c r="CS56">
        <v>3686.7233817725255</v>
      </c>
      <c r="CT56">
        <v>4.57388735627804</v>
      </c>
      <c r="CU56">
        <v>4489.7278289225233</v>
      </c>
    </row>
    <row r="57" spans="2:99">
      <c r="C57" s="99" t="s">
        <v>224</v>
      </c>
      <c r="D57">
        <v>4.4459514741834267</v>
      </c>
      <c r="E57">
        <v>6274.1267203676516</v>
      </c>
      <c r="F57">
        <v>0.67974303131413127</v>
      </c>
      <c r="G57">
        <v>959.25336579050213</v>
      </c>
      <c r="H57">
        <v>6.6211512950091098</v>
      </c>
      <c r="I57">
        <v>9343.768707516856</v>
      </c>
      <c r="J57">
        <v>3.7915079836013956</v>
      </c>
      <c r="K57">
        <v>5350.5760664582895</v>
      </c>
      <c r="L57">
        <v>5</v>
      </c>
      <c r="M57">
        <v>7056</v>
      </c>
      <c r="N57">
        <v>5.9061737306094635</v>
      </c>
      <c r="O57">
        <v>8334.7923686360755</v>
      </c>
      <c r="P57">
        <v>4.1665586498846441</v>
      </c>
      <c r="Q57">
        <v>5879.8475667172097</v>
      </c>
      <c r="R57">
        <v>6</v>
      </c>
      <c r="S57">
        <v>8467.2000000000007</v>
      </c>
      <c r="T57">
        <v>5</v>
      </c>
      <c r="U57">
        <v>7056</v>
      </c>
      <c r="V57">
        <v>6</v>
      </c>
      <c r="W57">
        <v>8467.2000000000007</v>
      </c>
      <c r="X57">
        <v>6</v>
      </c>
      <c r="Y57">
        <v>8467.2000000000007</v>
      </c>
      <c r="Z57">
        <v>3.8900160696425714</v>
      </c>
      <c r="AA57">
        <v>5489.5906774795967</v>
      </c>
      <c r="AB57">
        <v>3.9640337632369693</v>
      </c>
      <c r="AC57">
        <v>5594.0444466800109</v>
      </c>
      <c r="AD57">
        <v>4.5004838413756261</v>
      </c>
      <c r="AE57">
        <v>6351.0827969492839</v>
      </c>
      <c r="AF57">
        <v>1.7550912777997152</v>
      </c>
      <c r="AG57">
        <v>2476.784811230958</v>
      </c>
      <c r="AH57">
        <v>2.4367905926554401</v>
      </c>
      <c r="AI57">
        <v>3438.7988843553571</v>
      </c>
      <c r="AJ57">
        <v>4</v>
      </c>
      <c r="AK57">
        <v>5644.8</v>
      </c>
      <c r="AL57">
        <v>2.7710509996117278</v>
      </c>
      <c r="AM57">
        <v>3910.5071706520703</v>
      </c>
      <c r="AN57">
        <v>0.6574510782909968</v>
      </c>
      <c r="AO57">
        <v>927.79496168425476</v>
      </c>
      <c r="AP57">
        <v>3</v>
      </c>
      <c r="AQ57">
        <v>4233.6000000000004</v>
      </c>
      <c r="AR57">
        <v>3</v>
      </c>
      <c r="AS57">
        <v>4233.6000000000004</v>
      </c>
      <c r="AT57">
        <v>5</v>
      </c>
      <c r="AU57">
        <v>7056</v>
      </c>
      <c r="AV57">
        <v>4</v>
      </c>
      <c r="AW57">
        <v>5644.8</v>
      </c>
      <c r="AX57">
        <v>6</v>
      </c>
      <c r="AY57">
        <v>8467.2000000000007</v>
      </c>
      <c r="AZ57">
        <v>4</v>
      </c>
      <c r="BA57">
        <v>5644.8</v>
      </c>
      <c r="BB57">
        <v>6</v>
      </c>
      <c r="BC57">
        <v>8467.2000000000007</v>
      </c>
      <c r="BD57">
        <v>6</v>
      </c>
      <c r="BE57">
        <v>8467.2000000000007</v>
      </c>
      <c r="BF57">
        <v>6</v>
      </c>
      <c r="BG57">
        <v>8467.2000000000007</v>
      </c>
      <c r="BH57">
        <v>5</v>
      </c>
      <c r="BI57">
        <v>7056</v>
      </c>
      <c r="BJ57">
        <v>4</v>
      </c>
      <c r="BK57">
        <v>5644.8</v>
      </c>
      <c r="BL57">
        <v>5</v>
      </c>
      <c r="BM57">
        <v>7056</v>
      </c>
      <c r="BN57">
        <v>6</v>
      </c>
      <c r="BO57">
        <v>8467.2000000000007</v>
      </c>
      <c r="BP57">
        <v>4.3039522576498612</v>
      </c>
      <c r="BQ57">
        <v>6073.737425995484</v>
      </c>
      <c r="BR57">
        <v>4</v>
      </c>
      <c r="BS57">
        <v>5644.8</v>
      </c>
      <c r="BT57">
        <v>4.0084965483198873</v>
      </c>
      <c r="BU57">
        <v>5656.7903289890255</v>
      </c>
      <c r="BV57">
        <v>3</v>
      </c>
      <c r="BW57">
        <v>4233.6000000000004</v>
      </c>
      <c r="BX57">
        <v>6</v>
      </c>
      <c r="BY57">
        <v>8467.2000000000007</v>
      </c>
      <c r="BZ57">
        <v>4.9927721020321236</v>
      </c>
      <c r="CA57">
        <v>7045.7999903877335</v>
      </c>
      <c r="CB57">
        <v>2.7929369100435428</v>
      </c>
      <c r="CC57">
        <v>3941.3925674534476</v>
      </c>
      <c r="CD57">
        <v>6.1386117906106126</v>
      </c>
      <c r="CE57">
        <v>8662.8089589096962</v>
      </c>
      <c r="CF57">
        <v>2.3759378547082539</v>
      </c>
      <c r="CG57">
        <v>3352.9235005642881</v>
      </c>
      <c r="CH57">
        <v>5</v>
      </c>
      <c r="CI57">
        <v>7056</v>
      </c>
      <c r="CJ57">
        <v>4</v>
      </c>
      <c r="CK57">
        <v>5644.8</v>
      </c>
      <c r="CL57">
        <v>5.0727761170700223</v>
      </c>
      <c r="CM57">
        <v>7158.7016564092155</v>
      </c>
      <c r="CN57">
        <v>0.84161328941012925</v>
      </c>
      <c r="CO57">
        <v>1187.6846740155745</v>
      </c>
      <c r="CP57">
        <v>6</v>
      </c>
      <c r="CQ57">
        <v>8467.2000000000007</v>
      </c>
      <c r="CR57">
        <v>4.0610208773942977</v>
      </c>
      <c r="CS57">
        <v>5730.9126621788328</v>
      </c>
      <c r="CT57">
        <v>2.890254268287237</v>
      </c>
      <c r="CU57">
        <v>4078.7268234069488</v>
      </c>
    </row>
    <row r="58" spans="2:99">
      <c r="C58" s="99" t="s">
        <v>225</v>
      </c>
      <c r="D58">
        <v>6.0536139951270291</v>
      </c>
      <c r="E58">
        <v>7126.3143950635385</v>
      </c>
      <c r="F58">
        <v>4</v>
      </c>
      <c r="G58">
        <v>4708.8</v>
      </c>
      <c r="H58">
        <v>6</v>
      </c>
      <c r="I58">
        <v>7063.2000000000007</v>
      </c>
      <c r="J58">
        <v>5</v>
      </c>
      <c r="K58">
        <v>5886</v>
      </c>
      <c r="L58">
        <v>5</v>
      </c>
      <c r="M58">
        <v>5886</v>
      </c>
      <c r="N58">
        <v>6.2996129293571226</v>
      </c>
      <c r="O58">
        <v>7415.904340439205</v>
      </c>
      <c r="P58">
        <v>4</v>
      </c>
      <c r="Q58">
        <v>4708.8</v>
      </c>
      <c r="R58">
        <v>4.7344753519188947</v>
      </c>
      <c r="S58">
        <v>5573.4243842789228</v>
      </c>
      <c r="T58">
        <v>3.2201461183939801</v>
      </c>
      <c r="U58">
        <v>3790.7560105733937</v>
      </c>
      <c r="V58">
        <v>2.9752305275873492</v>
      </c>
      <c r="W58">
        <v>3502.4413770758274</v>
      </c>
      <c r="X58">
        <v>1.3103286830766443</v>
      </c>
      <c r="Y58">
        <v>1542.5189257178258</v>
      </c>
      <c r="Z58">
        <v>3.633481956407925</v>
      </c>
      <c r="AA58">
        <v>4277.3349590834096</v>
      </c>
      <c r="AB58">
        <v>5</v>
      </c>
      <c r="AC58">
        <v>5886</v>
      </c>
      <c r="AD58">
        <v>6</v>
      </c>
      <c r="AE58">
        <v>7063.2000000000007</v>
      </c>
      <c r="AF58">
        <v>4</v>
      </c>
      <c r="AG58">
        <v>4708.8</v>
      </c>
      <c r="AH58">
        <v>4</v>
      </c>
      <c r="AI58">
        <v>4708.8</v>
      </c>
      <c r="AJ58">
        <v>4</v>
      </c>
      <c r="AK58">
        <v>4708.8</v>
      </c>
      <c r="AL58">
        <v>4</v>
      </c>
      <c r="AM58">
        <v>4708.8</v>
      </c>
      <c r="AN58">
        <v>6</v>
      </c>
      <c r="AO58">
        <v>7063.2000000000007</v>
      </c>
      <c r="AP58">
        <v>3.2874530976242662</v>
      </c>
      <c r="AQ58">
        <v>3869.9897865232865</v>
      </c>
      <c r="AR58">
        <v>4</v>
      </c>
      <c r="AS58">
        <v>4708.8</v>
      </c>
      <c r="AT58">
        <v>5</v>
      </c>
      <c r="AU58">
        <v>5886</v>
      </c>
      <c r="AV58">
        <v>4</v>
      </c>
      <c r="AW58">
        <v>4708.8</v>
      </c>
      <c r="AX58">
        <v>7</v>
      </c>
      <c r="AY58">
        <v>8240.4</v>
      </c>
      <c r="AZ58">
        <v>4</v>
      </c>
      <c r="BA58">
        <v>4708.8</v>
      </c>
      <c r="BB58">
        <v>5.292537552203739</v>
      </c>
      <c r="BC58">
        <v>6230.3752064542414</v>
      </c>
      <c r="BD58">
        <v>4.486377606338233</v>
      </c>
      <c r="BE58">
        <v>5281.3637181813683</v>
      </c>
      <c r="BF58">
        <v>6.1118566342938099</v>
      </c>
      <c r="BG58">
        <v>7194.8776298906732</v>
      </c>
      <c r="BH58">
        <v>5</v>
      </c>
      <c r="BI58">
        <v>5886</v>
      </c>
      <c r="BJ58">
        <v>4.0072988401528225</v>
      </c>
      <c r="BK58">
        <v>4717.3921946279024</v>
      </c>
      <c r="BL58">
        <v>5.0294897375848739</v>
      </c>
      <c r="BM58">
        <v>5920.715319084914</v>
      </c>
      <c r="BN58">
        <v>5.0660193300189977</v>
      </c>
      <c r="BO58">
        <v>5963.7179552983644</v>
      </c>
      <c r="BP58">
        <v>3.4207949920578269</v>
      </c>
      <c r="BQ58">
        <v>4026.9598646504742</v>
      </c>
      <c r="BR58">
        <v>3.9893315368946372</v>
      </c>
      <c r="BS58">
        <v>4696.2410852323674</v>
      </c>
      <c r="BT58">
        <v>2.1879888402045755</v>
      </c>
      <c r="BU58">
        <v>2575.7004626888265</v>
      </c>
      <c r="BV58">
        <v>3.2997879585704175</v>
      </c>
      <c r="BW58">
        <v>3884.5103848290955</v>
      </c>
      <c r="BX58">
        <v>3.7403431832576475</v>
      </c>
      <c r="BY58">
        <v>4403.131995330903</v>
      </c>
      <c r="BZ58">
        <v>6</v>
      </c>
      <c r="CA58">
        <v>7063.2000000000007</v>
      </c>
      <c r="CB58">
        <v>4.2598358404657626</v>
      </c>
      <c r="CC58">
        <v>5014.6787513962963</v>
      </c>
      <c r="CD58">
        <v>6.3974365299686466</v>
      </c>
      <c r="CE58">
        <v>7531.0622830790908</v>
      </c>
      <c r="CF58">
        <v>4</v>
      </c>
      <c r="CG58">
        <v>4708.8</v>
      </c>
      <c r="CH58">
        <v>5.1853976535223882</v>
      </c>
      <c r="CI58">
        <v>6104.2501177265558</v>
      </c>
      <c r="CJ58">
        <v>5.3143589525311414</v>
      </c>
      <c r="CK58">
        <v>6256.0633589196595</v>
      </c>
      <c r="CL58">
        <v>4.1305410105300364</v>
      </c>
      <c r="CM58">
        <v>4862.4728775959593</v>
      </c>
      <c r="CN58">
        <v>4.2608741952032352</v>
      </c>
      <c r="CO58">
        <v>5015.9011025932487</v>
      </c>
      <c r="CP58">
        <v>6</v>
      </c>
      <c r="CQ58">
        <v>7063.2000000000007</v>
      </c>
      <c r="CR58">
        <v>3.7228912268267909</v>
      </c>
      <c r="CS58">
        <v>4382.5875522204988</v>
      </c>
      <c r="CT58">
        <v>1.0112830902691594</v>
      </c>
      <c r="CU58">
        <v>1190.4824538648545</v>
      </c>
    </row>
    <row r="59" spans="2:99">
      <c r="C59" s="99" t="s">
        <v>226</v>
      </c>
      <c r="D59">
        <v>4.4794404241041885</v>
      </c>
      <c r="E59">
        <v>1359.9581127580316</v>
      </c>
      <c r="F59">
        <v>0.84967878914266404</v>
      </c>
      <c r="G59">
        <v>257.96248038371277</v>
      </c>
      <c r="H59">
        <v>6.6211512950091098</v>
      </c>
      <c r="I59">
        <v>2010.1815331647656</v>
      </c>
      <c r="J59">
        <v>3.7915079836013956</v>
      </c>
      <c r="K59">
        <v>1151.1018238213835</v>
      </c>
      <c r="L59">
        <v>5</v>
      </c>
      <c r="M59">
        <v>1517.9999999999998</v>
      </c>
      <c r="N59">
        <v>6.8905360190443732</v>
      </c>
      <c r="O59">
        <v>2091.9667353818713</v>
      </c>
      <c r="P59">
        <v>5</v>
      </c>
      <c r="Q59">
        <v>1517.9999999999998</v>
      </c>
      <c r="R59">
        <v>6</v>
      </c>
      <c r="S59">
        <v>1821.6</v>
      </c>
      <c r="T59">
        <v>6</v>
      </c>
      <c r="U59">
        <v>1821.6</v>
      </c>
      <c r="V59">
        <v>6</v>
      </c>
      <c r="W59">
        <v>1821.6</v>
      </c>
      <c r="X59">
        <v>6</v>
      </c>
      <c r="Y59">
        <v>1821.6</v>
      </c>
      <c r="Z59">
        <v>4.8625200870532144</v>
      </c>
      <c r="AA59">
        <v>1476.2610984293558</v>
      </c>
      <c r="AB59">
        <v>3.9640337632369693</v>
      </c>
      <c r="AC59">
        <v>1203.4806505187437</v>
      </c>
      <c r="AD59">
        <v>3.7504032011463546</v>
      </c>
      <c r="AE59">
        <v>1138.6224118680332</v>
      </c>
      <c r="AF59">
        <v>1.7550912777997152</v>
      </c>
      <c r="AG59">
        <v>532.84571193999352</v>
      </c>
      <c r="AH59">
        <v>2.4367905926554401</v>
      </c>
      <c r="AI59">
        <v>739.80962393019149</v>
      </c>
      <c r="AJ59">
        <v>4</v>
      </c>
      <c r="AK59">
        <v>1214.3999999999999</v>
      </c>
      <c r="AL59">
        <v>2.7710509996117278</v>
      </c>
      <c r="AM59">
        <v>841.29108348212048</v>
      </c>
      <c r="AN59">
        <v>0.78894129394919621</v>
      </c>
      <c r="AO59">
        <v>239.52257684297595</v>
      </c>
      <c r="AP59">
        <v>4</v>
      </c>
      <c r="AQ59">
        <v>1214.3999999999999</v>
      </c>
      <c r="AR59">
        <v>4</v>
      </c>
      <c r="AS59">
        <v>1214.3999999999999</v>
      </c>
      <c r="AT59">
        <v>6</v>
      </c>
      <c r="AU59">
        <v>1821.6</v>
      </c>
      <c r="AV59">
        <v>5</v>
      </c>
      <c r="AW59">
        <v>1517.9999999999998</v>
      </c>
      <c r="AX59">
        <v>6</v>
      </c>
      <c r="AY59">
        <v>1821.6</v>
      </c>
      <c r="AZ59">
        <v>5</v>
      </c>
      <c r="BA59">
        <v>1517.9999999999998</v>
      </c>
      <c r="BB59">
        <v>6</v>
      </c>
      <c r="BC59">
        <v>1821.6</v>
      </c>
      <c r="BD59">
        <v>6</v>
      </c>
      <c r="BE59">
        <v>1821.6</v>
      </c>
      <c r="BF59">
        <v>6</v>
      </c>
      <c r="BG59">
        <v>1821.6</v>
      </c>
      <c r="BH59">
        <v>6</v>
      </c>
      <c r="BI59">
        <v>1821.6</v>
      </c>
      <c r="BJ59">
        <v>5</v>
      </c>
      <c r="BK59">
        <v>1517.9999999999998</v>
      </c>
      <c r="BL59">
        <v>5</v>
      </c>
      <c r="BM59">
        <v>1517.9999999999998</v>
      </c>
      <c r="BN59">
        <v>5</v>
      </c>
      <c r="BO59">
        <v>1517.9999999999998</v>
      </c>
      <c r="BP59">
        <v>4.3039522576498612</v>
      </c>
      <c r="BQ59">
        <v>1306.6799054224978</v>
      </c>
      <c r="BR59">
        <v>4</v>
      </c>
      <c r="BS59">
        <v>1214.3999999999999</v>
      </c>
      <c r="BT59">
        <v>4.0084965483198873</v>
      </c>
      <c r="BU59">
        <v>1216.9795520699176</v>
      </c>
      <c r="BV59">
        <v>3</v>
      </c>
      <c r="BW59">
        <v>910.8</v>
      </c>
      <c r="BX59">
        <v>7</v>
      </c>
      <c r="BY59">
        <v>2125.1999999999998</v>
      </c>
      <c r="BZ59">
        <v>4.9927721020321236</v>
      </c>
      <c r="CA59">
        <v>1515.8056101769525</v>
      </c>
      <c r="CB59">
        <v>2.7929369100435428</v>
      </c>
      <c r="CC59">
        <v>847.93564588921947</v>
      </c>
      <c r="CD59">
        <v>6.1386117906106126</v>
      </c>
      <c r="CE59">
        <v>1863.6825396293818</v>
      </c>
      <c r="CF59">
        <v>2.3759378547082539</v>
      </c>
      <c r="CG59">
        <v>721.33473268942578</v>
      </c>
      <c r="CH59">
        <v>5</v>
      </c>
      <c r="CI59">
        <v>1517.9999999999998</v>
      </c>
      <c r="CJ59">
        <v>5</v>
      </c>
      <c r="CK59">
        <v>1517.9999999999998</v>
      </c>
      <c r="CL59">
        <v>6.0935692933757437</v>
      </c>
      <c r="CM59">
        <v>1850.0076374688756</v>
      </c>
      <c r="CN59">
        <v>1.0520166117626615</v>
      </c>
      <c r="CO59">
        <v>319.39224333114402</v>
      </c>
      <c r="CP59">
        <v>7</v>
      </c>
      <c r="CQ59">
        <v>2125.1999999999998</v>
      </c>
      <c r="CR59">
        <v>4.0711910236266808</v>
      </c>
      <c r="CS59">
        <v>1236.0135947730603</v>
      </c>
      <c r="CT59">
        <v>3.3719633130017761</v>
      </c>
      <c r="CU59">
        <v>1023.7280618273392</v>
      </c>
    </row>
    <row r="60" spans="2:99">
      <c r="C60" s="99" t="s">
        <v>227</v>
      </c>
      <c r="D60">
        <v>4.4794404241041885</v>
      </c>
      <c r="E60">
        <v>2918.8033803462895</v>
      </c>
      <c r="F60">
        <v>0.67974303131413127</v>
      </c>
      <c r="G60">
        <v>442.92055920428794</v>
      </c>
      <c r="H60">
        <v>6.6211512950091098</v>
      </c>
      <c r="I60">
        <v>4314.3421838279364</v>
      </c>
      <c r="J60">
        <v>3.7915079836013956</v>
      </c>
      <c r="K60">
        <v>2470.5466021146694</v>
      </c>
      <c r="L60">
        <v>6</v>
      </c>
      <c r="M60">
        <v>3909.6000000000004</v>
      </c>
      <c r="N60">
        <v>6.8905360190443732</v>
      </c>
      <c r="O60">
        <v>4489.8732700093133</v>
      </c>
      <c r="P60">
        <v>5.1665586498846441</v>
      </c>
      <c r="Q60">
        <v>3366.5296162648342</v>
      </c>
      <c r="R60">
        <v>7</v>
      </c>
      <c r="S60">
        <v>4561.2</v>
      </c>
      <c r="T60">
        <v>6</v>
      </c>
      <c r="U60">
        <v>3909.6000000000004</v>
      </c>
      <c r="V60">
        <v>6</v>
      </c>
      <c r="W60">
        <v>3909.6000000000004</v>
      </c>
      <c r="X60">
        <v>6</v>
      </c>
      <c r="Y60">
        <v>3909.6000000000004</v>
      </c>
      <c r="Z60">
        <v>4.8625200870532144</v>
      </c>
      <c r="AA60">
        <v>3168.4180887238745</v>
      </c>
      <c r="AB60">
        <v>3.9640337632369693</v>
      </c>
      <c r="AC60">
        <v>2582.9644001252095</v>
      </c>
      <c r="AD60">
        <v>4.5004838413756261</v>
      </c>
      <c r="AE60">
        <v>2932.5152710403581</v>
      </c>
      <c r="AF60">
        <v>1.7550912777997152</v>
      </c>
      <c r="AG60">
        <v>1143.6174766142944</v>
      </c>
      <c r="AH60">
        <v>3.0459882408193004</v>
      </c>
      <c r="AI60">
        <v>1984.7659377178563</v>
      </c>
      <c r="AJ60">
        <v>4</v>
      </c>
      <c r="AK60">
        <v>2606.4</v>
      </c>
      <c r="AL60">
        <v>3.4360430668160959</v>
      </c>
      <c r="AM60">
        <v>2238.9256623373681</v>
      </c>
      <c r="AN60">
        <v>0.78894129394919621</v>
      </c>
      <c r="AO60">
        <v>514.07414713729622</v>
      </c>
      <c r="AP60">
        <v>4</v>
      </c>
      <c r="AQ60">
        <v>2606.4</v>
      </c>
      <c r="AR60">
        <v>4</v>
      </c>
      <c r="AS60">
        <v>2606.4</v>
      </c>
      <c r="AT60">
        <v>6</v>
      </c>
      <c r="AU60">
        <v>3909.6000000000004</v>
      </c>
      <c r="AV60">
        <v>5</v>
      </c>
      <c r="AW60">
        <v>3258</v>
      </c>
      <c r="AX60">
        <v>6</v>
      </c>
      <c r="AY60">
        <v>3909.6000000000004</v>
      </c>
      <c r="AZ60">
        <v>4</v>
      </c>
      <c r="BA60">
        <v>2606.4</v>
      </c>
      <c r="BB60">
        <v>5</v>
      </c>
      <c r="BC60">
        <v>3258</v>
      </c>
      <c r="BD60">
        <v>7</v>
      </c>
      <c r="BE60">
        <v>4561.2</v>
      </c>
      <c r="BF60">
        <v>6</v>
      </c>
      <c r="BG60">
        <v>3909.6000000000004</v>
      </c>
      <c r="BH60">
        <v>5</v>
      </c>
      <c r="BI60">
        <v>3258</v>
      </c>
      <c r="BJ60">
        <v>4</v>
      </c>
      <c r="BK60">
        <v>2606.4</v>
      </c>
      <c r="BL60">
        <v>5</v>
      </c>
      <c r="BM60">
        <v>3258</v>
      </c>
      <c r="BN60">
        <v>6</v>
      </c>
      <c r="BO60">
        <v>3909.6000000000004</v>
      </c>
      <c r="BP60">
        <v>4.3039522576498612</v>
      </c>
      <c r="BQ60">
        <v>2804.4552910846496</v>
      </c>
      <c r="BR60">
        <v>4</v>
      </c>
      <c r="BS60">
        <v>2606.4</v>
      </c>
      <c r="BT60">
        <v>4.0084965483198873</v>
      </c>
      <c r="BU60">
        <v>2611.9363508852389</v>
      </c>
      <c r="BV60">
        <v>3</v>
      </c>
      <c r="BW60">
        <v>1954.8000000000002</v>
      </c>
      <c r="BX60">
        <v>7</v>
      </c>
      <c r="BY60">
        <v>4561.2</v>
      </c>
      <c r="BZ60">
        <v>4.9927721020321236</v>
      </c>
      <c r="CA60">
        <v>3253.2903016841319</v>
      </c>
      <c r="CB60">
        <v>2.7929369100435428</v>
      </c>
      <c r="CC60">
        <v>1819.8776905843727</v>
      </c>
      <c r="CD60">
        <v>7.1386117906106126</v>
      </c>
      <c r="CE60">
        <v>4651.5194427618753</v>
      </c>
      <c r="CF60">
        <v>2.3759378547082539</v>
      </c>
      <c r="CG60">
        <v>1548.1611061278984</v>
      </c>
      <c r="CH60">
        <v>5</v>
      </c>
      <c r="CI60">
        <v>3258</v>
      </c>
      <c r="CJ60">
        <v>5</v>
      </c>
      <c r="CK60">
        <v>3258</v>
      </c>
      <c r="CL60">
        <v>6.083172705222883</v>
      </c>
      <c r="CM60">
        <v>3963.7953347232306</v>
      </c>
      <c r="CN60">
        <v>0.84161328941012925</v>
      </c>
      <c r="CO60">
        <v>548.39521937964025</v>
      </c>
      <c r="CP60">
        <v>7</v>
      </c>
      <c r="CQ60">
        <v>4561.2</v>
      </c>
      <c r="CR60">
        <v>4.0610208773942977</v>
      </c>
      <c r="CS60">
        <v>2646.1612037101245</v>
      </c>
      <c r="CT60">
        <v>3.3719633130017761</v>
      </c>
      <c r="CU60">
        <v>2197.1712947519572</v>
      </c>
    </row>
    <row r="61" spans="2:99">
      <c r="C61" s="99" t="s">
        <v>228</v>
      </c>
      <c r="D61">
        <v>5.2148508448146327</v>
      </c>
      <c r="E61">
        <v>4962.4520639256043</v>
      </c>
      <c r="F61">
        <v>0.67974303131413127</v>
      </c>
      <c r="G61">
        <v>646.84346859852724</v>
      </c>
      <c r="H61">
        <v>5.6752725385792369</v>
      </c>
      <c r="I61">
        <v>5400.5893477120017</v>
      </c>
      <c r="J61">
        <v>3.7915079836013956</v>
      </c>
      <c r="K61">
        <v>3607.9989971950877</v>
      </c>
      <c r="L61">
        <v>5</v>
      </c>
      <c r="M61">
        <v>4758</v>
      </c>
      <c r="N61">
        <v>5.9061737306094635</v>
      </c>
      <c r="O61">
        <v>5620.3149220479645</v>
      </c>
      <c r="P61">
        <v>5.1665586498846441</v>
      </c>
      <c r="Q61">
        <v>4916.4972112302266</v>
      </c>
      <c r="R61">
        <v>7</v>
      </c>
      <c r="S61">
        <v>6661.1999999999989</v>
      </c>
      <c r="T61">
        <v>5</v>
      </c>
      <c r="U61">
        <v>4758</v>
      </c>
      <c r="V61">
        <v>7</v>
      </c>
      <c r="W61">
        <v>6661.1999999999989</v>
      </c>
      <c r="X61">
        <v>6</v>
      </c>
      <c r="Y61">
        <v>5709.5999999999995</v>
      </c>
      <c r="Z61">
        <v>4.8625200870532144</v>
      </c>
      <c r="AA61">
        <v>4627.1741148398387</v>
      </c>
      <c r="AB61">
        <v>3.9640337632369693</v>
      </c>
      <c r="AC61">
        <v>3772.1745290962995</v>
      </c>
      <c r="AD61">
        <v>4.5004838413756261</v>
      </c>
      <c r="AE61">
        <v>4282.660423453045</v>
      </c>
      <c r="AF61">
        <v>1.7359980165676354</v>
      </c>
      <c r="AG61">
        <v>1651.9757125657618</v>
      </c>
      <c r="AH61">
        <v>2.4367905926554401</v>
      </c>
      <c r="AI61">
        <v>2318.8499279709167</v>
      </c>
      <c r="AJ61">
        <v>4</v>
      </c>
      <c r="AK61">
        <v>3806.3999999999996</v>
      </c>
      <c r="AL61">
        <v>2.7833935252555335</v>
      </c>
      <c r="AM61">
        <v>2648.6772786331653</v>
      </c>
      <c r="AN61">
        <v>0.78894129394919621</v>
      </c>
      <c r="AO61">
        <v>750.75653532205502</v>
      </c>
      <c r="AP61">
        <v>4</v>
      </c>
      <c r="AQ61">
        <v>3806.3999999999996</v>
      </c>
      <c r="AR61">
        <v>4</v>
      </c>
      <c r="AS61">
        <v>3806.3999999999996</v>
      </c>
      <c r="AT61">
        <v>6</v>
      </c>
      <c r="AU61">
        <v>5709.5999999999995</v>
      </c>
      <c r="AV61">
        <v>4</v>
      </c>
      <c r="AW61">
        <v>3806.3999999999996</v>
      </c>
      <c r="AX61">
        <v>6</v>
      </c>
      <c r="AY61">
        <v>5709.5999999999995</v>
      </c>
      <c r="AZ61">
        <v>5</v>
      </c>
      <c r="BA61">
        <v>4758</v>
      </c>
      <c r="BB61">
        <v>5</v>
      </c>
      <c r="BC61">
        <v>4758</v>
      </c>
      <c r="BD61">
        <v>7</v>
      </c>
      <c r="BE61">
        <v>6661.1999999999989</v>
      </c>
      <c r="BF61">
        <v>6</v>
      </c>
      <c r="BG61">
        <v>5709.5999999999995</v>
      </c>
      <c r="BH61">
        <v>5</v>
      </c>
      <c r="BI61">
        <v>4758</v>
      </c>
      <c r="BJ61">
        <v>5</v>
      </c>
      <c r="BK61">
        <v>4758</v>
      </c>
      <c r="BL61">
        <v>5</v>
      </c>
      <c r="BM61">
        <v>4758</v>
      </c>
      <c r="BN61">
        <v>5</v>
      </c>
      <c r="BO61">
        <v>4758</v>
      </c>
      <c r="BP61">
        <v>4.3039522576498612</v>
      </c>
      <c r="BQ61">
        <v>4095.6409683796073</v>
      </c>
      <c r="BR61">
        <v>4</v>
      </c>
      <c r="BS61">
        <v>3806.3999999999996</v>
      </c>
      <c r="BT61">
        <v>4.0084965483198873</v>
      </c>
      <c r="BU61">
        <v>3814.4853153812046</v>
      </c>
      <c r="BV61">
        <v>3</v>
      </c>
      <c r="BW61">
        <v>2854.7999999999997</v>
      </c>
      <c r="BX61">
        <v>7</v>
      </c>
      <c r="BY61">
        <v>6661.1999999999989</v>
      </c>
      <c r="BZ61">
        <v>4.9927721020321236</v>
      </c>
      <c r="CA61">
        <v>4751.1219322937686</v>
      </c>
      <c r="CB61">
        <v>2.7929369100435428</v>
      </c>
      <c r="CC61">
        <v>2657.7587635974351</v>
      </c>
      <c r="CD61">
        <v>6.1212853167842853</v>
      </c>
      <c r="CE61">
        <v>5825.0151074519254</v>
      </c>
      <c r="CF61">
        <v>2.3759378547082539</v>
      </c>
      <c r="CG61">
        <v>2260.9424625403744</v>
      </c>
      <c r="CH61">
        <v>5</v>
      </c>
      <c r="CI61">
        <v>4758</v>
      </c>
      <c r="CJ61">
        <v>5</v>
      </c>
      <c r="CK61">
        <v>4758</v>
      </c>
      <c r="CL61">
        <v>6.083172705222883</v>
      </c>
      <c r="CM61">
        <v>5788.7471462900949</v>
      </c>
      <c r="CN61">
        <v>0.84161328941012925</v>
      </c>
      <c r="CO61">
        <v>800.87920620267892</v>
      </c>
      <c r="CP61">
        <v>6</v>
      </c>
      <c r="CQ61">
        <v>5709.5999999999995</v>
      </c>
      <c r="CR61">
        <v>3.0610208773942977</v>
      </c>
      <c r="CS61">
        <v>2912.8674669284133</v>
      </c>
      <c r="CT61">
        <v>3.3719633130017761</v>
      </c>
      <c r="CU61">
        <v>3208.7602886524896</v>
      </c>
    </row>
    <row r="62" spans="2:99">
      <c r="C62" s="99" t="s">
        <v>229</v>
      </c>
      <c r="D62">
        <v>2.9030443917647744</v>
      </c>
      <c r="E62">
        <v>4845.7616987337615</v>
      </c>
      <c r="F62">
        <v>3.7477169661929559</v>
      </c>
      <c r="G62">
        <v>6255.6891599692826</v>
      </c>
      <c r="H62">
        <v>3.5603576660512637</v>
      </c>
      <c r="I62">
        <v>5942.9490161727699</v>
      </c>
      <c r="J62">
        <v>2.5222475620176747</v>
      </c>
      <c r="K62">
        <v>4210.1356305199024</v>
      </c>
      <c r="L62">
        <v>2.0329003981833464</v>
      </c>
      <c r="M62">
        <v>3393.3173446476421</v>
      </c>
      <c r="N62">
        <v>6.0630207186624885</v>
      </c>
      <c r="O62">
        <v>10120.394183591427</v>
      </c>
      <c r="P62">
        <v>2.0290674488036067</v>
      </c>
      <c r="Q62">
        <v>3386.9193855429803</v>
      </c>
      <c r="R62">
        <v>2.7200348061525226</v>
      </c>
      <c r="S62">
        <v>4540.2820984297905</v>
      </c>
      <c r="T62">
        <v>0.89373479075305906</v>
      </c>
      <c r="U62">
        <v>1491.8221127250063</v>
      </c>
      <c r="V62">
        <v>0.58877798715150831</v>
      </c>
      <c r="W62">
        <v>982.78821615329764</v>
      </c>
      <c r="X62">
        <v>0.63567128463521516</v>
      </c>
      <c r="Y62">
        <v>1061.0625083131013</v>
      </c>
      <c r="Z62">
        <v>2.6045224771090862</v>
      </c>
      <c r="AA62">
        <v>4347.4689187904869</v>
      </c>
      <c r="AB62">
        <v>2.7449474294569658</v>
      </c>
      <c r="AC62">
        <v>4581.8662492495678</v>
      </c>
      <c r="AD62">
        <v>4.6610299896513938</v>
      </c>
      <c r="AE62">
        <v>7780.1912587261068</v>
      </c>
      <c r="AF62">
        <v>3.1382877530463813</v>
      </c>
      <c r="AG62">
        <v>5238.4299173850195</v>
      </c>
      <c r="AH62">
        <v>2.9128594704771338</v>
      </c>
      <c r="AI62">
        <v>4862.1450281204316</v>
      </c>
      <c r="AJ62">
        <v>0.61239752466494024</v>
      </c>
      <c r="AK62">
        <v>1022.2139481707183</v>
      </c>
      <c r="AL62">
        <v>4.6876848486580096</v>
      </c>
      <c r="AM62">
        <v>7824.6835493799499</v>
      </c>
      <c r="AN62">
        <v>4.5562775616182449</v>
      </c>
      <c r="AO62">
        <v>7605.3385058531749</v>
      </c>
      <c r="AP62">
        <v>2.9869467804302987</v>
      </c>
      <c r="AQ62">
        <v>4985.8115658942552</v>
      </c>
      <c r="AR62">
        <v>2.4074042527853847</v>
      </c>
      <c r="AS62">
        <v>4018.4391787493641</v>
      </c>
      <c r="AT62">
        <v>2.8054099890258577</v>
      </c>
      <c r="AU62">
        <v>4682.7903536819622</v>
      </c>
      <c r="AV62">
        <v>1.1482000768449214</v>
      </c>
      <c r="AW62">
        <v>1916.5755682695428</v>
      </c>
      <c r="AX62">
        <v>4.5818339004625059</v>
      </c>
      <c r="AY62">
        <v>7647.9971466520155</v>
      </c>
      <c r="AZ62">
        <v>3.915023682575677</v>
      </c>
      <c r="BA62">
        <v>6534.9575309553202</v>
      </c>
      <c r="BB62">
        <v>5.9318029623898507</v>
      </c>
      <c r="BC62">
        <v>9901.3655048211385</v>
      </c>
      <c r="BD62">
        <v>3.6455017240482066</v>
      </c>
      <c r="BE62">
        <v>6085.0714777812664</v>
      </c>
      <c r="BF62">
        <v>4.5879239786580026</v>
      </c>
      <c r="BG62">
        <v>7658.1627051759378</v>
      </c>
      <c r="BH62">
        <v>2.9360945462699464</v>
      </c>
      <c r="BI62">
        <v>4900.9290166337942</v>
      </c>
      <c r="BJ62">
        <v>2.3468109516537168</v>
      </c>
      <c r="BK62">
        <v>3917.296840500384</v>
      </c>
      <c r="BL62">
        <v>2.3217868763005591</v>
      </c>
      <c r="BM62">
        <v>3875.5266539208933</v>
      </c>
      <c r="BN62">
        <v>2.8214723972045896</v>
      </c>
      <c r="BO62">
        <v>4709.6017254139015</v>
      </c>
      <c r="BP62">
        <v>3.4894874625547625</v>
      </c>
      <c r="BQ62">
        <v>5824.6524724964102</v>
      </c>
      <c r="BR62">
        <v>1.9268352177469918</v>
      </c>
      <c r="BS62">
        <v>3216.2733454632789</v>
      </c>
      <c r="BT62">
        <v>2.8741133408697279</v>
      </c>
      <c r="BU62">
        <v>4797.46998857975</v>
      </c>
      <c r="BV62">
        <v>2.0921391558097935</v>
      </c>
      <c r="BW62">
        <v>3492.1986788777072</v>
      </c>
      <c r="BX62">
        <v>1.8794032061220605</v>
      </c>
      <c r="BY62">
        <v>3137.0998316589435</v>
      </c>
      <c r="BZ62">
        <v>6</v>
      </c>
      <c r="CA62">
        <v>10015.200000000001</v>
      </c>
      <c r="CB62">
        <v>3.3468705551036364</v>
      </c>
      <c r="CC62">
        <v>5586.5963305789901</v>
      </c>
      <c r="CD62">
        <v>3.394769167517242</v>
      </c>
      <c r="CE62">
        <v>5666.5486944197801</v>
      </c>
      <c r="CF62">
        <v>0.96656150957929332</v>
      </c>
      <c r="CG62">
        <v>1613.3844717897564</v>
      </c>
      <c r="CH62">
        <v>4</v>
      </c>
      <c r="CI62">
        <v>6676.8</v>
      </c>
      <c r="CJ62">
        <v>3.8088419286796258</v>
      </c>
      <c r="CK62">
        <v>6357.7189473520311</v>
      </c>
      <c r="CL62">
        <v>0.65501455358913652</v>
      </c>
      <c r="CM62">
        <v>1093.3502928509868</v>
      </c>
      <c r="CN62">
        <v>2.9263222043300736</v>
      </c>
      <c r="CO62">
        <v>4884.6170234677593</v>
      </c>
      <c r="CP62">
        <v>0.89355254002135742</v>
      </c>
      <c r="CQ62">
        <v>1491.5178998036499</v>
      </c>
      <c r="CR62">
        <v>3.7558306660274305</v>
      </c>
      <c r="CS62">
        <v>6269.2325477329869</v>
      </c>
      <c r="CT62">
        <v>3.9204748768097479</v>
      </c>
      <c r="CU62">
        <v>6544.0566643708316</v>
      </c>
    </row>
    <row r="63" spans="2:99">
      <c r="C63" s="99" t="s">
        <v>230</v>
      </c>
      <c r="D63">
        <v>5.1813618948938709</v>
      </c>
      <c r="E63">
        <v>4122.2915235775636</v>
      </c>
      <c r="F63">
        <v>0.84967878914266404</v>
      </c>
      <c r="G63">
        <v>676.00444464190355</v>
      </c>
      <c r="H63">
        <v>6.6211512950091098</v>
      </c>
      <c r="I63">
        <v>5267.7879703092476</v>
      </c>
      <c r="J63">
        <v>3.7915079836013956</v>
      </c>
      <c r="K63">
        <v>3016.5237517532705</v>
      </c>
      <c r="L63">
        <v>5</v>
      </c>
      <c r="M63">
        <v>3978</v>
      </c>
      <c r="N63">
        <v>5.9061737306094635</v>
      </c>
      <c r="O63">
        <v>4698.9518200728889</v>
      </c>
      <c r="P63">
        <v>5.1665586498846441</v>
      </c>
      <c r="Q63">
        <v>4110.5140618482228</v>
      </c>
      <c r="R63">
        <v>7</v>
      </c>
      <c r="S63">
        <v>5569.2</v>
      </c>
      <c r="T63">
        <v>6</v>
      </c>
      <c r="U63">
        <v>4773.6000000000004</v>
      </c>
      <c r="V63">
        <v>6</v>
      </c>
      <c r="W63">
        <v>4773.6000000000004</v>
      </c>
      <c r="X63">
        <v>5</v>
      </c>
      <c r="Y63">
        <v>3978</v>
      </c>
      <c r="Z63">
        <v>4.8625200870532144</v>
      </c>
      <c r="AA63">
        <v>3868.6209812595375</v>
      </c>
      <c r="AB63">
        <v>3.9640337632369693</v>
      </c>
      <c r="AC63">
        <v>3153.7852620313329</v>
      </c>
      <c r="AD63">
        <v>4.5004838413756261</v>
      </c>
      <c r="AE63">
        <v>3580.5849441984483</v>
      </c>
      <c r="AF63">
        <v>1.7550912777997152</v>
      </c>
      <c r="AG63">
        <v>1396.3506206174534</v>
      </c>
      <c r="AH63">
        <v>2.4367905926554401</v>
      </c>
      <c r="AI63">
        <v>1938.7105955166683</v>
      </c>
      <c r="AJ63">
        <v>4</v>
      </c>
      <c r="AK63">
        <v>3182.4</v>
      </c>
      <c r="AL63">
        <v>2.7710509996117278</v>
      </c>
      <c r="AM63">
        <v>2204.6481752910909</v>
      </c>
      <c r="AN63">
        <v>0.92043150960739539</v>
      </c>
      <c r="AO63">
        <v>732.29530904364378</v>
      </c>
      <c r="AP63">
        <v>3</v>
      </c>
      <c r="AQ63">
        <v>2386.8000000000002</v>
      </c>
      <c r="AR63">
        <v>3</v>
      </c>
      <c r="AS63">
        <v>2386.8000000000002</v>
      </c>
      <c r="AT63">
        <v>6</v>
      </c>
      <c r="AU63">
        <v>4773.6000000000004</v>
      </c>
      <c r="AV63">
        <v>4</v>
      </c>
      <c r="AW63">
        <v>3182.4</v>
      </c>
      <c r="AX63">
        <v>7</v>
      </c>
      <c r="AY63">
        <v>5569.2</v>
      </c>
      <c r="AZ63">
        <v>5</v>
      </c>
      <c r="BA63">
        <v>3978</v>
      </c>
      <c r="BB63">
        <v>6</v>
      </c>
      <c r="BC63">
        <v>4773.6000000000004</v>
      </c>
      <c r="BD63">
        <v>7</v>
      </c>
      <c r="BE63">
        <v>5569.2</v>
      </c>
      <c r="BF63">
        <v>6</v>
      </c>
      <c r="BG63">
        <v>4773.6000000000004</v>
      </c>
      <c r="BH63">
        <v>4</v>
      </c>
      <c r="BI63">
        <v>3182.4</v>
      </c>
      <c r="BJ63">
        <v>5</v>
      </c>
      <c r="BK63">
        <v>3978</v>
      </c>
      <c r="BL63">
        <v>5</v>
      </c>
      <c r="BM63">
        <v>3978</v>
      </c>
      <c r="BN63">
        <v>6</v>
      </c>
      <c r="BO63">
        <v>4773.6000000000004</v>
      </c>
      <c r="BP63">
        <v>4.3039522576498612</v>
      </c>
      <c r="BQ63">
        <v>3424.2244161862295</v>
      </c>
      <c r="BR63">
        <v>5</v>
      </c>
      <c r="BS63">
        <v>3978</v>
      </c>
      <c r="BT63">
        <v>4.0084965483198873</v>
      </c>
      <c r="BU63">
        <v>3189.1598538433022</v>
      </c>
      <c r="BV63">
        <v>3</v>
      </c>
      <c r="BW63">
        <v>2386.8000000000002</v>
      </c>
      <c r="BX63">
        <v>6</v>
      </c>
      <c r="BY63">
        <v>4773.6000000000004</v>
      </c>
      <c r="BZ63">
        <v>5.8249007857041448</v>
      </c>
      <c r="CA63">
        <v>4634.2910651062175</v>
      </c>
      <c r="CB63">
        <v>2.7929369100435428</v>
      </c>
      <c r="CC63">
        <v>2222.0606056306428</v>
      </c>
      <c r="CD63">
        <v>6.1386117906106126</v>
      </c>
      <c r="CE63">
        <v>4883.8795406098034</v>
      </c>
      <c r="CF63">
        <v>2.3759378547082539</v>
      </c>
      <c r="CG63">
        <v>1890.2961572058869</v>
      </c>
      <c r="CH63">
        <v>5</v>
      </c>
      <c r="CI63">
        <v>3978</v>
      </c>
      <c r="CJ63">
        <v>5</v>
      </c>
      <c r="CK63">
        <v>3978</v>
      </c>
      <c r="CL63">
        <v>5.083172705222883</v>
      </c>
      <c r="CM63">
        <v>4044.1722042753258</v>
      </c>
      <c r="CN63">
        <v>0.84161328941012925</v>
      </c>
      <c r="CO63">
        <v>669.58753305469884</v>
      </c>
      <c r="CP63">
        <v>6</v>
      </c>
      <c r="CQ63">
        <v>4773.6000000000004</v>
      </c>
      <c r="CR63">
        <v>4.0610208773942977</v>
      </c>
      <c r="CS63">
        <v>3230.9482100549035</v>
      </c>
      <c r="CT63">
        <v>2.890254268287237</v>
      </c>
      <c r="CU63">
        <v>2299.4862958493259</v>
      </c>
    </row>
    <row r="64" spans="2:99">
      <c r="C64" s="99" t="s">
        <v>231</v>
      </c>
      <c r="D64">
        <v>4.4794404241041885</v>
      </c>
      <c r="E64">
        <v>4520.6512760059459</v>
      </c>
      <c r="F64">
        <v>0.67974303131413127</v>
      </c>
      <c r="G64">
        <v>685.99666720222115</v>
      </c>
      <c r="H64">
        <v>5.6752725385792369</v>
      </c>
      <c r="I64">
        <v>5727.4850459341651</v>
      </c>
      <c r="J64">
        <v>3.7915079836013956</v>
      </c>
      <c r="K64">
        <v>3826.3898570505276</v>
      </c>
      <c r="L64">
        <v>5</v>
      </c>
      <c r="M64">
        <v>5045.9999999999991</v>
      </c>
      <c r="N64">
        <v>6.8905360190443732</v>
      </c>
      <c r="O64">
        <v>6953.9289504195804</v>
      </c>
      <c r="P64">
        <v>4.1514169544405854</v>
      </c>
      <c r="Q64">
        <v>4189.6099904214379</v>
      </c>
      <c r="R64">
        <v>6</v>
      </c>
      <c r="S64">
        <v>6055.1999999999989</v>
      </c>
      <c r="T64">
        <v>6</v>
      </c>
      <c r="U64">
        <v>6055.1999999999989</v>
      </c>
      <c r="V64">
        <v>5</v>
      </c>
      <c r="W64">
        <v>5045.9999999999991</v>
      </c>
      <c r="X64">
        <v>6</v>
      </c>
      <c r="Y64">
        <v>6055.1999999999989</v>
      </c>
      <c r="Z64">
        <v>4.8625200870532144</v>
      </c>
      <c r="AA64">
        <v>4907.2552718541028</v>
      </c>
      <c r="AB64">
        <v>3.9640337632369693</v>
      </c>
      <c r="AC64">
        <v>4000.5028738587489</v>
      </c>
      <c r="AD64">
        <v>4.5004838413756261</v>
      </c>
      <c r="AE64">
        <v>4541.8882927162813</v>
      </c>
      <c r="AF64">
        <v>1.7550912777997152</v>
      </c>
      <c r="AG64">
        <v>1771.2381175554722</v>
      </c>
      <c r="AH64">
        <v>2.4367905926554401</v>
      </c>
      <c r="AI64">
        <v>2459.2090661078696</v>
      </c>
      <c r="AJ64">
        <v>4</v>
      </c>
      <c r="AK64">
        <v>4036.7999999999993</v>
      </c>
      <c r="AL64">
        <v>2.7710509996117278</v>
      </c>
      <c r="AM64">
        <v>2796.5446688081552</v>
      </c>
      <c r="AN64">
        <v>0.78894129394919621</v>
      </c>
      <c r="AO64">
        <v>796.19955385352864</v>
      </c>
      <c r="AP64">
        <v>3</v>
      </c>
      <c r="AQ64">
        <v>3027.5999999999995</v>
      </c>
      <c r="AR64">
        <v>4</v>
      </c>
      <c r="AS64">
        <v>4036.7999999999993</v>
      </c>
      <c r="AT64">
        <v>6</v>
      </c>
      <c r="AU64">
        <v>6055.1999999999989</v>
      </c>
      <c r="AV64">
        <v>4</v>
      </c>
      <c r="AW64">
        <v>4036.7999999999993</v>
      </c>
      <c r="AX64">
        <v>6</v>
      </c>
      <c r="AY64">
        <v>6055.1999999999989</v>
      </c>
      <c r="AZ64">
        <v>4</v>
      </c>
      <c r="BA64">
        <v>4036.7999999999993</v>
      </c>
      <c r="BB64">
        <v>5</v>
      </c>
      <c r="BC64">
        <v>5045.9999999999991</v>
      </c>
      <c r="BD64">
        <v>7</v>
      </c>
      <c r="BE64">
        <v>7064.3999999999987</v>
      </c>
      <c r="BF64">
        <v>5</v>
      </c>
      <c r="BG64">
        <v>5045.9999999999991</v>
      </c>
      <c r="BH64">
        <v>5</v>
      </c>
      <c r="BI64">
        <v>5045.9999999999991</v>
      </c>
      <c r="BJ64">
        <v>4</v>
      </c>
      <c r="BK64">
        <v>4036.7999999999993</v>
      </c>
      <c r="BL64">
        <v>5</v>
      </c>
      <c r="BM64">
        <v>5045.9999999999991</v>
      </c>
      <c r="BN64">
        <v>6</v>
      </c>
      <c r="BO64">
        <v>6055.1999999999989</v>
      </c>
      <c r="BP64">
        <v>4.3039522576498612</v>
      </c>
      <c r="BQ64">
        <v>4343.5486184202391</v>
      </c>
      <c r="BR64">
        <v>4</v>
      </c>
      <c r="BS64">
        <v>4036.7999999999993</v>
      </c>
      <c r="BT64">
        <v>4.0084965483198873</v>
      </c>
      <c r="BU64">
        <v>4045.3747165644295</v>
      </c>
      <c r="BV64">
        <v>4</v>
      </c>
      <c r="BW64">
        <v>4036.7999999999993</v>
      </c>
      <c r="BX64">
        <v>7</v>
      </c>
      <c r="BY64">
        <v>7064.3999999999987</v>
      </c>
      <c r="BZ64">
        <v>4.9927721020321236</v>
      </c>
      <c r="CA64">
        <v>5038.7056053708184</v>
      </c>
      <c r="CB64">
        <v>2.7929369100435428</v>
      </c>
      <c r="CC64">
        <v>2818.6319296159431</v>
      </c>
      <c r="CD64">
        <v>6.1559382644369389</v>
      </c>
      <c r="CE64">
        <v>6212.5728964697573</v>
      </c>
      <c r="CF64">
        <v>2.3759378547082539</v>
      </c>
      <c r="CG64">
        <v>2397.7964829715693</v>
      </c>
      <c r="CH64">
        <v>5</v>
      </c>
      <c r="CI64">
        <v>5045.9999999999991</v>
      </c>
      <c r="CJ64">
        <v>5</v>
      </c>
      <c r="CK64">
        <v>5045.9999999999991</v>
      </c>
      <c r="CL64">
        <v>5.0727761170700223</v>
      </c>
      <c r="CM64">
        <v>5119.4456573470652</v>
      </c>
      <c r="CN64">
        <v>0.84161328941012925</v>
      </c>
      <c r="CO64">
        <v>849.3561316727023</v>
      </c>
      <c r="CP64">
        <v>6</v>
      </c>
      <c r="CQ64">
        <v>6055.1999999999989</v>
      </c>
      <c r="CR64">
        <v>4.0610208773942977</v>
      </c>
      <c r="CS64">
        <v>4098.3822694663249</v>
      </c>
      <c r="CT64">
        <v>3.3719633130017761</v>
      </c>
      <c r="CU64">
        <v>3402.9853754813917</v>
      </c>
    </row>
    <row r="65" spans="2:99">
      <c r="C65" s="99" t="s">
        <v>232</v>
      </c>
      <c r="D65">
        <v>4.4794404241041885</v>
      </c>
      <c r="E65">
        <v>4595.9058751308976</v>
      </c>
      <c r="F65">
        <v>0.84967878914266404</v>
      </c>
      <c r="G65">
        <v>871.77043766037332</v>
      </c>
      <c r="H65">
        <v>6.6211512950091098</v>
      </c>
      <c r="I65">
        <v>6793.3012286793464</v>
      </c>
      <c r="J65">
        <v>3.7915079836013956</v>
      </c>
      <c r="K65">
        <v>3890.0871911750319</v>
      </c>
      <c r="L65">
        <v>5</v>
      </c>
      <c r="M65">
        <v>5130</v>
      </c>
      <c r="N65">
        <v>5.9061737306094635</v>
      </c>
      <c r="O65">
        <v>6059.73424760531</v>
      </c>
      <c r="P65">
        <v>5.1514169544405854</v>
      </c>
      <c r="Q65">
        <v>5285.3537952560409</v>
      </c>
      <c r="R65">
        <v>6</v>
      </c>
      <c r="S65">
        <v>6156</v>
      </c>
      <c r="T65">
        <v>6</v>
      </c>
      <c r="U65">
        <v>6156</v>
      </c>
      <c r="V65">
        <v>5</v>
      </c>
      <c r="W65">
        <v>5130</v>
      </c>
      <c r="X65">
        <v>6</v>
      </c>
      <c r="Y65">
        <v>6156</v>
      </c>
      <c r="Z65">
        <v>4.8625200870532144</v>
      </c>
      <c r="AA65">
        <v>4988.9456093165982</v>
      </c>
      <c r="AB65">
        <v>3.9640337632369693</v>
      </c>
      <c r="AC65">
        <v>4067.0986410811306</v>
      </c>
      <c r="AD65">
        <v>4.5004838413756261</v>
      </c>
      <c r="AE65">
        <v>4617.4964212513923</v>
      </c>
      <c r="AF65">
        <v>1.7550912777997152</v>
      </c>
      <c r="AG65">
        <v>1800.7236510225077</v>
      </c>
      <c r="AH65">
        <v>2.4367905926554401</v>
      </c>
      <c r="AI65">
        <v>2500.1471480644814</v>
      </c>
      <c r="AJ65">
        <v>4</v>
      </c>
      <c r="AK65">
        <v>4104</v>
      </c>
      <c r="AL65">
        <v>2.7833935252555335</v>
      </c>
      <c r="AM65">
        <v>2855.7617569121776</v>
      </c>
      <c r="AN65">
        <v>0.78894129394919621</v>
      </c>
      <c r="AO65">
        <v>809.45376759187536</v>
      </c>
      <c r="AP65">
        <v>3</v>
      </c>
      <c r="AQ65">
        <v>3078</v>
      </c>
      <c r="AR65">
        <v>3</v>
      </c>
      <c r="AS65">
        <v>3078</v>
      </c>
      <c r="AT65">
        <v>6</v>
      </c>
      <c r="AU65">
        <v>6156</v>
      </c>
      <c r="AV65">
        <v>4</v>
      </c>
      <c r="AW65">
        <v>4104</v>
      </c>
      <c r="AX65">
        <v>7</v>
      </c>
      <c r="AY65">
        <v>7182</v>
      </c>
      <c r="AZ65">
        <v>4</v>
      </c>
      <c r="BA65">
        <v>4104</v>
      </c>
      <c r="BB65">
        <v>5</v>
      </c>
      <c r="BC65">
        <v>5130</v>
      </c>
      <c r="BD65">
        <v>7</v>
      </c>
      <c r="BE65">
        <v>7182</v>
      </c>
      <c r="BF65">
        <v>6</v>
      </c>
      <c r="BG65">
        <v>6156</v>
      </c>
      <c r="BH65">
        <v>5</v>
      </c>
      <c r="BI65">
        <v>5130</v>
      </c>
      <c r="BJ65">
        <v>4</v>
      </c>
      <c r="BK65">
        <v>4104</v>
      </c>
      <c r="BL65">
        <v>5</v>
      </c>
      <c r="BM65">
        <v>5130</v>
      </c>
      <c r="BN65">
        <v>5</v>
      </c>
      <c r="BO65">
        <v>5130</v>
      </c>
      <c r="BP65">
        <v>4.3039522576498612</v>
      </c>
      <c r="BQ65">
        <v>4415.855016348758</v>
      </c>
      <c r="BR65">
        <v>4</v>
      </c>
      <c r="BS65">
        <v>4104</v>
      </c>
      <c r="BT65">
        <v>4.0084965483198873</v>
      </c>
      <c r="BU65">
        <v>4112.7174585762041</v>
      </c>
      <c r="BV65">
        <v>3</v>
      </c>
      <c r="BW65">
        <v>3078</v>
      </c>
      <c r="BX65">
        <v>7</v>
      </c>
      <c r="BY65">
        <v>7182</v>
      </c>
      <c r="BZ65">
        <v>4.9927721020321236</v>
      </c>
      <c r="CA65">
        <v>5122.5841766849589</v>
      </c>
      <c r="CB65">
        <v>2.7929369100435428</v>
      </c>
      <c r="CC65">
        <v>2865.5532697046751</v>
      </c>
      <c r="CD65">
        <v>6.1386117906106126</v>
      </c>
      <c r="CE65">
        <v>6298.2156971664881</v>
      </c>
      <c r="CF65">
        <v>2.3759378547082539</v>
      </c>
      <c r="CG65">
        <v>2437.7122389306687</v>
      </c>
      <c r="CH65">
        <v>5</v>
      </c>
      <c r="CI65">
        <v>5130</v>
      </c>
      <c r="CJ65">
        <v>5</v>
      </c>
      <c r="CK65">
        <v>5130</v>
      </c>
      <c r="CL65">
        <v>5.083172705222883</v>
      </c>
      <c r="CM65">
        <v>5215.3351955586777</v>
      </c>
      <c r="CN65">
        <v>0.84161328941012925</v>
      </c>
      <c r="CO65">
        <v>863.49523493479262</v>
      </c>
      <c r="CP65">
        <v>7</v>
      </c>
      <c r="CQ65">
        <v>7182</v>
      </c>
      <c r="CR65">
        <v>4.0610208773942977</v>
      </c>
      <c r="CS65">
        <v>4166.6074202065492</v>
      </c>
      <c r="CT65">
        <v>2.890254268287237</v>
      </c>
      <c r="CU65">
        <v>2965.4008792627051</v>
      </c>
    </row>
    <row r="66" spans="2:99">
      <c r="C66" s="99" t="s">
        <v>233</v>
      </c>
      <c r="D66">
        <v>4.4794404241041885</v>
      </c>
      <c r="E66">
        <v>5332.3258808536257</v>
      </c>
      <c r="F66">
        <v>0.84967878914266404</v>
      </c>
      <c r="G66">
        <v>1011.4576305954272</v>
      </c>
      <c r="H66">
        <v>6.6211512950091098</v>
      </c>
      <c r="I66">
        <v>7881.8185015788431</v>
      </c>
      <c r="J66">
        <v>3.7915079836013956</v>
      </c>
      <c r="K66">
        <v>4513.411103679101</v>
      </c>
      <c r="L66">
        <v>5</v>
      </c>
      <c r="M66">
        <v>5951.9999999999991</v>
      </c>
      <c r="N66">
        <v>5.9061737306094635</v>
      </c>
      <c r="O66">
        <v>7030.7092089175048</v>
      </c>
      <c r="P66">
        <v>4.1665586498846441</v>
      </c>
      <c r="Q66">
        <v>4959.8714168226797</v>
      </c>
      <c r="R66">
        <v>6</v>
      </c>
      <c r="S66">
        <v>7142.4</v>
      </c>
      <c r="T66">
        <v>5</v>
      </c>
      <c r="U66">
        <v>5951.9999999999991</v>
      </c>
      <c r="V66">
        <v>5</v>
      </c>
      <c r="W66">
        <v>5951.9999999999991</v>
      </c>
      <c r="X66">
        <v>5</v>
      </c>
      <c r="Y66">
        <v>5951.9999999999991</v>
      </c>
      <c r="Z66">
        <v>4.8625200870532144</v>
      </c>
      <c r="AA66">
        <v>5788.3439116281461</v>
      </c>
      <c r="AB66">
        <v>3.1712270105895755</v>
      </c>
      <c r="AC66">
        <v>3775.0286334058301</v>
      </c>
      <c r="AD66">
        <v>4.5004838413756261</v>
      </c>
      <c r="AE66">
        <v>5357.3759647735451</v>
      </c>
      <c r="AF66">
        <v>1.7741845390317947</v>
      </c>
      <c r="AG66">
        <v>2111.9892752634482</v>
      </c>
      <c r="AH66">
        <v>2.4367905926554401</v>
      </c>
      <c r="AI66">
        <v>2900.7555214970357</v>
      </c>
      <c r="AJ66">
        <v>3</v>
      </c>
      <c r="AK66">
        <v>3571.2</v>
      </c>
      <c r="AL66">
        <v>3.4483855924599012</v>
      </c>
      <c r="AM66">
        <v>4104.9582092642659</v>
      </c>
      <c r="AN66">
        <v>0.78894129394919621</v>
      </c>
      <c r="AO66">
        <v>939.15571631712305</v>
      </c>
      <c r="AP66">
        <v>3</v>
      </c>
      <c r="AQ66">
        <v>3571.2</v>
      </c>
      <c r="AR66">
        <v>3</v>
      </c>
      <c r="AS66">
        <v>3571.2</v>
      </c>
      <c r="AT66">
        <v>5</v>
      </c>
      <c r="AU66">
        <v>5951.9999999999991</v>
      </c>
      <c r="AV66">
        <v>4</v>
      </c>
      <c r="AW66">
        <v>4761.5999999999995</v>
      </c>
      <c r="AX66">
        <v>6</v>
      </c>
      <c r="AY66">
        <v>7142.4</v>
      </c>
      <c r="AZ66">
        <v>4</v>
      </c>
      <c r="BA66">
        <v>4761.5999999999995</v>
      </c>
      <c r="BB66">
        <v>6</v>
      </c>
      <c r="BC66">
        <v>7142.4</v>
      </c>
      <c r="BD66">
        <v>6</v>
      </c>
      <c r="BE66">
        <v>7142.4</v>
      </c>
      <c r="BF66">
        <v>6</v>
      </c>
      <c r="BG66">
        <v>7142.4</v>
      </c>
      <c r="BH66">
        <v>5</v>
      </c>
      <c r="BI66">
        <v>5951.9999999999991</v>
      </c>
      <c r="BJ66">
        <v>5</v>
      </c>
      <c r="BK66">
        <v>5951.9999999999991</v>
      </c>
      <c r="BL66">
        <v>5</v>
      </c>
      <c r="BM66">
        <v>5951.9999999999991</v>
      </c>
      <c r="BN66">
        <v>5</v>
      </c>
      <c r="BO66">
        <v>5951.9999999999991</v>
      </c>
      <c r="BP66">
        <v>4.3039522576498612</v>
      </c>
      <c r="BQ66">
        <v>5123.4247675063943</v>
      </c>
      <c r="BR66">
        <v>4</v>
      </c>
      <c r="BS66">
        <v>4761.5999999999995</v>
      </c>
      <c r="BT66">
        <v>4.0084965483198873</v>
      </c>
      <c r="BU66">
        <v>4771.7142911199935</v>
      </c>
      <c r="BV66">
        <v>4</v>
      </c>
      <c r="BW66">
        <v>4761.5999999999995</v>
      </c>
      <c r="BX66">
        <v>7</v>
      </c>
      <c r="BY66">
        <v>8332.7999999999993</v>
      </c>
      <c r="BZ66">
        <v>4.9927721020321236</v>
      </c>
      <c r="CA66">
        <v>5943.3959102590397</v>
      </c>
      <c r="CB66">
        <v>2.7929369100435428</v>
      </c>
      <c r="CC66">
        <v>3324.7120977158329</v>
      </c>
      <c r="CD66">
        <v>6.1386117906106126</v>
      </c>
      <c r="CE66">
        <v>7307.403475542872</v>
      </c>
      <c r="CF66">
        <v>2.3759378547082539</v>
      </c>
      <c r="CG66">
        <v>2828.3164222447053</v>
      </c>
      <c r="CH66">
        <v>5</v>
      </c>
      <c r="CI66">
        <v>5951.9999999999991</v>
      </c>
      <c r="CJ66">
        <v>5</v>
      </c>
      <c r="CK66">
        <v>5951.9999999999991</v>
      </c>
      <c r="CL66">
        <v>6.0727761170700223</v>
      </c>
      <c r="CM66">
        <v>7229.0326897601535</v>
      </c>
      <c r="CN66">
        <v>0.84161328941012925</v>
      </c>
      <c r="CO66">
        <v>1001.8564597138178</v>
      </c>
      <c r="CP66">
        <v>6</v>
      </c>
      <c r="CQ66">
        <v>7142.4</v>
      </c>
      <c r="CR66">
        <v>4.0610208773942977</v>
      </c>
      <c r="CS66">
        <v>4834.2392524501711</v>
      </c>
      <c r="CT66">
        <v>3.3719633130017761</v>
      </c>
      <c r="CU66">
        <v>4013.9851277973139</v>
      </c>
    </row>
    <row r="67" spans="2:99">
      <c r="C67" s="99" t="s">
        <v>234</v>
      </c>
      <c r="D67">
        <v>4.4794404241041885</v>
      </c>
      <c r="E67">
        <v>5031.3074843538252</v>
      </c>
      <c r="F67">
        <v>0.84967878914266404</v>
      </c>
      <c r="G67">
        <v>954.35921596504033</v>
      </c>
      <c r="H67">
        <v>5.6752725385792369</v>
      </c>
      <c r="I67">
        <v>6374.4661153321995</v>
      </c>
      <c r="J67">
        <v>3.7915079836013956</v>
      </c>
      <c r="K67">
        <v>4258.6217671810873</v>
      </c>
      <c r="L67">
        <v>5</v>
      </c>
      <c r="M67">
        <v>5616</v>
      </c>
      <c r="N67">
        <v>5.9061737306094635</v>
      </c>
      <c r="O67">
        <v>6633.8143342205494</v>
      </c>
      <c r="P67">
        <v>4.1514169544405854</v>
      </c>
      <c r="Q67">
        <v>4662.8715232276654</v>
      </c>
      <c r="R67">
        <v>6</v>
      </c>
      <c r="S67">
        <v>6739.2000000000007</v>
      </c>
      <c r="T67">
        <v>5</v>
      </c>
      <c r="U67">
        <v>5616</v>
      </c>
      <c r="V67">
        <v>5</v>
      </c>
      <c r="W67">
        <v>5616</v>
      </c>
      <c r="X67">
        <v>6</v>
      </c>
      <c r="Y67">
        <v>6739.2000000000007</v>
      </c>
      <c r="Z67">
        <v>4.8625200870532144</v>
      </c>
      <c r="AA67">
        <v>5461.5825617781702</v>
      </c>
      <c r="AB67">
        <v>3.9640337632369693</v>
      </c>
      <c r="AC67">
        <v>4452.4027228677642</v>
      </c>
      <c r="AD67">
        <v>4.5004838413756261</v>
      </c>
      <c r="AE67">
        <v>5054.9434506331036</v>
      </c>
      <c r="AF67">
        <v>1.7741845390317947</v>
      </c>
      <c r="AG67">
        <v>1992.7640742405119</v>
      </c>
      <c r="AH67">
        <v>2.4367905926554401</v>
      </c>
      <c r="AI67">
        <v>2737.0031936705905</v>
      </c>
      <c r="AJ67">
        <v>4</v>
      </c>
      <c r="AK67">
        <v>4492.8</v>
      </c>
      <c r="AL67">
        <v>3.4483855924599012</v>
      </c>
      <c r="AM67">
        <v>3873.2266974509612</v>
      </c>
      <c r="AN67">
        <v>0.78894129394919621</v>
      </c>
      <c r="AO67">
        <v>886.13886136373719</v>
      </c>
      <c r="AP67">
        <v>4</v>
      </c>
      <c r="AQ67">
        <v>4492.8</v>
      </c>
      <c r="AR67">
        <v>3</v>
      </c>
      <c r="AS67">
        <v>3369.6000000000004</v>
      </c>
      <c r="AT67">
        <v>6</v>
      </c>
      <c r="AU67">
        <v>6739.2000000000007</v>
      </c>
      <c r="AV67">
        <v>4</v>
      </c>
      <c r="AW67">
        <v>4492.8</v>
      </c>
      <c r="AX67">
        <v>6</v>
      </c>
      <c r="AY67">
        <v>6739.2000000000007</v>
      </c>
      <c r="AZ67">
        <v>4</v>
      </c>
      <c r="BA67">
        <v>4492.8</v>
      </c>
      <c r="BB67">
        <v>5</v>
      </c>
      <c r="BC67">
        <v>5616</v>
      </c>
      <c r="BD67">
        <v>7</v>
      </c>
      <c r="BE67">
        <v>7862.4000000000005</v>
      </c>
      <c r="BF67">
        <v>6</v>
      </c>
      <c r="BG67">
        <v>6739.2000000000007</v>
      </c>
      <c r="BH67">
        <v>4</v>
      </c>
      <c r="BI67">
        <v>4492.8</v>
      </c>
      <c r="BJ67">
        <v>4</v>
      </c>
      <c r="BK67">
        <v>4492.8</v>
      </c>
      <c r="BL67">
        <v>5</v>
      </c>
      <c r="BM67">
        <v>5616</v>
      </c>
      <c r="BN67">
        <v>6</v>
      </c>
      <c r="BO67">
        <v>6739.2000000000007</v>
      </c>
      <c r="BP67">
        <v>4.3039522576498612</v>
      </c>
      <c r="BQ67">
        <v>4834.1991757923242</v>
      </c>
      <c r="BR67">
        <v>4</v>
      </c>
      <c r="BS67">
        <v>4492.8</v>
      </c>
      <c r="BT67">
        <v>4.0084965483198873</v>
      </c>
      <c r="BU67">
        <v>4502.3433230728979</v>
      </c>
      <c r="BV67">
        <v>4</v>
      </c>
      <c r="BW67">
        <v>4492.8</v>
      </c>
      <c r="BX67">
        <v>6</v>
      </c>
      <c r="BY67">
        <v>6739.2000000000007</v>
      </c>
      <c r="BZ67">
        <v>4.9927721020321236</v>
      </c>
      <c r="CA67">
        <v>5607.8816250024811</v>
      </c>
      <c r="CB67">
        <v>2.7929369100435428</v>
      </c>
      <c r="CC67">
        <v>3137.0267373609076</v>
      </c>
      <c r="CD67">
        <v>6.1559382644369389</v>
      </c>
      <c r="CE67">
        <v>6914.3498586155702</v>
      </c>
      <c r="CF67">
        <v>2.3759378547082539</v>
      </c>
      <c r="CG67">
        <v>2668.6533984083107</v>
      </c>
      <c r="CH67">
        <v>4</v>
      </c>
      <c r="CI67">
        <v>4492.8</v>
      </c>
      <c r="CJ67">
        <v>5</v>
      </c>
      <c r="CK67">
        <v>5616</v>
      </c>
      <c r="CL67">
        <v>6.083172705222883</v>
      </c>
      <c r="CM67">
        <v>6832.6195825063423</v>
      </c>
      <c r="CN67">
        <v>0.84161328941012925</v>
      </c>
      <c r="CO67">
        <v>945.30004666545722</v>
      </c>
      <c r="CP67">
        <v>6</v>
      </c>
      <c r="CQ67">
        <v>6739.2000000000007</v>
      </c>
      <c r="CR67">
        <v>4.0610208773942977</v>
      </c>
      <c r="CS67">
        <v>4561.3386494892757</v>
      </c>
      <c r="CT67">
        <v>3.3719633130017761</v>
      </c>
      <c r="CU67">
        <v>3787.3891931635949</v>
      </c>
    </row>
    <row r="68" spans="2:99">
      <c r="C68" s="99" t="s">
        <v>235</v>
      </c>
      <c r="D68">
        <v>5.2148508448146327</v>
      </c>
      <c r="E68">
        <v>5387.9838928624786</v>
      </c>
      <c r="F68">
        <v>0.84967878914266404</v>
      </c>
      <c r="G68">
        <v>877.88812494220053</v>
      </c>
      <c r="H68">
        <v>5.6752725385792369</v>
      </c>
      <c r="I68">
        <v>5863.6915868600681</v>
      </c>
      <c r="J68">
        <v>3.7915079836013956</v>
      </c>
      <c r="K68">
        <v>3917.386048656962</v>
      </c>
      <c r="L68">
        <v>5</v>
      </c>
      <c r="M68">
        <v>5166</v>
      </c>
      <c r="N68">
        <v>6.8905360190443732</v>
      </c>
      <c r="O68">
        <v>7119.3018148766469</v>
      </c>
      <c r="P68">
        <v>5.1665586498846441</v>
      </c>
      <c r="Q68">
        <v>5338.0883970608147</v>
      </c>
      <c r="R68">
        <v>6</v>
      </c>
      <c r="S68">
        <v>6199.2000000000007</v>
      </c>
      <c r="T68">
        <v>6</v>
      </c>
      <c r="U68">
        <v>6199.2000000000007</v>
      </c>
      <c r="V68">
        <v>6</v>
      </c>
      <c r="W68">
        <v>6199.2000000000007</v>
      </c>
      <c r="X68">
        <v>6</v>
      </c>
      <c r="Y68">
        <v>6199.2000000000007</v>
      </c>
      <c r="Z68">
        <v>4.8625200870532144</v>
      </c>
      <c r="AA68">
        <v>5023.9557539433818</v>
      </c>
      <c r="AB68">
        <v>3.1712270105895755</v>
      </c>
      <c r="AC68">
        <v>3276.5117473411497</v>
      </c>
      <c r="AD68">
        <v>4.5004838413756261</v>
      </c>
      <c r="AE68">
        <v>4649.8999049092972</v>
      </c>
      <c r="AF68">
        <v>1.7741845390317947</v>
      </c>
      <c r="AG68">
        <v>1833.0874657276504</v>
      </c>
      <c r="AH68">
        <v>2.4367905926554401</v>
      </c>
      <c r="AI68">
        <v>2517.6920403316008</v>
      </c>
      <c r="AJ68">
        <v>4</v>
      </c>
      <c r="AK68">
        <v>4132.8</v>
      </c>
      <c r="AL68">
        <v>2.7710509996117278</v>
      </c>
      <c r="AM68">
        <v>2863.0498927988374</v>
      </c>
      <c r="AN68">
        <v>0.78894129394919621</v>
      </c>
      <c r="AO68">
        <v>815.13414490830951</v>
      </c>
      <c r="AP68">
        <v>4</v>
      </c>
      <c r="AQ68">
        <v>4132.8</v>
      </c>
      <c r="AR68">
        <v>4</v>
      </c>
      <c r="AS68">
        <v>4132.8</v>
      </c>
      <c r="AT68">
        <v>6</v>
      </c>
      <c r="AU68">
        <v>6199.2000000000007</v>
      </c>
      <c r="AV68">
        <v>5</v>
      </c>
      <c r="AW68">
        <v>5166</v>
      </c>
      <c r="AX68">
        <v>7</v>
      </c>
      <c r="AY68">
        <v>7232.4000000000005</v>
      </c>
      <c r="AZ68">
        <v>5</v>
      </c>
      <c r="BA68">
        <v>5166</v>
      </c>
      <c r="BB68">
        <v>6</v>
      </c>
      <c r="BC68">
        <v>6199.2000000000007</v>
      </c>
      <c r="BD68">
        <v>7</v>
      </c>
      <c r="BE68">
        <v>7232.4000000000005</v>
      </c>
      <c r="BF68">
        <v>6</v>
      </c>
      <c r="BG68">
        <v>6199.2000000000007</v>
      </c>
      <c r="BH68">
        <v>4</v>
      </c>
      <c r="BI68">
        <v>4132.8</v>
      </c>
      <c r="BJ68">
        <v>5</v>
      </c>
      <c r="BK68">
        <v>5166</v>
      </c>
      <c r="BL68">
        <v>5</v>
      </c>
      <c r="BM68">
        <v>5166</v>
      </c>
      <c r="BN68">
        <v>6</v>
      </c>
      <c r="BO68">
        <v>6199.2000000000007</v>
      </c>
      <c r="BP68">
        <v>4.3039522576498612</v>
      </c>
      <c r="BQ68">
        <v>4446.8434726038367</v>
      </c>
      <c r="BR68">
        <v>4</v>
      </c>
      <c r="BS68">
        <v>4132.8</v>
      </c>
      <c r="BT68">
        <v>4.0084965483198873</v>
      </c>
      <c r="BU68">
        <v>4141.5786337241079</v>
      </c>
      <c r="BV68">
        <v>3</v>
      </c>
      <c r="BW68">
        <v>3099.6000000000004</v>
      </c>
      <c r="BX68">
        <v>7</v>
      </c>
      <c r="BY68">
        <v>7232.4000000000005</v>
      </c>
      <c r="BZ68">
        <v>4.9927721020321236</v>
      </c>
      <c r="CA68">
        <v>5158.5321358195906</v>
      </c>
      <c r="CB68">
        <v>2.7929369100435428</v>
      </c>
      <c r="CC68">
        <v>2885.6624154569886</v>
      </c>
      <c r="CD68">
        <v>6.1386117906106126</v>
      </c>
      <c r="CE68">
        <v>6342.4137020588851</v>
      </c>
      <c r="CF68">
        <v>2.3759378547082539</v>
      </c>
      <c r="CG68">
        <v>2454.818991484568</v>
      </c>
      <c r="CH68">
        <v>5</v>
      </c>
      <c r="CI68">
        <v>5166</v>
      </c>
      <c r="CJ68">
        <v>5</v>
      </c>
      <c r="CK68">
        <v>5166</v>
      </c>
      <c r="CL68">
        <v>5.0935692933757437</v>
      </c>
      <c r="CM68">
        <v>5262.6757939158188</v>
      </c>
      <c r="CN68">
        <v>0.84161328941012925</v>
      </c>
      <c r="CO68">
        <v>869.55485061854563</v>
      </c>
      <c r="CP68">
        <v>7</v>
      </c>
      <c r="CQ68">
        <v>7232.4000000000005</v>
      </c>
      <c r="CR68">
        <v>4.0610208773942977</v>
      </c>
      <c r="CS68">
        <v>4195.846770523789</v>
      </c>
      <c r="CT68">
        <v>3.3719633130017761</v>
      </c>
      <c r="CU68">
        <v>3483.9124949934353</v>
      </c>
    </row>
    <row r="69" spans="2:99">
      <c r="C69" s="99" t="s">
        <v>236</v>
      </c>
      <c r="D69">
        <v>4.4794404241041885</v>
      </c>
      <c r="E69">
        <v>3397.2076176406163</v>
      </c>
      <c r="F69">
        <v>0.84967878914266404</v>
      </c>
      <c r="G69">
        <v>644.3963936857964</v>
      </c>
      <c r="H69">
        <v>6.6211512950091098</v>
      </c>
      <c r="I69">
        <v>5021.4811421349086</v>
      </c>
      <c r="J69">
        <v>4.5498095803216749</v>
      </c>
      <c r="K69">
        <v>3450.5755857159584</v>
      </c>
      <c r="L69">
        <v>5</v>
      </c>
      <c r="M69">
        <v>3792</v>
      </c>
      <c r="N69">
        <v>6.8905360190443732</v>
      </c>
      <c r="O69">
        <v>5225.7825168432528</v>
      </c>
      <c r="P69">
        <v>5.1665586498846441</v>
      </c>
      <c r="Q69">
        <v>3918.318080072514</v>
      </c>
      <c r="R69">
        <v>6</v>
      </c>
      <c r="S69">
        <v>4550.3999999999996</v>
      </c>
      <c r="T69">
        <v>6</v>
      </c>
      <c r="U69">
        <v>4550.3999999999996</v>
      </c>
      <c r="V69">
        <v>7</v>
      </c>
      <c r="W69">
        <v>5308.8</v>
      </c>
      <c r="X69">
        <v>6</v>
      </c>
      <c r="Y69">
        <v>4550.3999999999996</v>
      </c>
      <c r="Z69">
        <v>4.8625200870532144</v>
      </c>
      <c r="AA69">
        <v>3687.7352340211578</v>
      </c>
      <c r="AB69">
        <v>3.1712270105895755</v>
      </c>
      <c r="AC69">
        <v>2405.0585648311339</v>
      </c>
      <c r="AD69">
        <v>4.5004838413756261</v>
      </c>
      <c r="AE69">
        <v>3413.1669452992746</v>
      </c>
      <c r="AF69">
        <v>1.7741845390317947</v>
      </c>
      <c r="AG69">
        <v>1345.541554401713</v>
      </c>
      <c r="AH69">
        <v>2.4367905926554401</v>
      </c>
      <c r="AI69">
        <v>1848.0619854698857</v>
      </c>
      <c r="AJ69">
        <v>4</v>
      </c>
      <c r="AK69">
        <v>3033.6</v>
      </c>
      <c r="AL69">
        <v>3.4483855924599012</v>
      </c>
      <c r="AM69">
        <v>2615.2556333215889</v>
      </c>
      <c r="AN69">
        <v>0.92043150960739539</v>
      </c>
      <c r="AO69">
        <v>698.05525688624869</v>
      </c>
      <c r="AP69">
        <v>4</v>
      </c>
      <c r="AQ69">
        <v>3033.6</v>
      </c>
      <c r="AR69">
        <v>4</v>
      </c>
      <c r="AS69">
        <v>3033.6</v>
      </c>
      <c r="AT69">
        <v>5</v>
      </c>
      <c r="AU69">
        <v>3792</v>
      </c>
      <c r="AV69">
        <v>4</v>
      </c>
      <c r="AW69">
        <v>3033.6</v>
      </c>
      <c r="AX69">
        <v>7</v>
      </c>
      <c r="AY69">
        <v>5308.8</v>
      </c>
      <c r="AZ69">
        <v>5</v>
      </c>
      <c r="BA69">
        <v>3792</v>
      </c>
      <c r="BB69">
        <v>5</v>
      </c>
      <c r="BC69">
        <v>3792</v>
      </c>
      <c r="BD69">
        <v>7</v>
      </c>
      <c r="BE69">
        <v>5308.8</v>
      </c>
      <c r="BF69">
        <v>6</v>
      </c>
      <c r="BG69">
        <v>4550.3999999999996</v>
      </c>
      <c r="BH69">
        <v>5</v>
      </c>
      <c r="BI69">
        <v>3792</v>
      </c>
      <c r="BJ69">
        <v>5</v>
      </c>
      <c r="BK69">
        <v>3792</v>
      </c>
      <c r="BL69">
        <v>5</v>
      </c>
      <c r="BM69">
        <v>3792</v>
      </c>
      <c r="BN69">
        <v>5</v>
      </c>
      <c r="BO69">
        <v>3792</v>
      </c>
      <c r="BP69">
        <v>5.1647427091798326</v>
      </c>
      <c r="BQ69">
        <v>3916.9408706419849</v>
      </c>
      <c r="BR69">
        <v>4</v>
      </c>
      <c r="BS69">
        <v>3033.6</v>
      </c>
      <c r="BT69">
        <v>4.0084965483198873</v>
      </c>
      <c r="BU69">
        <v>3040.0437822458025</v>
      </c>
      <c r="BV69">
        <v>3</v>
      </c>
      <c r="BW69">
        <v>2275.1999999999998</v>
      </c>
      <c r="BX69">
        <v>7</v>
      </c>
      <c r="BY69">
        <v>5308.8</v>
      </c>
      <c r="BZ69">
        <v>4.9927721020321236</v>
      </c>
      <c r="CA69">
        <v>3786.5183621811625</v>
      </c>
      <c r="CB69">
        <v>2.7929369100435428</v>
      </c>
      <c r="CC69">
        <v>2118.163352577023</v>
      </c>
      <c r="CD69">
        <v>6.1559382644369389</v>
      </c>
      <c r="CE69">
        <v>4668.6635797489744</v>
      </c>
      <c r="CF69">
        <v>2.3759378547082539</v>
      </c>
      <c r="CG69">
        <v>1801.9112690107397</v>
      </c>
      <c r="CH69">
        <v>5</v>
      </c>
      <c r="CI69">
        <v>3792</v>
      </c>
      <c r="CJ69">
        <v>5</v>
      </c>
      <c r="CK69">
        <v>3792</v>
      </c>
      <c r="CL69">
        <v>6.083172705222883</v>
      </c>
      <c r="CM69">
        <v>4613.4781796410343</v>
      </c>
      <c r="CN69">
        <v>1.0520166117626615</v>
      </c>
      <c r="CO69">
        <v>797.84939836080241</v>
      </c>
      <c r="CP69">
        <v>7</v>
      </c>
      <c r="CQ69">
        <v>5308.8</v>
      </c>
      <c r="CR69">
        <v>4.0610208773942977</v>
      </c>
      <c r="CS69">
        <v>3079.8782334158354</v>
      </c>
      <c r="CT69">
        <v>3.3719633130017761</v>
      </c>
      <c r="CU69">
        <v>2557.2969765805469</v>
      </c>
    </row>
    <row r="70" spans="2:99">
      <c r="C70" s="99" t="s">
        <v>237</v>
      </c>
      <c r="D70">
        <v>5.1813618948938709</v>
      </c>
      <c r="E70">
        <v>2773.0648861471996</v>
      </c>
      <c r="F70">
        <v>0.84967878914266404</v>
      </c>
      <c r="G70">
        <v>454.74808794915373</v>
      </c>
      <c r="H70">
        <v>6.6211512950091098</v>
      </c>
      <c r="I70">
        <v>3543.6401730888751</v>
      </c>
      <c r="J70">
        <v>4.5498095803216749</v>
      </c>
      <c r="K70">
        <v>2435.0580873881599</v>
      </c>
      <c r="L70">
        <v>5</v>
      </c>
      <c r="M70">
        <v>2675.9999999999995</v>
      </c>
      <c r="N70">
        <v>6.8905360190443732</v>
      </c>
      <c r="O70">
        <v>3687.8148773925482</v>
      </c>
      <c r="P70">
        <v>4</v>
      </c>
      <c r="Q70">
        <v>2140.7999999999997</v>
      </c>
      <c r="R70">
        <v>6</v>
      </c>
      <c r="S70">
        <v>3211.2</v>
      </c>
      <c r="T70">
        <v>6</v>
      </c>
      <c r="U70">
        <v>3211.2</v>
      </c>
      <c r="V70">
        <v>6</v>
      </c>
      <c r="W70">
        <v>3211.2</v>
      </c>
      <c r="X70">
        <v>6</v>
      </c>
      <c r="Y70">
        <v>3211.2</v>
      </c>
      <c r="Z70">
        <v>4.8625200870532144</v>
      </c>
      <c r="AA70">
        <v>2602.4207505908798</v>
      </c>
      <c r="AB70">
        <v>3.1712270105895755</v>
      </c>
      <c r="AC70">
        <v>1697.2406960675405</v>
      </c>
      <c r="AD70">
        <v>3.7504032011463546</v>
      </c>
      <c r="AE70">
        <v>2007.2157932535288</v>
      </c>
      <c r="AF70">
        <v>1.7741845390317947</v>
      </c>
      <c r="AG70">
        <v>949.54356528981646</v>
      </c>
      <c r="AH70">
        <v>2.4367905926554401</v>
      </c>
      <c r="AI70">
        <v>1304.1703251891913</v>
      </c>
      <c r="AJ70">
        <v>4</v>
      </c>
      <c r="AK70">
        <v>2140.7999999999997</v>
      </c>
      <c r="AL70">
        <v>3.4483855924599012</v>
      </c>
      <c r="AM70">
        <v>1845.5759690845389</v>
      </c>
      <c r="AN70">
        <v>0.78894129394919621</v>
      </c>
      <c r="AO70">
        <v>422.24138052160976</v>
      </c>
      <c r="AP70">
        <v>3</v>
      </c>
      <c r="AQ70">
        <v>1605.6</v>
      </c>
      <c r="AR70">
        <v>4</v>
      </c>
      <c r="AS70">
        <v>2140.7999999999997</v>
      </c>
      <c r="AT70">
        <v>6</v>
      </c>
      <c r="AU70">
        <v>3211.2</v>
      </c>
      <c r="AV70">
        <v>4</v>
      </c>
      <c r="AW70">
        <v>2140.7999999999997</v>
      </c>
      <c r="AX70">
        <v>6</v>
      </c>
      <c r="AY70">
        <v>3211.2</v>
      </c>
      <c r="AZ70">
        <v>4</v>
      </c>
      <c r="BA70">
        <v>2140.7999999999997</v>
      </c>
      <c r="BB70">
        <v>6</v>
      </c>
      <c r="BC70">
        <v>3211.2</v>
      </c>
      <c r="BD70">
        <v>6</v>
      </c>
      <c r="BE70">
        <v>3211.2</v>
      </c>
      <c r="BF70">
        <v>6</v>
      </c>
      <c r="BG70">
        <v>3211.2</v>
      </c>
      <c r="BH70">
        <v>4</v>
      </c>
      <c r="BI70">
        <v>2140.7999999999997</v>
      </c>
      <c r="BJ70">
        <v>5</v>
      </c>
      <c r="BK70">
        <v>2675.9999999999995</v>
      </c>
      <c r="BL70">
        <v>5</v>
      </c>
      <c r="BM70">
        <v>2675.9999999999995</v>
      </c>
      <c r="BN70">
        <v>6</v>
      </c>
      <c r="BO70">
        <v>3211.2</v>
      </c>
      <c r="BP70">
        <v>5.1647427091798326</v>
      </c>
      <c r="BQ70">
        <v>2764.170297953046</v>
      </c>
      <c r="BR70">
        <v>5</v>
      </c>
      <c r="BS70">
        <v>2675.9999999999995</v>
      </c>
      <c r="BT70">
        <v>4.0084965483198873</v>
      </c>
      <c r="BU70">
        <v>2145.3473526608036</v>
      </c>
      <c r="BV70">
        <v>3</v>
      </c>
      <c r="BW70">
        <v>1605.6</v>
      </c>
      <c r="BX70">
        <v>6</v>
      </c>
      <c r="BY70">
        <v>3211.2</v>
      </c>
      <c r="BZ70">
        <v>5.8249007857041448</v>
      </c>
      <c r="CA70">
        <v>3117.4869005088581</v>
      </c>
      <c r="CB70">
        <v>2.7929369100435428</v>
      </c>
      <c r="CC70">
        <v>1494.779834255304</v>
      </c>
      <c r="CD70">
        <v>6.1559382644369389</v>
      </c>
      <c r="CE70">
        <v>3294.6581591266495</v>
      </c>
      <c r="CF70">
        <v>2.3759378547082539</v>
      </c>
      <c r="CG70">
        <v>1271.6019398398573</v>
      </c>
      <c r="CH70">
        <v>5</v>
      </c>
      <c r="CI70">
        <v>2675.9999999999995</v>
      </c>
      <c r="CJ70">
        <v>5</v>
      </c>
      <c r="CK70">
        <v>2675.9999999999995</v>
      </c>
      <c r="CL70">
        <v>6.083172705222883</v>
      </c>
      <c r="CM70">
        <v>3255.7140318352867</v>
      </c>
      <c r="CN70">
        <v>0.84161328941012925</v>
      </c>
      <c r="CO70">
        <v>450.4314324923011</v>
      </c>
      <c r="CP70">
        <v>6</v>
      </c>
      <c r="CQ70">
        <v>3211.2</v>
      </c>
      <c r="CR70">
        <v>4.0610208773942977</v>
      </c>
      <c r="CS70">
        <v>2173.4583735814281</v>
      </c>
      <c r="CT70">
        <v>2.890254268287237</v>
      </c>
      <c r="CU70">
        <v>1546.8640843873291</v>
      </c>
    </row>
    <row r="71" spans="2:99">
      <c r="B71" s="99" t="s">
        <v>130</v>
      </c>
      <c r="C71" s="99" t="s">
        <v>238</v>
      </c>
      <c r="D71">
        <v>4</v>
      </c>
      <c r="E71">
        <v>2256</v>
      </c>
      <c r="F71">
        <v>5</v>
      </c>
      <c r="G71">
        <v>2820</v>
      </c>
      <c r="H71">
        <v>4</v>
      </c>
      <c r="I71">
        <v>2256</v>
      </c>
      <c r="J71">
        <v>4</v>
      </c>
      <c r="K71">
        <v>2256</v>
      </c>
      <c r="L71">
        <v>5</v>
      </c>
      <c r="M71">
        <v>2820</v>
      </c>
      <c r="N71">
        <v>4.3745161616964028</v>
      </c>
      <c r="O71">
        <v>2467.2271151967711</v>
      </c>
      <c r="P71">
        <v>5</v>
      </c>
      <c r="Q71">
        <v>2820</v>
      </c>
      <c r="R71">
        <v>3.6730349642827287</v>
      </c>
      <c r="S71">
        <v>2071.5917198554589</v>
      </c>
      <c r="T71">
        <v>2.7807587203081958</v>
      </c>
      <c r="U71">
        <v>1568.3479182538224</v>
      </c>
      <c r="V71">
        <v>3.0363961176367589</v>
      </c>
      <c r="W71">
        <v>1712.527410347132</v>
      </c>
      <c r="X71">
        <v>1.3103286830766443</v>
      </c>
      <c r="Y71">
        <v>739.02537725522734</v>
      </c>
      <c r="Z71">
        <v>4.3601783476895104</v>
      </c>
      <c r="AA71">
        <v>2459.1405880968837</v>
      </c>
      <c r="AB71">
        <v>3</v>
      </c>
      <c r="AC71">
        <v>1692</v>
      </c>
      <c r="AD71">
        <v>3</v>
      </c>
      <c r="AE71">
        <v>1692</v>
      </c>
      <c r="AF71">
        <v>4</v>
      </c>
      <c r="AG71">
        <v>2256</v>
      </c>
      <c r="AH71">
        <v>4</v>
      </c>
      <c r="AI71">
        <v>2256</v>
      </c>
      <c r="AJ71">
        <v>4</v>
      </c>
      <c r="AK71">
        <v>2256</v>
      </c>
      <c r="AL71">
        <v>4</v>
      </c>
      <c r="AM71">
        <v>2256</v>
      </c>
      <c r="AN71">
        <v>3</v>
      </c>
      <c r="AO71">
        <v>1692</v>
      </c>
      <c r="AP71">
        <v>4</v>
      </c>
      <c r="AQ71">
        <v>2256</v>
      </c>
      <c r="AR71">
        <v>6</v>
      </c>
      <c r="AS71">
        <v>3384</v>
      </c>
      <c r="AT71">
        <v>4</v>
      </c>
      <c r="AU71">
        <v>2256</v>
      </c>
      <c r="AV71">
        <v>4</v>
      </c>
      <c r="AW71">
        <v>2256</v>
      </c>
      <c r="AX71">
        <v>6</v>
      </c>
      <c r="AY71">
        <v>3384</v>
      </c>
      <c r="AZ71">
        <v>5</v>
      </c>
      <c r="BA71">
        <v>2820</v>
      </c>
      <c r="BB71">
        <v>5.3900500696049862</v>
      </c>
      <c r="BC71">
        <v>3039.9882392572122</v>
      </c>
      <c r="BD71">
        <v>2.56364434647899</v>
      </c>
      <c r="BE71">
        <v>1445.8954114141504</v>
      </c>
      <c r="BF71">
        <v>6</v>
      </c>
      <c r="BG71">
        <v>3384</v>
      </c>
      <c r="BH71">
        <v>4</v>
      </c>
      <c r="BI71">
        <v>2256</v>
      </c>
      <c r="BJ71">
        <v>4</v>
      </c>
      <c r="BK71">
        <v>2256</v>
      </c>
      <c r="BL71">
        <v>4.8097265561329703</v>
      </c>
      <c r="BM71">
        <v>2712.6857776589954</v>
      </c>
      <c r="BN71">
        <v>3.483549225589702</v>
      </c>
      <c r="BO71">
        <v>1964.7217632325919</v>
      </c>
      <c r="BP71">
        <v>2.7366359936462614</v>
      </c>
      <c r="BQ71">
        <v>1543.4627004164915</v>
      </c>
      <c r="BR71">
        <v>5.0096965304687657</v>
      </c>
      <c r="BS71">
        <v>2825.4688431843838</v>
      </c>
      <c r="BT71">
        <v>1.7503910721636604</v>
      </c>
      <c r="BU71">
        <v>987.22056470030452</v>
      </c>
      <c r="BV71">
        <v>3.4996465976173621</v>
      </c>
      <c r="BW71">
        <v>1973.8006810561922</v>
      </c>
      <c r="BX71">
        <v>3.1169526527147062</v>
      </c>
      <c r="BY71">
        <v>1757.9612961310943</v>
      </c>
      <c r="BZ71">
        <v>4</v>
      </c>
      <c r="CA71">
        <v>2256</v>
      </c>
      <c r="CB71">
        <v>3</v>
      </c>
      <c r="CC71">
        <v>1692</v>
      </c>
      <c r="CD71">
        <v>6.546475228706889</v>
      </c>
      <c r="CE71">
        <v>3692.2120289906852</v>
      </c>
      <c r="CF71">
        <v>4</v>
      </c>
      <c r="CG71">
        <v>2256</v>
      </c>
      <c r="CH71">
        <v>4</v>
      </c>
      <c r="CI71">
        <v>2256</v>
      </c>
      <c r="CJ71">
        <v>4.5108332978631056</v>
      </c>
      <c r="CK71">
        <v>2544.1099799947915</v>
      </c>
      <c r="CL71">
        <v>4.1187891078274346</v>
      </c>
      <c r="CM71">
        <v>2322.9970568146732</v>
      </c>
      <c r="CN71">
        <v>4</v>
      </c>
      <c r="CO71">
        <v>2256</v>
      </c>
      <c r="CP71">
        <v>4</v>
      </c>
      <c r="CQ71">
        <v>2256</v>
      </c>
      <c r="CR71">
        <v>3.792488482120969</v>
      </c>
      <c r="CS71">
        <v>2138.9635039162267</v>
      </c>
      <c r="CT71">
        <v>0.72234506447797109</v>
      </c>
      <c r="CU71">
        <v>407.40261636557568</v>
      </c>
    </row>
    <row r="72" spans="2:99">
      <c r="C72" s="99" t="s">
        <v>239</v>
      </c>
      <c r="D72">
        <v>5</v>
      </c>
      <c r="E72">
        <v>371.99999999999994</v>
      </c>
      <c r="F72">
        <v>5</v>
      </c>
      <c r="G72">
        <v>371.99999999999994</v>
      </c>
      <c r="H72">
        <v>4</v>
      </c>
      <c r="I72">
        <v>297.59999999999997</v>
      </c>
      <c r="J72">
        <v>3</v>
      </c>
      <c r="K72">
        <v>223.2</v>
      </c>
      <c r="L72">
        <v>5</v>
      </c>
      <c r="M72">
        <v>371.99999999999994</v>
      </c>
      <c r="N72">
        <v>4</v>
      </c>
      <c r="O72">
        <v>297.59999999999997</v>
      </c>
      <c r="P72">
        <v>6</v>
      </c>
      <c r="Q72">
        <v>446.4</v>
      </c>
      <c r="R72">
        <v>4.4076419571392753</v>
      </c>
      <c r="S72">
        <v>327.92856161116202</v>
      </c>
      <c r="T72">
        <v>2.7807587203081958</v>
      </c>
      <c r="U72">
        <v>206.88844879092974</v>
      </c>
      <c r="V72">
        <v>3.0516875151491112</v>
      </c>
      <c r="W72">
        <v>227.04555112709386</v>
      </c>
      <c r="X72">
        <v>1.572394419691973</v>
      </c>
      <c r="Y72">
        <v>116.98614482508277</v>
      </c>
      <c r="Z72">
        <v>3.633481956407925</v>
      </c>
      <c r="AA72">
        <v>270.33105755674961</v>
      </c>
      <c r="AB72">
        <v>4</v>
      </c>
      <c r="AC72">
        <v>297.59999999999997</v>
      </c>
      <c r="AD72">
        <v>4</v>
      </c>
      <c r="AE72">
        <v>297.59999999999997</v>
      </c>
      <c r="AF72">
        <v>4</v>
      </c>
      <c r="AG72">
        <v>297.59999999999997</v>
      </c>
      <c r="AH72">
        <v>4</v>
      </c>
      <c r="AI72">
        <v>297.59999999999997</v>
      </c>
      <c r="AJ72">
        <v>4</v>
      </c>
      <c r="AK72">
        <v>297.59999999999997</v>
      </c>
      <c r="AL72">
        <v>4</v>
      </c>
      <c r="AM72">
        <v>297.59999999999997</v>
      </c>
      <c r="AN72">
        <v>3</v>
      </c>
      <c r="AO72">
        <v>223.2</v>
      </c>
      <c r="AP72">
        <v>4</v>
      </c>
      <c r="AQ72">
        <v>297.59999999999997</v>
      </c>
      <c r="AR72">
        <v>6</v>
      </c>
      <c r="AS72">
        <v>446.4</v>
      </c>
      <c r="AT72">
        <v>5</v>
      </c>
      <c r="AU72">
        <v>371.99999999999994</v>
      </c>
      <c r="AV72">
        <v>4</v>
      </c>
      <c r="AW72">
        <v>297.59999999999997</v>
      </c>
      <c r="AX72">
        <v>6</v>
      </c>
      <c r="AY72">
        <v>446.4</v>
      </c>
      <c r="AZ72">
        <v>6</v>
      </c>
      <c r="BA72">
        <v>446.4</v>
      </c>
      <c r="BB72">
        <v>5.4875625870062326</v>
      </c>
      <c r="BC72">
        <v>408.27465647326363</v>
      </c>
      <c r="BD72">
        <v>3.2045554330987374</v>
      </c>
      <c r="BE72">
        <v>238.41892422254602</v>
      </c>
      <c r="BF72">
        <v>6</v>
      </c>
      <c r="BG72">
        <v>446.4</v>
      </c>
      <c r="BH72">
        <v>4</v>
      </c>
      <c r="BI72">
        <v>297.59999999999997</v>
      </c>
      <c r="BJ72">
        <v>5</v>
      </c>
      <c r="BK72">
        <v>371.99999999999994</v>
      </c>
      <c r="BL72">
        <v>4.8097265561329703</v>
      </c>
      <c r="BM72">
        <v>357.84365577629296</v>
      </c>
      <c r="BN72">
        <v>4.4400802029664845</v>
      </c>
      <c r="BO72">
        <v>330.34196710070643</v>
      </c>
      <c r="BP72">
        <v>2.7366359936462614</v>
      </c>
      <c r="BQ72">
        <v>203.60571792728183</v>
      </c>
      <c r="BR72">
        <v>4.1735884116983923</v>
      </c>
      <c r="BS72">
        <v>310.51497783036035</v>
      </c>
      <c r="BT72">
        <v>1.7503910721636604</v>
      </c>
      <c r="BU72">
        <v>130.22909576897632</v>
      </c>
      <c r="BV72">
        <v>4.5496112573790981</v>
      </c>
      <c r="BW72">
        <v>338.49107754900484</v>
      </c>
      <c r="BX72">
        <v>3.1169526527147062</v>
      </c>
      <c r="BY72">
        <v>231.90127736197411</v>
      </c>
      <c r="BZ72">
        <v>4</v>
      </c>
      <c r="CA72">
        <v>297.59999999999997</v>
      </c>
      <c r="CB72">
        <v>4.4825522751507023</v>
      </c>
      <c r="CC72">
        <v>333.50188927121224</v>
      </c>
      <c r="CD72">
        <v>6.4967956624608076</v>
      </c>
      <c r="CE72">
        <v>483.36159728708401</v>
      </c>
      <c r="CF72">
        <v>4</v>
      </c>
      <c r="CG72">
        <v>297.59999999999997</v>
      </c>
      <c r="CH72">
        <v>4</v>
      </c>
      <c r="CI72">
        <v>297.59999999999997</v>
      </c>
      <c r="CJ72">
        <v>5.5501281669294977</v>
      </c>
      <c r="CK72">
        <v>412.9295356195546</v>
      </c>
      <c r="CL72">
        <v>4.1187891078274346</v>
      </c>
      <c r="CM72">
        <v>306.43790962236108</v>
      </c>
      <c r="CN72">
        <v>5</v>
      </c>
      <c r="CO72">
        <v>371.99999999999994</v>
      </c>
      <c r="CP72">
        <v>4</v>
      </c>
      <c r="CQ72">
        <v>297.59999999999997</v>
      </c>
      <c r="CR72">
        <v>4.6797130042688053</v>
      </c>
      <c r="CS72">
        <v>348.17064751759909</v>
      </c>
      <c r="CT72">
        <v>0.72234506447797109</v>
      </c>
      <c r="CU72">
        <v>53.742472797161042</v>
      </c>
    </row>
    <row r="73" spans="2:99">
      <c r="C73" s="99" t="s">
        <v>240</v>
      </c>
      <c r="D73">
        <v>4</v>
      </c>
      <c r="E73">
        <v>2236.7999999999997</v>
      </c>
      <c r="F73">
        <v>5</v>
      </c>
      <c r="G73">
        <v>2795.9999999999995</v>
      </c>
      <c r="H73">
        <v>4</v>
      </c>
      <c r="I73">
        <v>2236.7999999999997</v>
      </c>
      <c r="J73">
        <v>3</v>
      </c>
      <c r="K73">
        <v>1677.6</v>
      </c>
      <c r="L73">
        <v>6</v>
      </c>
      <c r="M73">
        <v>3355.2</v>
      </c>
      <c r="N73">
        <v>4.3745161616964028</v>
      </c>
      <c r="O73">
        <v>2446.2294376206282</v>
      </c>
      <c r="P73">
        <v>5</v>
      </c>
      <c r="Q73">
        <v>2795.9999999999995</v>
      </c>
      <c r="R73">
        <v>4.8434198168454348</v>
      </c>
      <c r="S73">
        <v>2708.440361579967</v>
      </c>
      <c r="T73">
        <v>2.7222896272816208</v>
      </c>
      <c r="U73">
        <v>1522.3043595758822</v>
      </c>
      <c r="V73">
        <v>3.0363961176367589</v>
      </c>
      <c r="W73">
        <v>1697.9527089824753</v>
      </c>
      <c r="X73">
        <v>1.572394419691973</v>
      </c>
      <c r="Y73">
        <v>879.28295949175117</v>
      </c>
      <c r="Z73">
        <v>4.3601783476895104</v>
      </c>
      <c r="AA73">
        <v>2438.211732027974</v>
      </c>
      <c r="AB73">
        <v>4</v>
      </c>
      <c r="AC73">
        <v>2236.7999999999997</v>
      </c>
      <c r="AD73">
        <v>3</v>
      </c>
      <c r="AE73">
        <v>1677.6</v>
      </c>
      <c r="AF73">
        <v>4</v>
      </c>
      <c r="AG73">
        <v>2236.7999999999997</v>
      </c>
      <c r="AH73">
        <v>4</v>
      </c>
      <c r="AI73">
        <v>2236.7999999999997</v>
      </c>
      <c r="AJ73">
        <v>4</v>
      </c>
      <c r="AK73">
        <v>2236.7999999999997</v>
      </c>
      <c r="AL73">
        <v>4</v>
      </c>
      <c r="AM73">
        <v>2236.7999999999997</v>
      </c>
      <c r="AN73">
        <v>3</v>
      </c>
      <c r="AO73">
        <v>1677.6</v>
      </c>
      <c r="AP73">
        <v>4</v>
      </c>
      <c r="AQ73">
        <v>2236.7999999999997</v>
      </c>
      <c r="AR73">
        <v>5</v>
      </c>
      <c r="AS73">
        <v>2795.9999999999995</v>
      </c>
      <c r="AT73">
        <v>5</v>
      </c>
      <c r="AU73">
        <v>2795.9999999999995</v>
      </c>
      <c r="AV73">
        <v>4</v>
      </c>
      <c r="AW73">
        <v>2236.7999999999997</v>
      </c>
      <c r="AX73">
        <v>6</v>
      </c>
      <c r="AY73">
        <v>3355.2</v>
      </c>
      <c r="AZ73">
        <v>5</v>
      </c>
      <c r="BA73">
        <v>2795.9999999999995</v>
      </c>
      <c r="BB73">
        <v>6.438806328305609</v>
      </c>
      <c r="BC73">
        <v>3600.5804987884962</v>
      </c>
      <c r="BD73">
        <v>2.56364434647899</v>
      </c>
      <c r="BE73">
        <v>1433.5899185510509</v>
      </c>
      <c r="BF73">
        <v>6</v>
      </c>
      <c r="BG73">
        <v>3355.2</v>
      </c>
      <c r="BH73">
        <v>4</v>
      </c>
      <c r="BI73">
        <v>2236.7999999999997</v>
      </c>
      <c r="BJ73">
        <v>4</v>
      </c>
      <c r="BK73">
        <v>2236.7999999999997</v>
      </c>
      <c r="BL73">
        <v>4.8097265561329703</v>
      </c>
      <c r="BM73">
        <v>2689.5990901895566</v>
      </c>
      <c r="BN73">
        <v>4.5345350173448473</v>
      </c>
      <c r="BO73">
        <v>2535.7119816992381</v>
      </c>
      <c r="BP73">
        <v>2.7366359936462614</v>
      </c>
      <c r="BQ73">
        <v>1530.3268476469891</v>
      </c>
      <c r="BR73">
        <v>4.1735884116983923</v>
      </c>
      <c r="BS73">
        <v>2333.8706398217405</v>
      </c>
      <c r="BT73">
        <v>1.7503910721636604</v>
      </c>
      <c r="BU73">
        <v>978.81868755391883</v>
      </c>
      <c r="BV73">
        <v>3.5496112573790986</v>
      </c>
      <c r="BW73">
        <v>1984.9426151263917</v>
      </c>
      <c r="BX73">
        <v>3.7403431832576475</v>
      </c>
      <c r="BY73">
        <v>2091.599908077676</v>
      </c>
      <c r="BZ73">
        <v>4</v>
      </c>
      <c r="CA73">
        <v>2236.7999999999997</v>
      </c>
      <c r="CB73">
        <v>4</v>
      </c>
      <c r="CC73">
        <v>2236.7999999999997</v>
      </c>
      <c r="CD73">
        <v>6.4967956624608076</v>
      </c>
      <c r="CE73">
        <v>3633.0081344480832</v>
      </c>
      <c r="CF73">
        <v>4</v>
      </c>
      <c r="CG73">
        <v>2236.7999999999997</v>
      </c>
      <c r="CH73">
        <v>4</v>
      </c>
      <c r="CI73">
        <v>2236.7999999999997</v>
      </c>
      <c r="CJ73">
        <v>4.5894230359958907</v>
      </c>
      <c r="CK73">
        <v>2566.4053617289019</v>
      </c>
      <c r="CL73">
        <v>4.1187891078274346</v>
      </c>
      <c r="CM73">
        <v>2303.2268690971009</v>
      </c>
      <c r="CN73">
        <v>4</v>
      </c>
      <c r="CO73">
        <v>2236.7999999999997</v>
      </c>
      <c r="CP73">
        <v>4</v>
      </c>
      <c r="CQ73">
        <v>2236.7999999999997</v>
      </c>
      <c r="CR73">
        <v>4.6971123180923504</v>
      </c>
      <c r="CS73">
        <v>2626.6252082772421</v>
      </c>
      <c r="CT73">
        <v>0.72234506447797109</v>
      </c>
      <c r="CU73">
        <v>403.93536005608138</v>
      </c>
    </row>
    <row r="74" spans="2:99">
      <c r="C74" s="99" t="s">
        <v>241</v>
      </c>
      <c r="D74">
        <v>5</v>
      </c>
      <c r="E74">
        <v>2016</v>
      </c>
      <c r="F74">
        <v>4</v>
      </c>
      <c r="G74">
        <v>1612.8</v>
      </c>
      <c r="H74">
        <v>4</v>
      </c>
      <c r="I74">
        <v>1612.8</v>
      </c>
      <c r="J74">
        <v>3</v>
      </c>
      <c r="K74">
        <v>1209.5999999999999</v>
      </c>
      <c r="L74">
        <v>6</v>
      </c>
      <c r="M74">
        <v>2419.1999999999998</v>
      </c>
      <c r="N74">
        <v>4.3745161616964028</v>
      </c>
      <c r="O74">
        <v>1763.8049163959895</v>
      </c>
      <c r="P74">
        <v>6</v>
      </c>
      <c r="Q74">
        <v>2419.1999999999998</v>
      </c>
      <c r="R74">
        <v>4.8434198168454348</v>
      </c>
      <c r="S74">
        <v>1952.8668701520792</v>
      </c>
      <c r="T74">
        <v>2.7222896272816208</v>
      </c>
      <c r="U74">
        <v>1097.6271777199495</v>
      </c>
      <c r="V74">
        <v>3.0363961176367589</v>
      </c>
      <c r="W74">
        <v>1224.2749146311412</v>
      </c>
      <c r="X74">
        <v>1.572394419691973</v>
      </c>
      <c r="Y74">
        <v>633.98943001980354</v>
      </c>
      <c r="Z74">
        <v>4.3601783476895104</v>
      </c>
      <c r="AA74">
        <v>1758.0239097884105</v>
      </c>
      <c r="AB74">
        <v>4</v>
      </c>
      <c r="AC74">
        <v>1612.8</v>
      </c>
      <c r="AD74">
        <v>3</v>
      </c>
      <c r="AE74">
        <v>1209.5999999999999</v>
      </c>
      <c r="AF74">
        <v>4</v>
      </c>
      <c r="AG74">
        <v>1612.8</v>
      </c>
      <c r="AH74">
        <v>4</v>
      </c>
      <c r="AI74">
        <v>1612.8</v>
      </c>
      <c r="AJ74">
        <v>4</v>
      </c>
      <c r="AK74">
        <v>1612.8</v>
      </c>
      <c r="AL74">
        <v>4</v>
      </c>
      <c r="AM74">
        <v>1612.8</v>
      </c>
      <c r="AN74">
        <v>3</v>
      </c>
      <c r="AO74">
        <v>1209.5999999999999</v>
      </c>
      <c r="AP74">
        <v>4</v>
      </c>
      <c r="AQ74">
        <v>1612.8</v>
      </c>
      <c r="AR74">
        <v>5</v>
      </c>
      <c r="AS74">
        <v>2016</v>
      </c>
      <c r="AT74">
        <v>5</v>
      </c>
      <c r="AU74">
        <v>2016</v>
      </c>
      <c r="AV74">
        <v>4</v>
      </c>
      <c r="AW74">
        <v>1612.8</v>
      </c>
      <c r="AX74">
        <v>6</v>
      </c>
      <c r="AY74">
        <v>2419.1999999999998</v>
      </c>
      <c r="AZ74">
        <v>6</v>
      </c>
      <c r="BA74">
        <v>2419.1999999999998</v>
      </c>
      <c r="BB74">
        <v>5.4875625870062326</v>
      </c>
      <c r="BC74">
        <v>2212.5852350809128</v>
      </c>
      <c r="BD74">
        <v>2.56364434647899</v>
      </c>
      <c r="BE74">
        <v>1033.6614005003287</v>
      </c>
      <c r="BF74">
        <v>6</v>
      </c>
      <c r="BG74">
        <v>2419.1999999999998</v>
      </c>
      <c r="BH74">
        <v>4</v>
      </c>
      <c r="BI74">
        <v>1612.8</v>
      </c>
      <c r="BJ74">
        <v>4</v>
      </c>
      <c r="BK74">
        <v>1612.8</v>
      </c>
      <c r="BL74">
        <v>5.7716718673595642</v>
      </c>
      <c r="BM74">
        <v>2327.138096919376</v>
      </c>
      <c r="BN74">
        <v>3.5307766327788834</v>
      </c>
      <c r="BO74">
        <v>1423.6091383364458</v>
      </c>
      <c r="BP74">
        <v>2.7366359936462614</v>
      </c>
      <c r="BQ74">
        <v>1103.4116326381725</v>
      </c>
      <c r="BR74">
        <v>4.1275241929974529</v>
      </c>
      <c r="BS74">
        <v>1664.2177546165728</v>
      </c>
      <c r="BT74">
        <v>1.7503910721636604</v>
      </c>
      <c r="BU74">
        <v>705.75768029638789</v>
      </c>
      <c r="BV74">
        <v>4</v>
      </c>
      <c r="BW74">
        <v>1612.8</v>
      </c>
      <c r="BX74">
        <v>3.1169526527147062</v>
      </c>
      <c r="BY74">
        <v>1256.7553095745695</v>
      </c>
      <c r="BZ74">
        <v>4</v>
      </c>
      <c r="CA74">
        <v>1612.8</v>
      </c>
      <c r="CB74">
        <v>3</v>
      </c>
      <c r="CC74">
        <v>1209.5999999999999</v>
      </c>
      <c r="CD74">
        <v>6.4471160962147271</v>
      </c>
      <c r="CE74">
        <v>2599.4772099937777</v>
      </c>
      <c r="CF74">
        <v>4</v>
      </c>
      <c r="CG74">
        <v>1612.8</v>
      </c>
      <c r="CH74">
        <v>4</v>
      </c>
      <c r="CI74">
        <v>1612.8</v>
      </c>
      <c r="CJ74">
        <v>5.5501281669294977</v>
      </c>
      <c r="CK74">
        <v>2237.8116769059734</v>
      </c>
      <c r="CL74">
        <v>4.9425469293929218</v>
      </c>
      <c r="CM74">
        <v>1992.8349219312261</v>
      </c>
      <c r="CN74">
        <v>4</v>
      </c>
      <c r="CO74">
        <v>1612.8</v>
      </c>
      <c r="CP74">
        <v>4</v>
      </c>
      <c r="CQ74">
        <v>1612.8</v>
      </c>
      <c r="CR74">
        <v>3.7750891682974248</v>
      </c>
      <c r="CS74">
        <v>1522.1159526575216</v>
      </c>
      <c r="CT74">
        <v>0.86681407737356542</v>
      </c>
      <c r="CU74">
        <v>349.49943599702158</v>
      </c>
    </row>
    <row r="75" spans="2:99">
      <c r="C75" s="99" t="s">
        <v>242</v>
      </c>
      <c r="D75">
        <v>4</v>
      </c>
      <c r="E75">
        <v>2572.7999999999997</v>
      </c>
      <c r="F75">
        <v>4</v>
      </c>
      <c r="G75">
        <v>2572.7999999999997</v>
      </c>
      <c r="H75">
        <v>4</v>
      </c>
      <c r="I75">
        <v>2572.7999999999997</v>
      </c>
      <c r="J75">
        <v>4</v>
      </c>
      <c r="K75">
        <v>2572.7999999999997</v>
      </c>
      <c r="L75">
        <v>5</v>
      </c>
      <c r="M75">
        <v>3215.9999999999995</v>
      </c>
      <c r="N75">
        <v>4.3370645455267622</v>
      </c>
      <c r="O75">
        <v>2789.5999156828134</v>
      </c>
      <c r="P75">
        <v>6</v>
      </c>
      <c r="Q75">
        <v>3859.2</v>
      </c>
      <c r="R75">
        <v>4.4076419571392753</v>
      </c>
      <c r="S75">
        <v>2834.9953068319815</v>
      </c>
      <c r="T75">
        <v>2.7807587203081958</v>
      </c>
      <c r="U75">
        <v>1788.5840089022313</v>
      </c>
      <c r="V75">
        <v>3.0516875151491112</v>
      </c>
      <c r="W75">
        <v>1962.845409743908</v>
      </c>
      <c r="X75">
        <v>1.572394419691973</v>
      </c>
      <c r="Y75">
        <v>1011.364090745877</v>
      </c>
      <c r="Z75">
        <v>3.633481956407925</v>
      </c>
      <c r="AA75">
        <v>2337.0555943615773</v>
      </c>
      <c r="AB75">
        <v>4</v>
      </c>
      <c r="AC75">
        <v>2572.7999999999997</v>
      </c>
      <c r="AD75">
        <v>3</v>
      </c>
      <c r="AE75">
        <v>1929.6</v>
      </c>
      <c r="AF75">
        <v>4</v>
      </c>
      <c r="AG75">
        <v>2572.7999999999997</v>
      </c>
      <c r="AH75">
        <v>4</v>
      </c>
      <c r="AI75">
        <v>2572.7999999999997</v>
      </c>
      <c r="AJ75">
        <v>4</v>
      </c>
      <c r="AK75">
        <v>2572.7999999999997</v>
      </c>
      <c r="AL75">
        <v>4</v>
      </c>
      <c r="AM75">
        <v>2572.7999999999997</v>
      </c>
      <c r="AN75">
        <v>3</v>
      </c>
      <c r="AO75">
        <v>1929.6</v>
      </c>
      <c r="AP75">
        <v>4</v>
      </c>
      <c r="AQ75">
        <v>2572.7999999999997</v>
      </c>
      <c r="AR75">
        <v>5</v>
      </c>
      <c r="AS75">
        <v>3215.9999999999995</v>
      </c>
      <c r="AT75">
        <v>5</v>
      </c>
      <c r="AU75">
        <v>3215.9999999999995</v>
      </c>
      <c r="AV75">
        <v>4</v>
      </c>
      <c r="AW75">
        <v>2572.7999999999997</v>
      </c>
      <c r="AX75">
        <v>5</v>
      </c>
      <c r="AY75">
        <v>3215.9999999999995</v>
      </c>
      <c r="AZ75">
        <v>6</v>
      </c>
      <c r="BA75">
        <v>3859.2</v>
      </c>
      <c r="BB75">
        <v>5.438806328305609</v>
      </c>
      <c r="BC75">
        <v>3498.2402303661675</v>
      </c>
      <c r="BD75">
        <v>2.56364434647899</v>
      </c>
      <c r="BE75">
        <v>1648.9360436552861</v>
      </c>
      <c r="BF75">
        <v>6</v>
      </c>
      <c r="BG75">
        <v>3859.2</v>
      </c>
      <c r="BH75">
        <v>4</v>
      </c>
      <c r="BI75">
        <v>2572.7999999999997</v>
      </c>
      <c r="BJ75">
        <v>4</v>
      </c>
      <c r="BK75">
        <v>2572.7999999999997</v>
      </c>
      <c r="BL75">
        <v>4.8097265561329703</v>
      </c>
      <c r="BM75">
        <v>3093.6161209047264</v>
      </c>
      <c r="BN75">
        <v>3.5307766327788834</v>
      </c>
      <c r="BO75">
        <v>2270.9955302033777</v>
      </c>
      <c r="BP75">
        <v>2.7366359936462614</v>
      </c>
      <c r="BQ75">
        <v>1760.2042711132751</v>
      </c>
      <c r="BR75">
        <v>4.1735884116983923</v>
      </c>
      <c r="BS75">
        <v>2684.4520664044057</v>
      </c>
      <c r="BT75">
        <v>1.7503910721636604</v>
      </c>
      <c r="BU75">
        <v>1125.8515376156663</v>
      </c>
      <c r="BV75">
        <v>3.5496112573790986</v>
      </c>
      <c r="BW75">
        <v>2283.1099607462361</v>
      </c>
      <c r="BX75">
        <v>3.1169526527147062</v>
      </c>
      <c r="BY75">
        <v>2004.8239462260988</v>
      </c>
      <c r="BZ75">
        <v>3</v>
      </c>
      <c r="CA75">
        <v>1929.6</v>
      </c>
      <c r="CB75">
        <v>3</v>
      </c>
      <c r="CC75">
        <v>1929.6</v>
      </c>
      <c r="CD75">
        <v>6.546475228706889</v>
      </c>
      <c r="CE75">
        <v>4210.6928671042706</v>
      </c>
      <c r="CF75">
        <v>4</v>
      </c>
      <c r="CG75">
        <v>2572.7999999999997</v>
      </c>
      <c r="CH75">
        <v>3</v>
      </c>
      <c r="CI75">
        <v>1929.6</v>
      </c>
      <c r="CJ75">
        <v>5.5501281669294977</v>
      </c>
      <c r="CK75">
        <v>3569.8424369690524</v>
      </c>
      <c r="CL75">
        <v>4.1187891078274346</v>
      </c>
      <c r="CM75">
        <v>2649.2051541546057</v>
      </c>
      <c r="CN75">
        <v>4</v>
      </c>
      <c r="CO75">
        <v>2572.7999999999997</v>
      </c>
      <c r="CP75">
        <v>4</v>
      </c>
      <c r="CQ75">
        <v>2572.7999999999997</v>
      </c>
      <c r="CR75">
        <v>3.7750891682974248</v>
      </c>
      <c r="CS75">
        <v>2428.1373530489032</v>
      </c>
      <c r="CT75">
        <v>0.72234506447797109</v>
      </c>
      <c r="CU75">
        <v>464.61234547223097</v>
      </c>
    </row>
    <row r="76" spans="2:99">
      <c r="C76" s="99" t="s">
        <v>243</v>
      </c>
      <c r="D76">
        <v>4</v>
      </c>
      <c r="E76">
        <v>3115.2</v>
      </c>
      <c r="F76">
        <v>5</v>
      </c>
      <c r="G76">
        <v>3894</v>
      </c>
      <c r="H76">
        <v>4</v>
      </c>
      <c r="I76">
        <v>3115.2</v>
      </c>
      <c r="J76">
        <v>4</v>
      </c>
      <c r="K76">
        <v>3115.2</v>
      </c>
      <c r="L76">
        <v>5</v>
      </c>
      <c r="M76">
        <v>3894</v>
      </c>
      <c r="N76">
        <v>4.3745161616964028</v>
      </c>
      <c r="O76">
        <v>3406.8731867291581</v>
      </c>
      <c r="P76">
        <v>6</v>
      </c>
      <c r="Q76">
        <v>4672.7999999999993</v>
      </c>
      <c r="R76">
        <v>3.6730349642827287</v>
      </c>
      <c r="S76">
        <v>2860.5596301833889</v>
      </c>
      <c r="T76">
        <v>2.7515241737949081</v>
      </c>
      <c r="U76">
        <v>2142.8870265514743</v>
      </c>
      <c r="V76">
        <v>2.5736557243156306</v>
      </c>
      <c r="W76">
        <v>2004.3630780970129</v>
      </c>
      <c r="X76">
        <v>1.3103286830766443</v>
      </c>
      <c r="Y76">
        <v>1020.4839783800905</v>
      </c>
      <c r="Z76">
        <v>3.633481956407925</v>
      </c>
      <c r="AA76">
        <v>2829.7557476504917</v>
      </c>
      <c r="AB76">
        <v>3</v>
      </c>
      <c r="AC76">
        <v>2336.3999999999996</v>
      </c>
      <c r="AD76">
        <v>4</v>
      </c>
      <c r="AE76">
        <v>3115.2</v>
      </c>
      <c r="AF76">
        <v>4</v>
      </c>
      <c r="AG76">
        <v>3115.2</v>
      </c>
      <c r="AH76">
        <v>4</v>
      </c>
      <c r="AI76">
        <v>3115.2</v>
      </c>
      <c r="AJ76">
        <v>4</v>
      </c>
      <c r="AK76">
        <v>3115.2</v>
      </c>
      <c r="AL76">
        <v>4</v>
      </c>
      <c r="AM76">
        <v>3115.2</v>
      </c>
      <c r="AN76">
        <v>3</v>
      </c>
      <c r="AO76">
        <v>2336.3999999999996</v>
      </c>
      <c r="AP76">
        <v>4</v>
      </c>
      <c r="AQ76">
        <v>3115.2</v>
      </c>
      <c r="AR76">
        <v>6</v>
      </c>
      <c r="AS76">
        <v>4672.7999999999993</v>
      </c>
      <c r="AT76">
        <v>5</v>
      </c>
      <c r="AU76">
        <v>3894</v>
      </c>
      <c r="AV76">
        <v>4</v>
      </c>
      <c r="AW76">
        <v>3115.2</v>
      </c>
      <c r="AX76">
        <v>6</v>
      </c>
      <c r="AY76">
        <v>4672.7999999999993</v>
      </c>
      <c r="AZ76">
        <v>6</v>
      </c>
      <c r="BA76">
        <v>4672.7999999999993</v>
      </c>
      <c r="BB76">
        <v>5.438806328305609</v>
      </c>
      <c r="BC76">
        <v>4235.742368484408</v>
      </c>
      <c r="BD76">
        <v>2.56364434647899</v>
      </c>
      <c r="BE76">
        <v>1996.5662170378373</v>
      </c>
      <c r="BF76">
        <v>5</v>
      </c>
      <c r="BG76">
        <v>3894</v>
      </c>
      <c r="BH76">
        <v>4</v>
      </c>
      <c r="BI76">
        <v>3115.2</v>
      </c>
      <c r="BJ76">
        <v>5</v>
      </c>
      <c r="BK76">
        <v>3894</v>
      </c>
      <c r="BL76">
        <v>4.8097265561329703</v>
      </c>
      <c r="BM76">
        <v>3745.8150419163571</v>
      </c>
      <c r="BN76">
        <v>4.4400802029664845</v>
      </c>
      <c r="BO76">
        <v>3457.9344620702977</v>
      </c>
      <c r="BP76">
        <v>2.7366359936462614</v>
      </c>
      <c r="BQ76">
        <v>2131.2921118517083</v>
      </c>
      <c r="BR76">
        <v>4.1275241929974529</v>
      </c>
      <c r="BS76">
        <v>3214.5158415064161</v>
      </c>
      <c r="BT76">
        <v>1.7503910721636604</v>
      </c>
      <c r="BU76">
        <v>1363.2045670010586</v>
      </c>
      <c r="BV76">
        <v>3.5496112573790986</v>
      </c>
      <c r="BW76">
        <v>2764.4372472468417</v>
      </c>
      <c r="BX76">
        <v>3.1169526527147062</v>
      </c>
      <c r="BY76">
        <v>2427.4827259342132</v>
      </c>
      <c r="BZ76">
        <v>3</v>
      </c>
      <c r="CA76">
        <v>2336.3999999999996</v>
      </c>
      <c r="CB76">
        <v>3</v>
      </c>
      <c r="CC76">
        <v>2336.3999999999996</v>
      </c>
      <c r="CD76">
        <v>6.4471160962147271</v>
      </c>
      <c r="CE76">
        <v>5021.0140157320293</v>
      </c>
      <c r="CF76">
        <v>4</v>
      </c>
      <c r="CG76">
        <v>3115.2</v>
      </c>
      <c r="CH76">
        <v>4</v>
      </c>
      <c r="CI76">
        <v>3115.2</v>
      </c>
      <c r="CJ76">
        <v>5.5501281669294977</v>
      </c>
      <c r="CK76">
        <v>4322.4398164046925</v>
      </c>
      <c r="CL76">
        <v>4.1187891078274346</v>
      </c>
      <c r="CM76">
        <v>3207.7129571760061</v>
      </c>
      <c r="CN76">
        <v>4</v>
      </c>
      <c r="CO76">
        <v>3115.2</v>
      </c>
      <c r="CP76">
        <v>4</v>
      </c>
      <c r="CQ76">
        <v>3115.2</v>
      </c>
      <c r="CR76">
        <v>3.792488482120969</v>
      </c>
      <c r="CS76">
        <v>2953.5900298758106</v>
      </c>
      <c r="CT76">
        <v>0.72234506447797109</v>
      </c>
      <c r="CU76">
        <v>562.56233621544391</v>
      </c>
    </row>
    <row r="77" spans="2:99">
      <c r="C77" s="99" t="s">
        <v>244</v>
      </c>
      <c r="D77">
        <v>4</v>
      </c>
      <c r="E77">
        <v>1113.5999999999999</v>
      </c>
      <c r="F77">
        <v>5</v>
      </c>
      <c r="G77">
        <v>1392</v>
      </c>
      <c r="H77">
        <v>4</v>
      </c>
      <c r="I77">
        <v>1113.5999999999999</v>
      </c>
      <c r="J77">
        <v>3</v>
      </c>
      <c r="K77">
        <v>835.19999999999993</v>
      </c>
      <c r="L77">
        <v>6</v>
      </c>
      <c r="M77">
        <v>1670.3999999999999</v>
      </c>
      <c r="N77">
        <v>4.4119677778660433</v>
      </c>
      <c r="O77">
        <v>1228.2918293579064</v>
      </c>
      <c r="P77">
        <v>6</v>
      </c>
      <c r="Q77">
        <v>1670.3999999999999</v>
      </c>
      <c r="R77">
        <v>4.108812823988889</v>
      </c>
      <c r="S77">
        <v>1143.8934901985067</v>
      </c>
      <c r="T77">
        <v>2.7515241737949081</v>
      </c>
      <c r="U77">
        <v>766.0243299845024</v>
      </c>
      <c r="V77">
        <v>3.5144279084702394</v>
      </c>
      <c r="W77">
        <v>978.41672971811454</v>
      </c>
      <c r="X77">
        <v>1.572394419691973</v>
      </c>
      <c r="Y77">
        <v>437.75460644224523</v>
      </c>
      <c r="Z77">
        <v>4.3601783476895104</v>
      </c>
      <c r="AA77">
        <v>1213.8736519967597</v>
      </c>
      <c r="AB77">
        <v>4</v>
      </c>
      <c r="AC77">
        <v>1113.5999999999999</v>
      </c>
      <c r="AD77">
        <v>3</v>
      </c>
      <c r="AE77">
        <v>835.19999999999993</v>
      </c>
      <c r="AF77">
        <v>4</v>
      </c>
      <c r="AG77">
        <v>1113.5999999999999</v>
      </c>
      <c r="AH77">
        <v>4</v>
      </c>
      <c r="AI77">
        <v>1113.5999999999999</v>
      </c>
      <c r="AJ77">
        <v>4</v>
      </c>
      <c r="AK77">
        <v>1113.5999999999999</v>
      </c>
      <c r="AL77">
        <v>4</v>
      </c>
      <c r="AM77">
        <v>1113.5999999999999</v>
      </c>
      <c r="AN77">
        <v>3</v>
      </c>
      <c r="AO77">
        <v>835.19999999999993</v>
      </c>
      <c r="AP77">
        <v>4</v>
      </c>
      <c r="AQ77">
        <v>1113.5999999999999</v>
      </c>
      <c r="AR77">
        <v>6</v>
      </c>
      <c r="AS77">
        <v>1670.3999999999999</v>
      </c>
      <c r="AT77">
        <v>5</v>
      </c>
      <c r="AU77">
        <v>1392</v>
      </c>
      <c r="AV77">
        <v>4</v>
      </c>
      <c r="AW77">
        <v>1113.5999999999999</v>
      </c>
      <c r="AX77">
        <v>5</v>
      </c>
      <c r="AY77">
        <v>1392</v>
      </c>
      <c r="AZ77">
        <v>5</v>
      </c>
      <c r="BA77">
        <v>1392</v>
      </c>
      <c r="BB77">
        <v>5.4875625870062326</v>
      </c>
      <c r="BC77">
        <v>1527.7374242225351</v>
      </c>
      <c r="BD77">
        <v>2.56364434647899</v>
      </c>
      <c r="BE77">
        <v>713.71858605975081</v>
      </c>
      <c r="BF77">
        <v>6</v>
      </c>
      <c r="BG77">
        <v>1670.3999999999999</v>
      </c>
      <c r="BH77">
        <v>4</v>
      </c>
      <c r="BI77">
        <v>1113.5999999999999</v>
      </c>
      <c r="BJ77">
        <v>5</v>
      </c>
      <c r="BK77">
        <v>1392</v>
      </c>
      <c r="BL77">
        <v>4.8097265561329703</v>
      </c>
      <c r="BM77">
        <v>1339.0278732274189</v>
      </c>
      <c r="BN77">
        <v>4.5345350173448473</v>
      </c>
      <c r="BO77">
        <v>1262.4145488288054</v>
      </c>
      <c r="BP77">
        <v>3.4207949920578269</v>
      </c>
      <c r="BQ77">
        <v>952.34932578889891</v>
      </c>
      <c r="BR77">
        <v>4.1275241929974529</v>
      </c>
      <c r="BS77">
        <v>1149.1027353304908</v>
      </c>
      <c r="BT77">
        <v>1.7503910721636604</v>
      </c>
      <c r="BU77">
        <v>487.308874490363</v>
      </c>
      <c r="BV77">
        <v>4.5496112573790981</v>
      </c>
      <c r="BW77">
        <v>1266.6117740543409</v>
      </c>
      <c r="BX77">
        <v>3.7403431832576475</v>
      </c>
      <c r="BY77">
        <v>1041.3115422189289</v>
      </c>
      <c r="BZ77">
        <v>4</v>
      </c>
      <c r="CA77">
        <v>1113.5999999999999</v>
      </c>
      <c r="CB77">
        <v>3</v>
      </c>
      <c r="CC77">
        <v>835.19999999999993</v>
      </c>
      <c r="CD77">
        <v>6.4471160962147271</v>
      </c>
      <c r="CE77">
        <v>1794.8771211861799</v>
      </c>
      <c r="CF77">
        <v>4</v>
      </c>
      <c r="CG77">
        <v>1113.5999999999999</v>
      </c>
      <c r="CH77">
        <v>3</v>
      </c>
      <c r="CI77">
        <v>835.19999999999993</v>
      </c>
      <c r="CJ77">
        <v>5.4715384287967126</v>
      </c>
      <c r="CK77">
        <v>1523.2762985770046</v>
      </c>
      <c r="CL77">
        <v>4.1187891078274346</v>
      </c>
      <c r="CM77">
        <v>1146.6708876191576</v>
      </c>
      <c r="CN77">
        <v>4</v>
      </c>
      <c r="CO77">
        <v>1113.5999999999999</v>
      </c>
      <c r="CP77">
        <v>4</v>
      </c>
      <c r="CQ77">
        <v>1113.5999999999999</v>
      </c>
      <c r="CR77">
        <v>3.7750891682974248</v>
      </c>
      <c r="CS77">
        <v>1050.984824454003</v>
      </c>
      <c r="CT77">
        <v>0.72234506447797109</v>
      </c>
      <c r="CU77">
        <v>201.10086595066713</v>
      </c>
    </row>
    <row r="78" spans="2:99">
      <c r="C78" s="99" t="s">
        <v>245</v>
      </c>
      <c r="D78">
        <v>4</v>
      </c>
      <c r="E78">
        <v>2208</v>
      </c>
      <c r="F78">
        <v>5</v>
      </c>
      <c r="G78">
        <v>2760</v>
      </c>
      <c r="H78">
        <v>4</v>
      </c>
      <c r="I78">
        <v>2208</v>
      </c>
      <c r="J78">
        <v>4</v>
      </c>
      <c r="K78">
        <v>2208</v>
      </c>
      <c r="L78">
        <v>5</v>
      </c>
      <c r="M78">
        <v>2760</v>
      </c>
      <c r="N78">
        <v>4.3745161616964028</v>
      </c>
      <c r="O78">
        <v>2414.7329212564146</v>
      </c>
      <c r="P78">
        <v>6</v>
      </c>
      <c r="Q78">
        <v>3312</v>
      </c>
      <c r="R78">
        <v>4.4076419571392753</v>
      </c>
      <c r="S78">
        <v>2433.01836034088</v>
      </c>
      <c r="T78">
        <v>2.7807587203081958</v>
      </c>
      <c r="U78">
        <v>1534.978813610124</v>
      </c>
      <c r="V78">
        <v>3.0516875151491112</v>
      </c>
      <c r="W78">
        <v>1684.5315083623093</v>
      </c>
      <c r="X78">
        <v>1.572394419691973</v>
      </c>
      <c r="Y78">
        <v>867.96171966996906</v>
      </c>
      <c r="Z78">
        <v>4.3601783476895104</v>
      </c>
      <c r="AA78">
        <v>2406.8184479246097</v>
      </c>
      <c r="AB78">
        <v>3</v>
      </c>
      <c r="AC78">
        <v>1656</v>
      </c>
      <c r="AD78">
        <v>3</v>
      </c>
      <c r="AE78">
        <v>1656</v>
      </c>
      <c r="AF78">
        <v>4</v>
      </c>
      <c r="AG78">
        <v>2208</v>
      </c>
      <c r="AH78">
        <v>4</v>
      </c>
      <c r="AI78">
        <v>2208</v>
      </c>
      <c r="AJ78">
        <v>4</v>
      </c>
      <c r="AK78">
        <v>2208</v>
      </c>
      <c r="AL78">
        <v>4</v>
      </c>
      <c r="AM78">
        <v>2208</v>
      </c>
      <c r="AN78">
        <v>3</v>
      </c>
      <c r="AO78">
        <v>1656</v>
      </c>
      <c r="AP78">
        <v>4</v>
      </c>
      <c r="AQ78">
        <v>2208</v>
      </c>
      <c r="AR78">
        <v>6</v>
      </c>
      <c r="AS78">
        <v>3312</v>
      </c>
      <c r="AT78">
        <v>4</v>
      </c>
      <c r="AU78">
        <v>2208</v>
      </c>
      <c r="AV78">
        <v>4</v>
      </c>
      <c r="AW78">
        <v>2208</v>
      </c>
      <c r="AX78">
        <v>6</v>
      </c>
      <c r="AY78">
        <v>3312</v>
      </c>
      <c r="AZ78">
        <v>6</v>
      </c>
      <c r="BA78">
        <v>3312</v>
      </c>
      <c r="BB78">
        <v>5.3900500696049862</v>
      </c>
      <c r="BC78">
        <v>2975.3076384219526</v>
      </c>
      <c r="BD78">
        <v>2.56364434647899</v>
      </c>
      <c r="BE78">
        <v>1415.1316792564025</v>
      </c>
      <c r="BF78">
        <v>6</v>
      </c>
      <c r="BG78">
        <v>3312</v>
      </c>
      <c r="BH78">
        <v>4</v>
      </c>
      <c r="BI78">
        <v>2208</v>
      </c>
      <c r="BJ78">
        <v>4</v>
      </c>
      <c r="BK78">
        <v>2208</v>
      </c>
      <c r="BL78">
        <v>4.8097265561329703</v>
      </c>
      <c r="BM78">
        <v>2654.9690589853994</v>
      </c>
      <c r="BN78">
        <v>4.4873076101556659</v>
      </c>
      <c r="BO78">
        <v>2476.9938008059275</v>
      </c>
      <c r="BP78">
        <v>2.7366359936462614</v>
      </c>
      <c r="BQ78">
        <v>1510.6230684927364</v>
      </c>
      <c r="BR78">
        <v>5.1018249678706429</v>
      </c>
      <c r="BS78">
        <v>2816.2073822645948</v>
      </c>
      <c r="BT78">
        <v>1.7503910721636604</v>
      </c>
      <c r="BU78">
        <v>966.21587183434053</v>
      </c>
      <c r="BV78">
        <v>3.4996465976173621</v>
      </c>
      <c r="BW78">
        <v>1931.8049218847839</v>
      </c>
      <c r="BX78">
        <v>3.1169526527147062</v>
      </c>
      <c r="BY78">
        <v>1720.5578642985179</v>
      </c>
      <c r="BZ78">
        <v>4</v>
      </c>
      <c r="CA78">
        <v>2208</v>
      </c>
      <c r="CB78">
        <v>3</v>
      </c>
      <c r="CC78">
        <v>1656</v>
      </c>
      <c r="CD78">
        <v>6.546475228706889</v>
      </c>
      <c r="CE78">
        <v>3613.6543262462028</v>
      </c>
      <c r="CF78">
        <v>4</v>
      </c>
      <c r="CG78">
        <v>2208</v>
      </c>
      <c r="CH78">
        <v>3</v>
      </c>
      <c r="CI78">
        <v>1656</v>
      </c>
      <c r="CJ78">
        <v>5.4715384287967126</v>
      </c>
      <c r="CK78">
        <v>3020.2892126957854</v>
      </c>
      <c r="CL78">
        <v>4.1187891078274346</v>
      </c>
      <c r="CM78">
        <v>2273.5715875207438</v>
      </c>
      <c r="CN78">
        <v>4</v>
      </c>
      <c r="CO78">
        <v>2208</v>
      </c>
      <c r="CP78">
        <v>4</v>
      </c>
      <c r="CQ78">
        <v>2208</v>
      </c>
      <c r="CR78">
        <v>3.7750891682974248</v>
      </c>
      <c r="CS78">
        <v>2083.8492209001784</v>
      </c>
      <c r="CT78">
        <v>0.72234506447797109</v>
      </c>
      <c r="CU78">
        <v>398.73447559184007</v>
      </c>
    </row>
    <row r="79" spans="2:99">
      <c r="C79" s="99" t="s">
        <v>246</v>
      </c>
      <c r="D79">
        <v>5</v>
      </c>
      <c r="E79">
        <v>3785.9999999999995</v>
      </c>
      <c r="F79">
        <v>4</v>
      </c>
      <c r="G79">
        <v>3028.7999999999997</v>
      </c>
      <c r="H79">
        <v>4</v>
      </c>
      <c r="I79">
        <v>3028.7999999999997</v>
      </c>
      <c r="J79">
        <v>3</v>
      </c>
      <c r="K79">
        <v>2271.6</v>
      </c>
      <c r="L79">
        <v>5</v>
      </c>
      <c r="M79">
        <v>3785.9999999999995</v>
      </c>
      <c r="N79">
        <v>4</v>
      </c>
      <c r="O79">
        <v>3028.7999999999997</v>
      </c>
      <c r="P79">
        <v>6</v>
      </c>
      <c r="Q79">
        <v>4543.2</v>
      </c>
      <c r="R79">
        <v>4.4076419571392753</v>
      </c>
      <c r="S79">
        <v>3337.4664899458589</v>
      </c>
      <c r="T79">
        <v>2.7222896272816208</v>
      </c>
      <c r="U79">
        <v>2061.3177057776429</v>
      </c>
      <c r="V79">
        <v>2.5583643268032783</v>
      </c>
      <c r="W79">
        <v>1937.1934682554422</v>
      </c>
      <c r="X79">
        <v>1.572394419691973</v>
      </c>
      <c r="Y79">
        <v>1190.6170545907619</v>
      </c>
      <c r="Z79">
        <v>4.3601783476895104</v>
      </c>
      <c r="AA79">
        <v>3301.5270448704969</v>
      </c>
      <c r="AB79">
        <v>3</v>
      </c>
      <c r="AC79">
        <v>2271.6</v>
      </c>
      <c r="AD79">
        <v>4</v>
      </c>
      <c r="AE79">
        <v>3028.7999999999997</v>
      </c>
      <c r="AF79">
        <v>4</v>
      </c>
      <c r="AG79">
        <v>3028.7999999999997</v>
      </c>
      <c r="AH79">
        <v>4</v>
      </c>
      <c r="AI79">
        <v>3028.7999999999997</v>
      </c>
      <c r="AJ79">
        <v>4</v>
      </c>
      <c r="AK79">
        <v>3028.7999999999997</v>
      </c>
      <c r="AL79">
        <v>4</v>
      </c>
      <c r="AM79">
        <v>3028.7999999999997</v>
      </c>
      <c r="AN79">
        <v>3</v>
      </c>
      <c r="AO79">
        <v>2271.6</v>
      </c>
      <c r="AP79">
        <v>4</v>
      </c>
      <c r="AQ79">
        <v>3028.7999999999997</v>
      </c>
      <c r="AR79">
        <v>5</v>
      </c>
      <c r="AS79">
        <v>3785.9999999999995</v>
      </c>
      <c r="AT79">
        <v>5</v>
      </c>
      <c r="AU79">
        <v>3785.9999999999995</v>
      </c>
      <c r="AV79">
        <v>4</v>
      </c>
      <c r="AW79">
        <v>3028.7999999999997</v>
      </c>
      <c r="AX79">
        <v>6</v>
      </c>
      <c r="AY79">
        <v>4543.2</v>
      </c>
      <c r="AZ79">
        <v>6</v>
      </c>
      <c r="BA79">
        <v>4543.2</v>
      </c>
      <c r="BB79">
        <v>5.4875625870062326</v>
      </c>
      <c r="BC79">
        <v>4155.1823908811193</v>
      </c>
      <c r="BD79">
        <v>2.56364434647899</v>
      </c>
      <c r="BE79">
        <v>1941.1914991538911</v>
      </c>
      <c r="BF79">
        <v>6</v>
      </c>
      <c r="BG79">
        <v>4543.2</v>
      </c>
      <c r="BH79">
        <v>4</v>
      </c>
      <c r="BI79">
        <v>3028.7999999999997</v>
      </c>
      <c r="BJ79">
        <v>4</v>
      </c>
      <c r="BK79">
        <v>3028.7999999999997</v>
      </c>
      <c r="BL79">
        <v>4.8097265561329703</v>
      </c>
      <c r="BM79">
        <v>3641.9249483038848</v>
      </c>
      <c r="BN79">
        <v>4.4400802029664845</v>
      </c>
      <c r="BO79">
        <v>3362.0287296862216</v>
      </c>
      <c r="BP79">
        <v>2.7366359936462614</v>
      </c>
      <c r="BQ79">
        <v>2072.180774388949</v>
      </c>
      <c r="BR79">
        <v>4.1275241929974529</v>
      </c>
      <c r="BS79">
        <v>3125.3613189376711</v>
      </c>
      <c r="BT79">
        <v>1.7503910721636604</v>
      </c>
      <c r="BU79">
        <v>1325.3961198423235</v>
      </c>
      <c r="BV79">
        <v>4.5496112573790981</v>
      </c>
      <c r="BW79">
        <v>3444.9656440874528</v>
      </c>
      <c r="BX79">
        <v>3.1169526527147062</v>
      </c>
      <c r="BY79">
        <v>2360.1565486355753</v>
      </c>
      <c r="BZ79">
        <v>4</v>
      </c>
      <c r="CA79">
        <v>3028.7999999999997</v>
      </c>
      <c r="CB79">
        <v>3.4825522751507023</v>
      </c>
      <c r="CC79">
        <v>2636.9885827441117</v>
      </c>
      <c r="CD79">
        <v>6.4967956624608076</v>
      </c>
      <c r="CE79">
        <v>4919.373675615323</v>
      </c>
      <c r="CF79">
        <v>4</v>
      </c>
      <c r="CG79">
        <v>3028.7999999999997</v>
      </c>
      <c r="CH79">
        <v>4</v>
      </c>
      <c r="CI79">
        <v>3028.7999999999997</v>
      </c>
      <c r="CJ79">
        <v>5.4715384287967126</v>
      </c>
      <c r="CK79">
        <v>4143.0488982848701</v>
      </c>
      <c r="CL79">
        <v>4.1187891078274346</v>
      </c>
      <c r="CM79">
        <v>3118.747112446933</v>
      </c>
      <c r="CN79">
        <v>4</v>
      </c>
      <c r="CO79">
        <v>3028.7999999999997</v>
      </c>
      <c r="CP79">
        <v>4</v>
      </c>
      <c r="CQ79">
        <v>3028.7999999999997</v>
      </c>
      <c r="CR79">
        <v>3.792488482120969</v>
      </c>
      <c r="CS79">
        <v>2871.6722786619976</v>
      </c>
      <c r="CT79">
        <v>0.72234506447797109</v>
      </c>
      <c r="CU79">
        <v>546.95968282271963</v>
      </c>
    </row>
    <row r="80" spans="2:99">
      <c r="C80" s="99" t="s">
        <v>247</v>
      </c>
      <c r="D80">
        <v>5</v>
      </c>
      <c r="E80">
        <v>4025.9999999999995</v>
      </c>
      <c r="F80">
        <v>5</v>
      </c>
      <c r="G80">
        <v>4025.9999999999995</v>
      </c>
      <c r="H80">
        <v>4</v>
      </c>
      <c r="I80">
        <v>3220.7999999999997</v>
      </c>
      <c r="J80">
        <v>4</v>
      </c>
      <c r="K80">
        <v>3220.7999999999997</v>
      </c>
      <c r="L80">
        <v>5</v>
      </c>
      <c r="M80">
        <v>4025.9999999999995</v>
      </c>
      <c r="N80">
        <v>4.3745161616964028</v>
      </c>
      <c r="O80">
        <v>3522.3604133979434</v>
      </c>
      <c r="P80">
        <v>6</v>
      </c>
      <c r="Q80">
        <v>4831.2</v>
      </c>
      <c r="R80">
        <v>4.4076419571392753</v>
      </c>
      <c r="S80">
        <v>3549.0333038885442</v>
      </c>
      <c r="T80">
        <v>2.7807587203081958</v>
      </c>
      <c r="U80">
        <v>2239.0669215921589</v>
      </c>
      <c r="V80">
        <v>2.5736557243156306</v>
      </c>
      <c r="W80">
        <v>2072.3075892189454</v>
      </c>
      <c r="X80">
        <v>1.572394419691973</v>
      </c>
      <c r="Y80">
        <v>1266.0919867359767</v>
      </c>
      <c r="Z80">
        <v>3.633481956407925</v>
      </c>
      <c r="AA80">
        <v>2925.6796712996611</v>
      </c>
      <c r="AB80">
        <v>3</v>
      </c>
      <c r="AC80">
        <v>2415.6</v>
      </c>
      <c r="AD80">
        <v>4</v>
      </c>
      <c r="AE80">
        <v>3220.7999999999997</v>
      </c>
      <c r="AF80">
        <v>4</v>
      </c>
      <c r="AG80">
        <v>3220.7999999999997</v>
      </c>
      <c r="AH80">
        <v>4</v>
      </c>
      <c r="AI80">
        <v>3220.7999999999997</v>
      </c>
      <c r="AJ80">
        <v>4</v>
      </c>
      <c r="AK80">
        <v>3220.7999999999997</v>
      </c>
      <c r="AL80">
        <v>4</v>
      </c>
      <c r="AM80">
        <v>3220.7999999999997</v>
      </c>
      <c r="AN80">
        <v>3</v>
      </c>
      <c r="AO80">
        <v>2415.6</v>
      </c>
      <c r="AP80">
        <v>4</v>
      </c>
      <c r="AQ80">
        <v>3220.7999999999997</v>
      </c>
      <c r="AR80">
        <v>5</v>
      </c>
      <c r="AS80">
        <v>4025.9999999999995</v>
      </c>
      <c r="AT80">
        <v>4</v>
      </c>
      <c r="AU80">
        <v>3220.7999999999997</v>
      </c>
      <c r="AV80">
        <v>4</v>
      </c>
      <c r="AW80">
        <v>3220.7999999999997</v>
      </c>
      <c r="AX80">
        <v>6</v>
      </c>
      <c r="AY80">
        <v>4831.2</v>
      </c>
      <c r="AZ80">
        <v>6</v>
      </c>
      <c r="BA80">
        <v>4831.2</v>
      </c>
      <c r="BB80">
        <v>5.438806328305609</v>
      </c>
      <c r="BC80">
        <v>4379.3268555516761</v>
      </c>
      <c r="BD80">
        <v>2.56364434647899</v>
      </c>
      <c r="BE80">
        <v>2064.2464277848826</v>
      </c>
      <c r="BF80">
        <v>6</v>
      </c>
      <c r="BG80">
        <v>4831.2</v>
      </c>
      <c r="BH80">
        <v>3</v>
      </c>
      <c r="BI80">
        <v>2415.6</v>
      </c>
      <c r="BJ80">
        <v>4</v>
      </c>
      <c r="BK80">
        <v>3220.7999999999997</v>
      </c>
      <c r="BL80">
        <v>4.8097265561329703</v>
      </c>
      <c r="BM80">
        <v>3872.7918229982674</v>
      </c>
      <c r="BN80">
        <v>4.5345350173448473</v>
      </c>
      <c r="BO80">
        <v>3651.2075959660706</v>
      </c>
      <c r="BP80">
        <v>2.7366359936462614</v>
      </c>
      <c r="BQ80">
        <v>2203.5393020839697</v>
      </c>
      <c r="BR80">
        <v>4.1275241929974529</v>
      </c>
      <c r="BS80">
        <v>3323.4824802015487</v>
      </c>
      <c r="BT80">
        <v>1.7503910721636604</v>
      </c>
      <c r="BU80">
        <v>1409.4148913061792</v>
      </c>
      <c r="BV80">
        <v>3.4996465976173621</v>
      </c>
      <c r="BW80">
        <v>2817.9154404014998</v>
      </c>
      <c r="BX80">
        <v>3.1169526527147062</v>
      </c>
      <c r="BY80">
        <v>2509.7702759658814</v>
      </c>
      <c r="BZ80">
        <v>3</v>
      </c>
      <c r="CA80">
        <v>2415.6</v>
      </c>
      <c r="CB80">
        <v>3</v>
      </c>
      <c r="CC80">
        <v>2415.6</v>
      </c>
      <c r="CD80">
        <v>5.4471160962147271</v>
      </c>
      <c r="CE80">
        <v>4386.0178806720978</v>
      </c>
      <c r="CF80">
        <v>4</v>
      </c>
      <c r="CG80">
        <v>3220.7999999999997</v>
      </c>
      <c r="CH80">
        <v>4</v>
      </c>
      <c r="CI80">
        <v>3220.7999999999997</v>
      </c>
      <c r="CJ80">
        <v>5.5501281669294977</v>
      </c>
      <c r="CK80">
        <v>4468.9632000116308</v>
      </c>
      <c r="CL80">
        <v>4.9425469293929218</v>
      </c>
      <c r="CM80">
        <v>3979.7387875471804</v>
      </c>
      <c r="CN80">
        <v>4</v>
      </c>
      <c r="CO80">
        <v>3220.7999999999997</v>
      </c>
      <c r="CP80">
        <v>4</v>
      </c>
      <c r="CQ80">
        <v>3220.7999999999997</v>
      </c>
      <c r="CR80">
        <v>3.792488482120969</v>
      </c>
      <c r="CS80">
        <v>3053.7117258038038</v>
      </c>
      <c r="CT80">
        <v>0.72234506447797109</v>
      </c>
      <c r="CU80">
        <v>581.63224591766232</v>
      </c>
    </row>
    <row r="81" spans="2:99">
      <c r="C81" s="99" t="s">
        <v>248</v>
      </c>
      <c r="D81">
        <v>5</v>
      </c>
      <c r="E81">
        <v>3768</v>
      </c>
      <c r="F81">
        <v>5</v>
      </c>
      <c r="G81">
        <v>3768</v>
      </c>
      <c r="H81">
        <v>4</v>
      </c>
      <c r="I81">
        <v>3014.4</v>
      </c>
      <c r="J81">
        <v>4</v>
      </c>
      <c r="K81">
        <v>3014.4</v>
      </c>
      <c r="L81">
        <v>5</v>
      </c>
      <c r="M81">
        <v>3768</v>
      </c>
      <c r="N81">
        <v>4</v>
      </c>
      <c r="O81">
        <v>3014.4</v>
      </c>
      <c r="P81">
        <v>6</v>
      </c>
      <c r="Q81">
        <v>4521.6000000000004</v>
      </c>
      <c r="R81">
        <v>4.8434198168454348</v>
      </c>
      <c r="S81">
        <v>3650.0011739747197</v>
      </c>
      <c r="T81">
        <v>2.7515241737949081</v>
      </c>
      <c r="U81">
        <v>2073.5486173718427</v>
      </c>
      <c r="V81">
        <v>3.0363961176367589</v>
      </c>
      <c r="W81">
        <v>2288.2281142510615</v>
      </c>
      <c r="X81">
        <v>1.3103286830766443</v>
      </c>
      <c r="Y81">
        <v>987.46369556655918</v>
      </c>
      <c r="Z81">
        <v>3.633481956407925</v>
      </c>
      <c r="AA81">
        <v>2738.1920023490125</v>
      </c>
      <c r="AB81">
        <v>3</v>
      </c>
      <c r="AC81">
        <v>2260.8000000000002</v>
      </c>
      <c r="AD81">
        <v>3</v>
      </c>
      <c r="AE81">
        <v>2260.8000000000002</v>
      </c>
      <c r="AF81">
        <v>3</v>
      </c>
      <c r="AG81">
        <v>2260.8000000000002</v>
      </c>
      <c r="AH81">
        <v>4</v>
      </c>
      <c r="AI81">
        <v>3014.4</v>
      </c>
      <c r="AJ81">
        <v>4</v>
      </c>
      <c r="AK81">
        <v>3014.4</v>
      </c>
      <c r="AL81">
        <v>4</v>
      </c>
      <c r="AM81">
        <v>3014.4</v>
      </c>
      <c r="AN81">
        <v>3</v>
      </c>
      <c r="AO81">
        <v>2260.8000000000002</v>
      </c>
      <c r="AP81">
        <v>4</v>
      </c>
      <c r="AQ81">
        <v>3014.4</v>
      </c>
      <c r="AR81">
        <v>5</v>
      </c>
      <c r="AS81">
        <v>3768</v>
      </c>
      <c r="AT81">
        <v>4</v>
      </c>
      <c r="AU81">
        <v>3014.4</v>
      </c>
      <c r="AV81">
        <v>4</v>
      </c>
      <c r="AW81">
        <v>3014.4</v>
      </c>
      <c r="AX81">
        <v>6</v>
      </c>
      <c r="AY81">
        <v>4521.6000000000004</v>
      </c>
      <c r="AZ81">
        <v>6</v>
      </c>
      <c r="BA81">
        <v>4521.6000000000004</v>
      </c>
      <c r="BB81">
        <v>5.3900500696049862</v>
      </c>
      <c r="BC81">
        <v>4061.9417324543178</v>
      </c>
      <c r="BD81">
        <v>2.56364434647899</v>
      </c>
      <c r="BE81">
        <v>1931.962379506567</v>
      </c>
      <c r="BF81">
        <v>5</v>
      </c>
      <c r="BG81">
        <v>3768</v>
      </c>
      <c r="BH81">
        <v>4</v>
      </c>
      <c r="BI81">
        <v>3014.4</v>
      </c>
      <c r="BJ81">
        <v>4</v>
      </c>
      <c r="BK81">
        <v>3014.4</v>
      </c>
      <c r="BL81">
        <v>4.8097265561329703</v>
      </c>
      <c r="BM81">
        <v>3624.6099327018064</v>
      </c>
      <c r="BN81">
        <v>3.5307766327788834</v>
      </c>
      <c r="BO81">
        <v>2660.7932704621667</v>
      </c>
      <c r="BP81">
        <v>2.7366359936462614</v>
      </c>
      <c r="BQ81">
        <v>2062.3288848118227</v>
      </c>
      <c r="BR81">
        <v>4.1275241929974529</v>
      </c>
      <c r="BS81">
        <v>3110.5022318428805</v>
      </c>
      <c r="BT81">
        <v>1.7503910721636604</v>
      </c>
      <c r="BU81">
        <v>1319.0947119825346</v>
      </c>
      <c r="BV81">
        <v>3.5496112573790986</v>
      </c>
      <c r="BW81">
        <v>2674.9870435608887</v>
      </c>
      <c r="BX81">
        <v>3.1169526527147062</v>
      </c>
      <c r="BY81">
        <v>2348.9355190858028</v>
      </c>
      <c r="BZ81">
        <v>3</v>
      </c>
      <c r="CA81">
        <v>2260.8000000000002</v>
      </c>
      <c r="CB81">
        <v>3</v>
      </c>
      <c r="CC81">
        <v>2260.8000000000002</v>
      </c>
      <c r="CD81">
        <v>6.4471160962147271</v>
      </c>
      <c r="CE81">
        <v>4858.5466901074187</v>
      </c>
      <c r="CF81">
        <v>4</v>
      </c>
      <c r="CG81">
        <v>3014.4</v>
      </c>
      <c r="CH81">
        <v>4</v>
      </c>
      <c r="CI81">
        <v>3014.4</v>
      </c>
      <c r="CJ81">
        <v>5.5501281669294977</v>
      </c>
      <c r="CK81">
        <v>4182.5765865980693</v>
      </c>
      <c r="CL81">
        <v>4.1187891078274346</v>
      </c>
      <c r="CM81">
        <v>3103.9194716587549</v>
      </c>
      <c r="CN81">
        <v>4</v>
      </c>
      <c r="CO81">
        <v>3014.4</v>
      </c>
      <c r="CP81">
        <v>4</v>
      </c>
      <c r="CQ81">
        <v>3014.4</v>
      </c>
      <c r="CR81">
        <v>4.6797130042688053</v>
      </c>
      <c r="CS81">
        <v>3526.6317200169719</v>
      </c>
      <c r="CT81">
        <v>0.72234506447797109</v>
      </c>
      <c r="CU81">
        <v>544.35924059059903</v>
      </c>
    </row>
    <row r="82" spans="2:99">
      <c r="C82" s="99" t="s">
        <v>249</v>
      </c>
      <c r="D82">
        <v>4</v>
      </c>
      <c r="E82">
        <v>2035.1999999999996</v>
      </c>
      <c r="F82">
        <v>5</v>
      </c>
      <c r="G82">
        <v>2543.9999999999995</v>
      </c>
      <c r="H82">
        <v>4</v>
      </c>
      <c r="I82">
        <v>2035.1999999999996</v>
      </c>
      <c r="J82">
        <v>3</v>
      </c>
      <c r="K82">
        <v>1526.3999999999996</v>
      </c>
      <c r="L82">
        <v>5</v>
      </c>
      <c r="M82">
        <v>2543.9999999999995</v>
      </c>
      <c r="N82">
        <v>4.3370645455267622</v>
      </c>
      <c r="O82">
        <v>2206.6984407640161</v>
      </c>
      <c r="P82">
        <v>6</v>
      </c>
      <c r="Q82">
        <v>3052.7999999999993</v>
      </c>
      <c r="R82">
        <v>4.4076419571392753</v>
      </c>
      <c r="S82">
        <v>2242.6082277924629</v>
      </c>
      <c r="T82">
        <v>2.7222896272816208</v>
      </c>
      <c r="U82">
        <v>1385.1009623608884</v>
      </c>
      <c r="V82">
        <v>2.5736557243156306</v>
      </c>
      <c r="W82">
        <v>1309.4760325317925</v>
      </c>
      <c r="X82">
        <v>1.572394419691973</v>
      </c>
      <c r="Y82">
        <v>800.03428073927569</v>
      </c>
      <c r="Z82">
        <v>3.633481956407925</v>
      </c>
      <c r="AA82">
        <v>1848.7156194203519</v>
      </c>
      <c r="AB82">
        <v>4</v>
      </c>
      <c r="AC82">
        <v>2035.1999999999996</v>
      </c>
      <c r="AD82">
        <v>4</v>
      </c>
      <c r="AE82">
        <v>2035.1999999999996</v>
      </c>
      <c r="AF82">
        <v>3</v>
      </c>
      <c r="AG82">
        <v>1526.3999999999996</v>
      </c>
      <c r="AH82">
        <v>4</v>
      </c>
      <c r="AI82">
        <v>2035.1999999999996</v>
      </c>
      <c r="AJ82">
        <v>4</v>
      </c>
      <c r="AK82">
        <v>2035.1999999999996</v>
      </c>
      <c r="AL82">
        <v>4</v>
      </c>
      <c r="AM82">
        <v>2035.1999999999996</v>
      </c>
      <c r="AN82">
        <v>3</v>
      </c>
      <c r="AO82">
        <v>1526.3999999999996</v>
      </c>
      <c r="AP82">
        <v>4</v>
      </c>
      <c r="AQ82">
        <v>2035.1999999999996</v>
      </c>
      <c r="AR82">
        <v>6</v>
      </c>
      <c r="AS82">
        <v>3052.7999999999993</v>
      </c>
      <c r="AT82">
        <v>4</v>
      </c>
      <c r="AU82">
        <v>2035.1999999999996</v>
      </c>
      <c r="AV82">
        <v>4</v>
      </c>
      <c r="AW82">
        <v>2035.1999999999996</v>
      </c>
      <c r="AX82">
        <v>6</v>
      </c>
      <c r="AY82">
        <v>3052.7999999999993</v>
      </c>
      <c r="AZ82">
        <v>6</v>
      </c>
      <c r="BA82">
        <v>3052.7999999999993</v>
      </c>
      <c r="BB82">
        <v>5.438806328305609</v>
      </c>
      <c r="BC82">
        <v>2767.2646598418933</v>
      </c>
      <c r="BD82">
        <v>2.56364434647899</v>
      </c>
      <c r="BE82">
        <v>1304.3822434885099</v>
      </c>
      <c r="BF82">
        <v>6</v>
      </c>
      <c r="BG82">
        <v>3052.7999999999993</v>
      </c>
      <c r="BH82">
        <v>4</v>
      </c>
      <c r="BI82">
        <v>2035.1999999999996</v>
      </c>
      <c r="BJ82">
        <v>5</v>
      </c>
      <c r="BK82">
        <v>2543.9999999999995</v>
      </c>
      <c r="BL82">
        <v>4.8097265561329703</v>
      </c>
      <c r="BM82">
        <v>2447.1888717604547</v>
      </c>
      <c r="BN82">
        <v>4.4400802029664845</v>
      </c>
      <c r="BO82">
        <v>2259.1128072693468</v>
      </c>
      <c r="BP82">
        <v>3.4207949920578269</v>
      </c>
      <c r="BQ82">
        <v>1740.5004919590219</v>
      </c>
      <c r="BR82">
        <v>4.1275241929974529</v>
      </c>
      <c r="BS82">
        <v>2100.0843093971034</v>
      </c>
      <c r="BT82">
        <v>1.7503910721636604</v>
      </c>
      <c r="BU82">
        <v>890.59897751687026</v>
      </c>
      <c r="BV82">
        <v>3.449681937855626</v>
      </c>
      <c r="BW82">
        <v>1755.1981699809421</v>
      </c>
      <c r="BX82">
        <v>3.1169526527147062</v>
      </c>
      <c r="BY82">
        <v>1585.9055097012422</v>
      </c>
      <c r="BZ82">
        <v>3</v>
      </c>
      <c r="CA82">
        <v>1526.3999999999996</v>
      </c>
      <c r="CB82">
        <v>4</v>
      </c>
      <c r="CC82">
        <v>2035.1999999999996</v>
      </c>
      <c r="CD82">
        <v>6.546475228706889</v>
      </c>
      <c r="CE82">
        <v>3330.8465963660647</v>
      </c>
      <c r="CF82">
        <v>4</v>
      </c>
      <c r="CG82">
        <v>2035.1999999999996</v>
      </c>
      <c r="CH82">
        <v>4</v>
      </c>
      <c r="CI82">
        <v>2035.1999999999996</v>
      </c>
      <c r="CJ82">
        <v>5.5501281669294977</v>
      </c>
      <c r="CK82">
        <v>2823.9052113337279</v>
      </c>
      <c r="CL82">
        <v>4.1187891078274346</v>
      </c>
      <c r="CM82">
        <v>2095.6398980625981</v>
      </c>
      <c r="CN82">
        <v>4</v>
      </c>
      <c r="CO82">
        <v>2035.1999999999996</v>
      </c>
      <c r="CP82">
        <v>4</v>
      </c>
      <c r="CQ82">
        <v>2035.1999999999996</v>
      </c>
      <c r="CR82">
        <v>4.6971123180923504</v>
      </c>
      <c r="CS82">
        <v>2389.8907474453872</v>
      </c>
      <c r="CT82">
        <v>0.72234506447797109</v>
      </c>
      <c r="CU82">
        <v>367.52916880639162</v>
      </c>
    </row>
    <row r="83" spans="2:99">
      <c r="C83" s="99" t="s">
        <v>250</v>
      </c>
      <c r="D83">
        <v>4</v>
      </c>
      <c r="E83">
        <v>3441.6</v>
      </c>
      <c r="F83">
        <v>4</v>
      </c>
      <c r="G83">
        <v>3441.6</v>
      </c>
      <c r="H83">
        <v>4</v>
      </c>
      <c r="I83">
        <v>3441.6</v>
      </c>
      <c r="J83">
        <v>3</v>
      </c>
      <c r="K83">
        <v>2581.1999999999998</v>
      </c>
      <c r="L83">
        <v>5</v>
      </c>
      <c r="M83">
        <v>4302</v>
      </c>
      <c r="N83">
        <v>4.3370645455267622</v>
      </c>
      <c r="O83">
        <v>3731.6103349712262</v>
      </c>
      <c r="P83">
        <v>5</v>
      </c>
      <c r="Q83">
        <v>4302</v>
      </c>
      <c r="R83">
        <v>4.4076419571392753</v>
      </c>
      <c r="S83">
        <v>3792.3351399226322</v>
      </c>
      <c r="T83">
        <v>2.3422405226088854</v>
      </c>
      <c r="U83">
        <v>2015.263745652685</v>
      </c>
      <c r="V83">
        <v>2.5736557243156306</v>
      </c>
      <c r="W83">
        <v>2214.3733852011687</v>
      </c>
      <c r="X83">
        <v>1.572394419691973</v>
      </c>
      <c r="Y83">
        <v>1352.8881587029734</v>
      </c>
      <c r="Z83">
        <v>4.3601783476895104</v>
      </c>
      <c r="AA83">
        <v>3751.4974503520548</v>
      </c>
      <c r="AB83">
        <v>3</v>
      </c>
      <c r="AC83">
        <v>2581.1999999999998</v>
      </c>
      <c r="AD83">
        <v>3</v>
      </c>
      <c r="AE83">
        <v>2581.1999999999998</v>
      </c>
      <c r="AF83">
        <v>4</v>
      </c>
      <c r="AG83">
        <v>3441.6</v>
      </c>
      <c r="AH83">
        <v>4</v>
      </c>
      <c r="AI83">
        <v>3441.6</v>
      </c>
      <c r="AJ83">
        <v>4</v>
      </c>
      <c r="AK83">
        <v>3441.6</v>
      </c>
      <c r="AL83">
        <v>4</v>
      </c>
      <c r="AM83">
        <v>3441.6</v>
      </c>
      <c r="AN83">
        <v>3</v>
      </c>
      <c r="AO83">
        <v>2581.1999999999998</v>
      </c>
      <c r="AP83">
        <v>4</v>
      </c>
      <c r="AQ83">
        <v>3441.6</v>
      </c>
      <c r="AR83">
        <v>6</v>
      </c>
      <c r="AS83">
        <v>5162.3999999999996</v>
      </c>
      <c r="AT83">
        <v>4</v>
      </c>
      <c r="AU83">
        <v>3441.6</v>
      </c>
      <c r="AV83">
        <v>4</v>
      </c>
      <c r="AW83">
        <v>3441.6</v>
      </c>
      <c r="AX83">
        <v>6</v>
      </c>
      <c r="AY83">
        <v>5162.3999999999996</v>
      </c>
      <c r="AZ83">
        <v>6</v>
      </c>
      <c r="BA83">
        <v>5162.3999999999996</v>
      </c>
      <c r="BB83">
        <v>5.4875625870062326</v>
      </c>
      <c r="BC83">
        <v>4721.4988498601624</v>
      </c>
      <c r="BD83">
        <v>2.56364434647899</v>
      </c>
      <c r="BE83">
        <v>2205.7595957105227</v>
      </c>
      <c r="BF83">
        <v>5</v>
      </c>
      <c r="BG83">
        <v>4302</v>
      </c>
      <c r="BH83">
        <v>4</v>
      </c>
      <c r="BI83">
        <v>3441.6</v>
      </c>
      <c r="BJ83">
        <v>4</v>
      </c>
      <c r="BK83">
        <v>3441.6</v>
      </c>
      <c r="BL83">
        <v>4.8097265561329703</v>
      </c>
      <c r="BM83">
        <v>4138.2887288968077</v>
      </c>
      <c r="BN83">
        <v>4.4873076101556659</v>
      </c>
      <c r="BO83">
        <v>3860.8794677779347</v>
      </c>
      <c r="BP83">
        <v>2.7366359936462614</v>
      </c>
      <c r="BQ83">
        <v>2354.6016089332434</v>
      </c>
      <c r="BR83">
        <v>4.1275241929974529</v>
      </c>
      <c r="BS83">
        <v>3551.3218156550083</v>
      </c>
      <c r="BT83">
        <v>1.7503910721636604</v>
      </c>
      <c r="BU83">
        <v>1506.0364784896133</v>
      </c>
      <c r="BV83">
        <v>3.449681937855626</v>
      </c>
      <c r="BW83">
        <v>2968.1063393309805</v>
      </c>
      <c r="BX83">
        <v>3.1169526527147062</v>
      </c>
      <c r="BY83">
        <v>2681.8260623957331</v>
      </c>
      <c r="BZ83">
        <v>4</v>
      </c>
      <c r="CA83">
        <v>3441.6</v>
      </c>
      <c r="CB83">
        <v>3</v>
      </c>
      <c r="CC83">
        <v>2581.1999999999998</v>
      </c>
      <c r="CD83">
        <v>6.4967956624608076</v>
      </c>
      <c r="CE83">
        <v>5589.8429879812784</v>
      </c>
      <c r="CF83">
        <v>4</v>
      </c>
      <c r="CG83">
        <v>3441.6</v>
      </c>
      <c r="CH83">
        <v>3</v>
      </c>
      <c r="CI83">
        <v>2581.1999999999998</v>
      </c>
      <c r="CJ83">
        <v>5.5108332978631056</v>
      </c>
      <c r="CK83">
        <v>4741.5209694814157</v>
      </c>
      <c r="CL83">
        <v>4.1187891078274346</v>
      </c>
      <c r="CM83">
        <v>3543.8061483747247</v>
      </c>
      <c r="CN83">
        <v>4</v>
      </c>
      <c r="CO83">
        <v>3441.6</v>
      </c>
      <c r="CP83">
        <v>3</v>
      </c>
      <c r="CQ83">
        <v>2581.1999999999998</v>
      </c>
      <c r="CR83">
        <v>4.6971123180923504</v>
      </c>
      <c r="CS83">
        <v>4041.3954384866583</v>
      </c>
      <c r="CT83">
        <v>0.72234506447797109</v>
      </c>
      <c r="CU83">
        <v>621.50569347684632</v>
      </c>
    </row>
    <row r="84" spans="2:99">
      <c r="C84" s="99" t="s">
        <v>251</v>
      </c>
      <c r="D84">
        <v>5</v>
      </c>
      <c r="E84">
        <v>3905.9999999999995</v>
      </c>
      <c r="F84">
        <v>5</v>
      </c>
      <c r="G84">
        <v>3905.9999999999995</v>
      </c>
      <c r="H84">
        <v>4</v>
      </c>
      <c r="I84">
        <v>3124.7999999999997</v>
      </c>
      <c r="J84">
        <v>4</v>
      </c>
      <c r="K84">
        <v>3124.7999999999997</v>
      </c>
      <c r="L84">
        <v>5</v>
      </c>
      <c r="M84">
        <v>3905.9999999999995</v>
      </c>
      <c r="N84">
        <v>4.3370645455267622</v>
      </c>
      <c r="O84">
        <v>3388.1148229655064</v>
      </c>
      <c r="P84">
        <v>6</v>
      </c>
      <c r="Q84">
        <v>4687.2</v>
      </c>
      <c r="R84">
        <v>4.108812823988889</v>
      </c>
      <c r="S84">
        <v>3209.8045781001197</v>
      </c>
      <c r="T84">
        <v>2.3422405226088854</v>
      </c>
      <c r="U84">
        <v>1829.7582962620611</v>
      </c>
      <c r="V84">
        <v>3.0363961176367589</v>
      </c>
      <c r="W84">
        <v>2372.0326470978357</v>
      </c>
      <c r="X84">
        <v>1.572394419691973</v>
      </c>
      <c r="Y84">
        <v>1228.3545206633692</v>
      </c>
      <c r="Z84">
        <v>4.3601783476895104</v>
      </c>
      <c r="AA84">
        <v>3406.1713252150453</v>
      </c>
      <c r="AB84">
        <v>4</v>
      </c>
      <c r="AC84">
        <v>3124.7999999999997</v>
      </c>
      <c r="AD84">
        <v>3</v>
      </c>
      <c r="AE84">
        <v>2343.6</v>
      </c>
      <c r="AF84">
        <v>4</v>
      </c>
      <c r="AG84">
        <v>3124.7999999999997</v>
      </c>
      <c r="AH84">
        <v>4</v>
      </c>
      <c r="AI84">
        <v>3124.7999999999997</v>
      </c>
      <c r="AJ84">
        <v>4</v>
      </c>
      <c r="AK84">
        <v>3124.7999999999997</v>
      </c>
      <c r="AL84">
        <v>4</v>
      </c>
      <c r="AM84">
        <v>3124.7999999999997</v>
      </c>
      <c r="AN84">
        <v>3</v>
      </c>
      <c r="AO84">
        <v>2343.6</v>
      </c>
      <c r="AP84">
        <v>4</v>
      </c>
      <c r="AQ84">
        <v>3124.7999999999997</v>
      </c>
      <c r="AR84">
        <v>5</v>
      </c>
      <c r="AS84">
        <v>3905.9999999999995</v>
      </c>
      <c r="AT84">
        <v>4</v>
      </c>
      <c r="AU84">
        <v>3124.7999999999997</v>
      </c>
      <c r="AV84">
        <v>4</v>
      </c>
      <c r="AW84">
        <v>3124.7999999999997</v>
      </c>
      <c r="AX84">
        <v>5</v>
      </c>
      <c r="AY84">
        <v>3905.9999999999995</v>
      </c>
      <c r="AZ84">
        <v>6</v>
      </c>
      <c r="BA84">
        <v>4687.2</v>
      </c>
      <c r="BB84">
        <v>5.4875625870062326</v>
      </c>
      <c r="BC84">
        <v>4286.8838929692683</v>
      </c>
      <c r="BD84">
        <v>2.56364434647899</v>
      </c>
      <c r="BE84">
        <v>2002.7189634693868</v>
      </c>
      <c r="BF84">
        <v>6</v>
      </c>
      <c r="BG84">
        <v>4687.2</v>
      </c>
      <c r="BH84">
        <v>4</v>
      </c>
      <c r="BI84">
        <v>3124.7999999999997</v>
      </c>
      <c r="BJ84">
        <v>4</v>
      </c>
      <c r="BK84">
        <v>3124.7999999999997</v>
      </c>
      <c r="BL84">
        <v>4.8097265561329703</v>
      </c>
      <c r="BM84">
        <v>3757.3583856510759</v>
      </c>
      <c r="BN84">
        <v>3.483549225589702</v>
      </c>
      <c r="BO84">
        <v>2721.3486550306752</v>
      </c>
      <c r="BP84">
        <v>2.7366359936462614</v>
      </c>
      <c r="BQ84">
        <v>2137.8600382364593</v>
      </c>
      <c r="BR84">
        <v>5.1018249678706429</v>
      </c>
      <c r="BS84">
        <v>3985.5456649005459</v>
      </c>
      <c r="BT84">
        <v>1.7503910721636604</v>
      </c>
      <c r="BU84">
        <v>1367.4055055742515</v>
      </c>
      <c r="BV84">
        <v>3.449681937855626</v>
      </c>
      <c r="BW84">
        <v>2694.891529852815</v>
      </c>
      <c r="BX84">
        <v>3.1169526527147062</v>
      </c>
      <c r="BY84">
        <v>2434.9634123007281</v>
      </c>
      <c r="BZ84">
        <v>4</v>
      </c>
      <c r="CA84">
        <v>3124.7999999999997</v>
      </c>
      <c r="CB84">
        <v>4</v>
      </c>
      <c r="CC84">
        <v>3124.7999999999997</v>
      </c>
      <c r="CD84">
        <v>5.4967956624608076</v>
      </c>
      <c r="CE84">
        <v>4294.0967715143825</v>
      </c>
      <c r="CF84">
        <v>4</v>
      </c>
      <c r="CG84">
        <v>3124.7999999999997</v>
      </c>
      <c r="CH84">
        <v>3</v>
      </c>
      <c r="CI84">
        <v>2343.6</v>
      </c>
      <c r="CJ84">
        <v>5.5501281669294977</v>
      </c>
      <c r="CK84">
        <v>4335.7601240053236</v>
      </c>
      <c r="CL84">
        <v>4.9425469293929218</v>
      </c>
      <c r="CM84">
        <v>3861.1176612417503</v>
      </c>
      <c r="CN84">
        <v>4</v>
      </c>
      <c r="CO84">
        <v>3124.7999999999997</v>
      </c>
      <c r="CP84">
        <v>4</v>
      </c>
      <c r="CQ84">
        <v>3124.7999999999997</v>
      </c>
      <c r="CR84">
        <v>4.6623136904452611</v>
      </c>
      <c r="CS84">
        <v>3642.1994549758379</v>
      </c>
      <c r="CT84">
        <v>0.72234506447797109</v>
      </c>
      <c r="CU84">
        <v>564.29596437019097</v>
      </c>
    </row>
    <row r="85" spans="2:99">
      <c r="C85" s="99" t="s">
        <v>252</v>
      </c>
      <c r="D85">
        <v>4</v>
      </c>
      <c r="E85">
        <v>600</v>
      </c>
      <c r="F85">
        <v>5</v>
      </c>
      <c r="G85">
        <v>750</v>
      </c>
      <c r="H85">
        <v>4</v>
      </c>
      <c r="I85">
        <v>600</v>
      </c>
      <c r="J85">
        <v>3</v>
      </c>
      <c r="K85">
        <v>450</v>
      </c>
      <c r="L85">
        <v>6</v>
      </c>
      <c r="M85">
        <v>900</v>
      </c>
      <c r="N85">
        <v>4.3745161616964028</v>
      </c>
      <c r="O85">
        <v>656.17742425446045</v>
      </c>
      <c r="P85">
        <v>6</v>
      </c>
      <c r="Q85">
        <v>900</v>
      </c>
      <c r="R85">
        <v>3.6730349642827287</v>
      </c>
      <c r="S85">
        <v>550.9552446424093</v>
      </c>
      <c r="T85">
        <v>2.7515241737949081</v>
      </c>
      <c r="U85">
        <v>412.72862606923621</v>
      </c>
      <c r="V85">
        <v>3.0211047201244061</v>
      </c>
      <c r="W85">
        <v>453.16570801866089</v>
      </c>
      <c r="X85">
        <v>1.3103286830766443</v>
      </c>
      <c r="Y85">
        <v>196.54930246149664</v>
      </c>
      <c r="Z85">
        <v>4.3601783476895104</v>
      </c>
      <c r="AA85">
        <v>654.02675215342651</v>
      </c>
      <c r="AB85">
        <v>4</v>
      </c>
      <c r="AC85">
        <v>600</v>
      </c>
      <c r="AD85">
        <v>3</v>
      </c>
      <c r="AE85">
        <v>450</v>
      </c>
      <c r="AF85">
        <v>3</v>
      </c>
      <c r="AG85">
        <v>450</v>
      </c>
      <c r="AH85">
        <v>4</v>
      </c>
      <c r="AI85">
        <v>600</v>
      </c>
      <c r="AJ85">
        <v>4</v>
      </c>
      <c r="AK85">
        <v>600</v>
      </c>
      <c r="AL85">
        <v>4</v>
      </c>
      <c r="AM85">
        <v>600</v>
      </c>
      <c r="AN85">
        <v>3</v>
      </c>
      <c r="AO85">
        <v>450</v>
      </c>
      <c r="AP85">
        <v>4</v>
      </c>
      <c r="AQ85">
        <v>600</v>
      </c>
      <c r="AR85">
        <v>6</v>
      </c>
      <c r="AS85">
        <v>900</v>
      </c>
      <c r="AT85">
        <v>4</v>
      </c>
      <c r="AU85">
        <v>600</v>
      </c>
      <c r="AV85">
        <v>4</v>
      </c>
      <c r="AW85">
        <v>600</v>
      </c>
      <c r="AX85">
        <v>6</v>
      </c>
      <c r="AY85">
        <v>900</v>
      </c>
      <c r="AZ85">
        <v>6</v>
      </c>
      <c r="BA85">
        <v>900</v>
      </c>
      <c r="BB85">
        <v>6.4875625870062326</v>
      </c>
      <c r="BC85">
        <v>973.13438805093483</v>
      </c>
      <c r="BD85">
        <v>2.56364434647899</v>
      </c>
      <c r="BE85">
        <v>384.54665197184852</v>
      </c>
      <c r="BF85">
        <v>6</v>
      </c>
      <c r="BG85">
        <v>900</v>
      </c>
      <c r="BH85">
        <v>4</v>
      </c>
      <c r="BI85">
        <v>600</v>
      </c>
      <c r="BJ85">
        <v>4</v>
      </c>
      <c r="BK85">
        <v>600</v>
      </c>
      <c r="BL85">
        <v>4.8097265561329703</v>
      </c>
      <c r="BM85">
        <v>721.45898341994553</v>
      </c>
      <c r="BN85">
        <v>4.5345350173448473</v>
      </c>
      <c r="BO85">
        <v>680.18025260172715</v>
      </c>
      <c r="BP85">
        <v>2.7366359936462614</v>
      </c>
      <c r="BQ85">
        <v>410.49539904693921</v>
      </c>
      <c r="BR85">
        <v>4.1735884116983923</v>
      </c>
      <c r="BS85">
        <v>626.03826175475888</v>
      </c>
      <c r="BT85">
        <v>1.7503910721636604</v>
      </c>
      <c r="BU85">
        <v>262.55866082454907</v>
      </c>
      <c r="BV85">
        <v>3.5496112573790986</v>
      </c>
      <c r="BW85">
        <v>532.44168860686477</v>
      </c>
      <c r="BX85">
        <v>3.1169526527147062</v>
      </c>
      <c r="BY85">
        <v>467.54289790720594</v>
      </c>
      <c r="BZ85">
        <v>4</v>
      </c>
      <c r="CA85">
        <v>600</v>
      </c>
      <c r="CB85">
        <v>4</v>
      </c>
      <c r="CC85">
        <v>600</v>
      </c>
      <c r="CD85">
        <v>7.4967956624608076</v>
      </c>
      <c r="CE85">
        <v>1124.5193493691211</v>
      </c>
      <c r="CF85">
        <v>4</v>
      </c>
      <c r="CG85">
        <v>600</v>
      </c>
      <c r="CH85">
        <v>3</v>
      </c>
      <c r="CI85">
        <v>450</v>
      </c>
      <c r="CJ85">
        <v>5.5501281669294977</v>
      </c>
      <c r="CK85">
        <v>832.51922503942467</v>
      </c>
      <c r="CL85">
        <v>4.1187891078274346</v>
      </c>
      <c r="CM85">
        <v>617.81836617411523</v>
      </c>
      <c r="CN85">
        <v>4</v>
      </c>
      <c r="CO85">
        <v>600</v>
      </c>
      <c r="CP85">
        <v>4</v>
      </c>
      <c r="CQ85">
        <v>600</v>
      </c>
      <c r="CR85">
        <v>4.6971123180923504</v>
      </c>
      <c r="CS85">
        <v>704.56684771385255</v>
      </c>
      <c r="CT85">
        <v>0.72234506447797109</v>
      </c>
      <c r="CU85">
        <v>108.35175967169566</v>
      </c>
    </row>
    <row r="86" spans="2:99">
      <c r="C86" s="99" t="s">
        <v>253</v>
      </c>
      <c r="D86">
        <v>4</v>
      </c>
      <c r="E86">
        <v>2160</v>
      </c>
      <c r="F86">
        <v>5</v>
      </c>
      <c r="G86">
        <v>2700</v>
      </c>
      <c r="H86">
        <v>4</v>
      </c>
      <c r="I86">
        <v>2160</v>
      </c>
      <c r="J86">
        <v>3</v>
      </c>
      <c r="K86">
        <v>1620</v>
      </c>
      <c r="L86">
        <v>5</v>
      </c>
      <c r="M86">
        <v>2700</v>
      </c>
      <c r="N86">
        <v>4</v>
      </c>
      <c r="O86">
        <v>2160</v>
      </c>
      <c r="P86">
        <v>5</v>
      </c>
      <c r="Q86">
        <v>2700</v>
      </c>
      <c r="R86">
        <v>4.4076419571392753</v>
      </c>
      <c r="S86">
        <v>2380.1266568552087</v>
      </c>
      <c r="T86">
        <v>2.7515241737949081</v>
      </c>
      <c r="U86">
        <v>1485.8230538492503</v>
      </c>
      <c r="V86">
        <v>3.0516875151491112</v>
      </c>
      <c r="W86">
        <v>1647.91125818052</v>
      </c>
      <c r="X86">
        <v>1.572394419691973</v>
      </c>
      <c r="Y86">
        <v>849.09298663366542</v>
      </c>
      <c r="Z86">
        <v>3.633481956407925</v>
      </c>
      <c r="AA86">
        <v>1962.0802564602795</v>
      </c>
      <c r="AB86">
        <v>3</v>
      </c>
      <c r="AC86">
        <v>1620</v>
      </c>
      <c r="AD86">
        <v>3</v>
      </c>
      <c r="AE86">
        <v>1620</v>
      </c>
      <c r="AF86">
        <v>4</v>
      </c>
      <c r="AG86">
        <v>2160</v>
      </c>
      <c r="AH86">
        <v>4</v>
      </c>
      <c r="AI86">
        <v>2160</v>
      </c>
      <c r="AJ86">
        <v>4</v>
      </c>
      <c r="AK86">
        <v>2160</v>
      </c>
      <c r="AL86">
        <v>4</v>
      </c>
      <c r="AM86">
        <v>2160</v>
      </c>
      <c r="AN86">
        <v>3</v>
      </c>
      <c r="AO86">
        <v>1620</v>
      </c>
      <c r="AP86">
        <v>4</v>
      </c>
      <c r="AQ86">
        <v>2160</v>
      </c>
      <c r="AR86">
        <v>5</v>
      </c>
      <c r="AS86">
        <v>2700</v>
      </c>
      <c r="AT86">
        <v>4</v>
      </c>
      <c r="AU86">
        <v>2160</v>
      </c>
      <c r="AV86">
        <v>4</v>
      </c>
      <c r="AW86">
        <v>2160</v>
      </c>
      <c r="AX86">
        <v>6</v>
      </c>
      <c r="AY86">
        <v>3240</v>
      </c>
      <c r="AZ86">
        <v>6</v>
      </c>
      <c r="BA86">
        <v>3240</v>
      </c>
      <c r="BB86">
        <v>6.438806328305609</v>
      </c>
      <c r="BC86">
        <v>3476.9554172850289</v>
      </c>
      <c r="BD86">
        <v>2.56364434647899</v>
      </c>
      <c r="BE86">
        <v>1384.3679470986547</v>
      </c>
      <c r="BF86">
        <v>6</v>
      </c>
      <c r="BG86">
        <v>3240</v>
      </c>
      <c r="BH86">
        <v>4</v>
      </c>
      <c r="BI86">
        <v>2160</v>
      </c>
      <c r="BJ86">
        <v>5</v>
      </c>
      <c r="BK86">
        <v>2700</v>
      </c>
      <c r="BL86">
        <v>4.8097265561329703</v>
      </c>
      <c r="BM86">
        <v>2597.2523403118039</v>
      </c>
      <c r="BN86">
        <v>4.4873076101556659</v>
      </c>
      <c r="BO86">
        <v>2423.1461094840597</v>
      </c>
      <c r="BP86">
        <v>2.7366359936462614</v>
      </c>
      <c r="BQ86">
        <v>1477.7834365689812</v>
      </c>
      <c r="BR86">
        <v>4.1735884116983923</v>
      </c>
      <c r="BS86">
        <v>2253.737742317132</v>
      </c>
      <c r="BT86">
        <v>1.7503910721636604</v>
      </c>
      <c r="BU86">
        <v>945.21117896837666</v>
      </c>
      <c r="BV86">
        <v>3.4996465976173621</v>
      </c>
      <c r="BW86">
        <v>1889.8091627133756</v>
      </c>
      <c r="BX86">
        <v>3.1169526527147062</v>
      </c>
      <c r="BY86">
        <v>1683.1544324659415</v>
      </c>
      <c r="BZ86">
        <v>3</v>
      </c>
      <c r="CA86">
        <v>1620</v>
      </c>
      <c r="CB86">
        <v>3</v>
      </c>
      <c r="CC86">
        <v>1620</v>
      </c>
      <c r="CD86">
        <v>6.4967956624608076</v>
      </c>
      <c r="CE86">
        <v>3508.2696577288361</v>
      </c>
      <c r="CF86">
        <v>4</v>
      </c>
      <c r="CG86">
        <v>2160</v>
      </c>
      <c r="CH86">
        <v>4</v>
      </c>
      <c r="CI86">
        <v>2160</v>
      </c>
      <c r="CJ86">
        <v>5.4715384287967126</v>
      </c>
      <c r="CK86">
        <v>2954.6307515502249</v>
      </c>
      <c r="CL86">
        <v>4.1187891078274346</v>
      </c>
      <c r="CM86">
        <v>2224.1461182268145</v>
      </c>
      <c r="CN86">
        <v>4</v>
      </c>
      <c r="CO86">
        <v>2160</v>
      </c>
      <c r="CP86">
        <v>4</v>
      </c>
      <c r="CQ86">
        <v>2160</v>
      </c>
      <c r="CR86">
        <v>4.6623136904452611</v>
      </c>
      <c r="CS86">
        <v>2517.6493928404411</v>
      </c>
      <c r="CT86">
        <v>0.72234506447797109</v>
      </c>
      <c r="CU86">
        <v>390.06633481810439</v>
      </c>
    </row>
    <row r="87" spans="2:99">
      <c r="B87" s="99" t="s">
        <v>131</v>
      </c>
      <c r="C87" s="99" t="s">
        <v>254</v>
      </c>
      <c r="D87">
        <v>2.4531271475497287</v>
      </c>
      <c r="E87">
        <v>2634.6585564684087</v>
      </c>
      <c r="F87">
        <v>2.938274754859906</v>
      </c>
      <c r="G87">
        <v>3155.7070867195389</v>
      </c>
      <c r="H87">
        <v>3.5396403948519226</v>
      </c>
      <c r="I87">
        <v>3801.5737840709648</v>
      </c>
      <c r="J87">
        <v>2.031703970919208</v>
      </c>
      <c r="K87">
        <v>2182.0500647672293</v>
      </c>
      <c r="L87">
        <v>2.4394804778200156</v>
      </c>
      <c r="M87">
        <v>2620.0020331786968</v>
      </c>
      <c r="N87">
        <v>6.045014799044635</v>
      </c>
      <c r="O87">
        <v>6492.3458941739382</v>
      </c>
      <c r="P87">
        <v>2.8726543570246803</v>
      </c>
      <c r="Q87">
        <v>3085.2307794445064</v>
      </c>
      <c r="R87">
        <v>1.8133565374350151</v>
      </c>
      <c r="S87">
        <v>1947.5449212052063</v>
      </c>
      <c r="T87">
        <v>0.74477899229421585</v>
      </c>
      <c r="U87">
        <v>799.89263772398783</v>
      </c>
      <c r="V87">
        <v>0.70653358458180993</v>
      </c>
      <c r="W87">
        <v>758.81706984086384</v>
      </c>
      <c r="X87">
        <v>0.63567128463521516</v>
      </c>
      <c r="Y87">
        <v>682.71095969822113</v>
      </c>
      <c r="Z87">
        <v>1.9533918578318146</v>
      </c>
      <c r="AA87">
        <v>2097.9428553113689</v>
      </c>
      <c r="AB87">
        <v>3.7815074639907738</v>
      </c>
      <c r="AC87">
        <v>4061.339016326091</v>
      </c>
      <c r="AD87">
        <v>4.5706589921720493</v>
      </c>
      <c r="AE87">
        <v>4908.8877575927809</v>
      </c>
      <c r="AF87">
        <v>4.5920677895008595</v>
      </c>
      <c r="AG87">
        <v>4931.8808059239227</v>
      </c>
      <c r="AH87">
        <v>2.218233554018481</v>
      </c>
      <c r="AI87">
        <v>2382.3828370158485</v>
      </c>
      <c r="AJ87">
        <v>1.2247950493298805</v>
      </c>
      <c r="AK87">
        <v>1315.4298829802917</v>
      </c>
      <c r="AL87">
        <v>3.7501478789264073</v>
      </c>
      <c r="AM87">
        <v>4027.6588219669616</v>
      </c>
      <c r="AN87">
        <v>6.3787885862655429</v>
      </c>
      <c r="AO87">
        <v>6850.8189416491932</v>
      </c>
      <c r="AP87">
        <v>4.4804201706454485</v>
      </c>
      <c r="AQ87">
        <v>4811.9712632732117</v>
      </c>
      <c r="AR87">
        <v>4.0123404213089735</v>
      </c>
      <c r="AS87">
        <v>4309.2536124858379</v>
      </c>
      <c r="AT87">
        <v>3.2771902872470005</v>
      </c>
      <c r="AU87">
        <v>3519.7023685032786</v>
      </c>
      <c r="AV87">
        <v>1.4241284172327009</v>
      </c>
      <c r="AW87">
        <v>1529.5139201079207</v>
      </c>
      <c r="AX87">
        <v>4.5818339004625059</v>
      </c>
      <c r="AY87">
        <v>4920.889609096731</v>
      </c>
      <c r="AZ87">
        <v>4.8937796032195964</v>
      </c>
      <c r="BA87">
        <v>5255.9192938578462</v>
      </c>
      <c r="BB87">
        <v>5.9318029623898507</v>
      </c>
      <c r="BC87">
        <v>6370.7563816066995</v>
      </c>
      <c r="BD87">
        <v>4.2222985498370909</v>
      </c>
      <c r="BE87">
        <v>4534.7486425250354</v>
      </c>
      <c r="BF87">
        <v>3.7076196387591387</v>
      </c>
      <c r="BG87">
        <v>3981.9834920273152</v>
      </c>
      <c r="BH87">
        <v>4.0816381215083988</v>
      </c>
      <c r="BI87">
        <v>4383.6793425000205</v>
      </c>
      <c r="BJ87">
        <v>3.4982453333213641</v>
      </c>
      <c r="BK87">
        <v>3757.1154879871451</v>
      </c>
      <c r="BL87">
        <v>2.3217868763005591</v>
      </c>
      <c r="BM87">
        <v>2493.5991051468004</v>
      </c>
      <c r="BN87">
        <v>2.854853042985861</v>
      </c>
      <c r="BO87">
        <v>3066.1121681668146</v>
      </c>
      <c r="BP87">
        <v>3.5850858973383128</v>
      </c>
      <c r="BQ87">
        <v>3850.382253741348</v>
      </c>
      <c r="BR87">
        <v>3.3773737614980455</v>
      </c>
      <c r="BS87">
        <v>3627.2994198489009</v>
      </c>
      <c r="BT87">
        <v>3.8805827146706271</v>
      </c>
      <c r="BU87">
        <v>4167.745835556254</v>
      </c>
      <c r="BV87">
        <v>3.5177397135864727</v>
      </c>
      <c r="BW87">
        <v>3778.0524523918716</v>
      </c>
      <c r="BX87">
        <v>1.8794032061220605</v>
      </c>
      <c r="BY87">
        <v>2018.4790433750929</v>
      </c>
      <c r="BZ87">
        <v>4</v>
      </c>
      <c r="CA87">
        <v>4296</v>
      </c>
      <c r="CB87">
        <v>5.8501439649748415</v>
      </c>
      <c r="CC87">
        <v>6283.0546183829802</v>
      </c>
      <c r="CD87">
        <v>2.94771464325453</v>
      </c>
      <c r="CE87">
        <v>3165.8455268553653</v>
      </c>
      <c r="CF87">
        <v>1.6914826417637634</v>
      </c>
      <c r="CG87">
        <v>1816.6523572542819</v>
      </c>
      <c r="CH87">
        <v>4</v>
      </c>
      <c r="CI87">
        <v>4296</v>
      </c>
      <c r="CJ87">
        <v>4.7681233566703574</v>
      </c>
      <c r="CK87">
        <v>5120.9644850639634</v>
      </c>
      <c r="CL87">
        <v>0.45395775244705688</v>
      </c>
      <c r="CM87">
        <v>487.55062612813907</v>
      </c>
      <c r="CN87">
        <v>3.6523049486850838</v>
      </c>
      <c r="CO87">
        <v>3922.5755148877802</v>
      </c>
      <c r="CP87">
        <v>0.89355254002135742</v>
      </c>
      <c r="CQ87">
        <v>959.67542798293789</v>
      </c>
      <c r="CR87">
        <v>5.6337459990411451</v>
      </c>
      <c r="CS87">
        <v>6050.64320297019</v>
      </c>
      <c r="CT87">
        <v>4.57388735627804</v>
      </c>
      <c r="CU87">
        <v>4912.3550206426153</v>
      </c>
    </row>
    <row r="88" spans="2:99">
      <c r="C88" s="99" t="s">
        <v>255</v>
      </c>
      <c r="D88">
        <v>2.4531271475497287</v>
      </c>
      <c r="E88">
        <v>2434.4833812283509</v>
      </c>
      <c r="F88">
        <v>2.938274754859906</v>
      </c>
      <c r="G88">
        <v>2915.9438667229706</v>
      </c>
      <c r="H88">
        <v>3.3739022252571953</v>
      </c>
      <c r="I88">
        <v>3348.2605683452407</v>
      </c>
      <c r="J88">
        <v>2.0085274354107612</v>
      </c>
      <c r="K88">
        <v>1993.2626269016394</v>
      </c>
      <c r="L88">
        <v>2.4394804778200156</v>
      </c>
      <c r="M88">
        <v>2420.9404261885834</v>
      </c>
      <c r="N88">
        <v>6.0540177588535622</v>
      </c>
      <c r="O88">
        <v>6008.0072238862749</v>
      </c>
      <c r="P88">
        <v>2.8726543570246803</v>
      </c>
      <c r="Q88">
        <v>2850.8221839112925</v>
      </c>
      <c r="R88">
        <v>1.8133565374350151</v>
      </c>
      <c r="S88">
        <v>1799.575027750509</v>
      </c>
      <c r="T88">
        <v>0.74477899229421585</v>
      </c>
      <c r="U88">
        <v>739.11867195277978</v>
      </c>
      <c r="V88">
        <v>0.58877798715150831</v>
      </c>
      <c r="W88">
        <v>584.30327444915679</v>
      </c>
      <c r="X88">
        <v>0.74111525432802983</v>
      </c>
      <c r="Y88">
        <v>735.48277839513673</v>
      </c>
      <c r="Z88">
        <v>1.9673730753622722</v>
      </c>
      <c r="AA88">
        <v>1952.4210399895189</v>
      </c>
      <c r="AB88">
        <v>3.7815074639907738</v>
      </c>
      <c r="AC88">
        <v>3752.7680072644439</v>
      </c>
      <c r="AD88">
        <v>4.5706589921720493</v>
      </c>
      <c r="AE88">
        <v>4535.9219838315412</v>
      </c>
      <c r="AF88">
        <v>3.8435470512607366</v>
      </c>
      <c r="AG88">
        <v>3814.3360936711547</v>
      </c>
      <c r="AH88">
        <v>2.2406261881255687</v>
      </c>
      <c r="AI88">
        <v>2223.5974290958143</v>
      </c>
      <c r="AJ88">
        <v>1.4289275575515272</v>
      </c>
      <c r="AK88">
        <v>1418.0677081141355</v>
      </c>
      <c r="AL88">
        <v>2.8126109091948055</v>
      </c>
      <c r="AM88">
        <v>2791.2350662849249</v>
      </c>
      <c r="AN88">
        <v>5.4675330739418939</v>
      </c>
      <c r="AO88">
        <v>5425.979822579935</v>
      </c>
      <c r="AP88">
        <v>4.4804201706454485</v>
      </c>
      <c r="AQ88">
        <v>4446.368977348543</v>
      </c>
      <c r="AR88">
        <v>4.0123404213089735</v>
      </c>
      <c r="AS88">
        <v>3981.8466341070252</v>
      </c>
      <c r="AT88">
        <v>3.2771902872470005</v>
      </c>
      <c r="AU88">
        <v>3252.2836410639234</v>
      </c>
      <c r="AV88">
        <v>1.1482000768449214</v>
      </c>
      <c r="AW88">
        <v>1139.4737562609</v>
      </c>
      <c r="AX88">
        <v>4.5818339004625059</v>
      </c>
      <c r="AY88">
        <v>4547.0119628189905</v>
      </c>
      <c r="AZ88">
        <v>4.8937796032195964</v>
      </c>
      <c r="BA88">
        <v>4856.5868782351272</v>
      </c>
      <c r="BB88">
        <v>5.9318029623898507</v>
      </c>
      <c r="BC88">
        <v>5886.7212598756878</v>
      </c>
      <c r="BD88">
        <v>4.242823079760969</v>
      </c>
      <c r="BE88">
        <v>4210.5776243547853</v>
      </c>
      <c r="BF88">
        <v>4.5506435228252666</v>
      </c>
      <c r="BG88">
        <v>4516.0586320517941</v>
      </c>
      <c r="BH88">
        <v>4.0816381215083988</v>
      </c>
      <c r="BI88">
        <v>4050.6176717849348</v>
      </c>
      <c r="BJ88">
        <v>4.0684697506153853</v>
      </c>
      <c r="BK88">
        <v>4037.5493805107085</v>
      </c>
      <c r="BL88">
        <v>2.8689751669040704</v>
      </c>
      <c r="BM88">
        <v>2847.1709556355995</v>
      </c>
      <c r="BN88">
        <v>2.7213304598607753</v>
      </c>
      <c r="BO88">
        <v>2700.6483483658335</v>
      </c>
      <c r="BP88">
        <v>3.5532197524104632</v>
      </c>
      <c r="BQ88">
        <v>3526.2152822921435</v>
      </c>
      <c r="BR88">
        <v>3.3773737614980455</v>
      </c>
      <c r="BS88">
        <v>3351.7057209106601</v>
      </c>
      <c r="BT88">
        <v>3.3534853673456793</v>
      </c>
      <c r="BU88">
        <v>3327.9988785538521</v>
      </c>
      <c r="BV88">
        <v>3.4560574724461715</v>
      </c>
      <c r="BW88">
        <v>3429.7914356555802</v>
      </c>
      <c r="BX88">
        <v>1.8794032061220605</v>
      </c>
      <c r="BY88">
        <v>1865.1197417555327</v>
      </c>
      <c r="BZ88">
        <v>4</v>
      </c>
      <c r="CA88">
        <v>3969.6</v>
      </c>
      <c r="CB88">
        <v>5.8226259391487556</v>
      </c>
      <c r="CC88">
        <v>5778.3739820112251</v>
      </c>
      <c r="CD88">
        <v>2.9031870168832197</v>
      </c>
      <c r="CE88">
        <v>2881.122795554907</v>
      </c>
      <c r="CF88">
        <v>1.6914826417637634</v>
      </c>
      <c r="CG88">
        <v>1678.6273736863589</v>
      </c>
      <c r="CH88">
        <v>3</v>
      </c>
      <c r="CI88">
        <v>2977.2</v>
      </c>
      <c r="CJ88">
        <v>4.7681233566703574</v>
      </c>
      <c r="CK88">
        <v>4731.8856191596624</v>
      </c>
      <c r="CL88">
        <v>0.41806564848812777</v>
      </c>
      <c r="CM88">
        <v>414.88834955961801</v>
      </c>
      <c r="CN88">
        <v>2.9375178177850896</v>
      </c>
      <c r="CO88">
        <v>2915.1926823699227</v>
      </c>
      <c r="CP88">
        <v>0.89355254002135742</v>
      </c>
      <c r="CQ88">
        <v>886.76154071719509</v>
      </c>
      <c r="CR88">
        <v>6.5727036655480031</v>
      </c>
      <c r="CS88">
        <v>6522.7511176898379</v>
      </c>
      <c r="CT88">
        <v>4.57388735627804</v>
      </c>
      <c r="CU88">
        <v>4539.1258123703265</v>
      </c>
    </row>
    <row r="89" spans="2:99">
      <c r="C89" s="99" t="s">
        <v>256</v>
      </c>
      <c r="D89">
        <v>2.4676657851550501</v>
      </c>
      <c r="E89">
        <v>2620.6610638346633</v>
      </c>
      <c r="F89">
        <v>2.938274754859906</v>
      </c>
      <c r="G89">
        <v>3120.4477896612202</v>
      </c>
      <c r="H89">
        <v>2.811585187714329</v>
      </c>
      <c r="I89">
        <v>2985.9034693526173</v>
      </c>
      <c r="J89">
        <v>2.031703970919208</v>
      </c>
      <c r="K89">
        <v>2157.6696171161989</v>
      </c>
      <c r="L89">
        <v>2.4394804778200156</v>
      </c>
      <c r="M89">
        <v>2590.7282674448566</v>
      </c>
      <c r="N89">
        <v>6.0540177588535622</v>
      </c>
      <c r="O89">
        <v>6429.3668599024832</v>
      </c>
      <c r="P89">
        <v>2.8726543570246803</v>
      </c>
      <c r="Q89">
        <v>3050.7589271602105</v>
      </c>
      <c r="R89">
        <v>1.8133565374350151</v>
      </c>
      <c r="S89">
        <v>1925.7846427559862</v>
      </c>
      <c r="T89">
        <v>0.89373479075305906</v>
      </c>
      <c r="U89">
        <v>949.14634777974868</v>
      </c>
      <c r="V89">
        <v>0.70653358458180993</v>
      </c>
      <c r="W89">
        <v>750.33866682588211</v>
      </c>
      <c r="X89">
        <v>0.74111525432802983</v>
      </c>
      <c r="Y89">
        <v>787.06440009636765</v>
      </c>
      <c r="Z89">
        <v>1.9673730753622722</v>
      </c>
      <c r="AA89">
        <v>2089.3502060347332</v>
      </c>
      <c r="AB89">
        <v>3.7815074639907738</v>
      </c>
      <c r="AC89">
        <v>4015.9609267582018</v>
      </c>
      <c r="AD89">
        <v>4.5706589921720493</v>
      </c>
      <c r="AE89">
        <v>4854.0398496867165</v>
      </c>
      <c r="AF89">
        <v>4.5920677895008595</v>
      </c>
      <c r="AG89">
        <v>4876.7759924499123</v>
      </c>
      <c r="AH89">
        <v>2.218233554018481</v>
      </c>
      <c r="AI89">
        <v>2355.7640343676267</v>
      </c>
      <c r="AJ89">
        <v>1.4289275575515272</v>
      </c>
      <c r="AK89">
        <v>1517.5210661197218</v>
      </c>
      <c r="AL89">
        <v>3.7501478789264073</v>
      </c>
      <c r="AM89">
        <v>3982.6570474198447</v>
      </c>
      <c r="AN89">
        <v>6.3787885862655429</v>
      </c>
      <c r="AO89">
        <v>6774.2734786140063</v>
      </c>
      <c r="AP89">
        <v>4.4804201706454485</v>
      </c>
      <c r="AQ89">
        <v>4758.2062212254659</v>
      </c>
      <c r="AR89">
        <v>4.0123404213089735</v>
      </c>
      <c r="AS89">
        <v>4261.1055274301298</v>
      </c>
      <c r="AT89">
        <v>3.2771902872470005</v>
      </c>
      <c r="AU89">
        <v>3480.3760850563144</v>
      </c>
      <c r="AV89">
        <v>1.41300673840925</v>
      </c>
      <c r="AW89">
        <v>1500.6131561906234</v>
      </c>
      <c r="AX89">
        <v>5.3454728838729233</v>
      </c>
      <c r="AY89">
        <v>5676.8922026730443</v>
      </c>
      <c r="AZ89">
        <v>5.8725355238635153</v>
      </c>
      <c r="BA89">
        <v>6236.632726343053</v>
      </c>
      <c r="BB89">
        <v>4.943169135324875</v>
      </c>
      <c r="BC89">
        <v>5249.6456217150171</v>
      </c>
      <c r="BD89">
        <v>3.6455017240482066</v>
      </c>
      <c r="BE89">
        <v>3871.5228309391955</v>
      </c>
      <c r="BF89">
        <v>3.3720955362645126</v>
      </c>
      <c r="BG89">
        <v>3581.1654595129125</v>
      </c>
      <c r="BH89">
        <v>4.0816381215083988</v>
      </c>
      <c r="BI89">
        <v>4334.6996850419191</v>
      </c>
      <c r="BJ89">
        <v>3.9915709210581478</v>
      </c>
      <c r="BK89">
        <v>4239.0483181637528</v>
      </c>
      <c r="BL89">
        <v>2.2996145906528072</v>
      </c>
      <c r="BM89">
        <v>2442.1906952732811</v>
      </c>
      <c r="BN89">
        <v>2.7213304598607753</v>
      </c>
      <c r="BO89">
        <v>2890.0529483721434</v>
      </c>
      <c r="BP89">
        <v>3.5532197524104632</v>
      </c>
      <c r="BQ89">
        <v>3773.5193770599117</v>
      </c>
      <c r="BR89">
        <v>3.3557252397348063</v>
      </c>
      <c r="BS89">
        <v>3563.7802045983644</v>
      </c>
      <c r="BT89">
        <v>3.8805827146706271</v>
      </c>
      <c r="BU89">
        <v>4121.1788429802064</v>
      </c>
      <c r="BV89">
        <v>4.1225960704792861</v>
      </c>
      <c r="BW89">
        <v>4378.1970268490022</v>
      </c>
      <c r="BX89">
        <v>1.5661693384350504</v>
      </c>
      <c r="BY89">
        <v>1663.2718374180236</v>
      </c>
      <c r="BZ89">
        <v>4</v>
      </c>
      <c r="CA89">
        <v>4248</v>
      </c>
      <c r="CB89">
        <v>5.7951079133226697</v>
      </c>
      <c r="CC89">
        <v>6154.4046039486757</v>
      </c>
      <c r="CD89">
        <v>2.9254508300688751</v>
      </c>
      <c r="CE89">
        <v>3106.8287815331455</v>
      </c>
      <c r="CF89">
        <v>1.4498422643689399</v>
      </c>
      <c r="CG89">
        <v>1539.7324847598143</v>
      </c>
      <c r="CH89">
        <v>4</v>
      </c>
      <c r="CI89">
        <v>4248</v>
      </c>
      <c r="CJ89">
        <v>3.8371257119629267</v>
      </c>
      <c r="CK89">
        <v>4075.0275061046282</v>
      </c>
      <c r="CL89">
        <v>0.45395775244705688</v>
      </c>
      <c r="CM89">
        <v>482.10313309877444</v>
      </c>
      <c r="CN89">
        <v>2.948713431240106</v>
      </c>
      <c r="CO89">
        <v>3131.5336639769926</v>
      </c>
      <c r="CP89">
        <v>1.0424779633582504</v>
      </c>
      <c r="CQ89">
        <v>1107.1115970864619</v>
      </c>
      <c r="CR89">
        <v>6.5727036655480031</v>
      </c>
      <c r="CS89">
        <v>6980.2112928119795</v>
      </c>
      <c r="CT89">
        <v>4.57388735627804</v>
      </c>
      <c r="CU89">
        <v>4857.4683723672788</v>
      </c>
    </row>
    <row r="90" spans="2:99">
      <c r="C90" s="99" t="s">
        <v>257</v>
      </c>
      <c r="D90">
        <v>2.4531271475497287</v>
      </c>
      <c r="E90">
        <v>2720.0273812031392</v>
      </c>
      <c r="F90">
        <v>3.7902126429313521</v>
      </c>
      <c r="G90">
        <v>4202.5877784822833</v>
      </c>
      <c r="H90">
        <v>2.9773233573090567</v>
      </c>
      <c r="I90">
        <v>3301.2561385842819</v>
      </c>
      <c r="J90">
        <v>1.5643369153291884</v>
      </c>
      <c r="K90">
        <v>1734.5367717170041</v>
      </c>
      <c r="L90">
        <v>2.4394804778200156</v>
      </c>
      <c r="M90">
        <v>2704.8959538068334</v>
      </c>
      <c r="N90">
        <v>6.0540177588535622</v>
      </c>
      <c r="O90">
        <v>6712.6948910168294</v>
      </c>
      <c r="P90">
        <v>3.3286371743713632</v>
      </c>
      <c r="Q90">
        <v>3690.7928989429674</v>
      </c>
      <c r="R90">
        <v>1.8133565374350151</v>
      </c>
      <c r="S90">
        <v>2010.6497287079446</v>
      </c>
      <c r="T90">
        <v>0.74477899229421585</v>
      </c>
      <c r="U90">
        <v>825.81094665582646</v>
      </c>
      <c r="V90">
        <v>0.58877798715150831</v>
      </c>
      <c r="W90">
        <v>652.83703215359242</v>
      </c>
      <c r="X90">
        <v>0.63567128463521516</v>
      </c>
      <c r="Y90">
        <v>704.83232040352652</v>
      </c>
      <c r="Z90">
        <v>1.9533918578318146</v>
      </c>
      <c r="AA90">
        <v>2165.9208919639159</v>
      </c>
      <c r="AB90">
        <v>3.7815074639907738</v>
      </c>
      <c r="AC90">
        <v>4192.9354760729693</v>
      </c>
      <c r="AD90">
        <v>3.8791710470717531</v>
      </c>
      <c r="AE90">
        <v>4301.2248569931598</v>
      </c>
      <c r="AF90">
        <v>4.5920677895008595</v>
      </c>
      <c r="AG90">
        <v>5091.684764998553</v>
      </c>
      <c r="AH90">
        <v>2.218233554018481</v>
      </c>
      <c r="AI90">
        <v>2459.5773646956918</v>
      </c>
      <c r="AJ90">
        <v>1.4289275575515272</v>
      </c>
      <c r="AK90">
        <v>1584.3948758131332</v>
      </c>
      <c r="AL90">
        <v>3.7501478789264073</v>
      </c>
      <c r="AM90">
        <v>4158.1639681535999</v>
      </c>
      <c r="AN90">
        <v>6.3787885862655429</v>
      </c>
      <c r="AO90">
        <v>7072.800784451234</v>
      </c>
      <c r="AP90">
        <v>3.7336834755378736</v>
      </c>
      <c r="AQ90">
        <v>4139.9082376763945</v>
      </c>
      <c r="AR90">
        <v>4.0123404213089735</v>
      </c>
      <c r="AS90">
        <v>4448.8830591473898</v>
      </c>
      <c r="AT90">
        <v>3.2771902872470005</v>
      </c>
      <c r="AU90">
        <v>3633.7485904994742</v>
      </c>
      <c r="AV90">
        <v>1.1482000768449214</v>
      </c>
      <c r="AW90">
        <v>1273.1242452056488</v>
      </c>
      <c r="AX90">
        <v>4.5818339004625059</v>
      </c>
      <c r="AY90">
        <v>5080.3374288328259</v>
      </c>
      <c r="AZ90">
        <v>4.8937796032195964</v>
      </c>
      <c r="BA90">
        <v>5426.222824049888</v>
      </c>
      <c r="BB90">
        <v>4.943169135324875</v>
      </c>
      <c r="BC90">
        <v>5480.9859372482215</v>
      </c>
      <c r="BD90">
        <v>4.2222985498370909</v>
      </c>
      <c r="BE90">
        <v>4681.6846320593659</v>
      </c>
      <c r="BF90">
        <v>4.215119420330641</v>
      </c>
      <c r="BG90">
        <v>4673.7244132626147</v>
      </c>
      <c r="BH90">
        <v>4.0816381215083988</v>
      </c>
      <c r="BI90">
        <v>4525.7203491285127</v>
      </c>
      <c r="BJ90">
        <v>4.0574842035357799</v>
      </c>
      <c r="BK90">
        <v>4498.938484880473</v>
      </c>
      <c r="BL90">
        <v>2.8689751669040704</v>
      </c>
      <c r="BM90">
        <v>3181.1196650632332</v>
      </c>
      <c r="BN90">
        <v>2.854853042985861</v>
      </c>
      <c r="BO90">
        <v>3165.4610540627227</v>
      </c>
      <c r="BP90">
        <v>4.2065046420224252</v>
      </c>
      <c r="BQ90">
        <v>4664.1723470744646</v>
      </c>
      <c r="BR90">
        <v>3.3557252397348063</v>
      </c>
      <c r="BS90">
        <v>3720.8281458179531</v>
      </c>
      <c r="BT90">
        <v>3.8567200542461277</v>
      </c>
      <c r="BU90">
        <v>4276.3311961481058</v>
      </c>
      <c r="BV90">
        <v>4.1225960704792861</v>
      </c>
      <c r="BW90">
        <v>4571.1345229474318</v>
      </c>
      <c r="BX90">
        <v>2.1926370738090704</v>
      </c>
      <c r="BY90">
        <v>2431.195987439497</v>
      </c>
      <c r="BZ90">
        <v>4</v>
      </c>
      <c r="CA90">
        <v>4435.2</v>
      </c>
      <c r="CB90">
        <v>5.0340648455684986</v>
      </c>
      <c r="CC90">
        <v>5581.7711007663511</v>
      </c>
      <c r="CD90">
        <v>2.94771464325453</v>
      </c>
      <c r="CE90">
        <v>3268.4259964406228</v>
      </c>
      <c r="CF90">
        <v>1.4498422643689399</v>
      </c>
      <c r="CG90">
        <v>1607.5851027322806</v>
      </c>
      <c r="CH90">
        <v>4</v>
      </c>
      <c r="CI90">
        <v>4435.2</v>
      </c>
      <c r="CJ90">
        <v>4.7964071399536587</v>
      </c>
      <c r="CK90">
        <v>5318.2562367806167</v>
      </c>
      <c r="CL90">
        <v>0.41806564848812777</v>
      </c>
      <c r="CM90">
        <v>463.55119104363604</v>
      </c>
      <c r="CN90">
        <v>3.6523049486850838</v>
      </c>
      <c r="CO90">
        <v>4049.6757271020206</v>
      </c>
      <c r="CP90">
        <v>0.89355254002135742</v>
      </c>
      <c r="CQ90">
        <v>990.77105637568104</v>
      </c>
      <c r="CR90">
        <v>5.6337459990411451</v>
      </c>
      <c r="CS90">
        <v>6246.6975637368214</v>
      </c>
      <c r="CT90">
        <v>4.57388735627804</v>
      </c>
      <c r="CU90">
        <v>5071.5263006410905</v>
      </c>
    </row>
    <row r="91" spans="2:99">
      <c r="C91" s="99" t="s">
        <v>258</v>
      </c>
      <c r="D91">
        <v>2.4531271475497287</v>
      </c>
      <c r="E91">
        <v>2787.7336904755116</v>
      </c>
      <c r="F91">
        <v>2.8957790781215098</v>
      </c>
      <c r="G91">
        <v>3290.7633443772834</v>
      </c>
      <c r="H91">
        <v>3.3739022252571953</v>
      </c>
      <c r="I91">
        <v>3834.1024887822764</v>
      </c>
      <c r="J91">
        <v>1.5411603798207414</v>
      </c>
      <c r="K91">
        <v>1751.3746556282904</v>
      </c>
      <c r="L91">
        <v>2.4394804778200156</v>
      </c>
      <c r="M91">
        <v>2772.2256149946656</v>
      </c>
      <c r="N91">
        <v>6.0540177588535622</v>
      </c>
      <c r="O91">
        <v>6879.7857811611875</v>
      </c>
      <c r="P91">
        <v>2.8726543570246803</v>
      </c>
      <c r="Q91">
        <v>3264.4844113228464</v>
      </c>
      <c r="R91">
        <v>1.8133565374350151</v>
      </c>
      <c r="S91">
        <v>2060.698369141151</v>
      </c>
      <c r="T91">
        <v>0.74477899229421585</v>
      </c>
      <c r="U91">
        <v>846.36684684314673</v>
      </c>
      <c r="V91">
        <v>0.58877798715150831</v>
      </c>
      <c r="W91">
        <v>669.08730459897401</v>
      </c>
      <c r="X91">
        <v>0.63567128463521516</v>
      </c>
      <c r="Y91">
        <v>722.37684785945839</v>
      </c>
      <c r="Z91">
        <v>1.9697032782840154</v>
      </c>
      <c r="AA91">
        <v>2238.3708054419549</v>
      </c>
      <c r="AB91">
        <v>4.411758707989236</v>
      </c>
      <c r="AC91">
        <v>5013.5225957589673</v>
      </c>
      <c r="AD91">
        <v>3.8490473812453052</v>
      </c>
      <c r="AE91">
        <v>4374.0574440471646</v>
      </c>
      <c r="AF91">
        <v>4.5920677895008595</v>
      </c>
      <c r="AG91">
        <v>5218.4258359887763</v>
      </c>
      <c r="AH91">
        <v>2.9128594704771338</v>
      </c>
      <c r="AI91">
        <v>3310.1735022502144</v>
      </c>
      <c r="AJ91">
        <v>1.2247950493298805</v>
      </c>
      <c r="AK91">
        <v>1391.8570940584759</v>
      </c>
      <c r="AL91">
        <v>2.8126109091948055</v>
      </c>
      <c r="AM91">
        <v>3196.2510372089764</v>
      </c>
      <c r="AN91">
        <v>5.4675330739418939</v>
      </c>
      <c r="AO91">
        <v>6213.3045852275673</v>
      </c>
      <c r="AP91">
        <v>4.4804201706454485</v>
      </c>
      <c r="AQ91">
        <v>5091.5494819214873</v>
      </c>
      <c r="AR91">
        <v>4.0123404213089735</v>
      </c>
      <c r="AS91">
        <v>4559.623654775517</v>
      </c>
      <c r="AT91">
        <v>2.7309919060391668</v>
      </c>
      <c r="AU91">
        <v>3103.4992020229088</v>
      </c>
      <c r="AV91">
        <v>1.1482000768449214</v>
      </c>
      <c r="AW91">
        <v>1304.8145673265685</v>
      </c>
      <c r="AX91">
        <v>5.3454728838729233</v>
      </c>
      <c r="AY91">
        <v>6074.5953852331895</v>
      </c>
      <c r="AZ91">
        <v>4.8937796032195964</v>
      </c>
      <c r="BA91">
        <v>5561.291141098749</v>
      </c>
      <c r="BB91">
        <v>5.9318029623898507</v>
      </c>
      <c r="BC91">
        <v>6740.9008864598254</v>
      </c>
      <c r="BD91">
        <v>4.2222985498370909</v>
      </c>
      <c r="BE91">
        <v>4798.2200720348692</v>
      </c>
      <c r="BF91">
        <v>3.3720955362645126</v>
      </c>
      <c r="BG91">
        <v>3832.0493674109916</v>
      </c>
      <c r="BH91">
        <v>4.0816381215083988</v>
      </c>
      <c r="BI91">
        <v>4638.3735612821438</v>
      </c>
      <c r="BJ91">
        <v>3.9915709210581478</v>
      </c>
      <c r="BK91">
        <v>4536.0211946904783</v>
      </c>
      <c r="BL91">
        <v>2.2996145906528072</v>
      </c>
      <c r="BM91">
        <v>2613.2820208178496</v>
      </c>
      <c r="BN91">
        <v>2.7213304598607753</v>
      </c>
      <c r="BO91">
        <v>3092.5199345857845</v>
      </c>
      <c r="BP91">
        <v>4.2065046420224252</v>
      </c>
      <c r="BQ91">
        <v>4780.2718751942839</v>
      </c>
      <c r="BR91">
        <v>2.9010770875021068</v>
      </c>
      <c r="BS91">
        <v>3296.7840022373939</v>
      </c>
      <c r="BT91">
        <v>3.8567200542461277</v>
      </c>
      <c r="BU91">
        <v>4382.7766696452991</v>
      </c>
      <c r="BV91">
        <v>3.5177397135864727</v>
      </c>
      <c r="BW91">
        <v>3997.5594105196669</v>
      </c>
      <c r="BX91">
        <v>1.8794032061220605</v>
      </c>
      <c r="BY91">
        <v>2135.7538034371091</v>
      </c>
      <c r="BZ91">
        <v>4</v>
      </c>
      <c r="CA91">
        <v>4545.5999999999995</v>
      </c>
      <c r="CB91">
        <v>5.8501439649748415</v>
      </c>
      <c r="CC91">
        <v>6648.1036017974093</v>
      </c>
      <c r="CD91">
        <v>2.9031870168832197</v>
      </c>
      <c r="CE91">
        <v>3299.1817259860904</v>
      </c>
      <c r="CF91">
        <v>1.4498422643689399</v>
      </c>
      <c r="CG91">
        <v>1647.6007492288632</v>
      </c>
      <c r="CH91">
        <v>4</v>
      </c>
      <c r="CI91">
        <v>4545.5999999999995</v>
      </c>
      <c r="CJ91">
        <v>4.7681233566703574</v>
      </c>
      <c r="CK91">
        <v>5418.4953825201937</v>
      </c>
      <c r="CL91">
        <v>0.45395775244705688</v>
      </c>
      <c r="CM91">
        <v>515.87758988083533</v>
      </c>
      <c r="CN91">
        <v>3.6635005621401002</v>
      </c>
      <c r="CO91">
        <v>4163.202038816009</v>
      </c>
      <c r="CP91">
        <v>0.89355254002135742</v>
      </c>
      <c r="CQ91">
        <v>1015.4331064802705</v>
      </c>
      <c r="CR91">
        <v>5.6337459990411451</v>
      </c>
      <c r="CS91">
        <v>6402.1889533103567</v>
      </c>
      <c r="CT91">
        <v>4.57388735627804</v>
      </c>
      <c r="CU91">
        <v>5197.7655916743643</v>
      </c>
    </row>
    <row r="92" spans="2:99">
      <c r="C92" s="99" t="s">
        <v>259</v>
      </c>
      <c r="D92">
        <v>2.9321216669754171</v>
      </c>
      <c r="E92">
        <v>2301.1290842423073</v>
      </c>
      <c r="F92">
        <v>3.7902126429313521</v>
      </c>
      <c r="G92">
        <v>2974.558882172525</v>
      </c>
      <c r="H92">
        <v>2.811585187714329</v>
      </c>
      <c r="I92">
        <v>2206.532055318205</v>
      </c>
      <c r="J92">
        <v>2.031703970919208</v>
      </c>
      <c r="K92">
        <v>1594.4812763773944</v>
      </c>
      <c r="L92">
        <v>2.4394804778200156</v>
      </c>
      <c r="M92">
        <v>1914.5042789931481</v>
      </c>
      <c r="N92">
        <v>7.0540177588535622</v>
      </c>
      <c r="O92">
        <v>5535.9931371482753</v>
      </c>
      <c r="P92">
        <v>2.8726543570246803</v>
      </c>
      <c r="Q92">
        <v>2254.4591393929691</v>
      </c>
      <c r="R92">
        <v>1.8133565374350151</v>
      </c>
      <c r="S92">
        <v>1423.1222105789998</v>
      </c>
      <c r="T92">
        <v>0.74477899229421585</v>
      </c>
      <c r="U92">
        <v>584.50255315250058</v>
      </c>
      <c r="V92">
        <v>0.70653358458180993</v>
      </c>
      <c r="W92">
        <v>554.48755717980441</v>
      </c>
      <c r="X92">
        <v>0.63517004022216061</v>
      </c>
      <c r="Y92">
        <v>498.48144756635162</v>
      </c>
      <c r="Z92">
        <v>1.9533918578318146</v>
      </c>
      <c r="AA92">
        <v>1533.021930026408</v>
      </c>
      <c r="AB92">
        <v>3.7815074639907738</v>
      </c>
      <c r="AC92">
        <v>2967.727057739959</v>
      </c>
      <c r="AD92">
        <v>4.6007826579984963</v>
      </c>
      <c r="AE92">
        <v>3610.6942299972197</v>
      </c>
      <c r="AF92">
        <v>4.5920677895008595</v>
      </c>
      <c r="AG92">
        <v>3603.8548012002743</v>
      </c>
      <c r="AH92">
        <v>2.9128594704771338</v>
      </c>
      <c r="AI92">
        <v>2286.0121124304546</v>
      </c>
      <c r="AJ92">
        <v>1.4289275575515272</v>
      </c>
      <c r="AK92">
        <v>1121.4223471664386</v>
      </c>
      <c r="AL92">
        <v>2.8126109091948055</v>
      </c>
      <c r="AM92">
        <v>2207.3370415360832</v>
      </c>
      <c r="AN92">
        <v>6.3787885862655429</v>
      </c>
      <c r="AO92">
        <v>5006.0732825011974</v>
      </c>
      <c r="AP92">
        <v>3.7336834755378736</v>
      </c>
      <c r="AQ92">
        <v>2930.1947916021231</v>
      </c>
      <c r="AR92">
        <v>4.0123404213089735</v>
      </c>
      <c r="AS92">
        <v>3148.8847626432821</v>
      </c>
      <c r="AT92">
        <v>3.2523842595847698</v>
      </c>
      <c r="AU92">
        <v>2552.4711669221274</v>
      </c>
      <c r="AV92">
        <v>1.4241284172327009</v>
      </c>
      <c r="AW92">
        <v>1117.6559818442236</v>
      </c>
      <c r="AX92">
        <v>4.5818339004625059</v>
      </c>
      <c r="AY92">
        <v>3595.8232450829746</v>
      </c>
      <c r="AZ92">
        <v>4.8937796032195964</v>
      </c>
      <c r="BA92">
        <v>3840.6382326067392</v>
      </c>
      <c r="BB92">
        <v>4.943169135324875</v>
      </c>
      <c r="BC92">
        <v>3879.3991374029615</v>
      </c>
      <c r="BD92">
        <v>4.242823079760969</v>
      </c>
      <c r="BE92">
        <v>3329.7675529964081</v>
      </c>
      <c r="BF92">
        <v>4.215119420330641</v>
      </c>
      <c r="BG92">
        <v>3308.0257210754867</v>
      </c>
      <c r="BH92">
        <v>4.0816381215083988</v>
      </c>
      <c r="BI92">
        <v>3203.2695977597914</v>
      </c>
      <c r="BJ92">
        <v>3.4982453333213641</v>
      </c>
      <c r="BK92">
        <v>2745.4229375906066</v>
      </c>
      <c r="BL92">
        <v>2.3217868763005591</v>
      </c>
      <c r="BM92">
        <v>1822.1383405206786</v>
      </c>
      <c r="BN92">
        <v>2.854853042985861</v>
      </c>
      <c r="BO92">
        <v>2240.4886681353037</v>
      </c>
      <c r="BP92">
        <v>4.2383707869502754</v>
      </c>
      <c r="BQ92">
        <v>3326.2733935985757</v>
      </c>
      <c r="BR92">
        <v>3.3773737614980455</v>
      </c>
      <c r="BS92">
        <v>2650.5629280236658</v>
      </c>
      <c r="BT92">
        <v>3.3296227069211799</v>
      </c>
      <c r="BU92">
        <v>2613.0879003917416</v>
      </c>
      <c r="BV92">
        <v>4.1225960704792861</v>
      </c>
      <c r="BW92">
        <v>3235.4133961121433</v>
      </c>
      <c r="BX92">
        <v>1.8794032061220605</v>
      </c>
      <c r="BY92">
        <v>1474.955636164593</v>
      </c>
      <c r="BZ92">
        <v>4</v>
      </c>
      <c r="CA92">
        <v>3139.2</v>
      </c>
      <c r="CB92">
        <v>5.8226259391487556</v>
      </c>
      <c r="CC92">
        <v>4569.5968370439432</v>
      </c>
      <c r="CD92">
        <v>2.9254508300688751</v>
      </c>
      <c r="CE92">
        <v>2295.893811438053</v>
      </c>
      <c r="CF92">
        <v>1.4498422643689399</v>
      </c>
      <c r="CG92">
        <v>1137.8362090767439</v>
      </c>
      <c r="CH92">
        <v>4</v>
      </c>
      <c r="CI92">
        <v>3139.2</v>
      </c>
      <c r="CJ92">
        <v>4.739839573387056</v>
      </c>
      <c r="CK92">
        <v>3719.8260971941613</v>
      </c>
      <c r="CL92">
        <v>0.52258206061015977</v>
      </c>
      <c r="CM92">
        <v>410.12240116685336</v>
      </c>
      <c r="CN92">
        <v>3.6746961755951166</v>
      </c>
      <c r="CO92">
        <v>2883.9015586070473</v>
      </c>
      <c r="CP92">
        <v>0.89355254002135742</v>
      </c>
      <c r="CQ92">
        <v>701.26003340876127</v>
      </c>
      <c r="CR92">
        <v>6.5727036655480031</v>
      </c>
      <c r="CS92">
        <v>5158.2578367220722</v>
      </c>
      <c r="CT92">
        <v>4.57388735627804</v>
      </c>
      <c r="CU92">
        <v>3589.5867972070055</v>
      </c>
    </row>
    <row r="93" spans="2:99">
      <c r="C93" s="99" t="s">
        <v>260</v>
      </c>
      <c r="D93">
        <v>2.9175830293700962</v>
      </c>
      <c r="E93">
        <v>2023.6355891710987</v>
      </c>
      <c r="F93">
        <v>3.7477169661929559</v>
      </c>
      <c r="G93">
        <v>2599.4164877514345</v>
      </c>
      <c r="H93">
        <v>3.3739022252571953</v>
      </c>
      <c r="I93">
        <v>2340.1385834383909</v>
      </c>
      <c r="J93">
        <v>2.031703970919208</v>
      </c>
      <c r="K93">
        <v>1409.1898742295627</v>
      </c>
      <c r="L93">
        <v>2.8460605574566848</v>
      </c>
      <c r="M93">
        <v>1974.0276026519566</v>
      </c>
      <c r="N93">
        <v>7.0540177588535622</v>
      </c>
      <c r="O93">
        <v>4892.6667175408311</v>
      </c>
      <c r="P93">
        <v>3.3286371743713632</v>
      </c>
      <c r="Q93">
        <v>2308.7427441439777</v>
      </c>
      <c r="R93">
        <v>1.8133565374350151</v>
      </c>
      <c r="S93">
        <v>1257.7440943649265</v>
      </c>
      <c r="T93">
        <v>0.89373479075305906</v>
      </c>
      <c r="U93">
        <v>619.89445086632179</v>
      </c>
      <c r="V93">
        <v>0.58877798715150831</v>
      </c>
      <c r="W93">
        <v>408.37641188828616</v>
      </c>
      <c r="X93">
        <v>0.74111525432802983</v>
      </c>
      <c r="Y93">
        <v>514.03754040192155</v>
      </c>
      <c r="Z93">
        <v>2.6208338975612873</v>
      </c>
      <c r="AA93">
        <v>1817.8103913485088</v>
      </c>
      <c r="AB93">
        <v>3.7815074639907738</v>
      </c>
      <c r="AC93">
        <v>2622.853577024001</v>
      </c>
      <c r="AD93">
        <v>4.630906323824945</v>
      </c>
      <c r="AE93">
        <v>3211.996626204982</v>
      </c>
      <c r="AF93">
        <v>4.5920677895008595</v>
      </c>
      <c r="AG93">
        <v>3185.0582187977961</v>
      </c>
      <c r="AH93">
        <v>2.9128594704771338</v>
      </c>
      <c r="AI93">
        <v>2020.3593287229401</v>
      </c>
      <c r="AJ93">
        <v>1.4289275575515272</v>
      </c>
      <c r="AK93">
        <v>991.10415391773927</v>
      </c>
      <c r="AL93">
        <v>3.7501478789264073</v>
      </c>
      <c r="AM93">
        <v>2601.1025688233563</v>
      </c>
      <c r="AN93">
        <v>6.3787885862655429</v>
      </c>
      <c r="AO93">
        <v>4424.327763433781</v>
      </c>
      <c r="AP93">
        <v>3.7336834755378736</v>
      </c>
      <c r="AQ93">
        <v>2589.6828586330694</v>
      </c>
      <c r="AR93">
        <v>4.0123404213089735</v>
      </c>
      <c r="AS93">
        <v>2782.9593162199039</v>
      </c>
      <c r="AT93">
        <v>2.7557979337013969</v>
      </c>
      <c r="AU93">
        <v>1911.4214468152891</v>
      </c>
      <c r="AV93">
        <v>1.41300673840925</v>
      </c>
      <c r="AW93">
        <v>980.06147376065576</v>
      </c>
      <c r="AX93">
        <v>4.5818339004625059</v>
      </c>
      <c r="AY93">
        <v>3177.9599933607942</v>
      </c>
      <c r="AZ93">
        <v>4.8937796032195964</v>
      </c>
      <c r="BA93">
        <v>3394.325532793112</v>
      </c>
      <c r="BB93">
        <v>4.943169135324875</v>
      </c>
      <c r="BC93">
        <v>3428.5821122613334</v>
      </c>
      <c r="BD93">
        <v>4.242823079760969</v>
      </c>
      <c r="BE93">
        <v>2942.8220881222082</v>
      </c>
      <c r="BF93">
        <v>4.215119420330641</v>
      </c>
      <c r="BG93">
        <v>2923.6068299413328</v>
      </c>
      <c r="BH93">
        <v>4.0816381215083988</v>
      </c>
      <c r="BI93">
        <v>2831.0242010782254</v>
      </c>
      <c r="BJ93">
        <v>4.0684697506153853</v>
      </c>
      <c r="BK93">
        <v>2821.8906190268312</v>
      </c>
      <c r="BL93">
        <v>2.8689751669040704</v>
      </c>
      <c r="BM93">
        <v>1989.9211757646633</v>
      </c>
      <c r="BN93">
        <v>2.7213304598607753</v>
      </c>
      <c r="BO93">
        <v>1887.5148069594338</v>
      </c>
      <c r="BP93">
        <v>4.1746384970945751</v>
      </c>
      <c r="BQ93">
        <v>2895.5292615847975</v>
      </c>
      <c r="BR93">
        <v>2.922725609265346</v>
      </c>
      <c r="BS93">
        <v>2027.2024825864439</v>
      </c>
      <c r="BT93">
        <v>3.3534853673456793</v>
      </c>
      <c r="BU93">
        <v>2325.9774507909633</v>
      </c>
      <c r="BV93">
        <v>4.1534371910494361</v>
      </c>
      <c r="BW93">
        <v>2880.8240357118889</v>
      </c>
      <c r="BX93">
        <v>1.8794032061220605</v>
      </c>
      <c r="BY93">
        <v>1303.5540637662612</v>
      </c>
      <c r="BZ93">
        <v>4</v>
      </c>
      <c r="CA93">
        <v>2774.4</v>
      </c>
      <c r="CB93">
        <v>5.0340648455684986</v>
      </c>
      <c r="CC93">
        <v>3491.6273768863107</v>
      </c>
      <c r="CD93">
        <v>3.4838244202598636</v>
      </c>
      <c r="CE93">
        <v>2416.3806178922414</v>
      </c>
      <c r="CF93">
        <v>1.6914826417637634</v>
      </c>
      <c r="CG93">
        <v>1173.2123603273462</v>
      </c>
      <c r="CH93">
        <v>4</v>
      </c>
      <c r="CI93">
        <v>2774.4</v>
      </c>
      <c r="CJ93">
        <v>3.8654094952462286</v>
      </c>
      <c r="CK93">
        <v>2681.048025902784</v>
      </c>
      <c r="CL93">
        <v>0.45395775244705688</v>
      </c>
      <c r="CM93">
        <v>314.86509709727869</v>
      </c>
      <c r="CN93">
        <v>3.6635005621401002</v>
      </c>
      <c r="CO93">
        <v>2541.0039899003737</v>
      </c>
      <c r="CP93">
        <v>0.89355254002135742</v>
      </c>
      <c r="CQ93">
        <v>619.76804175881352</v>
      </c>
      <c r="CR93">
        <v>6.5727036655480031</v>
      </c>
      <c r="CS93">
        <v>4558.8272624240954</v>
      </c>
      <c r="CT93">
        <v>4.57388735627804</v>
      </c>
      <c r="CU93">
        <v>3172.4482703144486</v>
      </c>
    </row>
    <row r="94" spans="2:99">
      <c r="C94" s="99" t="s">
        <v>261</v>
      </c>
      <c r="D94">
        <v>2.4676657851550501</v>
      </c>
      <c r="E94">
        <v>2943.4317485329434</v>
      </c>
      <c r="F94">
        <v>2.9807704315983026</v>
      </c>
      <c r="G94">
        <v>3555.4629708104553</v>
      </c>
      <c r="H94">
        <v>2.9566060861097161</v>
      </c>
      <c r="I94">
        <v>3526.6397395116692</v>
      </c>
      <c r="J94">
        <v>1.5643369153291884</v>
      </c>
      <c r="K94">
        <v>1865.9410726046558</v>
      </c>
      <c r="L94">
        <v>2.4394804778200156</v>
      </c>
      <c r="M94">
        <v>2909.8123139437143</v>
      </c>
      <c r="N94">
        <v>6.0540177588535622</v>
      </c>
      <c r="O94">
        <v>7221.2323827605287</v>
      </c>
      <c r="P94">
        <v>3.3286371743713632</v>
      </c>
      <c r="Q94">
        <v>3970.3984215901619</v>
      </c>
      <c r="R94">
        <v>1.8133565374350151</v>
      </c>
      <c r="S94">
        <v>2162.9716778524858</v>
      </c>
      <c r="T94">
        <v>0.74477899229421585</v>
      </c>
      <c r="U94">
        <v>888.37238200854063</v>
      </c>
      <c r="V94">
        <v>0.70653358458180993</v>
      </c>
      <c r="W94">
        <v>842.75325968918287</v>
      </c>
      <c r="X94">
        <v>0.63567128463521516</v>
      </c>
      <c r="Y94">
        <v>758.22870831288458</v>
      </c>
      <c r="Z94">
        <v>1.9697032782840154</v>
      </c>
      <c r="AA94">
        <v>2349.4620703371734</v>
      </c>
      <c r="AB94">
        <v>4.411758707989236</v>
      </c>
      <c r="AC94">
        <v>5262.3457868895603</v>
      </c>
      <c r="AD94">
        <v>4.5706589921720493</v>
      </c>
      <c r="AE94">
        <v>5451.8820458628206</v>
      </c>
      <c r="AF94">
        <v>4.5920677895008595</v>
      </c>
      <c r="AG94">
        <v>5477.4184593166246</v>
      </c>
      <c r="AH94">
        <v>2.9352521045842206</v>
      </c>
      <c r="AI94">
        <v>3501.1687103480581</v>
      </c>
      <c r="AJ94">
        <v>1.2247950493298805</v>
      </c>
      <c r="AK94">
        <v>1460.9355348406814</v>
      </c>
      <c r="AL94">
        <v>3.7501478789264073</v>
      </c>
      <c r="AM94">
        <v>4473.1763899834186</v>
      </c>
      <c r="AN94">
        <v>5.4675330739418939</v>
      </c>
      <c r="AO94">
        <v>6521.6734505978911</v>
      </c>
      <c r="AP94">
        <v>3.7336834755378736</v>
      </c>
      <c r="AQ94">
        <v>4453.5376496215758</v>
      </c>
      <c r="AR94">
        <v>4.0123404213089735</v>
      </c>
      <c r="AS94">
        <v>4785.9196545373434</v>
      </c>
      <c r="AT94">
        <v>3.2523842595847698</v>
      </c>
      <c r="AU94">
        <v>3879.4439448327134</v>
      </c>
      <c r="AV94">
        <v>1.1482000768449214</v>
      </c>
      <c r="AW94">
        <v>1369.5730516606222</v>
      </c>
      <c r="AX94">
        <v>5.3454728838729233</v>
      </c>
      <c r="AY94">
        <v>6376.0800558836227</v>
      </c>
      <c r="AZ94">
        <v>4.8937796032195964</v>
      </c>
      <c r="BA94">
        <v>5837.300310720334</v>
      </c>
      <c r="BB94">
        <v>5.9318029623898507</v>
      </c>
      <c r="BC94">
        <v>7075.4545735386137</v>
      </c>
      <c r="BD94">
        <v>3.6455017240482066</v>
      </c>
      <c r="BE94">
        <v>4348.3544564447011</v>
      </c>
      <c r="BF94">
        <v>4.5506435228252666</v>
      </c>
      <c r="BG94">
        <v>5428.0075940259776</v>
      </c>
      <c r="BH94">
        <v>4.0816381215083988</v>
      </c>
      <c r="BI94">
        <v>4868.5779513352181</v>
      </c>
      <c r="BJ94">
        <v>3.4213465037641266</v>
      </c>
      <c r="BK94">
        <v>4080.9821096898499</v>
      </c>
      <c r="BL94">
        <v>2.8468028812563184</v>
      </c>
      <c r="BM94">
        <v>3395.6664767625366</v>
      </c>
      <c r="BN94">
        <v>2.3105869510137058</v>
      </c>
      <c r="BO94">
        <v>2756.0681151691483</v>
      </c>
      <c r="BP94">
        <v>4.1746384970945751</v>
      </c>
      <c r="BQ94">
        <v>4979.5087993344086</v>
      </c>
      <c r="BR94">
        <v>2.922725609265346</v>
      </c>
      <c r="BS94">
        <v>3486.2271067317047</v>
      </c>
      <c r="BT94">
        <v>3.3296227069211799</v>
      </c>
      <c r="BU94">
        <v>3971.5739648155832</v>
      </c>
      <c r="BV94">
        <v>3.5177397135864727</v>
      </c>
      <c r="BW94">
        <v>4195.9599303659443</v>
      </c>
      <c r="BX94">
        <v>1.5661693384350504</v>
      </c>
      <c r="BY94">
        <v>1868.1267868853279</v>
      </c>
      <c r="BZ94">
        <v>4</v>
      </c>
      <c r="CA94">
        <v>4771.2</v>
      </c>
      <c r="CB94">
        <v>5.8226259391487556</v>
      </c>
      <c r="CC94">
        <v>6945.2282202166352</v>
      </c>
      <c r="CD94">
        <v>2.9254508300688751</v>
      </c>
      <c r="CE94">
        <v>3489.477750106154</v>
      </c>
      <c r="CF94">
        <v>1.4498422643689399</v>
      </c>
      <c r="CG94">
        <v>1729.3718529392715</v>
      </c>
      <c r="CH94">
        <v>4</v>
      </c>
      <c r="CI94">
        <v>4771.2</v>
      </c>
      <c r="CJ94">
        <v>3.8371257119629267</v>
      </c>
      <c r="CK94">
        <v>4576.9235492293792</v>
      </c>
      <c r="CL94">
        <v>0.45794576399804893</v>
      </c>
      <c r="CM94">
        <v>546.23770729687271</v>
      </c>
      <c r="CN94">
        <v>2.948713431240106</v>
      </c>
      <c r="CO94">
        <v>3517.2253807831985</v>
      </c>
      <c r="CP94">
        <v>0.89355254002135742</v>
      </c>
      <c r="CQ94">
        <v>1065.8294697374752</v>
      </c>
      <c r="CR94">
        <v>6.5727036655480031</v>
      </c>
      <c r="CS94">
        <v>7839.9209322656579</v>
      </c>
      <c r="CT94">
        <v>3.9204748768097479</v>
      </c>
      <c r="CU94">
        <v>4676.3424330586668</v>
      </c>
    </row>
    <row r="95" spans="2:99">
      <c r="B95" s="99" t="s">
        <v>132</v>
      </c>
      <c r="C95" s="99" t="s">
        <v>262</v>
      </c>
      <c r="D95">
        <v>5.7188569578976205</v>
      </c>
      <c r="E95">
        <v>1880.3601677567376</v>
      </c>
      <c r="F95">
        <v>7.3254512254323272</v>
      </c>
      <c r="G95">
        <v>2408.6083629221494</v>
      </c>
      <c r="H95">
        <v>3.5396403948519226</v>
      </c>
      <c r="I95">
        <v>1163.8337618273122</v>
      </c>
      <c r="J95">
        <v>5.8401700221647079</v>
      </c>
      <c r="K95">
        <v>1920.2479032877561</v>
      </c>
      <c r="L95">
        <v>3.6592207167300237</v>
      </c>
      <c r="M95">
        <v>1203.1517716608319</v>
      </c>
      <c r="N95">
        <v>6</v>
      </c>
      <c r="O95">
        <v>1972.8000000000002</v>
      </c>
      <c r="P95">
        <v>4.7877572617078012</v>
      </c>
      <c r="Q95">
        <v>1574.2145876495251</v>
      </c>
      <c r="R95">
        <v>3.6267130748700303</v>
      </c>
      <c r="S95">
        <v>1192.463259017266</v>
      </c>
      <c r="T95">
        <v>0.89373479075305906</v>
      </c>
      <c r="U95">
        <v>293.85999919960585</v>
      </c>
      <c r="V95">
        <v>1.0598003768727149</v>
      </c>
      <c r="W95">
        <v>348.46236391574865</v>
      </c>
      <c r="X95">
        <v>1.0544396969281473</v>
      </c>
      <c r="Y95">
        <v>346.69977234997486</v>
      </c>
      <c r="Z95">
        <v>6.5299478161466586</v>
      </c>
      <c r="AA95">
        <v>2147.0468419490217</v>
      </c>
      <c r="AB95">
        <v>5.6722611959861595</v>
      </c>
      <c r="AC95">
        <v>1865.0394812402494</v>
      </c>
      <c r="AD95">
        <v>4.6911536554778417</v>
      </c>
      <c r="AE95">
        <v>1542.4513219211144</v>
      </c>
      <c r="AF95">
        <v>4.620908749518037</v>
      </c>
      <c r="AG95">
        <v>1519.3547968415305</v>
      </c>
      <c r="AH95">
        <v>7.103007603336132</v>
      </c>
      <c r="AI95">
        <v>2335.4688999769205</v>
      </c>
      <c r="AJ95">
        <v>1.8371925739948205</v>
      </c>
      <c r="AK95">
        <v>604.06891832949702</v>
      </c>
      <c r="AL95">
        <v>5.625221818389611</v>
      </c>
      <c r="AM95">
        <v>1849.5729338865042</v>
      </c>
      <c r="AN95">
        <v>9.1125551232364899</v>
      </c>
      <c r="AO95">
        <v>2996.208124520158</v>
      </c>
      <c r="AP95">
        <v>8.2141036461833217</v>
      </c>
      <c r="AQ95">
        <v>2700.7972788650764</v>
      </c>
      <c r="AR95">
        <v>5.6172765898325636</v>
      </c>
      <c r="AS95">
        <v>1846.960542736947</v>
      </c>
      <c r="AT95">
        <v>5.958570137961706</v>
      </c>
      <c r="AU95">
        <v>1959.1778613618089</v>
      </c>
      <c r="AV95">
        <v>1.8536466309503006</v>
      </c>
      <c r="AW95">
        <v>609.47901225645887</v>
      </c>
      <c r="AX95">
        <v>3.8181949170520881</v>
      </c>
      <c r="AY95">
        <v>1255.4224887267267</v>
      </c>
      <c r="AZ95">
        <v>10.766315127083111</v>
      </c>
      <c r="BA95">
        <v>3539.9644137849268</v>
      </c>
      <c r="BB95">
        <v>6.9204367894548255</v>
      </c>
      <c r="BC95">
        <v>2275.4396163727465</v>
      </c>
      <c r="BD95">
        <v>6.3447650836777232</v>
      </c>
      <c r="BE95">
        <v>2086.1587595132355</v>
      </c>
      <c r="BF95">
        <v>5.0581433043967694</v>
      </c>
      <c r="BG95">
        <v>1663.1175184856579</v>
      </c>
      <c r="BH95">
        <v>5.2718989779973082</v>
      </c>
      <c r="BI95">
        <v>1733.4003839655149</v>
      </c>
      <c r="BJ95">
        <v>5.7022441729402118</v>
      </c>
      <c r="BK95">
        <v>1874.8978840627417</v>
      </c>
      <c r="BL95">
        <v>6.8101546293674131</v>
      </c>
      <c r="BM95">
        <v>2239.1788421360056</v>
      </c>
      <c r="BN95">
        <v>4.4709609960116907</v>
      </c>
      <c r="BO95">
        <v>1470.0519754886438</v>
      </c>
      <c r="BP95">
        <v>3.9197093376717738</v>
      </c>
      <c r="BQ95">
        <v>1288.8004302264792</v>
      </c>
      <c r="BR95">
        <v>4.5464815223269941</v>
      </c>
      <c r="BS95">
        <v>1494.8831245411156</v>
      </c>
      <c r="BT95">
        <v>4.5031307036935706</v>
      </c>
      <c r="BU95">
        <v>1480.629375374446</v>
      </c>
      <c r="BV95">
        <v>4.6966113068019482</v>
      </c>
      <c r="BW95">
        <v>1544.2457976764806</v>
      </c>
      <c r="BX95">
        <v>3.7588064122441209</v>
      </c>
      <c r="BY95">
        <v>1235.8955483458669</v>
      </c>
      <c r="BZ95">
        <v>9</v>
      </c>
      <c r="CA95">
        <v>2959.2000000000003</v>
      </c>
      <c r="CB95">
        <v>5.5199276550618048</v>
      </c>
      <c r="CC95">
        <v>1814.9522129843215</v>
      </c>
      <c r="CD95">
        <v>6.5891640163635863</v>
      </c>
      <c r="CE95">
        <v>2166.5171285803472</v>
      </c>
      <c r="CF95">
        <v>2.8996845287378799</v>
      </c>
      <c r="CG95">
        <v>953.41627304901488</v>
      </c>
      <c r="CH95">
        <v>7</v>
      </c>
      <c r="CI95">
        <v>2301.6</v>
      </c>
      <c r="CJ95">
        <v>8.492113935500079</v>
      </c>
      <c r="CK95">
        <v>2792.2070619924261</v>
      </c>
      <c r="CL95">
        <v>1.0850442367302409</v>
      </c>
      <c r="CM95">
        <v>356.76254503690319</v>
      </c>
      <c r="CN95">
        <v>5.8078619548400825</v>
      </c>
      <c r="CO95">
        <v>1909.6250107514193</v>
      </c>
      <c r="CP95">
        <v>1.4892542333689291</v>
      </c>
      <c r="CQ95">
        <v>489.66679193170393</v>
      </c>
      <c r="CR95">
        <v>9.3895766650685761</v>
      </c>
      <c r="CS95">
        <v>3087.2928074745478</v>
      </c>
      <c r="CT95">
        <v>5.8807123152146223</v>
      </c>
      <c r="CU95">
        <v>1933.5782092425679</v>
      </c>
    </row>
    <row r="96" spans="2:99">
      <c r="C96" s="99" t="s">
        <v>263</v>
      </c>
      <c r="D96">
        <v>5.7188569578976205</v>
      </c>
      <c r="E96">
        <v>3973.4618143472667</v>
      </c>
      <c r="F96">
        <v>8.1773891135037715</v>
      </c>
      <c r="G96">
        <v>5681.6499560624197</v>
      </c>
      <c r="H96">
        <v>2.9566060861097161</v>
      </c>
      <c r="I96">
        <v>2054.2499086290304</v>
      </c>
      <c r="J96">
        <v>4.9286124464931156</v>
      </c>
      <c r="K96">
        <v>3424.3999278234164</v>
      </c>
      <c r="L96">
        <v>4.4723808760033625</v>
      </c>
      <c r="M96">
        <v>3107.4102326471361</v>
      </c>
      <c r="N96">
        <v>6</v>
      </c>
      <c r="O96">
        <v>4168.7999999999993</v>
      </c>
      <c r="P96">
        <v>4.3317744443611179</v>
      </c>
      <c r="Q96">
        <v>3009.7168839421047</v>
      </c>
      <c r="R96">
        <v>3.6267130748700303</v>
      </c>
      <c r="S96">
        <v>2519.8402444196968</v>
      </c>
      <c r="T96">
        <v>0.89373479075305906</v>
      </c>
      <c r="U96">
        <v>620.96693261522535</v>
      </c>
      <c r="V96">
        <v>1.0598003768727149</v>
      </c>
      <c r="W96">
        <v>736.34930185116229</v>
      </c>
      <c r="X96">
        <v>0.94899572723533254</v>
      </c>
      <c r="Y96">
        <v>659.36223128310905</v>
      </c>
      <c r="Z96">
        <v>6.5299478161466586</v>
      </c>
      <c r="AA96">
        <v>4537.0077426586977</v>
      </c>
      <c r="AB96">
        <v>5.0420099519876977</v>
      </c>
      <c r="AC96">
        <v>3503.1885146410523</v>
      </c>
      <c r="AD96">
        <v>4.7212773213042896</v>
      </c>
      <c r="AE96">
        <v>3280.3434828422201</v>
      </c>
      <c r="AF96">
        <v>4.4911244294407346</v>
      </c>
      <c r="AG96">
        <v>3120.4332535754224</v>
      </c>
      <c r="AH96">
        <v>5.6913631363117414</v>
      </c>
      <c r="AI96">
        <v>3954.3591071093979</v>
      </c>
      <c r="AJ96">
        <v>1.6330600657731738</v>
      </c>
      <c r="AK96">
        <v>1134.650133699201</v>
      </c>
      <c r="AL96">
        <v>5.625221818389611</v>
      </c>
      <c r="AM96">
        <v>3908.4041194171014</v>
      </c>
      <c r="AN96">
        <v>9.1125551232364899</v>
      </c>
      <c r="AO96">
        <v>6331.4032996247124</v>
      </c>
      <c r="AP96">
        <v>6.7206302559681719</v>
      </c>
      <c r="AQ96">
        <v>4669.4939018466857</v>
      </c>
      <c r="AR96">
        <v>5.6172765898325636</v>
      </c>
      <c r="AS96">
        <v>3902.8837746156651</v>
      </c>
      <c r="AT96">
        <v>5.958570137961706</v>
      </c>
      <c r="AU96">
        <v>4140.0145318557934</v>
      </c>
      <c r="AV96">
        <v>1.5888399693859721</v>
      </c>
      <c r="AW96">
        <v>1103.9260107293733</v>
      </c>
      <c r="AX96">
        <v>4.5818339004625059</v>
      </c>
      <c r="AY96">
        <v>3183.4581940413491</v>
      </c>
      <c r="AZ96">
        <v>9.7875592064391927</v>
      </c>
      <c r="BA96">
        <v>6800.3961366339508</v>
      </c>
      <c r="BB96">
        <v>5.9318029623898507</v>
      </c>
      <c r="BC96">
        <v>4121.4166982684683</v>
      </c>
      <c r="BD96">
        <v>6.3447650836777232</v>
      </c>
      <c r="BE96">
        <v>4408.3427801392818</v>
      </c>
      <c r="BF96">
        <v>5.0581433043967694</v>
      </c>
      <c r="BG96">
        <v>3514.3979678948754</v>
      </c>
      <c r="BH96">
        <v>5.8549901382127949</v>
      </c>
      <c r="BI96">
        <v>4068.0471480302494</v>
      </c>
      <c r="BJ96">
        <v>5.7022441729402118</v>
      </c>
      <c r="BK96">
        <v>3961.9192513588587</v>
      </c>
      <c r="BL96">
        <v>6.8101546293674131</v>
      </c>
      <c r="BM96">
        <v>4731.6954364844787</v>
      </c>
      <c r="BN96">
        <v>5.0152270879838454</v>
      </c>
      <c r="BO96">
        <v>3484.5797807311756</v>
      </c>
      <c r="BP96">
        <v>3.2664244480598112</v>
      </c>
      <c r="BQ96">
        <v>2269.5117065119566</v>
      </c>
      <c r="BR96">
        <v>4.5464815223269941</v>
      </c>
      <c r="BS96">
        <v>3158.8953617127954</v>
      </c>
      <c r="BT96">
        <v>3.952170695944123</v>
      </c>
      <c r="BU96">
        <v>2745.9681995419764</v>
      </c>
      <c r="BV96">
        <v>4.0609138293389853</v>
      </c>
      <c r="BW96">
        <v>2821.5229286247268</v>
      </c>
      <c r="BX96">
        <v>3.1323386768701007</v>
      </c>
      <c r="BY96">
        <v>2176.348912689346</v>
      </c>
      <c r="BZ96">
        <v>8</v>
      </c>
      <c r="CA96">
        <v>5558.4</v>
      </c>
      <c r="CB96">
        <v>5.5199276550618048</v>
      </c>
      <c r="CC96">
        <v>3835.2457347369418</v>
      </c>
      <c r="CD96">
        <v>6.0530542393582536</v>
      </c>
      <c r="CE96">
        <v>4205.6620855061146</v>
      </c>
      <c r="CF96">
        <v>2.4164037739482334</v>
      </c>
      <c r="CG96">
        <v>1678.9173421392325</v>
      </c>
      <c r="CH96">
        <v>7</v>
      </c>
      <c r="CI96">
        <v>4863.5999999999995</v>
      </c>
      <c r="CJ96">
        <v>8.4638301522167758</v>
      </c>
      <c r="CK96">
        <v>5880.6691897602159</v>
      </c>
      <c r="CL96">
        <v>1.1496805333423514</v>
      </c>
      <c r="CM96">
        <v>798.79803456626576</v>
      </c>
      <c r="CN96">
        <v>5.7966663413850661</v>
      </c>
      <c r="CO96">
        <v>4027.5237739943436</v>
      </c>
      <c r="CP96">
        <v>1.3403288100320361</v>
      </c>
      <c r="CQ96">
        <v>931.26045721025855</v>
      </c>
      <c r="CR96">
        <v>10.328534331575433</v>
      </c>
      <c r="CS96">
        <v>7176.2656535786109</v>
      </c>
      <c r="CT96">
        <v>5.8807123152146223</v>
      </c>
      <c r="CU96">
        <v>4085.9189166111191</v>
      </c>
    </row>
    <row r="97" spans="2:99">
      <c r="C97" s="99" t="s">
        <v>264</v>
      </c>
      <c r="D97">
        <v>5.2544010760772535</v>
      </c>
      <c r="E97">
        <v>2061.8269822527141</v>
      </c>
      <c r="F97">
        <v>8.1773891135037715</v>
      </c>
      <c r="G97">
        <v>3208.8074881388798</v>
      </c>
      <c r="H97">
        <v>3.5189231236525815</v>
      </c>
      <c r="I97">
        <v>1380.8254337212729</v>
      </c>
      <c r="J97">
        <v>5.3959795020831356</v>
      </c>
      <c r="K97">
        <v>2117.3823566174224</v>
      </c>
      <c r="L97">
        <v>3.6592207167300237</v>
      </c>
      <c r="M97">
        <v>1435.8782092448612</v>
      </c>
      <c r="N97">
        <v>6</v>
      </c>
      <c r="O97">
        <v>2354.3999999999996</v>
      </c>
      <c r="P97">
        <v>4.7649643528837036</v>
      </c>
      <c r="Q97">
        <v>1869.7720120715651</v>
      </c>
      <c r="R97">
        <v>4.0800522092287839</v>
      </c>
      <c r="S97">
        <v>1601.0124869013746</v>
      </c>
      <c r="T97">
        <v>0.74477899229421585</v>
      </c>
      <c r="U97">
        <v>292.25127657625029</v>
      </c>
      <c r="V97">
        <v>1.0598003768727149</v>
      </c>
      <c r="W97">
        <v>415.86566788485328</v>
      </c>
      <c r="X97">
        <v>0.94899572723533254</v>
      </c>
      <c r="Y97">
        <v>372.38592336714447</v>
      </c>
      <c r="Z97">
        <v>6.5299478161466586</v>
      </c>
      <c r="AA97">
        <v>2562.3515230559487</v>
      </c>
      <c r="AB97">
        <v>5.0420099519876977</v>
      </c>
      <c r="AC97">
        <v>1978.4847051599725</v>
      </c>
      <c r="AD97">
        <v>4.3296696655604645</v>
      </c>
      <c r="AE97">
        <v>1698.9623767659261</v>
      </c>
      <c r="AF97">
        <v>4.6353292295266266</v>
      </c>
      <c r="AG97">
        <v>1818.9031896662482</v>
      </c>
      <c r="AH97">
        <v>6.4083816868774806</v>
      </c>
      <c r="AI97">
        <v>2514.6489739307231</v>
      </c>
      <c r="AJ97">
        <v>1.8371925739948205</v>
      </c>
      <c r="AK97">
        <v>720.91436603556747</v>
      </c>
      <c r="AL97">
        <v>5.625221818389611</v>
      </c>
      <c r="AM97">
        <v>2207.3370415360832</v>
      </c>
      <c r="AN97">
        <v>9.1125551232364899</v>
      </c>
      <c r="AO97">
        <v>3575.7666303579986</v>
      </c>
      <c r="AP97">
        <v>8.2141036461833217</v>
      </c>
      <c r="AQ97">
        <v>3223.2142707623352</v>
      </c>
      <c r="AR97">
        <v>5.6172765898325636</v>
      </c>
      <c r="AS97">
        <v>2204.219333850298</v>
      </c>
      <c r="AT97">
        <v>5.4619838120783335</v>
      </c>
      <c r="AU97">
        <v>2143.282447859538</v>
      </c>
      <c r="AV97">
        <v>1.8536466309503006</v>
      </c>
      <c r="AW97">
        <v>727.37093798489786</v>
      </c>
      <c r="AX97">
        <v>4.5818339004625059</v>
      </c>
      <c r="AY97">
        <v>1797.9116225414873</v>
      </c>
      <c r="AZ97">
        <v>9.7875592064391927</v>
      </c>
      <c r="BA97">
        <v>3840.6382326067392</v>
      </c>
      <c r="BB97">
        <v>6.9204367894548255</v>
      </c>
      <c r="BC97">
        <v>2715.5793961820732</v>
      </c>
      <c r="BD97">
        <v>6.3447650836777232</v>
      </c>
      <c r="BE97">
        <v>2489.6858188351384</v>
      </c>
      <c r="BF97">
        <v>5.9011671884628978</v>
      </c>
      <c r="BG97">
        <v>2315.618004752841</v>
      </c>
      <c r="BH97">
        <v>5.8309116021548562</v>
      </c>
      <c r="BI97">
        <v>2288.0497126855653</v>
      </c>
      <c r="BJ97">
        <v>5.7022441729402118</v>
      </c>
      <c r="BK97">
        <v>2237.5606134617392</v>
      </c>
      <c r="BL97">
        <v>6.8101546293674131</v>
      </c>
      <c r="BM97">
        <v>2672.3046765637728</v>
      </c>
      <c r="BN97">
        <v>4.4709609960116907</v>
      </c>
      <c r="BO97">
        <v>1754.4050948349873</v>
      </c>
      <c r="BP97">
        <v>3.9197093376717738</v>
      </c>
      <c r="BQ97">
        <v>1538.0939441024038</v>
      </c>
      <c r="BR97">
        <v>4.5464815223269941</v>
      </c>
      <c r="BS97">
        <v>1784.0393493611123</v>
      </c>
      <c r="BT97">
        <v>4.5031307036935706</v>
      </c>
      <c r="BU97">
        <v>1767.0284881293569</v>
      </c>
      <c r="BV97">
        <v>4.6966113068019482</v>
      </c>
      <c r="BW97">
        <v>1842.9502767890845</v>
      </c>
      <c r="BX97">
        <v>3.1323386768701007</v>
      </c>
      <c r="BY97">
        <v>1229.1296968038275</v>
      </c>
      <c r="BZ97">
        <v>9</v>
      </c>
      <c r="CA97">
        <v>3531.6</v>
      </c>
      <c r="CB97">
        <v>5.5199276550618048</v>
      </c>
      <c r="CC97">
        <v>2166.0196118462522</v>
      </c>
      <c r="CD97">
        <v>6.0530542393582536</v>
      </c>
      <c r="CE97">
        <v>2375.2184835241787</v>
      </c>
      <c r="CF97">
        <v>2.8996845287378799</v>
      </c>
      <c r="CG97">
        <v>1137.8362090767439</v>
      </c>
      <c r="CH97">
        <v>7</v>
      </c>
      <c r="CI97">
        <v>2746.7999999999997</v>
      </c>
      <c r="CJ97">
        <v>7.5894000740759493</v>
      </c>
      <c r="CK97">
        <v>2978.0805890674023</v>
      </c>
      <c r="CL97">
        <v>1.2541969454643833</v>
      </c>
      <c r="CM97">
        <v>492.146881400224</v>
      </c>
      <c r="CN97">
        <v>5.0930748239400883</v>
      </c>
      <c r="CO97">
        <v>1998.5225609140905</v>
      </c>
      <c r="CP97">
        <v>1.3403288100320361</v>
      </c>
      <c r="CQ97">
        <v>525.9450250565709</v>
      </c>
      <c r="CR97">
        <v>10.328534331575433</v>
      </c>
      <c r="CS97">
        <v>4052.9168717101998</v>
      </c>
      <c r="CT97">
        <v>5.8807123152146223</v>
      </c>
      <c r="CU97">
        <v>2307.5915124902176</v>
      </c>
    </row>
    <row r="98" spans="2:99">
      <c r="C98" s="99" t="s">
        <v>265</v>
      </c>
      <c r="D98">
        <v>5.7043183202922991</v>
      </c>
      <c r="E98">
        <v>2998.1897091456326</v>
      </c>
      <c r="F98">
        <v>9.0293270015752185</v>
      </c>
      <c r="G98">
        <v>4745.8142720279347</v>
      </c>
      <c r="H98">
        <v>2.9566060861097161</v>
      </c>
      <c r="I98">
        <v>1553.9921588592667</v>
      </c>
      <c r="J98">
        <v>5.8865230931816015</v>
      </c>
      <c r="K98">
        <v>3093.9565377762497</v>
      </c>
      <c r="L98">
        <v>4.0658007963666929</v>
      </c>
      <c r="M98">
        <v>2136.9848985703338</v>
      </c>
      <c r="N98">
        <v>6</v>
      </c>
      <c r="O98">
        <v>3153.6000000000004</v>
      </c>
      <c r="P98">
        <v>4.3089815355370211</v>
      </c>
      <c r="Q98">
        <v>2264.8006950782583</v>
      </c>
      <c r="R98">
        <v>4.0800522092287839</v>
      </c>
      <c r="S98">
        <v>2144.475441170649</v>
      </c>
      <c r="T98">
        <v>0.89373479075305906</v>
      </c>
      <c r="U98">
        <v>469.74700601980788</v>
      </c>
      <c r="V98">
        <v>1.0598003768727149</v>
      </c>
      <c r="W98">
        <v>557.031078084299</v>
      </c>
      <c r="X98">
        <v>1.0544396969281473</v>
      </c>
      <c r="Y98">
        <v>554.21350470543427</v>
      </c>
      <c r="Z98">
        <v>6.5299478161466586</v>
      </c>
      <c r="AA98">
        <v>3432.1405721666838</v>
      </c>
      <c r="AB98">
        <v>5.6722611959861595</v>
      </c>
      <c r="AC98">
        <v>2981.3404846103253</v>
      </c>
      <c r="AD98">
        <v>4.3296696655604645</v>
      </c>
      <c r="AE98">
        <v>2275.6743762185802</v>
      </c>
      <c r="AF98">
        <v>4.620908749518037</v>
      </c>
      <c r="AG98">
        <v>2428.7496387466804</v>
      </c>
      <c r="AH98">
        <v>5.7137557704188291</v>
      </c>
      <c r="AI98">
        <v>3003.1500329321366</v>
      </c>
      <c r="AJ98">
        <v>1.6330600657731738</v>
      </c>
      <c r="AK98">
        <v>858.33637057038015</v>
      </c>
      <c r="AL98">
        <v>4.6876848486580096</v>
      </c>
      <c r="AM98">
        <v>2463.8471564546498</v>
      </c>
      <c r="AN98">
        <v>10.023810635560141</v>
      </c>
      <c r="AO98">
        <v>5268.5148700504105</v>
      </c>
      <c r="AP98">
        <v>8.2141036461833217</v>
      </c>
      <c r="AQ98">
        <v>4317.332876433954</v>
      </c>
      <c r="AR98">
        <v>5.6172765898325636</v>
      </c>
      <c r="AS98">
        <v>2952.4405756159954</v>
      </c>
      <c r="AT98">
        <v>5.4371777844161038</v>
      </c>
      <c r="AU98">
        <v>2857.7806434891045</v>
      </c>
      <c r="AV98">
        <v>1.8536466309503006</v>
      </c>
      <c r="AW98">
        <v>974.27666922747801</v>
      </c>
      <c r="AX98">
        <v>4.5818339004625059</v>
      </c>
      <c r="AY98">
        <v>2408.2118980830933</v>
      </c>
      <c r="AZ98">
        <v>9.7875592064391927</v>
      </c>
      <c r="BA98">
        <v>5144.34111890444</v>
      </c>
      <c r="BB98">
        <v>5.9318029623898507</v>
      </c>
      <c r="BC98">
        <v>3117.7556370321058</v>
      </c>
      <c r="BD98">
        <v>6.3447650836777232</v>
      </c>
      <c r="BE98">
        <v>3334.8085279810116</v>
      </c>
      <c r="BF98">
        <v>5.9011671884628978</v>
      </c>
      <c r="BG98">
        <v>3101.6534742560993</v>
      </c>
      <c r="BH98">
        <v>5.2478204419393704</v>
      </c>
      <c r="BI98">
        <v>2758.2544242833333</v>
      </c>
      <c r="BJ98">
        <v>5.7022441729402118</v>
      </c>
      <c r="BK98">
        <v>2997.0995372973753</v>
      </c>
      <c r="BL98">
        <v>5.6936057625126368</v>
      </c>
      <c r="BM98">
        <v>2992.5591887766423</v>
      </c>
      <c r="BN98">
        <v>4.4709609960116907</v>
      </c>
      <c r="BO98">
        <v>2349.9370995037448</v>
      </c>
      <c r="BP98">
        <v>3.9197093376717738</v>
      </c>
      <c r="BQ98">
        <v>2060.1992278802845</v>
      </c>
      <c r="BR98">
        <v>4.091833370094295</v>
      </c>
      <c r="BS98">
        <v>2150.6676193215617</v>
      </c>
      <c r="BT98">
        <v>3.9760333563686219</v>
      </c>
      <c r="BU98">
        <v>2089.8031321073477</v>
      </c>
      <c r="BV98">
        <v>4.727452427372099</v>
      </c>
      <c r="BW98">
        <v>2484.7489958267752</v>
      </c>
      <c r="BX98">
        <v>3.1323386768701007</v>
      </c>
      <c r="BY98">
        <v>1646.3572085629251</v>
      </c>
      <c r="BZ98">
        <v>8</v>
      </c>
      <c r="CA98">
        <v>4204.8</v>
      </c>
      <c r="CB98">
        <v>5.5199276550618048</v>
      </c>
      <c r="CC98">
        <v>2901.2739755004845</v>
      </c>
      <c r="CD98">
        <v>5.5392082755385754</v>
      </c>
      <c r="CE98">
        <v>2911.4078696230754</v>
      </c>
      <c r="CF98">
        <v>2.8996845287378799</v>
      </c>
      <c r="CG98">
        <v>1524.0741883046296</v>
      </c>
      <c r="CH98">
        <v>6</v>
      </c>
      <c r="CI98">
        <v>3153.6000000000004</v>
      </c>
      <c r="CJ98">
        <v>8.4638301522167758</v>
      </c>
      <c r="CK98">
        <v>4448.5891280051374</v>
      </c>
      <c r="CL98">
        <v>1.0451641212203195</v>
      </c>
      <c r="CM98">
        <v>549.33826211339999</v>
      </c>
      <c r="CN98">
        <v>5.8078619548400825</v>
      </c>
      <c r="CO98">
        <v>3052.6122434639474</v>
      </c>
      <c r="CP98">
        <v>1.4892542333689291</v>
      </c>
      <c r="CQ98">
        <v>782.75202505870925</v>
      </c>
      <c r="CR98">
        <v>10.328534331575433</v>
      </c>
      <c r="CS98">
        <v>5428.6776446760477</v>
      </c>
      <c r="CT98">
        <v>5.8807123152146223</v>
      </c>
      <c r="CU98">
        <v>3090.9023928768056</v>
      </c>
    </row>
    <row r="99" spans="2:99">
      <c r="C99" s="99" t="s">
        <v>266</v>
      </c>
      <c r="D99">
        <v>3.8174175178001875</v>
      </c>
      <c r="E99">
        <v>16065.219881910307</v>
      </c>
      <c r="F99">
        <v>7.2404598719555349</v>
      </c>
      <c r="G99">
        <v>30470.751325137669</v>
      </c>
      <c r="H99">
        <v>2.9358888149103746</v>
      </c>
      <c r="I99">
        <v>12355.394488668819</v>
      </c>
      <c r="J99">
        <v>4.4148923198862011</v>
      </c>
      <c r="K99">
        <v>18579.632839009086</v>
      </c>
      <c r="L99">
        <v>3.6592207167300237</v>
      </c>
      <c r="M99">
        <v>15399.46446428663</v>
      </c>
      <c r="N99">
        <v>5</v>
      </c>
      <c r="O99">
        <v>21042</v>
      </c>
      <c r="P99">
        <v>3.8302058093662406</v>
      </c>
      <c r="Q99">
        <v>16119.038128136885</v>
      </c>
      <c r="R99">
        <v>3.1733739405112762</v>
      </c>
      <c r="S99">
        <v>13354.826891247654</v>
      </c>
      <c r="T99">
        <v>0.74477899229421585</v>
      </c>
      <c r="U99">
        <v>3134.3279111709776</v>
      </c>
      <c r="V99">
        <v>0.82428918201211154</v>
      </c>
      <c r="W99">
        <v>3468.93859357977</v>
      </c>
      <c r="X99">
        <v>0.84355175754251788</v>
      </c>
      <c r="Y99">
        <v>3550.0032164419317</v>
      </c>
      <c r="Z99">
        <v>5.8741567910259027</v>
      </c>
      <c r="AA99">
        <v>24720.801439353407</v>
      </c>
      <c r="AB99">
        <v>4.411758707989236</v>
      </c>
      <c r="AC99">
        <v>18566.445346701898</v>
      </c>
      <c r="AD99">
        <v>3.6080580546337204</v>
      </c>
      <c r="AE99">
        <v>15184.151517120548</v>
      </c>
      <c r="AF99">
        <v>4.4911244294407346</v>
      </c>
      <c r="AG99">
        <v>18900.448048858387</v>
      </c>
      <c r="AH99">
        <v>5.6689705022046528</v>
      </c>
      <c r="AI99">
        <v>23857.295461478057</v>
      </c>
      <c r="AJ99">
        <v>1.4289275575515272</v>
      </c>
      <c r="AK99">
        <v>6013.4987331998464</v>
      </c>
      <c r="AL99">
        <v>4.6876848486580096</v>
      </c>
      <c r="AM99">
        <v>19727.652917092368</v>
      </c>
      <c r="AN99">
        <v>7.2900440985891919</v>
      </c>
      <c r="AO99">
        <v>30679.421584502754</v>
      </c>
      <c r="AP99">
        <v>6.7206302559681719</v>
      </c>
      <c r="AQ99">
        <v>28283.100369216452</v>
      </c>
      <c r="AR99">
        <v>4.8148085055707694</v>
      </c>
      <c r="AS99">
        <v>20262.640114844024</v>
      </c>
      <c r="AT99">
        <v>4.8661733755460403</v>
      </c>
      <c r="AU99">
        <v>20478.804033647953</v>
      </c>
      <c r="AV99">
        <v>1.3240333078216433</v>
      </c>
      <c r="AW99">
        <v>5572.0617726366036</v>
      </c>
      <c r="AX99">
        <v>3.8181949170520881</v>
      </c>
      <c r="AY99">
        <v>16068.491488922007</v>
      </c>
      <c r="AZ99">
        <v>9.7875592064391927</v>
      </c>
      <c r="BA99">
        <v>41189.964164378696</v>
      </c>
      <c r="BB99">
        <v>4.943169135324875</v>
      </c>
      <c r="BC99">
        <v>20802.832989101204</v>
      </c>
      <c r="BD99">
        <v>5.1911714320999547</v>
      </c>
      <c r="BE99">
        <v>21846.525854849446</v>
      </c>
      <c r="BF99">
        <v>5.0581433043967694</v>
      </c>
      <c r="BG99">
        <v>21286.690282223364</v>
      </c>
      <c r="BH99">
        <v>4.0816381215083988</v>
      </c>
      <c r="BI99">
        <v>17177.165870555946</v>
      </c>
      <c r="BJ99">
        <v>3.9915709210581478</v>
      </c>
      <c r="BK99">
        <v>16798.127064181106</v>
      </c>
      <c r="BL99">
        <v>5.1242451862613736</v>
      </c>
      <c r="BM99">
        <v>21564.873441862364</v>
      </c>
      <c r="BN99">
        <v>4.4375803502304203</v>
      </c>
      <c r="BO99">
        <v>18675.113145909698</v>
      </c>
      <c r="BP99">
        <v>2.6131395584478492</v>
      </c>
      <c r="BQ99">
        <v>10997.136517771927</v>
      </c>
      <c r="BR99">
        <v>3.637185217861596</v>
      </c>
      <c r="BS99">
        <v>15306.730270848739</v>
      </c>
      <c r="BT99">
        <v>3.1625840839496888</v>
      </c>
      <c r="BU99">
        <v>13309.418858893869</v>
      </c>
      <c r="BV99">
        <v>3.9992315881986844</v>
      </c>
      <c r="BW99">
        <v>16830.366215775342</v>
      </c>
      <c r="BX99">
        <v>3.1323386768701007</v>
      </c>
      <c r="BY99">
        <v>13182.134087740131</v>
      </c>
      <c r="BZ99">
        <v>7</v>
      </c>
      <c r="CA99">
        <v>29458.799999999996</v>
      </c>
      <c r="CB99">
        <v>4.7313665614815479</v>
      </c>
      <c r="CC99">
        <v>19911.483037338945</v>
      </c>
      <c r="CD99">
        <v>4.9808346853475864</v>
      </c>
      <c r="CE99">
        <v>20961.344689816782</v>
      </c>
      <c r="CF99">
        <v>2.1747633965534097</v>
      </c>
      <c r="CG99">
        <v>9152.274278055369</v>
      </c>
      <c r="CH99">
        <v>5</v>
      </c>
      <c r="CI99">
        <v>21042</v>
      </c>
      <c r="CJ99">
        <v>6.6018348628019163</v>
      </c>
      <c r="CK99">
        <v>27783.161836615582</v>
      </c>
      <c r="CL99">
        <v>0.94064770909828743</v>
      </c>
      <c r="CM99">
        <v>3958.6218189692327</v>
      </c>
      <c r="CN99">
        <v>5.0706835970300554</v>
      </c>
      <c r="CO99">
        <v>21339.464849741282</v>
      </c>
      <c r="CP99">
        <v>1.1914033866951432</v>
      </c>
      <c r="CQ99">
        <v>5013.9020125678408</v>
      </c>
      <c r="CR99">
        <v>7.5116613320548611</v>
      </c>
      <c r="CS99">
        <v>31612.075549819674</v>
      </c>
      <c r="CT99">
        <v>5.2272998357463312</v>
      </c>
      <c r="CU99">
        <v>21998.56862875486</v>
      </c>
    </row>
    <row r="100" spans="2:99">
      <c r="C100" s="99" t="s">
        <v>267</v>
      </c>
      <c r="D100">
        <v>5.7188569578976205</v>
      </c>
      <c r="E100">
        <v>1852.9096543588291</v>
      </c>
      <c r="F100">
        <v>8.1348934367653776</v>
      </c>
      <c r="G100">
        <v>2635.7054735119823</v>
      </c>
      <c r="H100">
        <v>3.5396403948519226</v>
      </c>
      <c r="I100">
        <v>1146.843487932023</v>
      </c>
      <c r="J100">
        <v>5.3959795020831356</v>
      </c>
      <c r="K100">
        <v>1748.2973586749358</v>
      </c>
      <c r="L100">
        <v>4.4723808760033625</v>
      </c>
      <c r="M100">
        <v>1449.0514038250894</v>
      </c>
      <c r="N100">
        <v>5</v>
      </c>
      <c r="O100">
        <v>1620</v>
      </c>
      <c r="P100">
        <v>4.7877572617078012</v>
      </c>
      <c r="Q100">
        <v>1551.2333527933276</v>
      </c>
      <c r="R100">
        <v>4.0800522092287839</v>
      </c>
      <c r="S100">
        <v>1321.936915790126</v>
      </c>
      <c r="T100">
        <v>0.89373479075305906</v>
      </c>
      <c r="U100">
        <v>289.57007220399112</v>
      </c>
      <c r="V100">
        <v>0.94204477944241327</v>
      </c>
      <c r="W100">
        <v>305.2225085393419</v>
      </c>
      <c r="X100">
        <v>1.0544396969281473</v>
      </c>
      <c r="Y100">
        <v>341.63846180471973</v>
      </c>
      <c r="Z100">
        <v>7.1810784354239301</v>
      </c>
      <c r="AA100">
        <v>2326.6694130773535</v>
      </c>
      <c r="AB100">
        <v>5.0420099519876977</v>
      </c>
      <c r="AC100">
        <v>1633.6112244440142</v>
      </c>
      <c r="AD100">
        <v>5.4127652664045849</v>
      </c>
      <c r="AE100">
        <v>1753.7359463150856</v>
      </c>
      <c r="AF100">
        <v>4.4911244294407346</v>
      </c>
      <c r="AG100">
        <v>1455.124315138798</v>
      </c>
      <c r="AH100">
        <v>6.4083816868774806</v>
      </c>
      <c r="AI100">
        <v>2076.3156665483039</v>
      </c>
      <c r="AJ100">
        <v>1.6330600657731738</v>
      </c>
      <c r="AK100">
        <v>529.11146131050828</v>
      </c>
      <c r="AL100">
        <v>5.625221818389611</v>
      </c>
      <c r="AM100">
        <v>1822.571869158234</v>
      </c>
      <c r="AN100">
        <v>10.023810635560141</v>
      </c>
      <c r="AO100">
        <v>3247.7146459214855</v>
      </c>
      <c r="AP100">
        <v>8.2141036461833217</v>
      </c>
      <c r="AQ100">
        <v>2661.3695813633963</v>
      </c>
      <c r="AR100">
        <v>5.6172765898325636</v>
      </c>
      <c r="AS100">
        <v>1819.9976151057506</v>
      </c>
      <c r="AT100">
        <v>5.9833761656239366</v>
      </c>
      <c r="AU100">
        <v>1938.6138776621553</v>
      </c>
      <c r="AV100">
        <v>1.8536466309503006</v>
      </c>
      <c r="AW100">
        <v>600.58150842789735</v>
      </c>
      <c r="AX100">
        <v>4.5818339004625059</v>
      </c>
      <c r="AY100">
        <v>1484.514183749852</v>
      </c>
      <c r="AZ100">
        <v>9.7875592064391927</v>
      </c>
      <c r="BA100">
        <v>3171.1691828862986</v>
      </c>
      <c r="BB100">
        <v>5.9318029623898507</v>
      </c>
      <c r="BC100">
        <v>1921.9041598143117</v>
      </c>
      <c r="BD100">
        <v>5.7679682578888389</v>
      </c>
      <c r="BE100">
        <v>1868.8217155559837</v>
      </c>
      <c r="BF100">
        <v>5.9011671884628978</v>
      </c>
      <c r="BG100">
        <v>1911.9781690619789</v>
      </c>
      <c r="BH100">
        <v>5.2718989779973082</v>
      </c>
      <c r="BI100">
        <v>1708.0952688711279</v>
      </c>
      <c r="BJ100">
        <v>5.1320197556461906</v>
      </c>
      <c r="BK100">
        <v>1662.7744008293657</v>
      </c>
      <c r="BL100">
        <v>6.7879823437196602</v>
      </c>
      <c r="BM100">
        <v>2199.3062793651698</v>
      </c>
      <c r="BN100">
        <v>4.4709609960116907</v>
      </c>
      <c r="BO100">
        <v>1448.5913627077878</v>
      </c>
      <c r="BP100">
        <v>3.2664244480598112</v>
      </c>
      <c r="BQ100">
        <v>1058.3215211713789</v>
      </c>
      <c r="BR100">
        <v>5.001129674559694</v>
      </c>
      <c r="BS100">
        <v>1620.3660145573408</v>
      </c>
      <c r="BT100">
        <v>3.9998960167931208</v>
      </c>
      <c r="BU100">
        <v>1295.9663094409711</v>
      </c>
      <c r="BV100">
        <v>4.6966113068019482</v>
      </c>
      <c r="BW100">
        <v>1521.7020634038313</v>
      </c>
      <c r="BX100">
        <v>3.1323386768701007</v>
      </c>
      <c r="BY100">
        <v>1014.8777313059127</v>
      </c>
      <c r="BZ100">
        <v>9</v>
      </c>
      <c r="CA100">
        <v>2916</v>
      </c>
      <c r="CB100">
        <v>6.3084887486420635</v>
      </c>
      <c r="CC100">
        <v>2043.9503545600287</v>
      </c>
      <c r="CD100">
        <v>6.0530542393582536</v>
      </c>
      <c r="CE100">
        <v>1961.1895735520741</v>
      </c>
      <c r="CF100">
        <v>2.8996845287378799</v>
      </c>
      <c r="CG100">
        <v>939.49778731107313</v>
      </c>
      <c r="CH100">
        <v>7</v>
      </c>
      <c r="CI100">
        <v>2268</v>
      </c>
      <c r="CJ100">
        <v>7.5894000740759493</v>
      </c>
      <c r="CK100">
        <v>2458.9656240006075</v>
      </c>
      <c r="CL100">
        <v>1.1496805333423514</v>
      </c>
      <c r="CM100">
        <v>372.49649280292186</v>
      </c>
      <c r="CN100">
        <v>5.0930748239400883</v>
      </c>
      <c r="CO100">
        <v>1650.1562429565886</v>
      </c>
      <c r="CP100">
        <v>1.3403288100320361</v>
      </c>
      <c r="CQ100">
        <v>434.26653445037971</v>
      </c>
      <c r="CR100">
        <v>11.26749199808229</v>
      </c>
      <c r="CS100">
        <v>3650.6674073786621</v>
      </c>
      <c r="CT100">
        <v>5.8807123152146223</v>
      </c>
      <c r="CU100">
        <v>1905.3507901295377</v>
      </c>
    </row>
    <row r="101" spans="2:99">
      <c r="C101" s="99" t="s">
        <v>268</v>
      </c>
      <c r="D101">
        <v>5.2544010760772535</v>
      </c>
      <c r="E101">
        <v>3802.084618649501</v>
      </c>
      <c r="F101">
        <v>8.1773891135037715</v>
      </c>
      <c r="G101">
        <v>5917.1587625313296</v>
      </c>
      <c r="H101">
        <v>2.9566060861097161</v>
      </c>
      <c r="I101">
        <v>2139.4001639089906</v>
      </c>
      <c r="J101">
        <v>5.3728029665746879</v>
      </c>
      <c r="K101">
        <v>3887.7602266134445</v>
      </c>
      <c r="L101">
        <v>3.6592207167300237</v>
      </c>
      <c r="M101">
        <v>2647.8121106258454</v>
      </c>
      <c r="N101">
        <v>5</v>
      </c>
      <c r="O101">
        <v>3618</v>
      </c>
      <c r="P101">
        <v>4.3545673531852156</v>
      </c>
      <c r="Q101">
        <v>3150.9649367648221</v>
      </c>
      <c r="R101">
        <v>4.0800522092287839</v>
      </c>
      <c r="S101">
        <v>2952.3257785979481</v>
      </c>
      <c r="T101">
        <v>0.74477899229421585</v>
      </c>
      <c r="U101">
        <v>538.92207882409457</v>
      </c>
      <c r="V101">
        <v>0.94204477944241327</v>
      </c>
      <c r="W101">
        <v>681.66360240453025</v>
      </c>
      <c r="X101">
        <v>0.94899572723533254</v>
      </c>
      <c r="Y101">
        <v>686.69330822748668</v>
      </c>
      <c r="Z101">
        <v>6.5299478161466586</v>
      </c>
      <c r="AA101">
        <v>4725.0702397637224</v>
      </c>
      <c r="AB101">
        <v>5.6722611959861595</v>
      </c>
      <c r="AC101">
        <v>4104.4482014155856</v>
      </c>
      <c r="AD101">
        <v>4.6610299896513938</v>
      </c>
      <c r="AE101">
        <v>3372.7213005117487</v>
      </c>
      <c r="AF101">
        <v>5.2396451676808571</v>
      </c>
      <c r="AG101">
        <v>3791.4072433338683</v>
      </c>
      <c r="AH101">
        <v>6.4083816868774806</v>
      </c>
      <c r="AI101">
        <v>4637.1049886245455</v>
      </c>
      <c r="AJ101">
        <v>1.6330600657731738</v>
      </c>
      <c r="AK101">
        <v>1181.6822635934686</v>
      </c>
      <c r="AL101">
        <v>4.6876848486580096</v>
      </c>
      <c r="AM101">
        <v>3392.0087564889359</v>
      </c>
      <c r="AN101">
        <v>9.1125551232364899</v>
      </c>
      <c r="AO101">
        <v>6593.8448871739247</v>
      </c>
      <c r="AP101">
        <v>7.4673669510757472</v>
      </c>
      <c r="AQ101">
        <v>5403.3867257984111</v>
      </c>
      <c r="AR101">
        <v>4.8148085055707694</v>
      </c>
      <c r="AS101">
        <v>3483.9954346310087</v>
      </c>
      <c r="AT101">
        <v>5.9337641102994771</v>
      </c>
      <c r="AU101">
        <v>4293.6717102127022</v>
      </c>
      <c r="AV101">
        <v>1.5888399693859721</v>
      </c>
      <c r="AW101">
        <v>1149.6846018476895</v>
      </c>
      <c r="AX101">
        <v>3.8181949170520881</v>
      </c>
      <c r="AY101">
        <v>2762.8458419788913</v>
      </c>
      <c r="AZ101">
        <v>8.8088032857952729</v>
      </c>
      <c r="BA101">
        <v>6374.0500576014601</v>
      </c>
      <c r="BB101">
        <v>5.9318029623898507</v>
      </c>
      <c r="BC101">
        <v>4292.2526235852965</v>
      </c>
      <c r="BD101">
        <v>6.3447650836777232</v>
      </c>
      <c r="BE101">
        <v>4591.0720145492005</v>
      </c>
      <c r="BF101">
        <v>5.0581433043967694</v>
      </c>
      <c r="BG101">
        <v>3660.0724950615027</v>
      </c>
      <c r="BH101">
        <v>4.6888078177818233</v>
      </c>
      <c r="BI101">
        <v>3392.8213369469277</v>
      </c>
      <c r="BJ101">
        <v>5.8011140966566588</v>
      </c>
      <c r="BK101">
        <v>4197.6861603407588</v>
      </c>
      <c r="BL101">
        <v>6.2629663387639001</v>
      </c>
      <c r="BM101">
        <v>4531.8824427295585</v>
      </c>
      <c r="BN101">
        <v>4.4542706731210551</v>
      </c>
      <c r="BO101">
        <v>3223.1102590703954</v>
      </c>
      <c r="BP101">
        <v>3.9197093376717738</v>
      </c>
      <c r="BQ101">
        <v>2836.3016767392955</v>
      </c>
      <c r="BR101">
        <v>4.5464815223269941</v>
      </c>
      <c r="BS101">
        <v>3289.8340295558132</v>
      </c>
      <c r="BT101">
        <v>4.4792680432690712</v>
      </c>
      <c r="BU101">
        <v>3241.1983561094999</v>
      </c>
      <c r="BV101">
        <v>4.6966113068019482</v>
      </c>
      <c r="BW101">
        <v>3398.4679416018898</v>
      </c>
      <c r="BX101">
        <v>3.1323386768701007</v>
      </c>
      <c r="BY101">
        <v>2266.5602665832048</v>
      </c>
      <c r="BZ101">
        <v>9</v>
      </c>
      <c r="CA101">
        <v>6512.4000000000005</v>
      </c>
      <c r="CB101">
        <v>5.5199276550618048</v>
      </c>
      <c r="CC101">
        <v>3994.2196512027222</v>
      </c>
      <c r="CD101">
        <v>6.5891640163635863</v>
      </c>
      <c r="CE101">
        <v>4767.9190822406908</v>
      </c>
      <c r="CF101">
        <v>2.8996845287378799</v>
      </c>
      <c r="CG101">
        <v>2098.21172499473</v>
      </c>
      <c r="CH101">
        <v>6</v>
      </c>
      <c r="CI101">
        <v>4341.6000000000004</v>
      </c>
      <c r="CJ101">
        <v>8.5203977187833786</v>
      </c>
      <c r="CK101">
        <v>6165.359789311653</v>
      </c>
      <c r="CL101">
        <v>1.2541969454643833</v>
      </c>
      <c r="CM101">
        <v>907.53690973802782</v>
      </c>
      <c r="CN101">
        <v>5.8078619548400825</v>
      </c>
      <c r="CO101">
        <v>4202.5689105222837</v>
      </c>
      <c r="CP101">
        <v>1.3403288100320361</v>
      </c>
      <c r="CQ101">
        <v>969.86192693918133</v>
      </c>
      <c r="CR101">
        <v>9.3895766650685761</v>
      </c>
      <c r="CS101">
        <v>6794.2976748436222</v>
      </c>
      <c r="CT101">
        <v>5.8807123152146223</v>
      </c>
      <c r="CU101">
        <v>4255.283431289301</v>
      </c>
    </row>
    <row r="102" spans="2:99">
      <c r="C102" s="99" t="s">
        <v>269</v>
      </c>
      <c r="D102">
        <v>5.2544010760772535</v>
      </c>
      <c r="E102">
        <v>2793.2396120426679</v>
      </c>
      <c r="F102">
        <v>8.1348934367653776</v>
      </c>
      <c r="G102">
        <v>4324.5093509844746</v>
      </c>
      <c r="H102">
        <v>2.9566060861097161</v>
      </c>
      <c r="I102">
        <v>1571.7317953759252</v>
      </c>
      <c r="J102">
        <v>4.9286124464931156</v>
      </c>
      <c r="K102">
        <v>2620.0503765557405</v>
      </c>
      <c r="L102">
        <v>3.6592207167300237</v>
      </c>
      <c r="M102">
        <v>1945.2417330136807</v>
      </c>
      <c r="N102">
        <v>6</v>
      </c>
      <c r="O102">
        <v>3189.6000000000004</v>
      </c>
      <c r="P102">
        <v>4.3545673531852156</v>
      </c>
      <c r="Q102">
        <v>2314.8880049532609</v>
      </c>
      <c r="R102">
        <v>3.6267130748700303</v>
      </c>
      <c r="S102">
        <v>1927.9606706009081</v>
      </c>
      <c r="T102">
        <v>0.89373479075305906</v>
      </c>
      <c r="U102">
        <v>475.10941476432623</v>
      </c>
      <c r="V102">
        <v>1.0598003768727149</v>
      </c>
      <c r="W102">
        <v>563.38988034553529</v>
      </c>
      <c r="X102">
        <v>1.0544396969281473</v>
      </c>
      <c r="Y102">
        <v>560.54014288700319</v>
      </c>
      <c r="Z102">
        <v>7.1810784354239301</v>
      </c>
      <c r="AA102">
        <v>3817.4612962713613</v>
      </c>
      <c r="AB102">
        <v>5.6722611959861595</v>
      </c>
      <c r="AC102">
        <v>3015.3740517862425</v>
      </c>
      <c r="AD102">
        <v>4.6911536554778417</v>
      </c>
      <c r="AE102">
        <v>2493.8172832520208</v>
      </c>
      <c r="AF102">
        <v>5.3694294877581594</v>
      </c>
      <c r="AG102">
        <v>2854.3887156922378</v>
      </c>
      <c r="AH102">
        <v>5.7137557704188291</v>
      </c>
      <c r="AI102">
        <v>3037.4325675546497</v>
      </c>
      <c r="AJ102">
        <v>1.6330600657731738</v>
      </c>
      <c r="AK102">
        <v>868.13473096501923</v>
      </c>
      <c r="AL102">
        <v>4.6876848486580096</v>
      </c>
      <c r="AM102">
        <v>2491.9732655465982</v>
      </c>
      <c r="AN102">
        <v>9.1125551232364899</v>
      </c>
      <c r="AO102">
        <v>4844.2343035125186</v>
      </c>
      <c r="AP102">
        <v>7.4673669510757472</v>
      </c>
      <c r="AQ102">
        <v>3969.6522711918674</v>
      </c>
      <c r="AR102">
        <v>4.8148085055707694</v>
      </c>
      <c r="AS102">
        <v>2559.552201561421</v>
      </c>
      <c r="AT102">
        <v>5.4619838120783335</v>
      </c>
      <c r="AU102">
        <v>2903.5905945008421</v>
      </c>
      <c r="AV102">
        <v>1.5888399693859721</v>
      </c>
      <c r="AW102">
        <v>844.62732772558275</v>
      </c>
      <c r="AX102">
        <v>3.8181949170520881</v>
      </c>
      <c r="AY102">
        <v>2029.7524179048901</v>
      </c>
      <c r="AZ102">
        <v>9.7875592064391927</v>
      </c>
      <c r="BA102">
        <v>5203.0664741430755</v>
      </c>
      <c r="BB102">
        <v>5.9318029623898507</v>
      </c>
      <c r="BC102">
        <v>3153.3464548064449</v>
      </c>
      <c r="BD102">
        <v>6.9215619094666065</v>
      </c>
      <c r="BE102">
        <v>3679.5023110724483</v>
      </c>
      <c r="BF102">
        <v>5.0581433043967694</v>
      </c>
      <c r="BG102">
        <v>2688.9089806173229</v>
      </c>
      <c r="BH102">
        <v>5.2718989779973082</v>
      </c>
      <c r="BI102">
        <v>2802.5414967033694</v>
      </c>
      <c r="BJ102">
        <v>5.7022441729402118</v>
      </c>
      <c r="BK102">
        <v>3031.3130023350168</v>
      </c>
      <c r="BL102">
        <v>6.2851386244116538</v>
      </c>
      <c r="BM102">
        <v>3341.1796927372352</v>
      </c>
      <c r="BN102">
        <v>5.0152270879838454</v>
      </c>
      <c r="BO102">
        <v>2666.0947199722123</v>
      </c>
      <c r="BP102">
        <v>3.9197093376717738</v>
      </c>
      <c r="BQ102">
        <v>2083.717483906315</v>
      </c>
      <c r="BR102">
        <v>4.5464815223269941</v>
      </c>
      <c r="BS102">
        <v>2416.9095772690303</v>
      </c>
      <c r="BT102">
        <v>3.952170695944123</v>
      </c>
      <c r="BU102">
        <v>2100.9739419638959</v>
      </c>
      <c r="BV102">
        <v>4.6966113068019482</v>
      </c>
      <c r="BW102">
        <v>2496.7185706959158</v>
      </c>
      <c r="BX102">
        <v>3.1323386768701007</v>
      </c>
      <c r="BY102">
        <v>1665.1512406241457</v>
      </c>
      <c r="BZ102">
        <v>8</v>
      </c>
      <c r="CA102">
        <v>4252.8</v>
      </c>
      <c r="CB102">
        <v>5.5199276550618048</v>
      </c>
      <c r="CC102">
        <v>2934.3935414308557</v>
      </c>
      <c r="CD102">
        <v>6.5891640163635863</v>
      </c>
      <c r="CE102">
        <v>3502.7995910988825</v>
      </c>
      <c r="CF102">
        <v>2.6580441513430566</v>
      </c>
      <c r="CG102">
        <v>1413.016270853969</v>
      </c>
      <c r="CH102">
        <v>6</v>
      </c>
      <c r="CI102">
        <v>3189.6000000000004</v>
      </c>
      <c r="CJ102">
        <v>7.5611162907926479</v>
      </c>
      <c r="CK102">
        <v>4019.4894201853717</v>
      </c>
      <c r="CL102">
        <v>1.0451641212203195</v>
      </c>
      <c r="CM102">
        <v>555.60924684072188</v>
      </c>
      <c r="CN102">
        <v>5.7966663413850661</v>
      </c>
      <c r="CO102">
        <v>3081.5078270803015</v>
      </c>
      <c r="CP102">
        <v>1.3403288100320361</v>
      </c>
      <c r="CQ102">
        <v>712.51879541303038</v>
      </c>
      <c r="CR102">
        <v>10.328534331575433</v>
      </c>
      <c r="CS102">
        <v>5490.6488506655005</v>
      </c>
      <c r="CT102">
        <v>5.2272998357463312</v>
      </c>
      <c r="CU102">
        <v>2778.8325926827497</v>
      </c>
    </row>
    <row r="103" spans="2:99">
      <c r="C103" s="99" t="s">
        <v>270</v>
      </c>
      <c r="D103">
        <v>5.2544010760772535</v>
      </c>
      <c r="E103">
        <v>3095.8931140247173</v>
      </c>
      <c r="F103">
        <v>8.219884790242169</v>
      </c>
      <c r="G103">
        <v>4843.1561184106858</v>
      </c>
      <c r="H103">
        <v>3.5396403948519226</v>
      </c>
      <c r="I103">
        <v>2085.5561206467528</v>
      </c>
      <c r="J103">
        <v>5.3959795020831356</v>
      </c>
      <c r="K103">
        <v>3179.3111226273832</v>
      </c>
      <c r="L103">
        <v>4.0658007963666929</v>
      </c>
      <c r="M103">
        <v>2395.5698292192551</v>
      </c>
      <c r="N103">
        <v>6</v>
      </c>
      <c r="O103">
        <v>3535.2</v>
      </c>
      <c r="P103">
        <v>3.8757916270144355</v>
      </c>
      <c r="Q103">
        <v>2283.6164266369051</v>
      </c>
      <c r="R103">
        <v>3.6267130748700303</v>
      </c>
      <c r="S103">
        <v>2136.8593437134214</v>
      </c>
      <c r="T103">
        <v>0.89373479075305906</v>
      </c>
      <c r="U103">
        <v>526.58853871170231</v>
      </c>
      <c r="V103">
        <v>0.94204477944241327</v>
      </c>
      <c r="W103">
        <v>555.0527840474698</v>
      </c>
      <c r="X103">
        <v>0.94899572723533254</v>
      </c>
      <c r="Y103">
        <v>559.14828248705783</v>
      </c>
      <c r="Z103">
        <v>6.5299478161466586</v>
      </c>
      <c r="AA103">
        <v>3847.4452532736109</v>
      </c>
      <c r="AB103">
        <v>5.0420099519876977</v>
      </c>
      <c r="AC103">
        <v>2970.752263711151</v>
      </c>
      <c r="AD103">
        <v>4.7212773213042896</v>
      </c>
      <c r="AE103">
        <v>2781.7765977124873</v>
      </c>
      <c r="AF103">
        <v>4.4911244294407346</v>
      </c>
      <c r="AG103">
        <v>2646.1705138264806</v>
      </c>
      <c r="AH103">
        <v>6.3859890527703937</v>
      </c>
      <c r="AI103">
        <v>3762.6247498923158</v>
      </c>
      <c r="AJ103">
        <v>1.6330600657731738</v>
      </c>
      <c r="AK103">
        <v>962.19899075355386</v>
      </c>
      <c r="AL103">
        <v>5.625221818389611</v>
      </c>
      <c r="AM103">
        <v>3314.3806953951585</v>
      </c>
      <c r="AN103">
        <v>9.1125551232364899</v>
      </c>
      <c r="AO103">
        <v>5369.1174786109395</v>
      </c>
      <c r="AP103">
        <v>7.4673669510757472</v>
      </c>
      <c r="AQ103">
        <v>4399.7726075738301</v>
      </c>
      <c r="AR103">
        <v>4.8148085055707694</v>
      </c>
      <c r="AS103">
        <v>2836.8851714822972</v>
      </c>
      <c r="AT103">
        <v>6.47996249150731</v>
      </c>
      <c r="AU103">
        <v>3817.9938999961064</v>
      </c>
      <c r="AV103">
        <v>1.5888399693859721</v>
      </c>
      <c r="AW103">
        <v>936.14450996221467</v>
      </c>
      <c r="AX103">
        <v>3.8181949170520881</v>
      </c>
      <c r="AY103">
        <v>2249.68044512709</v>
      </c>
      <c r="AZ103">
        <v>10.766315127083111</v>
      </c>
      <c r="BA103">
        <v>6343.512872877368</v>
      </c>
      <c r="BB103">
        <v>5.9318029623898507</v>
      </c>
      <c r="BC103">
        <v>3495.0183054400995</v>
      </c>
      <c r="BD103">
        <v>6.3447650836777232</v>
      </c>
      <c r="BE103">
        <v>3738.3355873029141</v>
      </c>
      <c r="BF103">
        <v>5.9011671884628978</v>
      </c>
      <c r="BG103">
        <v>3476.9677074423389</v>
      </c>
      <c r="BH103">
        <v>4.6888078177818233</v>
      </c>
      <c r="BI103">
        <v>2762.6455662370499</v>
      </c>
      <c r="BJ103">
        <v>5.1320197556461906</v>
      </c>
      <c r="BK103">
        <v>3023.786040026735</v>
      </c>
      <c r="BL103">
        <v>6.8101546293674131</v>
      </c>
      <c r="BM103">
        <v>4012.5431076232794</v>
      </c>
      <c r="BN103">
        <v>4.4709609960116907</v>
      </c>
      <c r="BO103">
        <v>2634.290218850088</v>
      </c>
      <c r="BP103">
        <v>3.9197093376717738</v>
      </c>
      <c r="BQ103">
        <v>2309.4927417562089</v>
      </c>
      <c r="BR103">
        <v>4.5464815223269941</v>
      </c>
      <c r="BS103">
        <v>2678.7869129550645</v>
      </c>
      <c r="BT103">
        <v>3.6896814312746367</v>
      </c>
      <c r="BU103">
        <v>2173.9602993070157</v>
      </c>
      <c r="BV103">
        <v>4.0609138293389853</v>
      </c>
      <c r="BW103">
        <v>2392.6904282465298</v>
      </c>
      <c r="BX103">
        <v>3.4455725445571113</v>
      </c>
      <c r="BY103">
        <v>2030.1313432530496</v>
      </c>
      <c r="BZ103">
        <v>8</v>
      </c>
      <c r="CA103">
        <v>4713.5999999999995</v>
      </c>
      <c r="CB103">
        <v>6.3084887486420635</v>
      </c>
      <c r="CC103">
        <v>3716.9615706999034</v>
      </c>
      <c r="CD103">
        <v>6.0530542393582536</v>
      </c>
      <c r="CE103">
        <v>3566.4595578298827</v>
      </c>
      <c r="CF103">
        <v>2.6580441513430566</v>
      </c>
      <c r="CG103">
        <v>1566.1196139713288</v>
      </c>
      <c r="CH103">
        <v>6</v>
      </c>
      <c r="CI103">
        <v>3535.2</v>
      </c>
      <c r="CJ103">
        <v>7.5894000740759493</v>
      </c>
      <c r="CK103">
        <v>4471.674523645549</v>
      </c>
      <c r="CL103">
        <v>1.2541969454643833</v>
      </c>
      <c r="CM103">
        <v>738.97284026761452</v>
      </c>
      <c r="CN103">
        <v>5.0818792104850719</v>
      </c>
      <c r="CO103">
        <v>2994.243230817804</v>
      </c>
      <c r="CP103">
        <v>1.4892542333689291</v>
      </c>
      <c r="CQ103">
        <v>877.468594300973</v>
      </c>
      <c r="CR103">
        <v>9.3895766650685761</v>
      </c>
      <c r="CS103">
        <v>5532.3385710584043</v>
      </c>
      <c r="CT103">
        <v>5.8807123152146223</v>
      </c>
      <c r="CU103">
        <v>3464.9156961244553</v>
      </c>
    </row>
    <row r="104" spans="2:99">
      <c r="C104" s="99" t="s">
        <v>271</v>
      </c>
      <c r="D104">
        <v>4.7754065566515651</v>
      </c>
      <c r="E104">
        <v>3019.9671064264498</v>
      </c>
      <c r="F104">
        <v>8.1773891135037715</v>
      </c>
      <c r="G104">
        <v>5171.3808753797848</v>
      </c>
      <c r="H104">
        <v>3.5189231236525815</v>
      </c>
      <c r="I104">
        <v>2225.3669833978925</v>
      </c>
      <c r="J104">
        <v>4.9054359109846679</v>
      </c>
      <c r="K104">
        <v>3102.1976701067038</v>
      </c>
      <c r="L104">
        <v>4.4723808760033625</v>
      </c>
      <c r="M104">
        <v>2828.3336659845263</v>
      </c>
      <c r="N104">
        <v>5</v>
      </c>
      <c r="O104">
        <v>3162</v>
      </c>
      <c r="P104">
        <v>4.3089815355370211</v>
      </c>
      <c r="Q104">
        <v>2724.9999230736121</v>
      </c>
      <c r="R104">
        <v>3.6267130748700303</v>
      </c>
      <c r="S104">
        <v>2293.5333485478072</v>
      </c>
      <c r="T104">
        <v>0.89373479075305906</v>
      </c>
      <c r="U104">
        <v>565.19788167223453</v>
      </c>
      <c r="V104">
        <v>0.94204477944241327</v>
      </c>
      <c r="W104">
        <v>595.74911851938214</v>
      </c>
      <c r="X104">
        <v>0.94899572723533254</v>
      </c>
      <c r="Y104">
        <v>600.14489790362427</v>
      </c>
      <c r="Z104">
        <v>6.5299478161466586</v>
      </c>
      <c r="AA104">
        <v>4129.538998931147</v>
      </c>
      <c r="AB104">
        <v>4.411758707989236</v>
      </c>
      <c r="AC104">
        <v>2789.9962069323929</v>
      </c>
      <c r="AD104">
        <v>4.3296696655604645</v>
      </c>
      <c r="AE104">
        <v>2738.0830965004375</v>
      </c>
      <c r="AF104">
        <v>4.6064882695094482</v>
      </c>
      <c r="AG104">
        <v>2913.1431816377749</v>
      </c>
      <c r="AH104">
        <v>6.3859890527703937</v>
      </c>
      <c r="AI104">
        <v>4038.499476971997</v>
      </c>
      <c r="AJ104">
        <v>1.8371925739948205</v>
      </c>
      <c r="AK104">
        <v>1161.8405837943244</v>
      </c>
      <c r="AL104">
        <v>5.625221818389611</v>
      </c>
      <c r="AM104">
        <v>3557.3902779495897</v>
      </c>
      <c r="AN104">
        <v>9.1125551232364899</v>
      </c>
      <c r="AO104">
        <v>5762.7798599347561</v>
      </c>
      <c r="AP104">
        <v>7.4673669510757472</v>
      </c>
      <c r="AQ104">
        <v>4722.3628598603027</v>
      </c>
      <c r="AR104">
        <v>4.8148085055707694</v>
      </c>
      <c r="AS104">
        <v>3044.8848989229546</v>
      </c>
      <c r="AT104">
        <v>5.958570137961706</v>
      </c>
      <c r="AU104">
        <v>3768.1997552469829</v>
      </c>
      <c r="AV104">
        <v>1.5888399693859721</v>
      </c>
      <c r="AW104">
        <v>1004.7823966396887</v>
      </c>
      <c r="AX104">
        <v>4.5818339004625059</v>
      </c>
      <c r="AY104">
        <v>2897.5517586524888</v>
      </c>
      <c r="AZ104">
        <v>9.7875592064391927</v>
      </c>
      <c r="BA104">
        <v>6189.6524421521453</v>
      </c>
      <c r="BB104">
        <v>6.9204367894548255</v>
      </c>
      <c r="BC104">
        <v>4376.4842256512311</v>
      </c>
      <c r="BD104">
        <v>6.9215619094666065</v>
      </c>
      <c r="BE104">
        <v>4377.195751546682</v>
      </c>
      <c r="BF104">
        <v>5.9011671884628978</v>
      </c>
      <c r="BG104">
        <v>3731.8981299839365</v>
      </c>
      <c r="BH104">
        <v>5.2684591871318887</v>
      </c>
      <c r="BI104">
        <v>3331.7735899422064</v>
      </c>
      <c r="BJ104">
        <v>5.7022441729402118</v>
      </c>
      <c r="BK104">
        <v>3606.0992149673898</v>
      </c>
      <c r="BL104">
        <v>5.6936057625126368</v>
      </c>
      <c r="BM104">
        <v>3600.6362842129915</v>
      </c>
      <c r="BN104">
        <v>4.9985367650932107</v>
      </c>
      <c r="BO104">
        <v>3161.0746502449465</v>
      </c>
      <c r="BP104">
        <v>3.9197093376717738</v>
      </c>
      <c r="BQ104">
        <v>2478.8241851436296</v>
      </c>
      <c r="BR104">
        <v>4.7629667399593822</v>
      </c>
      <c r="BS104">
        <v>3012.1001663503134</v>
      </c>
      <c r="BT104">
        <v>4.4792680432690712</v>
      </c>
      <c r="BU104">
        <v>2832.6891105633604</v>
      </c>
      <c r="BV104">
        <v>4.6657701862317982</v>
      </c>
      <c r="BW104">
        <v>2950.6330657729891</v>
      </c>
      <c r="BX104">
        <v>3.1323386768701007</v>
      </c>
      <c r="BY104">
        <v>1980.8909792526515</v>
      </c>
      <c r="BZ104">
        <v>10</v>
      </c>
      <c r="CA104">
        <v>6324</v>
      </c>
      <c r="CB104">
        <v>4.7313665614815479</v>
      </c>
      <c r="CC104">
        <v>2992.1162134809306</v>
      </c>
      <c r="CD104">
        <v>6.5891640163635863</v>
      </c>
      <c r="CE104">
        <v>4166.9873239483322</v>
      </c>
      <c r="CF104">
        <v>2.8996845287378799</v>
      </c>
      <c r="CG104">
        <v>1833.7604959738351</v>
      </c>
      <c r="CH104">
        <v>7</v>
      </c>
      <c r="CI104">
        <v>4426.8</v>
      </c>
      <c r="CJ104">
        <v>7.5328325075093456</v>
      </c>
      <c r="CK104">
        <v>4763.7632777489098</v>
      </c>
      <c r="CL104">
        <v>1.0451641212203195</v>
      </c>
      <c r="CM104">
        <v>660.96179025973004</v>
      </c>
      <c r="CN104">
        <v>5.8078619548400825</v>
      </c>
      <c r="CO104">
        <v>3672.8919002408679</v>
      </c>
      <c r="CP104">
        <v>1.3403288100320361</v>
      </c>
      <c r="CQ104">
        <v>847.62393946425959</v>
      </c>
      <c r="CR104">
        <v>9.3895766650685761</v>
      </c>
      <c r="CS104">
        <v>5937.9682829893673</v>
      </c>
      <c r="CT104">
        <v>5.2272998357463312</v>
      </c>
      <c r="CU104">
        <v>3305.7444161259796</v>
      </c>
    </row>
    <row r="105" spans="2:99">
      <c r="C105" s="99" t="s">
        <v>272</v>
      </c>
      <c r="D105">
        <v>5.2398624384719321</v>
      </c>
      <c r="E105">
        <v>2917.5554057411714</v>
      </c>
      <c r="F105">
        <v>7.2829555486939306</v>
      </c>
      <c r="G105">
        <v>4055.1496495127803</v>
      </c>
      <c r="H105">
        <v>2.9566060861097161</v>
      </c>
      <c r="I105">
        <v>1646.2382687458899</v>
      </c>
      <c r="J105">
        <v>5.3728029665746879</v>
      </c>
      <c r="K105">
        <v>2991.5766917887859</v>
      </c>
      <c r="L105">
        <v>4.0658007963666929</v>
      </c>
      <c r="M105">
        <v>2263.8378834169744</v>
      </c>
      <c r="N105">
        <v>6</v>
      </c>
      <c r="O105">
        <v>3340.7999999999997</v>
      </c>
      <c r="P105">
        <v>4.7649643528837036</v>
      </c>
      <c r="Q105">
        <v>2653.132151685646</v>
      </c>
      <c r="R105">
        <v>3.6267130748700303</v>
      </c>
      <c r="S105">
        <v>2019.3538400876328</v>
      </c>
      <c r="T105">
        <v>0.89373479075305906</v>
      </c>
      <c r="U105">
        <v>497.63153149130324</v>
      </c>
      <c r="V105">
        <v>1.0598003768727149</v>
      </c>
      <c r="W105">
        <v>590.09684984272758</v>
      </c>
      <c r="X105">
        <v>0.94899572723533254</v>
      </c>
      <c r="Y105">
        <v>528.40082092463308</v>
      </c>
      <c r="Z105">
        <v>6.5299478161466586</v>
      </c>
      <c r="AA105">
        <v>3635.8749440304591</v>
      </c>
      <c r="AB105">
        <v>5.3779236321823731</v>
      </c>
      <c r="AC105">
        <v>2994.4278783991449</v>
      </c>
      <c r="AD105">
        <v>4.6610299896513938</v>
      </c>
      <c r="AE105">
        <v>2595.2614982378959</v>
      </c>
      <c r="AF105">
        <v>5.3694294877581594</v>
      </c>
      <c r="AG105">
        <v>2989.6983387837431</v>
      </c>
      <c r="AH105">
        <v>6.4083816868774806</v>
      </c>
      <c r="AI105">
        <v>3568.1869232533809</v>
      </c>
      <c r="AJ105">
        <v>1.8371925739948205</v>
      </c>
      <c r="AK105">
        <v>1022.9488252003159</v>
      </c>
      <c r="AL105">
        <v>5.625221818389611</v>
      </c>
      <c r="AM105">
        <v>3132.1235084793352</v>
      </c>
      <c r="AN105">
        <v>9.1125551232364899</v>
      </c>
      <c r="AO105">
        <v>5073.8706926180776</v>
      </c>
      <c r="AP105">
        <v>8.2141036461833217</v>
      </c>
      <c r="AQ105">
        <v>4573.6129101948727</v>
      </c>
      <c r="AR105">
        <v>5.6172765898325636</v>
      </c>
      <c r="AS105">
        <v>3127.699605218771</v>
      </c>
      <c r="AT105">
        <v>5.958570137961706</v>
      </c>
      <c r="AU105">
        <v>3317.7318528170777</v>
      </c>
      <c r="AV105">
        <v>1.5888399693859721</v>
      </c>
      <c r="AW105">
        <v>884.66609495410921</v>
      </c>
      <c r="AX105">
        <v>3.8181949170520881</v>
      </c>
      <c r="AY105">
        <v>2125.9709298146026</v>
      </c>
      <c r="AZ105">
        <v>10.766315127083111</v>
      </c>
      <c r="BA105">
        <v>5994.6842627598753</v>
      </c>
      <c r="BB105">
        <v>5.9318029623898507</v>
      </c>
      <c r="BC105">
        <v>3302.8278894586688</v>
      </c>
      <c r="BD105">
        <v>6.9215619094666065</v>
      </c>
      <c r="BE105">
        <v>3853.9256711910061</v>
      </c>
      <c r="BF105">
        <v>5.9011671884628978</v>
      </c>
      <c r="BG105">
        <v>3285.7698905361412</v>
      </c>
      <c r="BH105">
        <v>4.6888078177818233</v>
      </c>
      <c r="BI105">
        <v>2610.7281929409191</v>
      </c>
      <c r="BJ105">
        <v>5.1320197556461906</v>
      </c>
      <c r="BK105">
        <v>2857.5085999437988</v>
      </c>
      <c r="BL105">
        <v>5.6936057625126368</v>
      </c>
      <c r="BM105">
        <v>3170.199688567036</v>
      </c>
      <c r="BN105">
        <v>5.0152270879838454</v>
      </c>
      <c r="BO105">
        <v>2792.4784425894049</v>
      </c>
      <c r="BP105">
        <v>3.9197093376717738</v>
      </c>
      <c r="BQ105">
        <v>2182.4941592156433</v>
      </c>
      <c r="BR105">
        <v>5.001129674559694</v>
      </c>
      <c r="BS105">
        <v>2784.6290027948376</v>
      </c>
      <c r="BT105">
        <v>3.952170695944123</v>
      </c>
      <c r="BU105">
        <v>2200.5686435016873</v>
      </c>
      <c r="BV105">
        <v>4.0609138293389853</v>
      </c>
      <c r="BW105">
        <v>2261.1168201759469</v>
      </c>
      <c r="BX105">
        <v>3.4455725445571113</v>
      </c>
      <c r="BY105">
        <v>1918.4947928093993</v>
      </c>
      <c r="BZ105">
        <v>8</v>
      </c>
      <c r="CA105">
        <v>4454.3999999999996</v>
      </c>
      <c r="CB105">
        <v>6.3084887486420635</v>
      </c>
      <c r="CC105">
        <v>3512.5665352439005</v>
      </c>
      <c r="CD105">
        <v>6.5891640163635863</v>
      </c>
      <c r="CE105">
        <v>3668.8465243112446</v>
      </c>
      <c r="CF105">
        <v>2.6580441513430566</v>
      </c>
      <c r="CG105">
        <v>1479.9989834678138</v>
      </c>
      <c r="CH105">
        <v>6</v>
      </c>
      <c r="CI105">
        <v>3340.7999999999997</v>
      </c>
      <c r="CJ105">
        <v>8.5203977187833786</v>
      </c>
      <c r="CK105">
        <v>4744.1574498185846</v>
      </c>
      <c r="CL105">
        <v>1.2541969454643833</v>
      </c>
      <c r="CM105">
        <v>698.33685923456858</v>
      </c>
      <c r="CN105">
        <v>6.5226490857400767</v>
      </c>
      <c r="CO105">
        <v>3631.8110109400745</v>
      </c>
      <c r="CP105">
        <v>1.3403288100320361</v>
      </c>
      <c r="CQ105">
        <v>746.29508142583768</v>
      </c>
      <c r="CR105">
        <v>10.328534331575433</v>
      </c>
      <c r="CS105">
        <v>5750.9279158212012</v>
      </c>
      <c r="CT105">
        <v>5.8807123152146223</v>
      </c>
      <c r="CU105">
        <v>3274.3806171115016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218.42449277759835</v>
      </c>
      <c r="E109">
        <f>SUM(L$6:L$19)+SUM(N$6:N$19)+SUM(P$6:P$19)+SUM(R$6:R$19)</f>
        <v>392.76671397808406</v>
      </c>
      <c r="F109">
        <f>SUM(T$6:T$19)+SUM(V$6:V$19)+SUM(X$6:X$19)+SUM(Z$6:Z$19)</f>
        <v>478.05792986293875</v>
      </c>
      <c r="G109">
        <f>SUM(AB$6:AB$19)+SUM(AD$6:AD$19)+SUM(AF$6:AF$19)+SUM(AH$6:AH$19)</f>
        <v>231.37424235488109</v>
      </c>
      <c r="H109">
        <f>SUM(AJ$6:AJ$19)+SUM(AL$6:AL$19)+SUM(AN$6:AN$19)+SUM(AP$6:AP$19)</f>
        <v>311.79490299852063</v>
      </c>
      <c r="I109">
        <f>SUM(AR$6:AR$19)+SUM(AT$6:AT$19)+SUM(AV$6:AV$19)+SUM(AX$6:AX$19)</f>
        <v>459</v>
      </c>
      <c r="J109">
        <f>SUM(AZ$6:AZ$19)+SUM(BB$6:BB$19)+SUM(BD$6:BD$19)+SUM(BF$6:BF$19)</f>
        <v>439</v>
      </c>
      <c r="K109">
        <f>SUM(BH$6:BH$19)+SUM(BJ$6:BJ$19)+SUM(BL$6:BL$19)+SUM(BN$6:BN$19)</f>
        <v>428</v>
      </c>
      <c r="L109">
        <f>SUM(BP$6:BP$19)+SUM(BR$6:BR$19)+SUM(BT$6:BT$19)+SUM(BV$6:BV$19)</f>
        <v>399.37522673932352</v>
      </c>
      <c r="M109">
        <f>SUM(BX$6:BX$19)+SUM(BZ$6:BZ$19)+SUM(CB$6:CB$19)+SUM(CD$6:CD$19)</f>
        <v>369.40735641898283</v>
      </c>
      <c r="N109">
        <f>SUM(CF$6:CF$19)+SUM(CH$6:CH$19)+SUM(CJ$6:CJ$19)+SUM(CL$6:CL$19)</f>
        <v>384.39457640693439</v>
      </c>
      <c r="O109">
        <f>SUM(CN$6:CN$19)+SUM(CP$6:CP$19)+SUM(CR$6:CR$19)+SUM(CT$6:CT$19)</f>
        <v>290.18549324926306</v>
      </c>
    </row>
    <row r="110" spans="2:99">
      <c r="C110" s="99" t="s">
        <v>127</v>
      </c>
      <c r="D110">
        <f>SUM(D$20:D$36)+SUM(F$20:F$36)+SUM(H$20:H$36)+SUM(J$20:J$36)</f>
        <v>502.07218122376435</v>
      </c>
      <c r="E110">
        <f>SUM(L$20:L$36)+SUM(N$20:N$36)+SUM(P$20:P$36)+SUM(R$20:R$36)</f>
        <v>731.04447251419811</v>
      </c>
      <c r="F110">
        <f>SUM(T$20:T$36)+SUM(V$20:V$36)+SUM(X$20:X$36)+SUM(Z$20:Z$36)</f>
        <v>869.1158597258775</v>
      </c>
      <c r="G110">
        <f>SUM(AB$20:AB$36)+SUM(AD$20:AD$36)+SUM(AF$20:AF$36)+SUM(AH$20:AH$36)</f>
        <v>559.12157162883102</v>
      </c>
      <c r="H110">
        <f>SUM(AJ$20:AJ$36)+SUM(AL$20:AL$36)+SUM(AN$20:AN$36)+SUM(AP$20:AP$36)</f>
        <v>489.87986752799804</v>
      </c>
      <c r="I110">
        <f>SUM(AR$20:AR$36)+SUM(AT$20:AT$36)+SUM(AV$20:AV$36)+SUM(AX$20:AX$36)</f>
        <v>825</v>
      </c>
      <c r="J110">
        <f>SUM(AZ$20:AZ$36)+SUM(BB$20:BB$36)+SUM(BD$20:BD$36)+SUM(BF$20:BF$36)</f>
        <v>801</v>
      </c>
      <c r="K110">
        <f>SUM(BH$20:BH$36)+SUM(BJ$20:BJ$36)+SUM(BL$20:BL$36)+SUM(BN$20:BN$36)</f>
        <v>665</v>
      </c>
      <c r="L110">
        <f>SUM(BP$20:BP$36)+SUM(BR$20:BR$36)+SUM(BT$20:BT$36)+SUM(BV$20:BV$36)</f>
        <v>822.83155885674819</v>
      </c>
      <c r="M110">
        <f>SUM(BX$20:BX$36)+SUM(BZ$20:BZ$36)+SUM(CB$20:CB$36)+SUM(CD$20:CD$36)</f>
        <v>653.14536753386869</v>
      </c>
      <c r="N110">
        <f>SUM(CF$20:CF$36)+SUM(CH$20:CH$36)+SUM(CJ$20:CJ$36)+SUM(CL$20:CL$36)</f>
        <v>763.28711673172825</v>
      </c>
      <c r="O110">
        <f>SUM(CN$20:CN$36)+SUM(CP$20:CP$36)+SUM(CR$20:CR$36)+SUM(CT$20:CT$36)</f>
        <v>661.49245261222813</v>
      </c>
    </row>
    <row r="111" spans="2:99">
      <c r="C111" s="99" t="s">
        <v>128</v>
      </c>
      <c r="D111">
        <f>SUM(D$37:D$48)+SUM(F$37:F$48)+SUM(H$37:H$48)+SUM(J$37:J$48)</f>
        <v>179.76584937493027</v>
      </c>
      <c r="E111">
        <f>SUM(L$37:L$48)+SUM(N$37:N$48)+SUM(P$37:P$48)+SUM(R$37:R$48)</f>
        <v>256.80352829828234</v>
      </c>
      <c r="F111">
        <f>SUM(T$37:T$48)+SUM(V$37:V$48)+SUM(X$37:X$48)+SUM(Z$37:Z$48)</f>
        <v>327.29524907945984</v>
      </c>
      <c r="G111">
        <f>SUM(AB$37:AB$48)+SUM(AD$37:AD$48)+SUM(AF$37:AF$48)+SUM(AH$37:AH$48)</f>
        <v>181.45775050091834</v>
      </c>
      <c r="H111">
        <f>SUM(AJ$37:AJ$48)+SUM(AL$37:AL$48)+SUM(AN$37:AN$48)+SUM(AP$37:AP$48)</f>
        <v>256.87767931390692</v>
      </c>
      <c r="I111">
        <f>SUM(AR$37:AR$48)+SUM(AT$37:AT$48)+SUM(AV$37:AV$48)+SUM(AX$37:AX$48)</f>
        <v>350</v>
      </c>
      <c r="J111">
        <f>SUM(AZ$37:AZ$48)+SUM(BB$37:BB$48)+SUM(BD$37:BD$48)+SUM(BF$37:BF$48)</f>
        <v>268</v>
      </c>
      <c r="K111">
        <f>SUM(BH$37:BH$48)+SUM(BJ$37:BJ$48)+SUM(BL$37:BL$48)+SUM(BN$37:BN$48)</f>
        <v>432</v>
      </c>
      <c r="L111">
        <f>SUM(BP$37:BP$48)+SUM(BR$37:BR$48)+SUM(BT$37:BT$48)+SUM(BV$37:BV$48)</f>
        <v>265.95257695431798</v>
      </c>
      <c r="M111">
        <f>SUM(BX$37:BX$48)+SUM(BZ$37:BZ$48)+SUM(CB$37:CB$48)+SUM(CD$37:CD$48)</f>
        <v>337.37546150565095</v>
      </c>
      <c r="N111">
        <f>SUM(CF$37:CF$48)+SUM(CH$37:CH$48)+SUM(CJ$37:CJ$48)+SUM(CL$37:CL$48)</f>
        <v>347.42410549018769</v>
      </c>
      <c r="O111">
        <f>SUM(CN$37:CN$48)+SUM(CP$37:CP$48)+SUM(CR$37:CR$48)+SUM(CT$37:CT$48)</f>
        <v>218.20799649549059</v>
      </c>
    </row>
    <row r="112" spans="2:99">
      <c r="C112" s="99" t="s">
        <v>129</v>
      </c>
      <c r="D112">
        <f>SUM(D$49:D$70)+SUM(F$49:F$70)+SUM(H$49:H$70)+SUM(J$49:J$70)</f>
        <v>356.69121586242778</v>
      </c>
      <c r="E112">
        <f>SUM(L$49:L$70)+SUM(N$49:N$70)+SUM(P$49:P$70)+SUM(R$49:R$70)</f>
        <v>474.40601586383241</v>
      </c>
      <c r="F112">
        <f>SUM(T$49:T$70)+SUM(V$49:V$70)+SUM(X$49:X$70)+SUM(Z$49:Z$70)</f>
        <v>435.64638294464885</v>
      </c>
      <c r="G112">
        <f>SUM(AB$49:AB$70)+SUM(AD$49:AD$70)+SUM(AF$49:AF$70)+SUM(AH$49:AH$70)</f>
        <v>290.09586807961233</v>
      </c>
      <c r="H112">
        <f>SUM(AJ$49:AJ$70)+SUM(AL$49:AL$70)+SUM(AN$49:AN$70)+SUM(AP$49:AP$70)</f>
        <v>267.70895553321282</v>
      </c>
      <c r="I112">
        <f>SUM(AR$49:AR$70)+SUM(AT$49:AT$70)+SUM(AV$49:AV$70)+SUM(AX$49:AX$70)</f>
        <v>422.15960609636988</v>
      </c>
      <c r="J112">
        <f>SUM(AZ$49:AZ$70)+SUM(BB$49:BB$70)+SUM(BD$49:BD$70)+SUM(BF$49:BF$70)</f>
        <v>481.12291699910537</v>
      </c>
      <c r="K112">
        <f>SUM(BH$49:BH$70)+SUM(BJ$49:BJ$70)+SUM(BL$49:BL$70)+SUM(BN$49:BN$70)</f>
        <v>419.16473020087983</v>
      </c>
      <c r="L112">
        <f>SUM(BP$49:BP$70)+SUM(BR$49:BR$70)+SUM(BT$49:BT$70)+SUM(BV$49:BV$70)</f>
        <v>338.88091078757492</v>
      </c>
      <c r="M112">
        <f>SUM(BX$49:BX$70)+SUM(BZ$49:BZ$70)+SUM(CB$49:CB$70)+SUM(CD$49:CD$70)</f>
        <v>445.21699804478624</v>
      </c>
      <c r="N112">
        <f>SUM(CF$49:CF$70)+SUM(CH$49:CH$70)+SUM(CJ$49:CJ$70)+SUM(CL$49:CL$70)</f>
        <v>379.54944342149167</v>
      </c>
      <c r="O112">
        <f>SUM(CN$49:CN$70)+SUM(CP$49:CP$70)+SUM(CR$49:CR$70)+SUM(CT$49:CT$70)</f>
        <v>313.32470455530716</v>
      </c>
    </row>
    <row r="113" spans="2:15">
      <c r="C113" s="99" t="s">
        <v>130</v>
      </c>
      <c r="D113">
        <f>SUM(D$71:D$86)+SUM(F$71:F$86)+SUM(H$71:H$86)+SUM(J$71:J$86)</f>
        <v>265</v>
      </c>
      <c r="E113">
        <f>SUM(L$71:L$86)+SUM(N$71:N$86)+SUM(P$71:P$86)+SUM(R$71:R$86)</f>
        <v>313.40996474032443</v>
      </c>
      <c r="F113">
        <f>SUM(T$71:T$86)+SUM(V$71:V$86)+SUM(X$71:X$86)+SUM(Z$71:Z$86)</f>
        <v>178.79833111897182</v>
      </c>
      <c r="G113">
        <f>SUM(AB$71:AB$86)+SUM(AD$71:AD$86)+SUM(AF$71:AF$86)+SUM(AH$71:AH$86)</f>
        <v>234</v>
      </c>
      <c r="H113">
        <f>SUM(AJ$71:AJ$86)+SUM(AL$71:AL$86)+SUM(AN$71:AN$86)+SUM(AP$71:AP$86)</f>
        <v>240</v>
      </c>
      <c r="I113">
        <f>SUM(AR$71:AR$86)+SUM(AT$71:AT$86)+SUM(AV$71:AV$86)+SUM(AX$71:AX$86)</f>
        <v>316</v>
      </c>
      <c r="J113">
        <f>SUM(AZ$71:AZ$86)+SUM(BB$71:BB$86)+SUM(BD$71:BD$86)+SUM(BF$71:BF$86)</f>
        <v>317.87514691797583</v>
      </c>
      <c r="K113">
        <f>SUM(BH$71:BH$86)+SUM(BJ$71:BJ$86)+SUM(BL$71:BL$86)+SUM(BN$71:BN$86)</f>
        <v>276.83738227058257</v>
      </c>
      <c r="L113">
        <f>SUM(BP$71:BP$86)+SUM(BR$71:BR$86)+SUM(BT$71:BT$86)+SUM(BV$71:BV$86)</f>
        <v>202.00675538153263</v>
      </c>
      <c r="M113">
        <f>SUM(BX$71:BX$86)+SUM(BZ$71:BZ$86)+SUM(CB$71:CB$86)+SUM(CD$71:CD$86)</f>
        <v>265.98217908794948</v>
      </c>
      <c r="N113">
        <f>SUM(CF$71:CF$86)+SUM(CH$71:CH$86)+SUM(CJ$71:CJ$86)+SUM(CL$71:CL$86)</f>
        <v>276.82029603920984</v>
      </c>
      <c r="O113">
        <f>SUM(CN$71:CN$86)+SUM(CP$71:CP$86)+SUM(CR$71:CR$86)+SUM(CT$71:CT$86)</f>
        <v>207.44480330801423</v>
      </c>
    </row>
    <row r="114" spans="2:15">
      <c r="C114" s="99" t="s">
        <v>131</v>
      </c>
      <c r="D114">
        <f>SUM(D$87:D$94)+SUM(F$87:F$94)+SUM(H$87:H$94)+SUM(J$87:J$94)</f>
        <v>86.640685302247363</v>
      </c>
      <c r="E114">
        <f>SUM(L$87:L$94)+SUM(N$87:N$94)+SUM(P$87:P$94)+SUM(R$87:R$94)</f>
        <v>109.20159862093396</v>
      </c>
      <c r="F114">
        <f>SUM(T$87:T$94)+SUM(V$87:V$94)+SUM(X$87:X$94)+SUM(Z$87:Z$94)</f>
        <v>33.193752942301103</v>
      </c>
      <c r="G114">
        <f>SUM(AB$87:AB$94)+SUM(AD$87:AD$94)+SUM(AF$87:AF$94)+SUM(AH$87:AH$94)</f>
        <v>123.3122845227152</v>
      </c>
      <c r="H114">
        <f>SUM(AJ$87:AJ$94)+SUM(AL$87:AL$94)+SUM(AN$87:AN$94)+SUM(AP$87:AP$94)</f>
        <v>119.16055179585041</v>
      </c>
      <c r="I114">
        <f>SUM(AR$87:AR$94)+SUM(AT$87:AT$94)+SUM(AV$87:AV$94)+SUM(AX$87:AX$94)</f>
        <v>106.41170165096477</v>
      </c>
      <c r="J114">
        <f>SUM(AZ$87:AZ$94)+SUM(BB$87:BB$94)+SUM(BD$87:BD$94)+SUM(BF$87:BF$94)</f>
        <v>148.51370549208082</v>
      </c>
      <c r="K114">
        <f>SUM(BH$87:BH$94)+SUM(BJ$87:BJ$94)+SUM(BL$87:BL$94)+SUM(BN$87:BN$94)</f>
        <v>105.70550692464656</v>
      </c>
      <c r="L114">
        <f>SUM(BP$87:BP$94)+SUM(BR$87:BR$94)+SUM(BT$87:BT$94)+SUM(BV$87:BV$94)</f>
        <v>116.65360623940018</v>
      </c>
      <c r="M114">
        <f>SUM(BX$87:BX$94)+SUM(BZ$87:BZ$94)+SUM(CB$87:CB$94)+SUM(CD$87:CD$94)</f>
        <v>115.71537536388708</v>
      </c>
      <c r="N114">
        <f>SUM(CF$87:CF$94)+SUM(CH$87:CH$94)+SUM(CJ$87:CJ$94)+SUM(CL$87:CL$94)</f>
        <v>82.336427081032554</v>
      </c>
      <c r="O114">
        <f>SUM(CN$87:CN$94)+SUM(CP$87:CP$94)+SUM(CR$87:CR$94)+SUM(CT$87:CT$94)</f>
        <v>120.14104031663801</v>
      </c>
    </row>
    <row r="115" spans="2:15">
      <c r="C115" s="99" t="s">
        <v>132</v>
      </c>
      <c r="D115">
        <f>SUM(D$95:D$105)+SUM(F$95:F$105)+SUM(H$95:H$105)+SUM(J$95:J$105)</f>
        <v>239.00207913258498</v>
      </c>
      <c r="E115">
        <f>SUM(L$95:L$105)+SUM(N$95:N$105)+SUM(P$95:P$105)+SUM(R$95:R$105)</f>
        <v>195.63482271477616</v>
      </c>
      <c r="F115">
        <f>SUM(T$95:T$105)+SUM(V$95:V$105)+SUM(X$95:X$105)+SUM(Z$95:Z$105)</f>
        <v>103.56666696363931</v>
      </c>
      <c r="G115">
        <f>SUM(AB$95:AB$105)+SUM(AD$95:AD$105)+SUM(AF$95:AF$105)+SUM(AH$95:AH$105)</f>
        <v>227.93827438541618</v>
      </c>
      <c r="H115">
        <f>SUM(AJ$95:AJ$105)+SUM(AL$95:AL$105)+SUM(AN$95:AN$105)+SUM(AP$95:AP$105)</f>
        <v>261.32270327428648</v>
      </c>
      <c r="I115">
        <f>SUM(AR$95:AR$105)+SUM(AT$95:AT$105)+SUM(AV$95:AV$105)+SUM(AX$95:AX$105)</f>
        <v>185.32640282280934</v>
      </c>
      <c r="J115">
        <f>SUM(AZ$95:AZ$105)+SUM(BB$95:BB$105)+SUM(BD$95:BD$105)+SUM(BF$95:BF$105)</f>
        <v>307.33789892575345</v>
      </c>
      <c r="K115">
        <f>SUM(BH$95:BH$105)+SUM(BJ$95:BJ$105)+SUM(BL$95:BL$105)+SUM(BN$95:BN$105)</f>
        <v>235.64079153119815</v>
      </c>
      <c r="L115">
        <f>SUM(BP$95:BP$105)+SUM(BR$95:BR$105)+SUM(BT$95:BT$105)+SUM(BV$95:BV$105)</f>
        <v>183.9845536609113</v>
      </c>
      <c r="M115">
        <f>SUM(BX$95:BX$105)+SUM(BZ$95:BZ$105)+SUM(CB$95:CB$105)+SUM(CD$95:CD$105)</f>
        <v>257.89450621571638</v>
      </c>
      <c r="N115">
        <f>SUM(CF$95:CF$105)+SUM(CH$95:CH$105)+SUM(CJ$95:CJ$105)+SUM(CL$95:CL$105)</f>
        <v>199.36529351582195</v>
      </c>
      <c r="O115">
        <f>SUM(CN$95:CN$105)+SUM(CP$95:CP$105)+SUM(CR$95:CR$105)+SUM(CT$95:CT$105)</f>
        <v>247.43533947753662</v>
      </c>
    </row>
    <row r="116" spans="2:15">
      <c r="C116" s="99" t="s">
        <v>279</v>
      </c>
      <c r="D116">
        <f t="shared" ref="D116:O116" si="0">SUM(D$109:D$115)</f>
        <v>1847.5965036735529</v>
      </c>
      <c r="E116">
        <f t="shared" si="0"/>
        <v>2473.2671167304311</v>
      </c>
      <c r="F116">
        <f t="shared" si="0"/>
        <v>2425.6741726378377</v>
      </c>
      <c r="G116">
        <f t="shared" si="0"/>
        <v>1847.2999914723741</v>
      </c>
      <c r="H116">
        <f t="shared" si="0"/>
        <v>1946.744660443775</v>
      </c>
      <c r="I116">
        <f t="shared" si="0"/>
        <v>2663.8977105701442</v>
      </c>
      <c r="J116">
        <f t="shared" si="0"/>
        <v>2762.8496683349158</v>
      </c>
      <c r="K116">
        <f t="shared" si="0"/>
        <v>2562.3484109273068</v>
      </c>
      <c r="L116">
        <f t="shared" si="0"/>
        <v>2329.6851886198087</v>
      </c>
      <c r="M116">
        <f t="shared" si="0"/>
        <v>2444.7372441708417</v>
      </c>
      <c r="N116">
        <f t="shared" si="0"/>
        <v>2433.1772586864067</v>
      </c>
      <c r="O116">
        <f t="shared" si="0"/>
        <v>2058.2318300144775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D109*pricing!D24*2000</f>
        <v>1660026.1451097473</v>
      </c>
      <c r="E120">
        <f>E109*pricing!E24*2000</f>
        <v>2985027.0262334389</v>
      </c>
      <c r="F120">
        <f>F109*pricing!F24*2000</f>
        <v>3633240.2669583345</v>
      </c>
      <c r="G120">
        <f>G109*pricing!G24*2000</f>
        <v>1758444.2418970962</v>
      </c>
      <c r="H120">
        <f>H109*pricing!H24*2000</f>
        <v>2369641.2627887568</v>
      </c>
      <c r="I120">
        <f>I109*pricing!I24*2000</f>
        <v>3488399.9999999995</v>
      </c>
      <c r="J120">
        <f>J109*pricing!J24*2000</f>
        <v>3336399.9999999995</v>
      </c>
      <c r="K120">
        <f>K109*pricing!K24*2000</f>
        <v>3252799.9999999995</v>
      </c>
      <c r="L120">
        <f>L109*pricing!L24*2000</f>
        <v>3035251.7232188587</v>
      </c>
      <c r="M120">
        <f>M109*pricing!M24*2000</f>
        <v>2807495.9087842694</v>
      </c>
      <c r="N120">
        <f>N109*pricing!N24*2000</f>
        <v>2921398.7806927012</v>
      </c>
      <c r="O120">
        <f>O109*pricing!O24*2000</f>
        <v>2205409.7486943994</v>
      </c>
    </row>
    <row r="121" spans="2:15">
      <c r="C121" s="99" t="s">
        <v>127</v>
      </c>
      <c r="D121">
        <f>D110*pricing!D25*2000</f>
        <v>3815748.5773006086</v>
      </c>
      <c r="E121">
        <f>E110*pricing!E25*2000</f>
        <v>5555937.9911079053</v>
      </c>
      <c r="F121">
        <f>F110*pricing!F25*2000</f>
        <v>6605280.533916669</v>
      </c>
      <c r="G121">
        <f>G110*pricing!G25*2000</f>
        <v>4249323.9443791155</v>
      </c>
      <c r="H121">
        <f>H110*pricing!H25*2000</f>
        <v>3723086.9932127846</v>
      </c>
      <c r="I121">
        <f>I110*pricing!I25*2000</f>
        <v>6270000</v>
      </c>
      <c r="J121">
        <f>J110*pricing!J25*2000</f>
        <v>6087599.9999999991</v>
      </c>
      <c r="K121">
        <f>K110*pricing!K25*2000</f>
        <v>5054000</v>
      </c>
      <c r="L121">
        <f>L110*pricing!L25*2000</f>
        <v>6253519.8473112863</v>
      </c>
      <c r="M121">
        <f>M110*pricing!M25*2000</f>
        <v>4963904.7932574023</v>
      </c>
      <c r="N121">
        <f>N110*pricing!N25*2000</f>
        <v>5800982.0871611349</v>
      </c>
      <c r="O121">
        <f>O110*pricing!O25*2000</f>
        <v>5027342.6398529336</v>
      </c>
    </row>
    <row r="122" spans="2:15">
      <c r="C122" s="99" t="s">
        <v>128</v>
      </c>
      <c r="D122">
        <f>D111*pricing!D26*2000</f>
        <v>1366220.45524947</v>
      </c>
      <c r="E122">
        <f>E111*pricing!E26*2000</f>
        <v>1951706.8150669457</v>
      </c>
      <c r="F122">
        <f>F111*pricing!F26*2000</f>
        <v>2487443.8930038945</v>
      </c>
      <c r="G122">
        <f>G111*pricing!G26*2000</f>
        <v>1379078.9038069793</v>
      </c>
      <c r="H122">
        <f>H111*pricing!H26*2000</f>
        <v>1952270.3627856923</v>
      </c>
      <c r="I122">
        <f>I111*pricing!I26*2000</f>
        <v>2660000</v>
      </c>
      <c r="J122">
        <f>J111*pricing!J26*2000</f>
        <v>2036800</v>
      </c>
      <c r="K122">
        <f>K111*pricing!K26*2000</f>
        <v>3283200</v>
      </c>
      <c r="L122">
        <f>L111*pricing!L26*2000</f>
        <v>2021239.5848528165</v>
      </c>
      <c r="M122">
        <f>M111*pricing!M26*2000</f>
        <v>2564053.507442947</v>
      </c>
      <c r="N122">
        <f>N111*pricing!N26*2000</f>
        <v>2640423.2017254261</v>
      </c>
      <c r="O122">
        <f>O111*pricing!O26*2000</f>
        <v>1658380.7733657283</v>
      </c>
    </row>
    <row r="123" spans="2:15">
      <c r="C123" s="99" t="s">
        <v>129</v>
      </c>
      <c r="D123">
        <f>D112*pricing!D27*2000</f>
        <v>2710853.240554451</v>
      </c>
      <c r="E123">
        <f>E112*pricing!E27*2000</f>
        <v>3605485.7205651258</v>
      </c>
      <c r="F123">
        <f>F112*pricing!F27*2000</f>
        <v>3310912.5103793312</v>
      </c>
      <c r="G123">
        <f>G112*pricing!G27*2000</f>
        <v>2204728.5974050537</v>
      </c>
      <c r="H123">
        <f>H112*pricing!H27*2000</f>
        <v>2034588.0620524173</v>
      </c>
      <c r="I123">
        <f>I112*pricing!I27*2000</f>
        <v>3208413.006332411</v>
      </c>
      <c r="J123">
        <f>J112*pricing!J27*2000</f>
        <v>3656534.1691932008</v>
      </c>
      <c r="K123">
        <f>K112*pricing!K27*2000</f>
        <v>3185651.9495266867</v>
      </c>
      <c r="L123">
        <f>L112*pricing!L27*2000</f>
        <v>2575494.9219855694</v>
      </c>
      <c r="M123">
        <f>M112*pricing!M27*2000</f>
        <v>3383649.185140375</v>
      </c>
      <c r="N123">
        <f>N112*pricing!N27*2000</f>
        <v>2884575.7700033365</v>
      </c>
      <c r="O123">
        <f>O112*pricing!O27*2000</f>
        <v>2381267.7546203346</v>
      </c>
    </row>
    <row r="124" spans="2:15">
      <c r="C124" s="99" t="s">
        <v>130</v>
      </c>
      <c r="D124">
        <f>D113*pricing!D28*2000</f>
        <v>2014000</v>
      </c>
      <c r="E124">
        <f>E113*pricing!E28*2000</f>
        <v>2381915.7320264652</v>
      </c>
      <c r="F124">
        <f>F113*pricing!F28*2000</f>
        <v>1358867.3165041858</v>
      </c>
      <c r="G124">
        <f>G113*pricing!G28*2000</f>
        <v>1778399.9999999998</v>
      </c>
      <c r="H124">
        <f>H113*pricing!H28*2000</f>
        <v>1824000</v>
      </c>
      <c r="I124">
        <f>I113*pricing!I28*2000</f>
        <v>2401600</v>
      </c>
      <c r="J124">
        <f>J113*pricing!J28*2000</f>
        <v>2415851.1165766162</v>
      </c>
      <c r="K124">
        <f>K113*pricing!K28*2000</f>
        <v>2103964.1052564275</v>
      </c>
      <c r="L124">
        <f>L113*pricing!L28*2000</f>
        <v>1535251.3408996479</v>
      </c>
      <c r="M124">
        <f>M113*pricing!M28*2000</f>
        <v>2021464.5610684159</v>
      </c>
      <c r="N124">
        <f>N113*pricing!N28*2000</f>
        <v>2103834.2498979946</v>
      </c>
      <c r="O124">
        <f>O113*pricing!O28*2000</f>
        <v>1576580.5051409081</v>
      </c>
    </row>
    <row r="125" spans="2:15">
      <c r="C125" s="99" t="s">
        <v>131</v>
      </c>
      <c r="D125">
        <f>D114*pricing!D29*2000</f>
        <v>658469.20829707989</v>
      </c>
      <c r="E125">
        <f>E114*pricing!E29*2000</f>
        <v>829932.14951909811</v>
      </c>
      <c r="F125">
        <f>F114*pricing!F29*2000</f>
        <v>252272.52236148837</v>
      </c>
      <c r="G125">
        <f>G114*pricing!G29*2000</f>
        <v>937173.36237263551</v>
      </c>
      <c r="H125">
        <f>H114*pricing!H29*2000</f>
        <v>905620.19364846312</v>
      </c>
      <c r="I125">
        <f>I114*pricing!I29*2000</f>
        <v>808728.93254733214</v>
      </c>
      <c r="J125">
        <f>J114*pricing!J29*2000</f>
        <v>1128704.1617398143</v>
      </c>
      <c r="K125">
        <f>K114*pricing!K29*2000</f>
        <v>803361.8526273137</v>
      </c>
      <c r="L125">
        <f>L114*pricing!L29*2000</f>
        <v>886567.40741944138</v>
      </c>
      <c r="M125">
        <f>M114*pricing!M29*2000</f>
        <v>879436.85276554176</v>
      </c>
      <c r="N125">
        <f>N114*pricing!N29*2000</f>
        <v>625756.84581584728</v>
      </c>
      <c r="O125">
        <f>O114*pricing!O29*2000</f>
        <v>913071.90640644892</v>
      </c>
    </row>
    <row r="126" spans="2:15">
      <c r="C126" s="99" t="s">
        <v>132</v>
      </c>
      <c r="D126">
        <f>D115*pricing!D30*2000</f>
        <v>1816415.8014076459</v>
      </c>
      <c r="E126">
        <f>E115*pricing!E30*2000</f>
        <v>1486824.6526322986</v>
      </c>
      <c r="F126">
        <f>F115*pricing!F30*2000</f>
        <v>787106.66892365878</v>
      </c>
      <c r="G126">
        <f>G115*pricing!G30*2000</f>
        <v>1732330.8853291627</v>
      </c>
      <c r="H126">
        <f>H115*pricing!H30*2000</f>
        <v>1986052.5448845772</v>
      </c>
      <c r="I126">
        <f>I115*pricing!I30*2000</f>
        <v>1408480.6614533509</v>
      </c>
      <c r="J126">
        <f>J115*pricing!J30*2000</f>
        <v>2335768.031835726</v>
      </c>
      <c r="K126">
        <f>K115*pricing!K30*2000</f>
        <v>1790870.0156371058</v>
      </c>
      <c r="L126">
        <f>L115*pricing!L30*2000</f>
        <v>1398282.607822926</v>
      </c>
      <c r="M126">
        <f>M115*pricing!M30*2000</f>
        <v>1959998.2472394442</v>
      </c>
      <c r="N126">
        <f>N115*pricing!N30*2000</f>
        <v>1515176.2307202467</v>
      </c>
      <c r="O126">
        <f>O115*pricing!O30*2000</f>
        <v>1880508.5800292781</v>
      </c>
    </row>
    <row r="127" spans="2:15">
      <c r="C127" s="99" t="s">
        <v>279</v>
      </c>
      <c r="D127">
        <f t="shared" ref="D127:O127" si="1">SUM(D$120:D$126)</f>
        <v>14041733.427919002</v>
      </c>
      <c r="E127">
        <f t="shared" si="1"/>
        <v>18796830.087151278</v>
      </c>
      <c r="F127">
        <f t="shared" si="1"/>
        <v>18435123.712047558</v>
      </c>
      <c r="G127">
        <f t="shared" si="1"/>
        <v>14039479.935190042</v>
      </c>
      <c r="H127">
        <f t="shared" si="1"/>
        <v>14795259.419372691</v>
      </c>
      <c r="I127">
        <f t="shared" si="1"/>
        <v>20245622.600333095</v>
      </c>
      <c r="J127">
        <f t="shared" si="1"/>
        <v>20997657.479345359</v>
      </c>
      <c r="K127">
        <f t="shared" si="1"/>
        <v>19473847.923047535</v>
      </c>
      <c r="L127">
        <f t="shared" si="1"/>
        <v>17705607.433510546</v>
      </c>
      <c r="M127">
        <f t="shared" si="1"/>
        <v>18580003.055698395</v>
      </c>
      <c r="N127">
        <f t="shared" si="1"/>
        <v>18492147.16601669</v>
      </c>
      <c r="O127">
        <f t="shared" si="1"/>
        <v>15642561.90811003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109686.02163080031</v>
      </c>
      <c r="E131" s="104">
        <f>SUM(M$6:M$19)+SUM(O$6:O$19)+SUM(Q$6:Q$19)+SUM(S$6:S$19)</f>
        <v>198711.41737944679</v>
      </c>
      <c r="F131" s="104">
        <f>SUM(U$6:U$19)+SUM(W$6:W$19)+SUM(Y$6:Y$19)+SUM(AA$6:AA$19)</f>
        <v>241316.66274184757</v>
      </c>
      <c r="G131" s="104">
        <f>SUM(AC$6:AC$19)+SUM(AE$6:AE$19)+SUM(AG$6:AG$19)+SUM(AI$6:AI$19)</f>
        <v>117483.47583834067</v>
      </c>
      <c r="H131" s="104">
        <f>SUM(AK$6:AK$19)+SUM(AM$6:AM$19)+SUM(AO$6:AO$19)+SUM(AQ$6:AQ$19)</f>
        <v>157881.8421595323</v>
      </c>
      <c r="I131" s="104">
        <f>SUM(AS$6:AS$19)+SUM(AU$6:AU$19)+SUM(AW$6:AW$19)+SUM(AY$6:AY$19)</f>
        <v>232414.79999999996</v>
      </c>
      <c r="J131" s="104">
        <f>SUM(BA$6:BA$19)+SUM(BC$6:BC$19)+SUM(BE$6:BE$19)+SUM(BG$6:BG$19)</f>
        <v>221372.39999999997</v>
      </c>
      <c r="K131" s="104">
        <f>SUM(BI$6:BI$19)+SUM(BK$6:BK$19)+SUM(BM$6:BM$19)+SUM(BO$6:BO$19)</f>
        <v>215536.8</v>
      </c>
      <c r="L131" s="104">
        <f>SUM(BQ$6:BQ$19)+SUM(BS$6:BS$19)+SUM(BU$6:BU$19)+SUM(BW$6:BW$19)</f>
        <v>201330.35643032976</v>
      </c>
      <c r="M131" s="104">
        <f>SUM(BY$6:BY$19)+SUM(CA$6:CA$19)+SUM(CC$6:CC$19)+SUM(CE$6:CE$19)</f>
        <v>186809.89841678232</v>
      </c>
      <c r="N131" s="104">
        <f>SUM(CG$6:CG$19)+SUM(CI$6:CI$19)+SUM(CK$6:CK$19)+SUM(CM$6:CM$19)</f>
        <v>192189.87570037198</v>
      </c>
      <c r="O131" s="104">
        <f>SUM(CO$6:CO$19)+SUM(CQ$6:CQ$19)+SUM(CS$6:CS$19)+SUM(CU$6:CU$19)</f>
        <v>146343.75897541386</v>
      </c>
    </row>
    <row r="132" spans="2:15">
      <c r="C132" s="103" t="s">
        <v>127</v>
      </c>
      <c r="D132" s="104">
        <f>SUM(E$20:E$36)+SUM(G$20:G$36)+SUM(I$20:I$36)+SUM(K$20:K$36)</f>
        <v>214532.98108143065</v>
      </c>
      <c r="E132" s="104">
        <f>SUM(M$20:M$36)+SUM(O$20:O$36)+SUM(Q$20:Q$36)+SUM(S$20:S$36)</f>
        <v>315608.99287275557</v>
      </c>
      <c r="F132" s="104">
        <f>SUM(U$20:U$36)+SUM(W$20:W$36)+SUM(Y$20:Y$36)+SUM(AA$20:AA$36)</f>
        <v>371394.46025079046</v>
      </c>
      <c r="G132" s="104">
        <f>SUM(AC$20:AC$36)+SUM(AE$20:AE$36)+SUM(AG$20:AG$36)+SUM(AI$20:AI$36)</f>
        <v>240232.19431541575</v>
      </c>
      <c r="H132" s="104">
        <f>SUM(AK$20:AK$36)+SUM(AM$20:AM$36)+SUM(AO$20:AO$36)+SUM(AQ$20:AQ$36)</f>
        <v>210135.93145405216</v>
      </c>
      <c r="I132" s="104">
        <f>SUM(AS$20:AS$36)+SUM(AU$20:AU$36)+SUM(AW$20:AW$36)+SUM(AY$20:AY$36)</f>
        <v>355383.6</v>
      </c>
      <c r="J132" s="104">
        <f>SUM(BA$20:BA$36)+SUM(BC$20:BC$36)+SUM(BE$20:BE$36)+SUM(BG$20:BG$36)</f>
        <v>342231.6</v>
      </c>
      <c r="K132" s="104">
        <f>SUM(BI$20:BI$36)+SUM(BK$20:BK$36)+SUM(BM$20:BM$36)+SUM(BO$20:BO$36)</f>
        <v>285274.8</v>
      </c>
      <c r="L132" s="104">
        <f>SUM(BQ$20:BQ$36)+SUM(BS$20:BS$36)+SUM(BU$20:BU$36)+SUM(BW$20:BW$36)</f>
        <v>352902.2147667692</v>
      </c>
      <c r="M132" s="104">
        <f>SUM(BY$20:BY$36)+SUM(CA$20:CA$36)+SUM(CC$20:CC$36)+SUM(CE$20:CE$36)</f>
        <v>280172.09456880903</v>
      </c>
      <c r="N132" s="104">
        <f>SUM(CG$20:CG$36)+SUM(CI$20:CI$36)+SUM(CK$20:CK$36)+SUM(CM$20:CM$36)</f>
        <v>325464.05169919337</v>
      </c>
      <c r="O132" s="104">
        <f>SUM(CO$20:CO$36)+SUM(CQ$20:CQ$36)+SUM(CS$20:CS$36)+SUM(CU$20:CU$36)</f>
        <v>285116.26922305947</v>
      </c>
    </row>
    <row r="133" spans="2:15">
      <c r="C133" s="103" t="s">
        <v>128</v>
      </c>
      <c r="D133" s="104">
        <f>SUM(E$37:E$48)+SUM(G$37:G$48)+SUM(I$37:I$48)+SUM(K$37:K$48)</f>
        <v>188388.45804708102</v>
      </c>
      <c r="E133" s="104">
        <f>SUM(M$37:M$48)+SUM(O$37:O$48)+SUM(Q$37:Q$48)+SUM(S$37:S$48)</f>
        <v>269877.2236850952</v>
      </c>
      <c r="F133" s="104">
        <f>SUM(U$37:U$48)+SUM(W$37:W$48)+SUM(Y$37:Y$48)+SUM(AA$37:AA$48)</f>
        <v>344548.31713811966</v>
      </c>
      <c r="G133" s="104">
        <f>SUM(AC$37:AC$48)+SUM(AE$37:AE$48)+SUM(AG$37:AG$48)+SUM(AI$37:AI$48)</f>
        <v>190443.18901785772</v>
      </c>
      <c r="H133" s="104">
        <f>SUM(AK$37:AK$48)+SUM(AM$37:AM$48)+SUM(AO$37:AO$48)+SUM(AQ$37:AQ$48)</f>
        <v>270325.77533254056</v>
      </c>
      <c r="I133" s="104">
        <f>SUM(AS$37:AS$48)+SUM(AU$37:AU$48)+SUM(AW$37:AW$48)+SUM(AY$37:AY$48)</f>
        <v>367390.8</v>
      </c>
      <c r="J133" s="104">
        <f>SUM(BA$37:BA$48)+SUM(BC$37:BC$48)+SUM(BE$37:BE$48)+SUM(BG$37:BG$48)</f>
        <v>280982.40000000002</v>
      </c>
      <c r="K133" s="104">
        <f>SUM(BI$37:BI$48)+SUM(BK$37:BK$48)+SUM(BM$37:BM$48)+SUM(BO$37:BO$48)</f>
        <v>452354.4</v>
      </c>
      <c r="L133" s="104">
        <f>SUM(BQ$37:BQ$48)+SUM(BS$37:BS$48)+SUM(BU$37:BU$48)+SUM(BW$37:BW$48)</f>
        <v>280997.81765378406</v>
      </c>
      <c r="M133" s="104">
        <f>SUM(BY$37:BY$48)+SUM(CA$37:CA$48)+SUM(CC$37:CC$48)+SUM(CE$37:CE$48)</f>
        <v>355725.89150880603</v>
      </c>
      <c r="N133" s="104">
        <f>SUM(CG$37:CG$48)+SUM(CI$37:CI$48)+SUM(CK$37:CK$48)+SUM(CM$37:CM$48)</f>
        <v>364916.85025530809</v>
      </c>
      <c r="O133" s="104">
        <f>SUM(CO$37:CO$48)+SUM(CQ$37:CQ$48)+SUM(CS$37:CS$48)+SUM(CU$37:CU$48)</f>
        <v>227574.01145117922</v>
      </c>
    </row>
    <row r="134" spans="2:15">
      <c r="C134" s="103" t="s">
        <v>129</v>
      </c>
      <c r="D134" s="104">
        <f>SUM(E$49:E$70)+SUM(G$49:G$70)+SUM(I$49:I$70)+SUM(K$49:K$70)</f>
        <v>301433.28914216993</v>
      </c>
      <c r="E134" s="104">
        <f>SUM(M$49:M$70)+SUM(O$49:O$70)+SUM(Q$49:Q$70)+SUM(S$49:S$70)</f>
        <v>389064.73680934496</v>
      </c>
      <c r="F134" s="104">
        <f>SUM(U$49:U$70)+SUM(W$49:W$70)+SUM(Y$49:Y$70)+SUM(AA$49:AA$70)</f>
        <v>344328.87267138832</v>
      </c>
      <c r="G134" s="104">
        <f>SUM(AC$49:AC$70)+SUM(AE$49:AE$70)+SUM(AG$49:AG$70)+SUM(AI$49:AI$70)</f>
        <v>249866.02186467333</v>
      </c>
      <c r="H134" s="104">
        <f>SUM(AK$49:AK$70)+SUM(AM$49:AM$70)+SUM(AO$49:AO$70)+SUM(AQ$49:AQ$70)</f>
        <v>229167.23338501059</v>
      </c>
      <c r="I134" s="104">
        <f>SUM(AS$49:AS$70)+SUM(AU$49:AU$70)+SUM(AW$49:AW$70)+SUM(AY$49:AY$70)</f>
        <v>347672.17177966266</v>
      </c>
      <c r="J134" s="104">
        <f>SUM(BA$49:BA$70)+SUM(BC$49:BC$70)+SUM(BE$49:BE$70)+SUM(BG$49:BG$70)</f>
        <v>403175.37130180193</v>
      </c>
      <c r="K134" s="104">
        <f>SUM(BI$49:BI$70)+SUM(BK$49:BK$70)+SUM(BM$49:BM$70)+SUM(BO$49:BO$70)</f>
        <v>345279.58476667071</v>
      </c>
      <c r="L134" s="104">
        <f>SUM(BQ$49:BQ$70)+SUM(BS$49:BS$70)+SUM(BU$49:BU$70)+SUM(BW$49:BW$70)</f>
        <v>279374.15036874608</v>
      </c>
      <c r="M134" s="104">
        <f>SUM(BY$49:BY$70)+SUM(CA$49:CA$70)+SUM(CC$49:CC$70)+SUM(CE$49:CE$70)</f>
        <v>370586.80624471128</v>
      </c>
      <c r="N134" s="104">
        <f>SUM(CG$49:CG$70)+SUM(CI$49:CI$70)+SUM(CK$49:CK$70)+SUM(CM$49:CM$70)</f>
        <v>312233.75451421813</v>
      </c>
      <c r="O134" s="104">
        <f>SUM(CO$49:CO$70)+SUM(CQ$49:CQ$70)+SUM(CS$49:CS$70)+SUM(CU$49:CU$70)</f>
        <v>262138.40021723075</v>
      </c>
    </row>
    <row r="135" spans="2:15">
      <c r="C135" s="103" t="s">
        <v>130</v>
      </c>
      <c r="D135" s="104">
        <f>SUM(E$71:E$86)+SUM(G$71:G$86)+SUM(I$71:I$86)+SUM(K$71:K$86)</f>
        <v>149942.40000000002</v>
      </c>
      <c r="E135" s="104">
        <f>SUM(M$71:M$86)+SUM(O$71:O$86)+SUM(Q$71:Q$86)+SUM(S$71:S$86)</f>
        <v>175540.94587446822</v>
      </c>
      <c r="F135" s="104">
        <f>SUM(U$71:U$86)+SUM(W$71:W$86)+SUM(Y$71:Y$86)+SUM(AA$71:AA$86)</f>
        <v>99795.936670537194</v>
      </c>
      <c r="G135" s="104">
        <f>SUM(AC$71:AC$86)+SUM(AE$71:AE$86)+SUM(AG$71:AG$86)+SUM(AI$71:AI$86)</f>
        <v>131044.79999999999</v>
      </c>
      <c r="H135" s="104">
        <f>SUM(AK$71:AK$86)+SUM(AM$71:AM$86)+SUM(AO$71:AO$86)+SUM(AQ$71:AQ$86)</f>
        <v>135144</v>
      </c>
      <c r="I135" s="104">
        <f>SUM(AS$71:AS$86)+SUM(AU$71:AU$86)+SUM(AW$71:AW$86)+SUM(AY$71:AY$86)</f>
        <v>176740.8</v>
      </c>
      <c r="J135" s="104">
        <f>SUM(BA$71:BA$86)+SUM(BC$71:BC$86)+SUM(BE$71:BE$86)+SUM(BG$71:BG$86)</f>
        <v>177786.53836687095</v>
      </c>
      <c r="K135" s="104">
        <f>SUM(BI$71:BI$86)+SUM(BK$71:BK$86)+SUM(BM$71:BM$86)+SUM(BO$71:BO$86)</f>
        <v>154514.98881017778</v>
      </c>
      <c r="L135" s="104">
        <f>SUM(BQ$71:BQ$86)+SUM(BS$71:BS$86)+SUM(BU$71:BU$86)+SUM(BW$71:BW$86)</f>
        <v>112973.62637783488</v>
      </c>
      <c r="M135" s="104">
        <f>SUM(BY$71:BY$86)+SUM(CA$71:CA$86)+SUM(CC$71:CC$86)+SUM(CE$71:CE$86)</f>
        <v>147176.94991063932</v>
      </c>
      <c r="N135" s="104">
        <f>SUM(CG$71:CG$86)+SUM(CI$71:CI$86)+SUM(CK$71:CK$86)+SUM(CM$71:CM$86)</f>
        <v>156239.22019286922</v>
      </c>
      <c r="O135" s="104">
        <f>SUM(CO$71:CO$86)+SUM(CQ$71:CQ$86)+SUM(CS$71:CS$86)+SUM(CU$71:CU$86)</f>
        <v>115757.24434551266</v>
      </c>
    </row>
    <row r="136" spans="2:15">
      <c r="C136" s="103" t="s">
        <v>131</v>
      </c>
      <c r="D136" s="104">
        <f>SUM(E$87:E$94)+SUM(G$87:G$94)+SUM(I$87:I$94)+SUM(K$87:K$94)</f>
        <v>86313.561488599749</v>
      </c>
      <c r="E136" s="104">
        <f>SUM(M$87:M$94)+SUM(O$87:O$94)+SUM(Q$87:Q$94)+SUM(S$87:S$94)</f>
        <v>109143.00955705895</v>
      </c>
      <c r="F136" s="104">
        <f>SUM(U$87:U$94)+SUM(W$87:W$94)+SUM(Y$87:Y$94)+SUM(AA$87:AA$94)</f>
        <v>33121.620606796045</v>
      </c>
      <c r="G136" s="104">
        <f>SUM(AC$87:AC$94)+SUM(AE$87:AE$94)+SUM(AG$87:AG$94)+SUM(AI$87:AI$94)</f>
        <v>123876.62752932424</v>
      </c>
      <c r="H136" s="104">
        <f>SUM(AK$87:AK$94)+SUM(AM$87:AM$94)+SUM(AO$87:AO$94)+SUM(AQ$87:AQ$94)</f>
        <v>119748.98619474446</v>
      </c>
      <c r="I136" s="104">
        <f>SUM(AS$87:AS$94)+SUM(AU$87:AU$94)+SUM(AW$87:AW$94)+SUM(AY$87:AY$94)</f>
        <v>107275.8427024018</v>
      </c>
      <c r="J136" s="104">
        <f>SUM(BA$87:BA$94)+SUM(BC$87:BC$94)+SUM(BE$87:BE$94)+SUM(BG$87:BG$94)</f>
        <v>149483.68225859822</v>
      </c>
      <c r="K136" s="104">
        <f>SUM(BI$87:BI$94)+SUM(BK$87:BK$94)+SUM(BM$87:BM$94)+SUM(BO$87:BO$94)</f>
        <v>106136.88537125243</v>
      </c>
      <c r="L136" s="104">
        <f>SUM(BQ$87:BQ$94)+SUM(BS$87:BS$94)+SUM(BU$87:BU$94)+SUM(BW$87:BW$94)</f>
        <v>117173.86555007055</v>
      </c>
      <c r="M136" s="104">
        <f>SUM(BY$87:BY$94)+SUM(CA$87:CA$94)+SUM(CC$87:CC$94)+SUM(CE$87:CE$94)</f>
        <v>116314.97424710156</v>
      </c>
      <c r="N136" s="104">
        <f>SUM(CG$87:CG$94)+SUM(CI$87:CI$94)+SUM(CK$87:CK$94)+SUM(CM$87:CM$94)</f>
        <v>82795.04148723236</v>
      </c>
      <c r="O136" s="104">
        <f>SUM(CO$87:CO$94)+SUM(CQ$87:CQ$94)+SUM(CS$87:CS$94)+SUM(CU$87:CU$94)</f>
        <v>120247.03759019775</v>
      </c>
    </row>
    <row r="137" spans="2:15">
      <c r="C137" s="103" t="s">
        <v>132</v>
      </c>
      <c r="D137" s="104">
        <f>SUM(E$95:E$105)+SUM(G$95:G$105)+SUM(I$95:I$105)+SUM(K$95:K$105)</f>
        <v>193911.64528387017</v>
      </c>
      <c r="E137" s="104">
        <f>SUM(M$95:M$105)+SUM(O$95:O$105)+SUM(Q$95:Q$105)+SUM(S$95:S$105)</f>
        <v>160950.90152537555</v>
      </c>
      <c r="F137" s="104">
        <f>SUM(U$95:U$105)+SUM(W$95:W$105)+SUM(Y$95:Y$105)+SUM(AA$95:AA$105)</f>
        <v>85162.633219177864</v>
      </c>
      <c r="G137" s="104">
        <f>SUM(AC$95:AC$105)+SUM(AE$95:AE$105)+SUM(AG$95:AG$105)+SUM(AI$95:AI$105)</f>
        <v>187342.9952408137</v>
      </c>
      <c r="H137" s="104">
        <f>SUM(AK$95:AK$105)+SUM(AM$95:AM$105)+SUM(AO$95:AO$105)+SUM(AQ$95:AQ$105)</f>
        <v>211591.61994879117</v>
      </c>
      <c r="I137" s="104">
        <f>SUM(AS$95:AS$105)+SUM(AU$95:AU$105)+SUM(AW$95:AW$105)+SUM(AY$95:AY$105)</f>
        <v>152332.43258916965</v>
      </c>
      <c r="J137" s="104">
        <f>SUM(BA$95:BA$105)+SUM(BC$95:BC$105)+SUM(BE$95:BE$105)+SUM(BG$95:BG$105)</f>
        <v>254277.744767294</v>
      </c>
      <c r="K137" s="104">
        <f>SUM(BI$95:BI$105)+SUM(BK$95:BK$105)+SUM(BM$95:BM$105)+SUM(BO$95:BO$105)</f>
        <v>189598.38059092872</v>
      </c>
      <c r="L137" s="104">
        <f>SUM(BQ$95:BQ$105)+SUM(BS$95:BS$105)+SUM(BU$95:BU$105)+SUM(BW$95:BW$105)</f>
        <v>146584.10284321621</v>
      </c>
      <c r="M137" s="104">
        <f>SUM(BY$95:BY$105)+SUM(CA$95:CA$105)+SUM(CC$95:CC$105)+SUM(CE$95:CE$105)</f>
        <v>209309.50615702735</v>
      </c>
      <c r="N137" s="104">
        <f>SUM(CG$95:CG$105)+SUM(CI$95:CI$105)+SUM(CK$95:CK$105)+SUM(CM$95:CM$105)</f>
        <v>159582.42273857878</v>
      </c>
      <c r="O137" s="104">
        <f>SUM(CO$95:CO$105)+SUM(CQ$95:CQ$105)+SUM(CS$95:CS$105)+SUM(CU$95:CU$105)</f>
        <v>200807.63317869668</v>
      </c>
    </row>
    <row r="138" spans="2:15">
      <c r="C138" s="103" t="s">
        <v>279</v>
      </c>
      <c r="D138">
        <f t="shared" ref="D138:O138" si="2">SUM(D$131:D$137)</f>
        <v>1244208.356673952</v>
      </c>
      <c r="E138">
        <f t="shared" si="2"/>
        <v>1618897.2277035452</v>
      </c>
      <c r="F138">
        <f t="shared" si="2"/>
        <v>1519668.503298657</v>
      </c>
      <c r="G138">
        <f t="shared" si="2"/>
        <v>1240289.3038064255</v>
      </c>
      <c r="H138">
        <f t="shared" si="2"/>
        <v>1333995.3884746712</v>
      </c>
      <c r="I138">
        <f t="shared" si="2"/>
        <v>1739210.447071234</v>
      </c>
      <c r="J138">
        <f t="shared" si="2"/>
        <v>1829309.7366945653</v>
      </c>
      <c r="K138">
        <f t="shared" si="2"/>
        <v>1748695.8395390296</v>
      </c>
      <c r="L138">
        <f t="shared" si="2"/>
        <v>1491336.1339907506</v>
      </c>
      <c r="M138">
        <f t="shared" si="2"/>
        <v>1666096.1210538768</v>
      </c>
      <c r="N138">
        <f t="shared" si="2"/>
        <v>1593421.2165877719</v>
      </c>
      <c r="O138">
        <f t="shared" si="2"/>
        <v>1357984.3549812904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sheetData>
    <row r="1" spans="1:99">
      <c r="A1" s="100"/>
    </row>
    <row r="2" spans="1:99">
      <c r="B2" s="1" t="s">
        <v>273</v>
      </c>
    </row>
    <row r="3" spans="1:99">
      <c r="B3" s="101" t="s">
        <v>274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1.2181806894171228</v>
      </c>
      <c r="E6">
        <v>704.59571075886379</v>
      </c>
      <c r="F6">
        <v>7.3181539624151783</v>
      </c>
      <c r="G6">
        <v>4232.8202518609387</v>
      </c>
      <c r="H6">
        <v>4.5020697876462616</v>
      </c>
      <c r="I6">
        <v>2603.9971651745977</v>
      </c>
      <c r="J6">
        <v>6.7697771975533678</v>
      </c>
      <c r="K6">
        <v>3915.6391310648678</v>
      </c>
      <c r="L6">
        <v>3.6044711517230463</v>
      </c>
      <c r="M6">
        <v>2084.8261141566099</v>
      </c>
      <c r="N6">
        <v>8</v>
      </c>
      <c r="O6">
        <v>4627.2</v>
      </c>
      <c r="P6">
        <v>4.0545108282527451</v>
      </c>
      <c r="Q6">
        <v>2345.1290630613876</v>
      </c>
      <c r="R6">
        <v>7</v>
      </c>
      <c r="S6">
        <v>4048.7999999999997</v>
      </c>
      <c r="T6">
        <v>6</v>
      </c>
      <c r="U6">
        <v>3470.3999999999996</v>
      </c>
      <c r="V6">
        <v>8.0201960498985798</v>
      </c>
      <c r="W6">
        <v>4638.8813952613382</v>
      </c>
      <c r="X6">
        <v>4.0368367452990661</v>
      </c>
      <c r="Y6">
        <v>2334.9063734809797</v>
      </c>
      <c r="Z6">
        <v>7.157711773687141</v>
      </c>
      <c r="AA6">
        <v>4140.0204899006421</v>
      </c>
      <c r="AB6">
        <v>6.433618547243209</v>
      </c>
      <c r="AC6">
        <v>3721.2049677254718</v>
      </c>
      <c r="AD6">
        <v>2.6320537187229953</v>
      </c>
      <c r="AE6">
        <v>1522.3798709093805</v>
      </c>
      <c r="AF6">
        <v>3.9302409517440564</v>
      </c>
      <c r="AG6">
        <v>2273.251366488762</v>
      </c>
      <c r="AH6">
        <v>8.8332655577241859</v>
      </c>
      <c r="AI6">
        <v>5109.160798587669</v>
      </c>
      <c r="AJ6">
        <v>4.8879717645192811</v>
      </c>
      <c r="AK6">
        <v>2827.2028685979521</v>
      </c>
      <c r="AL6">
        <v>1.697076892544741</v>
      </c>
      <c r="AM6">
        <v>981.58927464787814</v>
      </c>
      <c r="AN6">
        <v>7.5595826403373616</v>
      </c>
      <c r="AO6">
        <v>4372.46259917113</v>
      </c>
      <c r="AP6">
        <v>10</v>
      </c>
      <c r="AQ6">
        <v>5784</v>
      </c>
      <c r="AR6">
        <v>5.8457466559723166</v>
      </c>
      <c r="AS6">
        <v>3381.179865814388</v>
      </c>
      <c r="AT6">
        <v>4.5172904408828849</v>
      </c>
      <c r="AU6">
        <v>2612.8007910066603</v>
      </c>
      <c r="AV6">
        <v>6.8149143963821501</v>
      </c>
      <c r="AW6">
        <v>3941.7464868674356</v>
      </c>
      <c r="AX6">
        <v>7</v>
      </c>
      <c r="AY6">
        <v>4048.7999999999997</v>
      </c>
      <c r="AZ6">
        <v>4.5910131150401661</v>
      </c>
      <c r="BA6">
        <v>2655.4419857392318</v>
      </c>
      <c r="BB6">
        <v>5.8696689991210915</v>
      </c>
      <c r="BC6">
        <v>3395.0165490916393</v>
      </c>
      <c r="BD6">
        <v>5.451931517105721</v>
      </c>
      <c r="BE6">
        <v>3153.3971894939491</v>
      </c>
      <c r="BF6">
        <v>5.9260008569417444</v>
      </c>
      <c r="BG6">
        <v>3427.598895655105</v>
      </c>
      <c r="BH6">
        <v>8.7537647766692164</v>
      </c>
      <c r="BI6">
        <v>5063.1775468254746</v>
      </c>
      <c r="BJ6">
        <v>6</v>
      </c>
      <c r="BK6">
        <v>3470.3999999999996</v>
      </c>
      <c r="BL6">
        <v>6</v>
      </c>
      <c r="BM6">
        <v>3470.3999999999996</v>
      </c>
      <c r="BN6">
        <v>1.4074194162735978</v>
      </c>
      <c r="BO6">
        <v>814.05139037264894</v>
      </c>
      <c r="BP6">
        <v>9.5871682254155139</v>
      </c>
      <c r="BQ6">
        <v>5545.2181015803335</v>
      </c>
      <c r="BR6">
        <v>2.7137786060268301</v>
      </c>
      <c r="BS6">
        <v>1569.6495457259184</v>
      </c>
      <c r="BT6">
        <v>6.6677056115027735</v>
      </c>
      <c r="BU6">
        <v>3856.6009256932039</v>
      </c>
      <c r="BV6">
        <v>10</v>
      </c>
      <c r="BW6">
        <v>5784</v>
      </c>
      <c r="BX6">
        <v>4.9691175542450576</v>
      </c>
      <c r="BY6">
        <v>2874.1375933753411</v>
      </c>
      <c r="BZ6">
        <v>6.256930233055547</v>
      </c>
      <c r="CA6">
        <v>3619.0084467993283</v>
      </c>
      <c r="CB6">
        <v>9.8849534023812815</v>
      </c>
      <c r="CC6">
        <v>5717.4570479373333</v>
      </c>
      <c r="CD6">
        <v>2.2926907939327767</v>
      </c>
      <c r="CE6">
        <v>1326.0923552107181</v>
      </c>
      <c r="CF6">
        <v>8.1817179108779392</v>
      </c>
      <c r="CG6">
        <v>4732.3056396517995</v>
      </c>
      <c r="CH6">
        <v>7</v>
      </c>
      <c r="CI6">
        <v>4048.7999999999997</v>
      </c>
      <c r="CJ6">
        <v>6</v>
      </c>
      <c r="CK6">
        <v>3470.3999999999996</v>
      </c>
      <c r="CL6">
        <v>1.4962542137028034</v>
      </c>
      <c r="CM6">
        <v>865.43343720570147</v>
      </c>
      <c r="CN6">
        <v>11.046642715061957</v>
      </c>
      <c r="CO6">
        <v>6389.3781463918358</v>
      </c>
      <c r="CP6">
        <v>9.8037019726319095</v>
      </c>
      <c r="CQ6">
        <v>5670.4612209702964</v>
      </c>
      <c r="CR6">
        <v>2.29572804351089</v>
      </c>
      <c r="CS6">
        <v>1327.8491003666986</v>
      </c>
      <c r="CT6">
        <v>10.048594852009931</v>
      </c>
      <c r="CU6">
        <v>5812.1072624025437</v>
      </c>
    </row>
    <row r="7" spans="1:99">
      <c r="C7" s="99" t="s">
        <v>174</v>
      </c>
      <c r="D7">
        <v>1.2113629596266942</v>
      </c>
      <c r="E7">
        <v>955.03855736968569</v>
      </c>
      <c r="F7">
        <v>7.4121052982496289</v>
      </c>
      <c r="G7">
        <v>5843.7038171400072</v>
      </c>
      <c r="H7">
        <v>4.4759612117116196</v>
      </c>
      <c r="I7">
        <v>3528.8478193134411</v>
      </c>
      <c r="J7">
        <v>5</v>
      </c>
      <c r="K7">
        <v>3942</v>
      </c>
      <c r="L7">
        <v>3.0037259597692052</v>
      </c>
      <c r="M7">
        <v>2368.1375466820414</v>
      </c>
      <c r="N7">
        <v>8</v>
      </c>
      <c r="O7">
        <v>6307.2</v>
      </c>
      <c r="P7">
        <v>4.0545108282527451</v>
      </c>
      <c r="Q7">
        <v>3196.5763369944643</v>
      </c>
      <c r="R7">
        <v>6</v>
      </c>
      <c r="S7">
        <v>4730.3999999999996</v>
      </c>
      <c r="T7">
        <v>6</v>
      </c>
      <c r="U7">
        <v>4730.3999999999996</v>
      </c>
      <c r="V7">
        <v>7.1290631554654027</v>
      </c>
      <c r="W7">
        <v>5620.5533917689236</v>
      </c>
      <c r="X7">
        <v>4.0368367452990661</v>
      </c>
      <c r="Y7">
        <v>3182.6420899937834</v>
      </c>
      <c r="Z7">
        <v>6.2629978019762484</v>
      </c>
      <c r="AA7">
        <v>4937.7474670780739</v>
      </c>
      <c r="AB7">
        <v>7.2378208656486098</v>
      </c>
      <c r="AC7">
        <v>5706.2979704773634</v>
      </c>
      <c r="AD7">
        <v>2.5884368132739</v>
      </c>
      <c r="AE7">
        <v>2040.7235835851427</v>
      </c>
      <c r="AF7">
        <v>3.9252680303990641</v>
      </c>
      <c r="AG7">
        <v>3094.681315166622</v>
      </c>
      <c r="AH7">
        <v>7.8332655577241868</v>
      </c>
      <c r="AI7">
        <v>6175.7465657097482</v>
      </c>
      <c r="AJ7">
        <v>4.8879717645192811</v>
      </c>
      <c r="AK7">
        <v>3853.6769391470011</v>
      </c>
      <c r="AL7">
        <v>1.6936338689811719</v>
      </c>
      <c r="AM7">
        <v>1335.2609423047559</v>
      </c>
      <c r="AN7">
        <v>7.5595826403373616</v>
      </c>
      <c r="AO7">
        <v>5959.9749536419758</v>
      </c>
      <c r="AP7">
        <v>8</v>
      </c>
      <c r="AQ7">
        <v>6307.2</v>
      </c>
      <c r="AR7">
        <v>5.0106399908334138</v>
      </c>
      <c r="AS7">
        <v>3950.3885687730635</v>
      </c>
      <c r="AT7">
        <v>4.5172904408828849</v>
      </c>
      <c r="AU7">
        <v>3561.4317835920665</v>
      </c>
      <c r="AV7">
        <v>6.8149143963821501</v>
      </c>
      <c r="AW7">
        <v>5372.8785101076874</v>
      </c>
      <c r="AX7">
        <v>6</v>
      </c>
      <c r="AY7">
        <v>4730.3999999999996</v>
      </c>
      <c r="AZ7">
        <v>4.5910131150401661</v>
      </c>
      <c r="BA7">
        <v>3619.5547398976669</v>
      </c>
      <c r="BB7">
        <v>6.7081931418526759</v>
      </c>
      <c r="BC7">
        <v>5288.7394730366495</v>
      </c>
      <c r="BD7">
        <v>5.451931517105721</v>
      </c>
      <c r="BE7">
        <v>4298.3028080861504</v>
      </c>
      <c r="BF7">
        <v>5.2675563172815503</v>
      </c>
      <c r="BG7">
        <v>4152.9414005447743</v>
      </c>
      <c r="BH7">
        <v>7.9579679787901973</v>
      </c>
      <c r="BI7">
        <v>6274.0619544781912</v>
      </c>
      <c r="BJ7">
        <v>6</v>
      </c>
      <c r="BK7">
        <v>4730.3999999999996</v>
      </c>
      <c r="BL7">
        <v>6</v>
      </c>
      <c r="BM7">
        <v>4730.3999999999996</v>
      </c>
      <c r="BN7">
        <v>1.1728495135613313</v>
      </c>
      <c r="BO7">
        <v>924.67455649175349</v>
      </c>
      <c r="BP7">
        <v>9.5871682254155139</v>
      </c>
      <c r="BQ7">
        <v>7558.5234289175905</v>
      </c>
      <c r="BR7">
        <v>2.7137786060268301</v>
      </c>
      <c r="BS7">
        <v>2139.5430529915529</v>
      </c>
      <c r="BT7">
        <v>6.6677056115027735</v>
      </c>
      <c r="BU7">
        <v>5256.8191041087866</v>
      </c>
      <c r="BV7">
        <v>9</v>
      </c>
      <c r="BW7">
        <v>7095.5999999999995</v>
      </c>
      <c r="BX7">
        <v>4.4722057988205517</v>
      </c>
      <c r="BY7">
        <v>3525.8870517901228</v>
      </c>
      <c r="BZ7">
        <v>5.7258838539675709</v>
      </c>
      <c r="CA7">
        <v>4514.2868304680323</v>
      </c>
      <c r="CB7">
        <v>9.8849534023812815</v>
      </c>
      <c r="CC7">
        <v>7793.2972624374024</v>
      </c>
      <c r="CD7">
        <v>1.9105756616106473</v>
      </c>
      <c r="CE7">
        <v>1506.2978516138344</v>
      </c>
      <c r="CF7">
        <v>8.0129010664668066</v>
      </c>
      <c r="CG7">
        <v>6317.3712008024304</v>
      </c>
      <c r="CH7">
        <v>6</v>
      </c>
      <c r="CI7">
        <v>4730.3999999999996</v>
      </c>
      <c r="CJ7">
        <v>7</v>
      </c>
      <c r="CK7">
        <v>5518.8</v>
      </c>
      <c r="CL7">
        <v>1.6590833764991517</v>
      </c>
      <c r="CM7">
        <v>1308.0213340319312</v>
      </c>
      <c r="CN7">
        <v>10.046642715061957</v>
      </c>
      <c r="CO7">
        <v>7920.7731165548466</v>
      </c>
      <c r="CP7">
        <v>9.8037019726319095</v>
      </c>
      <c r="CQ7">
        <v>7729.2386352229969</v>
      </c>
      <c r="CR7">
        <v>2.29572804351089</v>
      </c>
      <c r="CS7">
        <v>1809.9519895039857</v>
      </c>
      <c r="CT7">
        <v>9.2233606606782512</v>
      </c>
      <c r="CU7">
        <v>7271.6975448787334</v>
      </c>
    </row>
    <row r="8" spans="1:99">
      <c r="C8" s="99" t="s">
        <v>175</v>
      </c>
      <c r="D8">
        <v>1.2045452298362656</v>
      </c>
      <c r="E8">
        <v>372.92720315730776</v>
      </c>
      <c r="F8">
        <v>8.3636045284744895</v>
      </c>
      <c r="G8">
        <v>2589.3719620157017</v>
      </c>
      <c r="H8">
        <v>4.5020697876462616</v>
      </c>
      <c r="I8">
        <v>1393.8408062552824</v>
      </c>
      <c r="J8">
        <v>6.7697771975533678</v>
      </c>
      <c r="K8">
        <v>2095.9230203625225</v>
      </c>
      <c r="L8">
        <v>3.6044711517230463</v>
      </c>
      <c r="M8">
        <v>1115.944268573455</v>
      </c>
      <c r="N8">
        <v>8</v>
      </c>
      <c r="O8">
        <v>2476.7999999999997</v>
      </c>
      <c r="P8">
        <v>4.0545108282527451</v>
      </c>
      <c r="Q8">
        <v>1255.2765524270496</v>
      </c>
      <c r="R8">
        <v>7</v>
      </c>
      <c r="S8">
        <v>2167.1999999999998</v>
      </c>
      <c r="T8">
        <v>6</v>
      </c>
      <c r="U8">
        <v>1857.6</v>
      </c>
      <c r="V8">
        <v>7.1290631554654027</v>
      </c>
      <c r="W8">
        <v>2207.1579529320884</v>
      </c>
      <c r="X8">
        <v>4.8442040943588793</v>
      </c>
      <c r="Y8">
        <v>1499.7655876135088</v>
      </c>
      <c r="Z8">
        <v>7.157711773687141</v>
      </c>
      <c r="AA8">
        <v>2216.0275651335387</v>
      </c>
      <c r="AB8">
        <v>7.2378208656486098</v>
      </c>
      <c r="AC8">
        <v>2240.8293400048092</v>
      </c>
      <c r="AD8">
        <v>2.5884368132739</v>
      </c>
      <c r="AE8">
        <v>801.38003738959935</v>
      </c>
      <c r="AF8">
        <v>3.9252680303990641</v>
      </c>
      <c r="AG8">
        <v>1215.26298221155</v>
      </c>
      <c r="AH8">
        <v>7.8332655577241868</v>
      </c>
      <c r="AI8">
        <v>2425.1790166714081</v>
      </c>
      <c r="AJ8">
        <v>4.073309803766068</v>
      </c>
      <c r="AK8">
        <v>1261.0967152459746</v>
      </c>
      <c r="AL8">
        <v>1.6936338689811719</v>
      </c>
      <c r="AM8">
        <v>524.34904583657078</v>
      </c>
      <c r="AN8">
        <v>7.6395230175284139</v>
      </c>
      <c r="AO8">
        <v>2365.1963262267968</v>
      </c>
      <c r="AP8">
        <v>10</v>
      </c>
      <c r="AQ8">
        <v>3095.9999999999995</v>
      </c>
      <c r="AR8">
        <v>5.0106399908334138</v>
      </c>
      <c r="AS8">
        <v>1551.2941411620247</v>
      </c>
      <c r="AT8">
        <v>5.2701721810300324</v>
      </c>
      <c r="AU8">
        <v>1631.6453072468978</v>
      </c>
      <c r="AV8">
        <v>6.8149143963821501</v>
      </c>
      <c r="AW8">
        <v>2109.8974971199136</v>
      </c>
      <c r="AX8">
        <v>6</v>
      </c>
      <c r="AY8">
        <v>1857.6</v>
      </c>
      <c r="AZ8">
        <v>4.5910131150401661</v>
      </c>
      <c r="BA8">
        <v>1421.3776604164352</v>
      </c>
      <c r="BB8">
        <v>6.7081931418526759</v>
      </c>
      <c r="BC8">
        <v>2076.8565967175882</v>
      </c>
      <c r="BD8">
        <v>5.451931517105721</v>
      </c>
      <c r="BE8">
        <v>1687.917997695931</v>
      </c>
      <c r="BF8">
        <v>6.5844453966019376</v>
      </c>
      <c r="BG8">
        <v>2038.5442947879596</v>
      </c>
      <c r="BH8">
        <v>7.1621711809111774</v>
      </c>
      <c r="BI8">
        <v>2217.4081976101002</v>
      </c>
      <c r="BJ8">
        <v>6</v>
      </c>
      <c r="BK8">
        <v>1857.6</v>
      </c>
      <c r="BL8">
        <v>6</v>
      </c>
      <c r="BM8">
        <v>1857.6</v>
      </c>
      <c r="BN8">
        <v>1.4074194162735978</v>
      </c>
      <c r="BO8">
        <v>435.73705127830584</v>
      </c>
      <c r="BP8">
        <v>8.5871682254155139</v>
      </c>
      <c r="BQ8">
        <v>2658.5872825886427</v>
      </c>
      <c r="BR8">
        <v>3.0530009317801841</v>
      </c>
      <c r="BS8">
        <v>945.20908847914484</v>
      </c>
      <c r="BT8">
        <v>6.6677056115027735</v>
      </c>
      <c r="BU8">
        <v>2064.3216573212585</v>
      </c>
      <c r="BV8">
        <v>11</v>
      </c>
      <c r="BW8">
        <v>3405.5999999999995</v>
      </c>
      <c r="BX8">
        <v>4.9691175542450576</v>
      </c>
      <c r="BY8">
        <v>1538.4387947942696</v>
      </c>
      <c r="BZ8">
        <v>5.7258838539675709</v>
      </c>
      <c r="CA8">
        <v>1772.7336411883598</v>
      </c>
      <c r="CB8">
        <v>10.032445636111495</v>
      </c>
      <c r="CC8">
        <v>3106.0451689401184</v>
      </c>
      <c r="CD8">
        <v>2.2926907939327767</v>
      </c>
      <c r="CE8">
        <v>709.81706980158765</v>
      </c>
      <c r="CF8">
        <v>9.3505347552890736</v>
      </c>
      <c r="CG8">
        <v>2894.9255602374969</v>
      </c>
      <c r="CH8">
        <v>6</v>
      </c>
      <c r="CI8">
        <v>1857.6</v>
      </c>
      <c r="CJ8">
        <v>7</v>
      </c>
      <c r="CK8">
        <v>2167.1999999999998</v>
      </c>
      <c r="CL8">
        <v>1.6590833764991517</v>
      </c>
      <c r="CM8">
        <v>513.65221336413731</v>
      </c>
      <c r="CN8">
        <v>10.16293635006884</v>
      </c>
      <c r="CO8">
        <v>3146.4450939813123</v>
      </c>
      <c r="CP8">
        <v>9.8037019726319095</v>
      </c>
      <c r="CQ8">
        <v>3035.2261307268386</v>
      </c>
      <c r="CR8">
        <v>2.29572804351089</v>
      </c>
      <c r="CS8">
        <v>710.75740227097151</v>
      </c>
      <c r="CT8">
        <v>10.223360660678251</v>
      </c>
      <c r="CU8">
        <v>3165.1524605459863</v>
      </c>
    </row>
    <row r="9" spans="1:99">
      <c r="C9" s="99" t="s">
        <v>176</v>
      </c>
      <c r="D9">
        <v>1.3542611673419951</v>
      </c>
      <c r="E9">
        <v>950.69133947408056</v>
      </c>
      <c r="F9">
        <v>8.269653192640039</v>
      </c>
      <c r="G9">
        <v>5805.2965412333069</v>
      </c>
      <c r="H9">
        <v>4.5020697876462616</v>
      </c>
      <c r="I9">
        <v>3160.4529909276757</v>
      </c>
      <c r="J9">
        <v>6</v>
      </c>
      <c r="K9">
        <v>4212</v>
      </c>
      <c r="L9">
        <v>3.0037259597692052</v>
      </c>
      <c r="M9">
        <v>2108.6156237579821</v>
      </c>
      <c r="N9">
        <v>8</v>
      </c>
      <c r="O9">
        <v>5616</v>
      </c>
      <c r="P9">
        <v>3.4827160886200947</v>
      </c>
      <c r="Q9">
        <v>2444.8666942113064</v>
      </c>
      <c r="R9">
        <v>7</v>
      </c>
      <c r="S9">
        <v>4914</v>
      </c>
      <c r="T9">
        <v>6</v>
      </c>
      <c r="U9">
        <v>4212</v>
      </c>
      <c r="V9">
        <v>7.1290631554654027</v>
      </c>
      <c r="W9">
        <v>5004.602335136713</v>
      </c>
      <c r="X9">
        <v>4.0368367452990661</v>
      </c>
      <c r="Y9">
        <v>2833.8593951999446</v>
      </c>
      <c r="Z9">
        <v>6.2629978019762484</v>
      </c>
      <c r="AA9">
        <v>4396.6244569873261</v>
      </c>
      <c r="AB9">
        <v>7.2378208656486098</v>
      </c>
      <c r="AC9">
        <v>5080.950247685324</v>
      </c>
      <c r="AD9">
        <v>2.5884368132739</v>
      </c>
      <c r="AE9">
        <v>1817.0826429182778</v>
      </c>
      <c r="AF9">
        <v>4.4921196169692168</v>
      </c>
      <c r="AG9">
        <v>3153.4679711123904</v>
      </c>
      <c r="AH9">
        <v>8.8332655577241859</v>
      </c>
      <c r="AI9">
        <v>6200.9524215223782</v>
      </c>
      <c r="AJ9">
        <v>4.8879717645192811</v>
      </c>
      <c r="AK9">
        <v>3431.3561786925352</v>
      </c>
      <c r="AL9">
        <v>1.8791375027629706</v>
      </c>
      <c r="AM9">
        <v>1319.1545269396054</v>
      </c>
      <c r="AN9">
        <v>6.5595826403373616</v>
      </c>
      <c r="AO9">
        <v>4604.8270135168277</v>
      </c>
      <c r="AP9">
        <v>10</v>
      </c>
      <c r="AQ9">
        <v>7020</v>
      </c>
      <c r="AR9">
        <v>5.0106399908334138</v>
      </c>
      <c r="AS9">
        <v>3517.4692735650565</v>
      </c>
      <c r="AT9">
        <v>4.5172904408828849</v>
      </c>
      <c r="AU9">
        <v>3171.1378894997852</v>
      </c>
      <c r="AV9">
        <v>6.8149143963821501</v>
      </c>
      <c r="AW9">
        <v>4784.0699062602698</v>
      </c>
      <c r="AX9">
        <v>6</v>
      </c>
      <c r="AY9">
        <v>4212</v>
      </c>
      <c r="AZ9">
        <v>4.5910131150401661</v>
      </c>
      <c r="BA9">
        <v>3222.8912067581964</v>
      </c>
      <c r="BB9">
        <v>5.8696689991210915</v>
      </c>
      <c r="BC9">
        <v>4120.5076373830061</v>
      </c>
      <c r="BD9">
        <v>5.451931517105721</v>
      </c>
      <c r="BE9">
        <v>3827.2559250082163</v>
      </c>
      <c r="BF9">
        <v>6.5844453966019376</v>
      </c>
      <c r="BG9">
        <v>4622.2806684145598</v>
      </c>
      <c r="BH9">
        <v>7.9579679787901973</v>
      </c>
      <c r="BI9">
        <v>5586.4935211107186</v>
      </c>
      <c r="BJ9">
        <v>6</v>
      </c>
      <c r="BK9">
        <v>4212</v>
      </c>
      <c r="BL9">
        <v>6</v>
      </c>
      <c r="BM9">
        <v>4212</v>
      </c>
      <c r="BN9">
        <v>1.4074194162735978</v>
      </c>
      <c r="BO9">
        <v>988.00843022406571</v>
      </c>
      <c r="BP9">
        <v>8.5871682254155139</v>
      </c>
      <c r="BQ9">
        <v>6028.1920942416909</v>
      </c>
      <c r="BR9">
        <v>3.0530009317801841</v>
      </c>
      <c r="BS9">
        <v>2143.2066541096892</v>
      </c>
      <c r="BT9">
        <v>6.5564213429189779</v>
      </c>
      <c r="BU9">
        <v>4602.6077827291228</v>
      </c>
      <c r="BV9">
        <v>10</v>
      </c>
      <c r="BW9">
        <v>7020</v>
      </c>
      <c r="BX9">
        <v>4.9691175542450576</v>
      </c>
      <c r="BY9">
        <v>3488.3205230800304</v>
      </c>
      <c r="BZ9">
        <v>5.7778113618535478</v>
      </c>
      <c r="CA9">
        <v>4056.0235760211904</v>
      </c>
      <c r="CB9">
        <v>8.8849534023812815</v>
      </c>
      <c r="CC9">
        <v>6237.2372884716597</v>
      </c>
      <c r="CD9">
        <v>2.2926907939327767</v>
      </c>
      <c r="CE9">
        <v>1609.4689373408094</v>
      </c>
      <c r="CF9">
        <v>8.0129010664668066</v>
      </c>
      <c r="CG9">
        <v>5625.0565486596979</v>
      </c>
      <c r="CH9">
        <v>6</v>
      </c>
      <c r="CI9">
        <v>4212</v>
      </c>
      <c r="CJ9">
        <v>6</v>
      </c>
      <c r="CK9">
        <v>4212</v>
      </c>
      <c r="CL9">
        <v>1.6590833764991517</v>
      </c>
      <c r="CM9">
        <v>1164.6765303024044</v>
      </c>
      <c r="CN9">
        <v>10.16293635006884</v>
      </c>
      <c r="CO9">
        <v>7134.3813177483253</v>
      </c>
      <c r="CP9">
        <v>8.9124563387562805</v>
      </c>
      <c r="CQ9">
        <v>6256.5443498069089</v>
      </c>
      <c r="CR9">
        <v>2.29572804351089</v>
      </c>
      <c r="CS9">
        <v>1611.6010865446449</v>
      </c>
      <c r="CT9">
        <v>10.223360660678251</v>
      </c>
      <c r="CU9">
        <v>7176.7991837961326</v>
      </c>
    </row>
    <row r="10" spans="1:99">
      <c r="C10" s="99" t="s">
        <v>177</v>
      </c>
      <c r="D10">
        <v>1.3474434375515665</v>
      </c>
      <c r="E10">
        <v>734.08718477809339</v>
      </c>
      <c r="F10">
        <v>8.3636045284744895</v>
      </c>
      <c r="G10">
        <v>4556.491747112902</v>
      </c>
      <c r="H10">
        <v>4.5020697876462616</v>
      </c>
      <c r="I10">
        <v>2452.7276203096831</v>
      </c>
      <c r="J10">
        <v>6.64148099796114</v>
      </c>
      <c r="K10">
        <v>3618.2788476892288</v>
      </c>
      <c r="L10">
        <v>3.6044711517230463</v>
      </c>
      <c r="M10">
        <v>1963.7158834587156</v>
      </c>
      <c r="N10">
        <v>9</v>
      </c>
      <c r="O10">
        <v>4903.2</v>
      </c>
      <c r="P10">
        <v>4.0545108282527451</v>
      </c>
      <c r="Q10">
        <v>2208.8974992320955</v>
      </c>
      <c r="R10">
        <v>7</v>
      </c>
      <c r="S10">
        <v>3813.5999999999995</v>
      </c>
      <c r="T10">
        <v>6</v>
      </c>
      <c r="U10">
        <v>3268.7999999999997</v>
      </c>
      <c r="V10">
        <v>7.1290631554654027</v>
      </c>
      <c r="W10">
        <v>3883.913607097551</v>
      </c>
      <c r="X10">
        <v>4.0368367452990661</v>
      </c>
      <c r="Y10">
        <v>2199.2686588389311</v>
      </c>
      <c r="Z10">
        <v>7.157711773687141</v>
      </c>
      <c r="AA10">
        <v>3899.5213743047539</v>
      </c>
      <c r="AB10">
        <v>8.0420231840540115</v>
      </c>
      <c r="AC10">
        <v>4381.2942306726254</v>
      </c>
      <c r="AD10">
        <v>2.5884368132739</v>
      </c>
      <c r="AE10">
        <v>1410.1803758716205</v>
      </c>
      <c r="AF10">
        <v>4.4970925383142095</v>
      </c>
      <c r="AG10">
        <v>2450.0160148735813</v>
      </c>
      <c r="AH10">
        <v>7.8332655577241868</v>
      </c>
      <c r="AI10">
        <v>4267.5630758481366</v>
      </c>
      <c r="AJ10">
        <v>4.8879717645192811</v>
      </c>
      <c r="AK10">
        <v>2662.967017310104</v>
      </c>
      <c r="AL10">
        <v>1.8791375027629706</v>
      </c>
      <c r="AM10">
        <v>1023.7541115052663</v>
      </c>
      <c r="AN10">
        <v>7.5595826403373616</v>
      </c>
      <c r="AO10">
        <v>4118.4606224557947</v>
      </c>
      <c r="AP10">
        <v>10</v>
      </c>
      <c r="AQ10">
        <v>5448</v>
      </c>
      <c r="AR10">
        <v>5.8457466559723166</v>
      </c>
      <c r="AS10">
        <v>3184.7627781737178</v>
      </c>
      <c r="AT10">
        <v>4.5172904408828849</v>
      </c>
      <c r="AU10">
        <v>2461.0198321929956</v>
      </c>
      <c r="AV10">
        <v>6.8149143963821501</v>
      </c>
      <c r="AW10">
        <v>3712.7653631489952</v>
      </c>
      <c r="AX10">
        <v>6</v>
      </c>
      <c r="AY10">
        <v>3268.7999999999997</v>
      </c>
      <c r="AZ10">
        <v>4.5910131150401661</v>
      </c>
      <c r="BA10">
        <v>2501.1839450738821</v>
      </c>
      <c r="BB10">
        <v>5.8696689991210915</v>
      </c>
      <c r="BC10">
        <v>3197.7956707211706</v>
      </c>
      <c r="BD10">
        <v>5.451931517105721</v>
      </c>
      <c r="BE10">
        <v>2970.2122905191964</v>
      </c>
      <c r="BF10">
        <v>5.9260008569417444</v>
      </c>
      <c r="BG10">
        <v>3228.4852668618619</v>
      </c>
      <c r="BH10">
        <v>8.7537647766692164</v>
      </c>
      <c r="BI10">
        <v>4769.051050329389</v>
      </c>
      <c r="BJ10">
        <v>6</v>
      </c>
      <c r="BK10">
        <v>3268.7999999999997</v>
      </c>
      <c r="BL10">
        <v>5</v>
      </c>
      <c r="BM10">
        <v>2724</v>
      </c>
      <c r="BN10">
        <v>1.1728495135613313</v>
      </c>
      <c r="BO10">
        <v>638.96841498821323</v>
      </c>
      <c r="BP10">
        <v>9.5032870503561551</v>
      </c>
      <c r="BQ10">
        <v>5177.3907850340329</v>
      </c>
      <c r="BR10">
        <v>3.0530009317801841</v>
      </c>
      <c r="BS10">
        <v>1663.2749076338441</v>
      </c>
      <c r="BT10">
        <v>7.6677056115027735</v>
      </c>
      <c r="BU10">
        <v>4177.3660171467109</v>
      </c>
      <c r="BV10">
        <v>10</v>
      </c>
      <c r="BW10">
        <v>5448</v>
      </c>
      <c r="BX10">
        <v>4.4722057988205517</v>
      </c>
      <c r="BY10">
        <v>2436.4577191974363</v>
      </c>
      <c r="BZ10">
        <v>5.7258838539675709</v>
      </c>
      <c r="CA10">
        <v>3119.4615236415325</v>
      </c>
      <c r="CB10">
        <v>9.8849534023812815</v>
      </c>
      <c r="CC10">
        <v>5385.3226136173216</v>
      </c>
      <c r="CD10">
        <v>2.2926907939327767</v>
      </c>
      <c r="CE10">
        <v>1249.0579445345766</v>
      </c>
      <c r="CF10">
        <v>8.1817179108779392</v>
      </c>
      <c r="CG10">
        <v>4457.3999178463009</v>
      </c>
      <c r="CH10">
        <v>7</v>
      </c>
      <c r="CI10">
        <v>3813.5999999999995</v>
      </c>
      <c r="CJ10">
        <v>7</v>
      </c>
      <c r="CK10">
        <v>3813.5999999999995</v>
      </c>
      <c r="CL10">
        <v>1.8236231919919261</v>
      </c>
      <c r="CM10">
        <v>993.50991499720124</v>
      </c>
      <c r="CN10">
        <v>11.279229985075725</v>
      </c>
      <c r="CO10">
        <v>6144.9244958692543</v>
      </c>
      <c r="CP10">
        <v>10.694947606507538</v>
      </c>
      <c r="CQ10">
        <v>5826.6074560253064</v>
      </c>
      <c r="CR10">
        <v>2.29572804351089</v>
      </c>
      <c r="CS10">
        <v>1250.7126381047328</v>
      </c>
      <c r="CT10">
        <v>11.048594852009931</v>
      </c>
      <c r="CU10">
        <v>6019.2744753750094</v>
      </c>
    </row>
    <row r="11" spans="1:99">
      <c r="C11" s="99" t="s">
        <v>178</v>
      </c>
      <c r="D11">
        <v>1.3610788971324237</v>
      </c>
      <c r="E11">
        <v>725.18283639215531</v>
      </c>
      <c r="F11">
        <v>7.4121052982496289</v>
      </c>
      <c r="G11">
        <v>3949.1697029074021</v>
      </c>
      <c r="H11">
        <v>4.4759612117116196</v>
      </c>
      <c r="I11">
        <v>2384.7921335999508</v>
      </c>
      <c r="J11">
        <v>5</v>
      </c>
      <c r="K11">
        <v>2664</v>
      </c>
      <c r="L11">
        <v>3.6044711517230463</v>
      </c>
      <c r="M11">
        <v>1920.4622296380389</v>
      </c>
      <c r="N11">
        <v>8</v>
      </c>
      <c r="O11">
        <v>4262.3999999999996</v>
      </c>
      <c r="P11">
        <v>4.6349635096894275</v>
      </c>
      <c r="Q11">
        <v>2469.5085579625265</v>
      </c>
      <c r="R11">
        <v>6</v>
      </c>
      <c r="S11">
        <v>3196.7999999999997</v>
      </c>
      <c r="T11">
        <v>6</v>
      </c>
      <c r="U11">
        <v>3196.7999999999997</v>
      </c>
      <c r="V11">
        <v>7.1290631554654027</v>
      </c>
      <c r="W11">
        <v>3798.3648492319662</v>
      </c>
      <c r="X11">
        <v>4.0368367452990661</v>
      </c>
      <c r="Y11">
        <v>2150.8266178953422</v>
      </c>
      <c r="Z11">
        <v>7.157711773687141</v>
      </c>
      <c r="AA11">
        <v>3813.6288330205084</v>
      </c>
      <c r="AB11">
        <v>7.2378208656486098</v>
      </c>
      <c r="AC11">
        <v>3856.310957217579</v>
      </c>
      <c r="AD11">
        <v>2.6320537187229953</v>
      </c>
      <c r="AE11">
        <v>1402.3582213356117</v>
      </c>
      <c r="AF11">
        <v>4.4970925383142095</v>
      </c>
      <c r="AG11">
        <v>2396.0509044138107</v>
      </c>
      <c r="AH11">
        <v>7.8332655577241868</v>
      </c>
      <c r="AI11">
        <v>4173.5638891554463</v>
      </c>
      <c r="AJ11">
        <v>4.073309803766068</v>
      </c>
      <c r="AK11">
        <v>2170.2594634465609</v>
      </c>
      <c r="AL11">
        <v>1.697076892544741</v>
      </c>
      <c r="AM11">
        <v>904.202568347838</v>
      </c>
      <c r="AN11">
        <v>7.5595826403373616</v>
      </c>
      <c r="AO11">
        <v>4027.7456307717457</v>
      </c>
      <c r="AP11">
        <v>9</v>
      </c>
      <c r="AQ11">
        <v>4795.2</v>
      </c>
      <c r="AR11">
        <v>5.0106399908334138</v>
      </c>
      <c r="AS11">
        <v>2669.6689871160424</v>
      </c>
      <c r="AT11">
        <v>5.2701721810300324</v>
      </c>
      <c r="AU11">
        <v>2807.947738052801</v>
      </c>
      <c r="AV11">
        <v>6.8149143963821501</v>
      </c>
      <c r="AW11">
        <v>3630.9863903924092</v>
      </c>
      <c r="AX11">
        <v>6</v>
      </c>
      <c r="AY11">
        <v>3196.7999999999997</v>
      </c>
      <c r="AZ11">
        <v>4.5910131150401661</v>
      </c>
      <c r="BA11">
        <v>2446.0917876934004</v>
      </c>
      <c r="BB11">
        <v>6.7081931418526759</v>
      </c>
      <c r="BC11">
        <v>3574.1253059791056</v>
      </c>
      <c r="BD11">
        <v>5.451931517105721</v>
      </c>
      <c r="BE11">
        <v>2904.7891123139279</v>
      </c>
      <c r="BF11">
        <v>6.5844453966019376</v>
      </c>
      <c r="BG11">
        <v>3508.1925073095122</v>
      </c>
      <c r="BH11">
        <v>7.9579679787901973</v>
      </c>
      <c r="BI11">
        <v>4240.0053390994171</v>
      </c>
      <c r="BJ11">
        <v>6</v>
      </c>
      <c r="BK11">
        <v>3196.7999999999997</v>
      </c>
      <c r="BL11">
        <v>6</v>
      </c>
      <c r="BM11">
        <v>3196.7999999999997</v>
      </c>
      <c r="BN11">
        <v>1.4074194162735978</v>
      </c>
      <c r="BO11">
        <v>749.87306499057286</v>
      </c>
      <c r="BP11">
        <v>9.5871682254155139</v>
      </c>
      <c r="BQ11">
        <v>5108.0432305013856</v>
      </c>
      <c r="BR11">
        <v>3.0530009317801841</v>
      </c>
      <c r="BS11">
        <v>1626.638896452482</v>
      </c>
      <c r="BT11">
        <v>6.6677056115027735</v>
      </c>
      <c r="BU11">
        <v>3552.5535498086774</v>
      </c>
      <c r="BV11">
        <v>10</v>
      </c>
      <c r="BW11">
        <v>5328</v>
      </c>
      <c r="BX11">
        <v>4.9691175542450576</v>
      </c>
      <c r="BY11">
        <v>2647.5458329017665</v>
      </c>
      <c r="BZ11">
        <v>6.3088577409415239</v>
      </c>
      <c r="CA11">
        <v>3361.3594043736434</v>
      </c>
      <c r="CB11">
        <v>9.8849534023812815</v>
      </c>
      <c r="CC11">
        <v>5266.7031727887461</v>
      </c>
      <c r="CD11">
        <v>1.9105756616106473</v>
      </c>
      <c r="CE11">
        <v>1017.9547125061528</v>
      </c>
      <c r="CF11">
        <v>8.1817179108779392</v>
      </c>
      <c r="CG11">
        <v>4359.2193029157652</v>
      </c>
      <c r="CH11">
        <v>6</v>
      </c>
      <c r="CI11">
        <v>3196.7999999999997</v>
      </c>
      <c r="CJ11">
        <v>7</v>
      </c>
      <c r="CK11">
        <v>3729.5999999999995</v>
      </c>
      <c r="CL11">
        <v>1.6573727238027256</v>
      </c>
      <c r="CM11">
        <v>883.04818724209213</v>
      </c>
      <c r="CN11">
        <v>10.16293635006884</v>
      </c>
      <c r="CO11">
        <v>5414.8124873166771</v>
      </c>
      <c r="CP11">
        <v>8.9124563387562805</v>
      </c>
      <c r="CQ11">
        <v>4748.5567372893456</v>
      </c>
      <c r="CR11">
        <v>1.9131067029257416</v>
      </c>
      <c r="CS11">
        <v>1019.303251318835</v>
      </c>
      <c r="CT11">
        <v>10.223360660678251</v>
      </c>
      <c r="CU11">
        <v>5447.0065600093722</v>
      </c>
    </row>
    <row r="12" spans="1:99">
      <c r="C12" s="99" t="s">
        <v>179</v>
      </c>
      <c r="D12">
        <v>1.497159375057296</v>
      </c>
      <c r="E12">
        <v>842.60129628224615</v>
      </c>
      <c r="F12">
        <v>8.3636045284744895</v>
      </c>
      <c r="G12">
        <v>4707.0366286254421</v>
      </c>
      <c r="H12">
        <v>4.4759612117116196</v>
      </c>
      <c r="I12">
        <v>2519.0709699512995</v>
      </c>
      <c r="J12">
        <v>6.7697771975533678</v>
      </c>
      <c r="K12">
        <v>3810.0306067830352</v>
      </c>
      <c r="L12">
        <v>3.6044711517230463</v>
      </c>
      <c r="M12">
        <v>2028.5963641897304</v>
      </c>
      <c r="N12">
        <v>7</v>
      </c>
      <c r="O12">
        <v>3939.5999999999995</v>
      </c>
      <c r="P12">
        <v>4.6349635096894275</v>
      </c>
      <c r="Q12">
        <v>2608.5574632532098</v>
      </c>
      <c r="R12">
        <v>7</v>
      </c>
      <c r="S12">
        <v>3939.5999999999995</v>
      </c>
      <c r="T12">
        <v>6</v>
      </c>
      <c r="U12">
        <v>3376.7999999999997</v>
      </c>
      <c r="V12">
        <v>7.1290631554654027</v>
      </c>
      <c r="W12">
        <v>4012.2367438959282</v>
      </c>
      <c r="X12">
        <v>4.0368367452990661</v>
      </c>
      <c r="Y12">
        <v>2271.9317202543143</v>
      </c>
      <c r="Z12">
        <v>7.157711773687141</v>
      </c>
      <c r="AA12">
        <v>4028.3601862311225</v>
      </c>
      <c r="AB12">
        <v>8.0420231840540115</v>
      </c>
      <c r="AC12">
        <v>4526.0506479855976</v>
      </c>
      <c r="AD12">
        <v>2.9208275819280902</v>
      </c>
      <c r="AE12">
        <v>1643.841763109129</v>
      </c>
      <c r="AF12">
        <v>4.487146695624225</v>
      </c>
      <c r="AG12">
        <v>2525.3661602973134</v>
      </c>
      <c r="AH12">
        <v>7.8332655577241868</v>
      </c>
      <c r="AI12">
        <v>4408.561855887172</v>
      </c>
      <c r="AJ12">
        <v>4.8879717645192811</v>
      </c>
      <c r="AK12">
        <v>2750.9505090714511</v>
      </c>
      <c r="AL12">
        <v>1.8825805263265396</v>
      </c>
      <c r="AM12">
        <v>1059.5163202165763</v>
      </c>
      <c r="AN12">
        <v>6.5595826403373616</v>
      </c>
      <c r="AO12">
        <v>3691.7331099818666</v>
      </c>
      <c r="AP12">
        <v>9</v>
      </c>
      <c r="AQ12">
        <v>5065.2</v>
      </c>
      <c r="AR12">
        <v>5.0106399908334138</v>
      </c>
      <c r="AS12">
        <v>2819.9881868410453</v>
      </c>
      <c r="AT12">
        <v>4.5172904408828849</v>
      </c>
      <c r="AU12">
        <v>2542.3310601288872</v>
      </c>
      <c r="AV12">
        <v>7.572127107091279</v>
      </c>
      <c r="AW12">
        <v>4261.5931358709713</v>
      </c>
      <c r="AX12">
        <v>7</v>
      </c>
      <c r="AY12">
        <v>3939.5999999999995</v>
      </c>
      <c r="AZ12">
        <v>4.5910131150401661</v>
      </c>
      <c r="BA12">
        <v>2583.8221811446051</v>
      </c>
      <c r="BB12">
        <v>6.7081931418526759</v>
      </c>
      <c r="BC12">
        <v>3775.3711002346859</v>
      </c>
      <c r="BD12">
        <v>4.543276264254767</v>
      </c>
      <c r="BE12">
        <v>2556.9558815225828</v>
      </c>
      <c r="BF12">
        <v>6.5844453966019376</v>
      </c>
      <c r="BG12">
        <v>3705.7258692075702</v>
      </c>
      <c r="BH12">
        <v>8.7537647766692164</v>
      </c>
      <c r="BI12">
        <v>4926.6188163094348</v>
      </c>
      <c r="BJ12">
        <v>6</v>
      </c>
      <c r="BK12">
        <v>3376.7999999999997</v>
      </c>
      <c r="BL12">
        <v>6</v>
      </c>
      <c r="BM12">
        <v>3376.7999999999997</v>
      </c>
      <c r="BN12">
        <v>1.1728495135613313</v>
      </c>
      <c r="BO12">
        <v>660.07970623231722</v>
      </c>
      <c r="BP12">
        <v>8.5871682254155139</v>
      </c>
      <c r="BQ12">
        <v>4832.8582772638511</v>
      </c>
      <c r="BR12">
        <v>3.0530009317801841</v>
      </c>
      <c r="BS12">
        <v>1718.2289244058875</v>
      </c>
      <c r="BT12">
        <v>6.6677056115027735</v>
      </c>
      <c r="BU12">
        <v>3752.5847181537606</v>
      </c>
      <c r="BV12">
        <v>10</v>
      </c>
      <c r="BW12">
        <v>5628</v>
      </c>
      <c r="BX12">
        <v>4.9691175542450576</v>
      </c>
      <c r="BY12">
        <v>2796.6193595291184</v>
      </c>
      <c r="BZ12">
        <v>6.256930233055547</v>
      </c>
      <c r="CA12">
        <v>3521.4003351636616</v>
      </c>
      <c r="CB12">
        <v>9.8849534023812815</v>
      </c>
      <c r="CC12">
        <v>5563.2517748601849</v>
      </c>
      <c r="CD12">
        <v>2.2926907939327767</v>
      </c>
      <c r="CE12">
        <v>1290.3263788253666</v>
      </c>
      <c r="CF12">
        <v>9.0129010664668066</v>
      </c>
      <c r="CG12">
        <v>5072.4607202075185</v>
      </c>
      <c r="CH12">
        <v>6</v>
      </c>
      <c r="CI12">
        <v>3376.7999999999997</v>
      </c>
      <c r="CJ12">
        <v>7</v>
      </c>
      <c r="CK12">
        <v>3939.5999999999995</v>
      </c>
      <c r="CL12">
        <v>1.6590833764991517</v>
      </c>
      <c r="CM12">
        <v>933.73212429372256</v>
      </c>
      <c r="CN12">
        <v>11.279229985075725</v>
      </c>
      <c r="CO12">
        <v>6347.9506356006177</v>
      </c>
      <c r="CP12">
        <v>9.8037019726319095</v>
      </c>
      <c r="CQ12">
        <v>5517.5234701972386</v>
      </c>
      <c r="CR12">
        <v>2.29572804351089</v>
      </c>
      <c r="CS12">
        <v>1292.0357428879288</v>
      </c>
      <c r="CT12">
        <v>9.2233606606782512</v>
      </c>
      <c r="CU12">
        <v>5190.9073798297195</v>
      </c>
    </row>
    <row r="13" spans="1:99">
      <c r="C13" s="99" t="s">
        <v>180</v>
      </c>
      <c r="D13">
        <v>1.3474434375515665</v>
      </c>
      <c r="E13">
        <v>114.80218087939346</v>
      </c>
      <c r="F13">
        <v>9.2211524228648987</v>
      </c>
      <c r="G13">
        <v>785.64218642808942</v>
      </c>
      <c r="H13">
        <v>4.5020697876462616</v>
      </c>
      <c r="I13">
        <v>383.57634590746153</v>
      </c>
      <c r="J13">
        <v>6.7697771975533678</v>
      </c>
      <c r="K13">
        <v>576.78501723154693</v>
      </c>
      <c r="L13">
        <v>3.6044711517230463</v>
      </c>
      <c r="M13">
        <v>307.10094212680355</v>
      </c>
      <c r="N13">
        <v>9</v>
      </c>
      <c r="O13">
        <v>766.80000000000007</v>
      </c>
      <c r="P13">
        <v>4.0631687700567776</v>
      </c>
      <c r="Q13">
        <v>346.18197920883745</v>
      </c>
      <c r="R13">
        <v>7</v>
      </c>
      <c r="S13">
        <v>596.4</v>
      </c>
      <c r="T13">
        <v>6</v>
      </c>
      <c r="U13">
        <v>511.20000000000005</v>
      </c>
      <c r="V13">
        <v>8.0201960498985798</v>
      </c>
      <c r="W13">
        <v>683.32070345135901</v>
      </c>
      <c r="X13">
        <v>4.8442040943588793</v>
      </c>
      <c r="Y13">
        <v>412.7261888393765</v>
      </c>
      <c r="Z13">
        <v>7.157711773687141</v>
      </c>
      <c r="AA13">
        <v>609.83704311814438</v>
      </c>
      <c r="AB13">
        <v>7.2378208656486098</v>
      </c>
      <c r="AC13">
        <v>616.66233775326157</v>
      </c>
      <c r="AD13">
        <v>2.5884368132739</v>
      </c>
      <c r="AE13">
        <v>220.53481649093629</v>
      </c>
      <c r="AF13">
        <v>4.487146695624225</v>
      </c>
      <c r="AG13">
        <v>382.30489846718399</v>
      </c>
      <c r="AH13">
        <v>7.8332655577241868</v>
      </c>
      <c r="AI13">
        <v>667.39422551810071</v>
      </c>
      <c r="AJ13">
        <v>4.8879717645192811</v>
      </c>
      <c r="AK13">
        <v>416.45519433704277</v>
      </c>
      <c r="AL13">
        <v>1.8791375027629706</v>
      </c>
      <c r="AM13">
        <v>160.10251523540509</v>
      </c>
      <c r="AN13">
        <v>7.5595826403373616</v>
      </c>
      <c r="AO13">
        <v>644.07644095674323</v>
      </c>
      <c r="AP13">
        <v>10</v>
      </c>
      <c r="AQ13">
        <v>852</v>
      </c>
      <c r="AR13">
        <v>5.8457466559723166</v>
      </c>
      <c r="AS13">
        <v>498.05761508884137</v>
      </c>
      <c r="AT13">
        <v>4.5172904408828849</v>
      </c>
      <c r="AU13">
        <v>384.87314556322178</v>
      </c>
      <c r="AV13">
        <v>8.3293398178004061</v>
      </c>
      <c r="AW13">
        <v>709.65975247659458</v>
      </c>
      <c r="AX13">
        <v>7</v>
      </c>
      <c r="AY13">
        <v>596.4</v>
      </c>
      <c r="AZ13">
        <v>4.5910131150401661</v>
      </c>
      <c r="BA13">
        <v>391.15431740142219</v>
      </c>
      <c r="BB13">
        <v>6.7081931418526759</v>
      </c>
      <c r="BC13">
        <v>571.53805568584801</v>
      </c>
      <c r="BD13">
        <v>4.543276264254767</v>
      </c>
      <c r="BE13">
        <v>387.08713771450618</v>
      </c>
      <c r="BF13">
        <v>6.5844453966019376</v>
      </c>
      <c r="BG13">
        <v>560.99474779048512</v>
      </c>
      <c r="BH13">
        <v>8.7537647766692164</v>
      </c>
      <c r="BI13">
        <v>745.82075897221728</v>
      </c>
      <c r="BJ13">
        <v>6</v>
      </c>
      <c r="BK13">
        <v>511.20000000000005</v>
      </c>
      <c r="BL13">
        <v>7</v>
      </c>
      <c r="BM13">
        <v>596.4</v>
      </c>
      <c r="BN13">
        <v>1.4074194162735978</v>
      </c>
      <c r="BO13">
        <v>119.91213426651053</v>
      </c>
      <c r="BP13">
        <v>9.5871682254155139</v>
      </c>
      <c r="BQ13">
        <v>816.82673280540178</v>
      </c>
      <c r="BR13">
        <v>3.0530009317801841</v>
      </c>
      <c r="BS13">
        <v>260.11567938767166</v>
      </c>
      <c r="BT13">
        <v>7.6677056115027735</v>
      </c>
      <c r="BU13">
        <v>653.2885181000363</v>
      </c>
      <c r="BV13">
        <v>11</v>
      </c>
      <c r="BW13">
        <v>937.2</v>
      </c>
      <c r="BX13">
        <v>4.4722057988205517</v>
      </c>
      <c r="BY13">
        <v>381.031934059511</v>
      </c>
      <c r="BZ13">
        <v>6.256930233055547</v>
      </c>
      <c r="CA13">
        <v>533.0904558563326</v>
      </c>
      <c r="CB13">
        <v>10.032445636111495</v>
      </c>
      <c r="CC13">
        <v>854.76436819669937</v>
      </c>
      <c r="CD13">
        <v>2.3655185801598262</v>
      </c>
      <c r="CE13">
        <v>201.54218302961721</v>
      </c>
      <c r="CF13">
        <v>8.1817179108779392</v>
      </c>
      <c r="CG13">
        <v>697.0823660068005</v>
      </c>
      <c r="CH13">
        <v>7</v>
      </c>
      <c r="CI13">
        <v>596.4</v>
      </c>
      <c r="CJ13">
        <v>7</v>
      </c>
      <c r="CK13">
        <v>596.4</v>
      </c>
      <c r="CL13">
        <v>1.6573727238027256</v>
      </c>
      <c r="CM13">
        <v>141.20815606799223</v>
      </c>
      <c r="CN13">
        <v>10.279229985075725</v>
      </c>
      <c r="CO13">
        <v>875.79039472845182</v>
      </c>
      <c r="CP13">
        <v>10.694947606507538</v>
      </c>
      <c r="CQ13">
        <v>911.20953607444233</v>
      </c>
      <c r="CR13">
        <v>2.29572804351089</v>
      </c>
      <c r="CS13">
        <v>195.59602930712782</v>
      </c>
      <c r="CT13">
        <v>11.223360660678251</v>
      </c>
      <c r="CU13">
        <v>956.23032828978705</v>
      </c>
    </row>
    <row r="14" spans="1:99">
      <c r="C14" s="99" t="s">
        <v>181</v>
      </c>
      <c r="D14">
        <v>1.3542611673419951</v>
      </c>
      <c r="E14">
        <v>661.42115412983037</v>
      </c>
      <c r="F14">
        <v>8.3636045284744895</v>
      </c>
      <c r="G14">
        <v>4084.7844517069407</v>
      </c>
      <c r="H14">
        <v>4.4759612117116196</v>
      </c>
      <c r="I14">
        <v>2186.0594557999548</v>
      </c>
      <c r="J14">
        <v>6.7697771975533678</v>
      </c>
      <c r="K14">
        <v>3306.3591832850648</v>
      </c>
      <c r="L14">
        <v>3.6044711517230463</v>
      </c>
      <c r="M14">
        <v>1760.4237105015357</v>
      </c>
      <c r="N14">
        <v>8.0754265503562728</v>
      </c>
      <c r="O14">
        <v>3944.0383271940036</v>
      </c>
      <c r="P14">
        <v>4.0631687700567776</v>
      </c>
      <c r="Q14">
        <v>1984.4516272957301</v>
      </c>
      <c r="R14">
        <v>6</v>
      </c>
      <c r="S14">
        <v>2930.3999999999996</v>
      </c>
      <c r="T14">
        <v>7</v>
      </c>
      <c r="U14">
        <v>3418.7999999999997</v>
      </c>
      <c r="V14">
        <v>7.1290631554654027</v>
      </c>
      <c r="W14">
        <v>3481.8344451293024</v>
      </c>
      <c r="X14">
        <v>4.0368367452990661</v>
      </c>
      <c r="Y14">
        <v>1971.5910664040639</v>
      </c>
      <c r="Z14">
        <v>7.157711773687141</v>
      </c>
      <c r="AA14">
        <v>3495.8264302687994</v>
      </c>
      <c r="AB14">
        <v>7.2378208656486098</v>
      </c>
      <c r="AC14">
        <v>3534.951710782781</v>
      </c>
      <c r="AD14">
        <v>2.5884368132739</v>
      </c>
      <c r="AE14">
        <v>1264.1925396029726</v>
      </c>
      <c r="AF14">
        <v>4.4921196169692168</v>
      </c>
      <c r="AG14">
        <v>2193.9512209277655</v>
      </c>
      <c r="AH14">
        <v>7.8332655577241868</v>
      </c>
      <c r="AI14">
        <v>3825.7668983924927</v>
      </c>
      <c r="AJ14">
        <v>4.8879717645192811</v>
      </c>
      <c r="AK14">
        <v>2387.2854097912168</v>
      </c>
      <c r="AL14">
        <v>1.697076892544741</v>
      </c>
      <c r="AM14">
        <v>828.85235431885144</v>
      </c>
      <c r="AN14">
        <v>7.6395230175284139</v>
      </c>
      <c r="AO14">
        <v>3731.1430417608772</v>
      </c>
      <c r="AP14">
        <v>9</v>
      </c>
      <c r="AQ14">
        <v>4395.5999999999995</v>
      </c>
      <c r="AR14">
        <v>5.0106399908334138</v>
      </c>
      <c r="AS14">
        <v>2447.196571523039</v>
      </c>
      <c r="AT14">
        <v>5.2701721810300324</v>
      </c>
      <c r="AU14">
        <v>2573.9520932150676</v>
      </c>
      <c r="AV14">
        <v>7.572127107091279</v>
      </c>
      <c r="AW14">
        <v>3698.2268791033803</v>
      </c>
      <c r="AX14">
        <v>6</v>
      </c>
      <c r="AY14">
        <v>2930.3999999999996</v>
      </c>
      <c r="AZ14">
        <v>3.9351540986058571</v>
      </c>
      <c r="BA14">
        <v>1921.9292617591004</v>
      </c>
      <c r="BB14">
        <v>5.8696689991210915</v>
      </c>
      <c r="BC14">
        <v>2866.7463391707411</v>
      </c>
      <c r="BD14">
        <v>5.451931517105721</v>
      </c>
      <c r="BE14">
        <v>2662.7233529544342</v>
      </c>
      <c r="BF14">
        <v>5.9260008569417444</v>
      </c>
      <c r="BG14">
        <v>2894.258818530348</v>
      </c>
      <c r="BH14">
        <v>8.7537647766692164</v>
      </c>
      <c r="BI14">
        <v>4275.3387169252446</v>
      </c>
      <c r="BJ14">
        <v>6</v>
      </c>
      <c r="BK14">
        <v>2930.3999999999996</v>
      </c>
      <c r="BL14">
        <v>6</v>
      </c>
      <c r="BM14">
        <v>2930.3999999999996</v>
      </c>
      <c r="BN14">
        <v>1.1728495135613313</v>
      </c>
      <c r="BO14">
        <v>572.81970242335422</v>
      </c>
      <c r="BP14">
        <v>9.5871682254155139</v>
      </c>
      <c r="BQ14">
        <v>4682.3729612929365</v>
      </c>
      <c r="BR14">
        <v>3.0530009317801841</v>
      </c>
      <c r="BS14">
        <v>1491.0856550814419</v>
      </c>
      <c r="BT14">
        <v>7.5564213429189779</v>
      </c>
      <c r="BU14">
        <v>3690.5561838816288</v>
      </c>
      <c r="BV14">
        <v>10</v>
      </c>
      <c r="BW14">
        <v>4884</v>
      </c>
      <c r="BX14">
        <v>4.4722057988205517</v>
      </c>
      <c r="BY14">
        <v>2184.2253121439571</v>
      </c>
      <c r="BZ14">
        <v>5.7258838539675709</v>
      </c>
      <c r="CA14">
        <v>2796.5216742777616</v>
      </c>
      <c r="CB14">
        <v>10.032445636111495</v>
      </c>
      <c r="CC14">
        <v>4899.8464486768544</v>
      </c>
      <c r="CD14">
        <v>1.9767827399988742</v>
      </c>
      <c r="CE14">
        <v>965.46069021545009</v>
      </c>
      <c r="CF14">
        <v>9.1817179108779392</v>
      </c>
      <c r="CG14">
        <v>4484.3510276727857</v>
      </c>
      <c r="CH14">
        <v>6</v>
      </c>
      <c r="CI14">
        <v>2930.3999999999996</v>
      </c>
      <c r="CJ14">
        <v>7</v>
      </c>
      <c r="CK14">
        <v>3418.7999999999997</v>
      </c>
      <c r="CL14">
        <v>1.6590833764991517</v>
      </c>
      <c r="CM14">
        <v>810.29632108218561</v>
      </c>
      <c r="CN14">
        <v>11.279229985075725</v>
      </c>
      <c r="CO14">
        <v>5508.7759247109834</v>
      </c>
      <c r="CP14">
        <v>10.694947606507538</v>
      </c>
      <c r="CQ14">
        <v>5223.4124110182811</v>
      </c>
      <c r="CR14">
        <v>2.29572804351089</v>
      </c>
      <c r="CS14">
        <v>1121.2335764507186</v>
      </c>
      <c r="CT14">
        <v>11.223360660678251</v>
      </c>
      <c r="CU14">
        <v>5481.4893466752574</v>
      </c>
    </row>
    <row r="15" spans="1:99">
      <c r="C15" s="99" t="s">
        <v>182</v>
      </c>
      <c r="D15">
        <v>1.2045452298362656</v>
      </c>
      <c r="E15">
        <v>919.30891941103778</v>
      </c>
      <c r="F15">
        <v>8.3636045284744895</v>
      </c>
      <c r="G15">
        <v>6383.1029761317295</v>
      </c>
      <c r="H15">
        <v>3.7473733937161109</v>
      </c>
      <c r="I15">
        <v>2859.9953740841356</v>
      </c>
      <c r="J15">
        <v>5.7697771975533678</v>
      </c>
      <c r="K15">
        <v>4403.49395717273</v>
      </c>
      <c r="L15">
        <v>3.6044711517230463</v>
      </c>
      <c r="M15">
        <v>2750.9323829950285</v>
      </c>
      <c r="N15">
        <v>8</v>
      </c>
      <c r="O15">
        <v>6105.5999999999995</v>
      </c>
      <c r="P15">
        <v>4.0631687700567776</v>
      </c>
      <c r="Q15">
        <v>3101.0104053073323</v>
      </c>
      <c r="R15">
        <v>6</v>
      </c>
      <c r="S15">
        <v>4579.2</v>
      </c>
      <c r="T15">
        <v>6</v>
      </c>
      <c r="U15">
        <v>4579.2</v>
      </c>
      <c r="V15">
        <v>7.1290631554654027</v>
      </c>
      <c r="W15">
        <v>5440.901000251195</v>
      </c>
      <c r="X15">
        <v>4.0368367452990661</v>
      </c>
      <c r="Y15">
        <v>3080.9138040122471</v>
      </c>
      <c r="Z15">
        <v>7.157711773687141</v>
      </c>
      <c r="AA15">
        <v>5462.7656256780256</v>
      </c>
      <c r="AB15">
        <v>7.2378208656486098</v>
      </c>
      <c r="AC15">
        <v>5523.9048846630185</v>
      </c>
      <c r="AD15">
        <v>2.5884368132739</v>
      </c>
      <c r="AE15">
        <v>1975.4949758906403</v>
      </c>
      <c r="AF15">
        <v>3.9252680303990641</v>
      </c>
      <c r="AG15">
        <v>2995.7645608005655</v>
      </c>
      <c r="AH15">
        <v>8.8332655577241859</v>
      </c>
      <c r="AI15">
        <v>6741.5482736550985</v>
      </c>
      <c r="AJ15">
        <v>4.8879717645192811</v>
      </c>
      <c r="AK15">
        <v>3730.5000506811148</v>
      </c>
      <c r="AL15">
        <v>1.697076892544741</v>
      </c>
      <c r="AM15">
        <v>1295.2090843901462</v>
      </c>
      <c r="AN15">
        <v>6.5595826403373616</v>
      </c>
      <c r="AO15">
        <v>5006.2734711054736</v>
      </c>
      <c r="AP15">
        <v>10</v>
      </c>
      <c r="AQ15">
        <v>7631.9999999999991</v>
      </c>
      <c r="AR15">
        <v>5.0106399908334138</v>
      </c>
      <c r="AS15">
        <v>3824.1204410040609</v>
      </c>
      <c r="AT15">
        <v>4.5172904408828849</v>
      </c>
      <c r="AU15">
        <v>3447.5960644818174</v>
      </c>
      <c r="AV15">
        <v>6.8149143963821501</v>
      </c>
      <c r="AW15">
        <v>5201.1426673188562</v>
      </c>
      <c r="AX15">
        <v>6</v>
      </c>
      <c r="AY15">
        <v>4579.2</v>
      </c>
      <c r="AZ15">
        <v>3.9351540986058571</v>
      </c>
      <c r="BA15">
        <v>3003.3096080559899</v>
      </c>
      <c r="BB15">
        <v>5.8696689991210915</v>
      </c>
      <c r="BC15">
        <v>4479.7313801292166</v>
      </c>
      <c r="BD15">
        <v>4.543276264254767</v>
      </c>
      <c r="BE15">
        <v>3467.4284448792378</v>
      </c>
      <c r="BF15">
        <v>5.9260008569417444</v>
      </c>
      <c r="BG15">
        <v>4522.7238540179387</v>
      </c>
      <c r="BH15">
        <v>7.9579679787901973</v>
      </c>
      <c r="BI15">
        <v>6073.5211614126783</v>
      </c>
      <c r="BJ15">
        <v>6</v>
      </c>
      <c r="BK15">
        <v>4579.2</v>
      </c>
      <c r="BL15">
        <v>5</v>
      </c>
      <c r="BM15">
        <v>3815.9999999999995</v>
      </c>
      <c r="BN15">
        <v>1.4074194162735978</v>
      </c>
      <c r="BO15">
        <v>1074.1424985000097</v>
      </c>
      <c r="BP15">
        <v>9.5032870503561551</v>
      </c>
      <c r="BQ15">
        <v>7252.9086768318166</v>
      </c>
      <c r="BR15">
        <v>3.0530009317801841</v>
      </c>
      <c r="BS15">
        <v>2330.0503111346361</v>
      </c>
      <c r="BT15">
        <v>6.6677056115027735</v>
      </c>
      <c r="BU15">
        <v>5088.7929226989163</v>
      </c>
      <c r="BV15">
        <v>9</v>
      </c>
      <c r="BW15">
        <v>6868.7999999999993</v>
      </c>
      <c r="BX15">
        <v>4.9691175542450576</v>
      </c>
      <c r="BY15">
        <v>3792.4305173998277</v>
      </c>
      <c r="BZ15">
        <v>5.7258838539675709</v>
      </c>
      <c r="CA15">
        <v>4369.99455734805</v>
      </c>
      <c r="CB15">
        <v>8.8849534023812815</v>
      </c>
      <c r="CC15">
        <v>6780.9964366973936</v>
      </c>
      <c r="CD15">
        <v>1.9767827399988742</v>
      </c>
      <c r="CE15">
        <v>1508.6805871671406</v>
      </c>
      <c r="CF15">
        <v>8.0129010664668066</v>
      </c>
      <c r="CG15">
        <v>6115.4460939274659</v>
      </c>
      <c r="CH15">
        <v>6</v>
      </c>
      <c r="CI15">
        <v>4579.2</v>
      </c>
      <c r="CJ15">
        <v>7</v>
      </c>
      <c r="CK15">
        <v>5342.4</v>
      </c>
      <c r="CL15">
        <v>1.6590833764991517</v>
      </c>
      <c r="CM15">
        <v>1266.2124329441524</v>
      </c>
      <c r="CN15">
        <v>11.279229985075725</v>
      </c>
      <c r="CO15">
        <v>8608.3083246097922</v>
      </c>
      <c r="CP15">
        <v>9.8037019726319095</v>
      </c>
      <c r="CQ15">
        <v>7482.1853455126729</v>
      </c>
      <c r="CR15">
        <v>2.29572804351089</v>
      </c>
      <c r="CS15">
        <v>1752.0996428075111</v>
      </c>
      <c r="CT15">
        <v>10.223360660678251</v>
      </c>
      <c r="CU15">
        <v>7802.4688562296406</v>
      </c>
    </row>
    <row r="16" spans="1:99">
      <c r="C16" s="99" t="s">
        <v>183</v>
      </c>
      <c r="D16">
        <v>1.3474434375515665</v>
      </c>
      <c r="E16">
        <v>459.20872351757384</v>
      </c>
      <c r="F16">
        <v>8.3636045284744895</v>
      </c>
      <c r="G16">
        <v>2850.3164233041061</v>
      </c>
      <c r="H16">
        <v>4.5020697876462616</v>
      </c>
      <c r="I16">
        <v>1534.3053836298461</v>
      </c>
      <c r="J16">
        <v>5.64148099796114</v>
      </c>
      <c r="K16">
        <v>1922.6167241051567</v>
      </c>
      <c r="L16">
        <v>3.6044711517230463</v>
      </c>
      <c r="M16">
        <v>1228.4037685072142</v>
      </c>
      <c r="N16">
        <v>9.0754265503562728</v>
      </c>
      <c r="O16">
        <v>3092.9053683614179</v>
      </c>
      <c r="P16">
        <v>4.0631687700567776</v>
      </c>
      <c r="Q16">
        <v>1384.7279168353498</v>
      </c>
      <c r="R16">
        <v>7</v>
      </c>
      <c r="S16">
        <v>2385.6</v>
      </c>
      <c r="T16">
        <v>6</v>
      </c>
      <c r="U16">
        <v>2044.8000000000002</v>
      </c>
      <c r="V16">
        <v>7.1290631554654027</v>
      </c>
      <c r="W16">
        <v>2429.5847233826094</v>
      </c>
      <c r="X16">
        <v>4.8442040943588793</v>
      </c>
      <c r="Y16">
        <v>1650.904755357506</v>
      </c>
      <c r="Z16">
        <v>6.2629978019762484</v>
      </c>
      <c r="AA16">
        <v>2134.4296509135056</v>
      </c>
      <c r="AB16">
        <v>7.2378208656486098</v>
      </c>
      <c r="AC16">
        <v>2466.6493510130463</v>
      </c>
      <c r="AD16">
        <v>2.9644444873771851</v>
      </c>
      <c r="AE16">
        <v>1010.2826812981448</v>
      </c>
      <c r="AF16">
        <v>3.9302409517440564</v>
      </c>
      <c r="AG16">
        <v>1339.4261163543745</v>
      </c>
      <c r="AH16">
        <v>8.8332655577241859</v>
      </c>
      <c r="AI16">
        <v>3010.3769020724026</v>
      </c>
      <c r="AJ16">
        <v>4.8879717645192811</v>
      </c>
      <c r="AK16">
        <v>1665.8207773481711</v>
      </c>
      <c r="AL16">
        <v>1.8825805263265396</v>
      </c>
      <c r="AM16">
        <v>641.58344337208473</v>
      </c>
      <c r="AN16">
        <v>7.5595826403373616</v>
      </c>
      <c r="AO16">
        <v>2576.3057638269729</v>
      </c>
      <c r="AP16">
        <v>9</v>
      </c>
      <c r="AQ16">
        <v>3067.2000000000003</v>
      </c>
      <c r="AR16">
        <v>5.8457466559723166</v>
      </c>
      <c r="AS16">
        <v>1992.2304603553655</v>
      </c>
      <c r="AT16">
        <v>5.2701721810300324</v>
      </c>
      <c r="AU16">
        <v>1796.0746792950351</v>
      </c>
      <c r="AV16">
        <v>7.572127107091279</v>
      </c>
      <c r="AW16">
        <v>2580.580918096708</v>
      </c>
      <c r="AX16">
        <v>7</v>
      </c>
      <c r="AY16">
        <v>2385.6</v>
      </c>
      <c r="AZ16">
        <v>4.5910131150401661</v>
      </c>
      <c r="BA16">
        <v>1564.6172696056888</v>
      </c>
      <c r="BB16">
        <v>6.7081931418526759</v>
      </c>
      <c r="BC16">
        <v>2286.152222743392</v>
      </c>
      <c r="BD16">
        <v>5.451931517105721</v>
      </c>
      <c r="BE16">
        <v>1858.0182610296297</v>
      </c>
      <c r="BF16">
        <v>5.9260008569417444</v>
      </c>
      <c r="BG16">
        <v>2019.5810920457466</v>
      </c>
      <c r="BH16">
        <v>8.7537647766692164</v>
      </c>
      <c r="BI16">
        <v>2983.2830358888691</v>
      </c>
      <c r="BJ16">
        <v>5</v>
      </c>
      <c r="BK16">
        <v>1704</v>
      </c>
      <c r="BL16">
        <v>5</v>
      </c>
      <c r="BM16">
        <v>1704</v>
      </c>
      <c r="BN16">
        <v>1.4074194162735978</v>
      </c>
      <c r="BO16">
        <v>479.64853706604214</v>
      </c>
      <c r="BP16">
        <v>9.5871682254155139</v>
      </c>
      <c r="BQ16">
        <v>3267.3069312216071</v>
      </c>
      <c r="BR16">
        <v>3.3922232575335376</v>
      </c>
      <c r="BS16">
        <v>1156.0696861674296</v>
      </c>
      <c r="BT16">
        <v>6.6677056115027735</v>
      </c>
      <c r="BU16">
        <v>2272.3540724001455</v>
      </c>
      <c r="BV16">
        <v>11</v>
      </c>
      <c r="BW16">
        <v>3748.8</v>
      </c>
      <c r="BX16">
        <v>4.4722057988205517</v>
      </c>
      <c r="BY16">
        <v>1524.127736238044</v>
      </c>
      <c r="BZ16">
        <v>5.2467649827655727</v>
      </c>
      <c r="CA16">
        <v>1788.0975061265071</v>
      </c>
      <c r="CB16">
        <v>10.032445636111495</v>
      </c>
      <c r="CC16">
        <v>3419.0574727867975</v>
      </c>
      <c r="CD16">
        <v>1.9105756616106473</v>
      </c>
      <c r="CE16">
        <v>651.12418547690856</v>
      </c>
      <c r="CF16">
        <v>9.1817179108779392</v>
      </c>
      <c r="CG16">
        <v>3129.1294640272017</v>
      </c>
      <c r="CH16">
        <v>6</v>
      </c>
      <c r="CI16">
        <v>2044.8000000000002</v>
      </c>
      <c r="CJ16">
        <v>7</v>
      </c>
      <c r="CK16">
        <v>2385.6</v>
      </c>
      <c r="CL16">
        <v>1.8236231919919261</v>
      </c>
      <c r="CM16">
        <v>621.4907838308485</v>
      </c>
      <c r="CN16">
        <v>11.16293635006884</v>
      </c>
      <c r="CO16">
        <v>3804.3287081034609</v>
      </c>
      <c r="CP16">
        <v>8.9124563387562805</v>
      </c>
      <c r="CQ16">
        <v>3037.3651202481406</v>
      </c>
      <c r="CR16">
        <v>2.29572804351089</v>
      </c>
      <c r="CS16">
        <v>782.38411722851129</v>
      </c>
      <c r="CT16">
        <v>11.223360660678251</v>
      </c>
      <c r="CU16">
        <v>3824.9213131591482</v>
      </c>
    </row>
    <row r="17" spans="2:99">
      <c r="C17" s="99" t="s">
        <v>184</v>
      </c>
      <c r="D17">
        <v>1.3610788971324237</v>
      </c>
      <c r="E17">
        <v>574.91972614873578</v>
      </c>
      <c r="F17">
        <v>8.3636045284744895</v>
      </c>
      <c r="G17">
        <v>3532.7865528276243</v>
      </c>
      <c r="H17">
        <v>4.4759612117116196</v>
      </c>
      <c r="I17">
        <v>1890.6460158269881</v>
      </c>
      <c r="J17">
        <v>6.64148099796114</v>
      </c>
      <c r="K17">
        <v>2805.3615735387853</v>
      </c>
      <c r="L17">
        <v>3.6044711517230463</v>
      </c>
      <c r="M17">
        <v>1522.5286144878146</v>
      </c>
      <c r="N17">
        <v>8</v>
      </c>
      <c r="O17">
        <v>3379.2</v>
      </c>
      <c r="P17">
        <v>4.6349635096894275</v>
      </c>
      <c r="Q17">
        <v>1957.8085864928141</v>
      </c>
      <c r="R17">
        <v>7</v>
      </c>
      <c r="S17">
        <v>2956.7999999999997</v>
      </c>
      <c r="T17">
        <v>6</v>
      </c>
      <c r="U17">
        <v>2534.3999999999996</v>
      </c>
      <c r="V17">
        <v>8.0201960498985798</v>
      </c>
      <c r="W17">
        <v>3387.7308114771599</v>
      </c>
      <c r="X17">
        <v>4.8442040943588793</v>
      </c>
      <c r="Y17">
        <v>2046.1918094571906</v>
      </c>
      <c r="Z17">
        <v>7.157711773687141</v>
      </c>
      <c r="AA17">
        <v>3023.4174532054481</v>
      </c>
      <c r="AB17">
        <v>7.2378208656486098</v>
      </c>
      <c r="AC17">
        <v>3057.2555336499727</v>
      </c>
      <c r="AD17">
        <v>2.6320537187229953</v>
      </c>
      <c r="AE17">
        <v>1111.7794907885932</v>
      </c>
      <c r="AF17">
        <v>4.4921196169692168</v>
      </c>
      <c r="AG17">
        <v>1897.4713262077971</v>
      </c>
      <c r="AH17">
        <v>8.8332655577241859</v>
      </c>
      <c r="AI17">
        <v>3731.1713715826959</v>
      </c>
      <c r="AJ17">
        <v>4.8879717645192811</v>
      </c>
      <c r="AK17">
        <v>2064.6792733329444</v>
      </c>
      <c r="AL17">
        <v>1.8825805263265396</v>
      </c>
      <c r="AM17">
        <v>795.20201432033025</v>
      </c>
      <c r="AN17">
        <v>7.5595826403373616</v>
      </c>
      <c r="AO17">
        <v>3193.1677072785014</v>
      </c>
      <c r="AP17">
        <v>10</v>
      </c>
      <c r="AQ17">
        <v>4224</v>
      </c>
      <c r="AR17">
        <v>5.0106399908334138</v>
      </c>
      <c r="AS17">
        <v>2116.4943321280339</v>
      </c>
      <c r="AT17">
        <v>4.5172904408828849</v>
      </c>
      <c r="AU17">
        <v>1908.1034822289305</v>
      </c>
      <c r="AV17">
        <v>7.572127107091279</v>
      </c>
      <c r="AW17">
        <v>3198.4664900353559</v>
      </c>
      <c r="AX17">
        <v>6</v>
      </c>
      <c r="AY17">
        <v>2534.3999999999996</v>
      </c>
      <c r="AZ17">
        <v>4.5910131150401661</v>
      </c>
      <c r="BA17">
        <v>1939.2439397929661</v>
      </c>
      <c r="BB17">
        <v>6.7081931418526759</v>
      </c>
      <c r="BC17">
        <v>2833.5407831185703</v>
      </c>
      <c r="BD17">
        <v>5.451931517105721</v>
      </c>
      <c r="BE17">
        <v>2302.8958728254565</v>
      </c>
      <c r="BF17">
        <v>5.9260008569417444</v>
      </c>
      <c r="BG17">
        <v>2503.1427619721926</v>
      </c>
      <c r="BH17">
        <v>8.7537647766692164</v>
      </c>
      <c r="BI17">
        <v>3697.590241665077</v>
      </c>
      <c r="BJ17">
        <v>6</v>
      </c>
      <c r="BK17">
        <v>2534.3999999999996</v>
      </c>
      <c r="BL17">
        <v>6</v>
      </c>
      <c r="BM17">
        <v>2534.3999999999996</v>
      </c>
      <c r="BN17">
        <v>1.4074194162735978</v>
      </c>
      <c r="BO17">
        <v>594.49396143396768</v>
      </c>
      <c r="BP17">
        <v>9.5871682254155139</v>
      </c>
      <c r="BQ17">
        <v>4049.6198584155127</v>
      </c>
      <c r="BR17">
        <v>3.3922232575335376</v>
      </c>
      <c r="BS17">
        <v>1432.8751039821661</v>
      </c>
      <c r="BT17">
        <v>6.6677056115027735</v>
      </c>
      <c r="BU17">
        <v>2816.4388502987713</v>
      </c>
      <c r="BV17">
        <v>10</v>
      </c>
      <c r="BW17">
        <v>4224</v>
      </c>
      <c r="BX17">
        <v>4.9691175542450576</v>
      </c>
      <c r="BY17">
        <v>2098.9552549131122</v>
      </c>
      <c r="BZ17">
        <v>5.7258838539675709</v>
      </c>
      <c r="CA17">
        <v>2418.6133399159016</v>
      </c>
      <c r="CB17">
        <v>10.884953402381282</v>
      </c>
      <c r="CC17">
        <v>4597.8043171658528</v>
      </c>
      <c r="CD17">
        <v>2.2926907939327767</v>
      </c>
      <c r="CE17">
        <v>968.43259135720484</v>
      </c>
      <c r="CF17">
        <v>9.0129010664668066</v>
      </c>
      <c r="CG17">
        <v>3807.049410475579</v>
      </c>
      <c r="CH17">
        <v>6</v>
      </c>
      <c r="CI17">
        <v>2534.3999999999996</v>
      </c>
      <c r="CJ17">
        <v>7</v>
      </c>
      <c r="CK17">
        <v>2956.7999999999997</v>
      </c>
      <c r="CL17">
        <v>1.8236231919919261</v>
      </c>
      <c r="CM17">
        <v>770.29843629738957</v>
      </c>
      <c r="CN17">
        <v>11.16293635006884</v>
      </c>
      <c r="CO17">
        <v>4715.2243142690777</v>
      </c>
      <c r="CP17">
        <v>8.9124563387562805</v>
      </c>
      <c r="CQ17">
        <v>3764.6215574906528</v>
      </c>
      <c r="CR17">
        <v>2.29572804351089</v>
      </c>
      <c r="CS17">
        <v>969.71552557899986</v>
      </c>
      <c r="CT17">
        <v>10.223360660678251</v>
      </c>
      <c r="CU17">
        <v>4318.347543070493</v>
      </c>
    </row>
    <row r="18" spans="2:99">
      <c r="C18" s="99" t="s">
        <v>185</v>
      </c>
      <c r="D18">
        <v>1.3610788971324237</v>
      </c>
      <c r="E18">
        <v>888.51230404804608</v>
      </c>
      <c r="F18">
        <v>7.3181539624151783</v>
      </c>
      <c r="G18">
        <v>4777.290906664628</v>
      </c>
      <c r="H18">
        <v>4.4759612117116196</v>
      </c>
      <c r="I18">
        <v>2921.9074790053451</v>
      </c>
      <c r="J18">
        <v>6</v>
      </c>
      <c r="K18">
        <v>3916.7999999999997</v>
      </c>
      <c r="L18">
        <v>3.6044711517230463</v>
      </c>
      <c r="M18">
        <v>2352.9987678448047</v>
      </c>
      <c r="N18">
        <v>8</v>
      </c>
      <c r="O18">
        <v>5222.3999999999996</v>
      </c>
      <c r="P18">
        <v>4.0545108282527451</v>
      </c>
      <c r="Q18">
        <v>2646.7846686833918</v>
      </c>
      <c r="R18">
        <v>7</v>
      </c>
      <c r="S18">
        <v>4569.5999999999995</v>
      </c>
      <c r="T18">
        <v>6</v>
      </c>
      <c r="U18">
        <v>3916.7999999999997</v>
      </c>
      <c r="V18">
        <v>7.1290631554654027</v>
      </c>
      <c r="W18">
        <v>4653.8524278878149</v>
      </c>
      <c r="X18">
        <v>4.0368367452990661</v>
      </c>
      <c r="Y18">
        <v>2635.2470273312301</v>
      </c>
      <c r="Z18">
        <v>8.0524257453980344</v>
      </c>
      <c r="AA18">
        <v>5256.6235265958367</v>
      </c>
      <c r="AB18">
        <v>8.0420231840540115</v>
      </c>
      <c r="AC18">
        <v>5249.8327345504586</v>
      </c>
      <c r="AD18">
        <v>2.6320537187229953</v>
      </c>
      <c r="AE18">
        <v>1718.2046675823713</v>
      </c>
      <c r="AF18">
        <v>3.9302409517440564</v>
      </c>
      <c r="AG18">
        <v>2565.6612932985199</v>
      </c>
      <c r="AH18">
        <v>7.8332655577241868</v>
      </c>
      <c r="AI18">
        <v>5113.555756082349</v>
      </c>
      <c r="AJ18">
        <v>4.8879717645192811</v>
      </c>
      <c r="AK18">
        <v>3190.8679678781864</v>
      </c>
      <c r="AL18">
        <v>1.5081302351993731</v>
      </c>
      <c r="AM18">
        <v>984.50741753815066</v>
      </c>
      <c r="AN18">
        <v>7.4796422631463102</v>
      </c>
      <c r="AO18">
        <v>4882.710469381911</v>
      </c>
      <c r="AP18">
        <v>10</v>
      </c>
      <c r="AQ18">
        <v>6528</v>
      </c>
      <c r="AR18">
        <v>5.0106399908334138</v>
      </c>
      <c r="AS18">
        <v>3270.9457860160524</v>
      </c>
      <c r="AT18">
        <v>4.5172904408828849</v>
      </c>
      <c r="AU18">
        <v>2948.8871998083468</v>
      </c>
      <c r="AV18">
        <v>6.8149143963821501</v>
      </c>
      <c r="AW18">
        <v>4448.7761179582676</v>
      </c>
      <c r="AX18">
        <v>6</v>
      </c>
      <c r="AY18">
        <v>3916.7999999999997</v>
      </c>
      <c r="AZ18">
        <v>4.5910131150401661</v>
      </c>
      <c r="BA18">
        <v>2997.0133614982201</v>
      </c>
      <c r="BB18">
        <v>6.7081931418526759</v>
      </c>
      <c r="BC18">
        <v>4379.108483001427</v>
      </c>
      <c r="BD18">
        <v>4.543276264254767</v>
      </c>
      <c r="BE18">
        <v>2965.8507453055117</v>
      </c>
      <c r="BF18">
        <v>5.9260008569417444</v>
      </c>
      <c r="BG18">
        <v>3868.4933594115705</v>
      </c>
      <c r="BH18">
        <v>7.9579679787901973</v>
      </c>
      <c r="BI18">
        <v>5194.9614965542405</v>
      </c>
      <c r="BJ18">
        <v>6</v>
      </c>
      <c r="BK18">
        <v>3916.7999999999997</v>
      </c>
      <c r="BL18">
        <v>5</v>
      </c>
      <c r="BM18">
        <v>3264</v>
      </c>
      <c r="BN18">
        <v>1.4074194162735978</v>
      </c>
      <c r="BO18">
        <v>918.76339494340459</v>
      </c>
      <c r="BP18">
        <v>9.5871682254155139</v>
      </c>
      <c r="BQ18">
        <v>6258.5034175512474</v>
      </c>
      <c r="BR18">
        <v>3.0530009317801841</v>
      </c>
      <c r="BS18">
        <v>1992.9990082661041</v>
      </c>
      <c r="BT18">
        <v>6.6677056115027735</v>
      </c>
      <c r="BU18">
        <v>4352.6782231890102</v>
      </c>
      <c r="BV18">
        <v>10</v>
      </c>
      <c r="BW18">
        <v>6528</v>
      </c>
      <c r="BX18">
        <v>4.9691175542450576</v>
      </c>
      <c r="BY18">
        <v>3243.8399394111734</v>
      </c>
      <c r="BZ18">
        <v>5.7778113618535478</v>
      </c>
      <c r="CA18">
        <v>3771.755257017996</v>
      </c>
      <c r="CB18">
        <v>9.8849534023812815</v>
      </c>
      <c r="CC18">
        <v>6452.8975810745005</v>
      </c>
      <c r="CD18">
        <v>2.3655185801598262</v>
      </c>
      <c r="CE18">
        <v>1544.2105291283344</v>
      </c>
      <c r="CF18">
        <v>8.0129010664668066</v>
      </c>
      <c r="CG18">
        <v>5230.8218161895311</v>
      </c>
      <c r="CH18">
        <v>6</v>
      </c>
      <c r="CI18">
        <v>3916.7999999999997</v>
      </c>
      <c r="CJ18">
        <v>7</v>
      </c>
      <c r="CK18">
        <v>4569.5999999999995</v>
      </c>
      <c r="CL18">
        <v>1.6590833764991517</v>
      </c>
      <c r="CM18">
        <v>1083.0496281786461</v>
      </c>
      <c r="CN18">
        <v>11.046642715061957</v>
      </c>
      <c r="CO18">
        <v>7211.2483643924452</v>
      </c>
      <c r="CP18">
        <v>8.9124563387562805</v>
      </c>
      <c r="CQ18">
        <v>5818.0514979400996</v>
      </c>
      <c r="CR18">
        <v>2.29572804351089</v>
      </c>
      <c r="CS18">
        <v>1498.6512668039088</v>
      </c>
      <c r="CT18">
        <v>11.048594852009931</v>
      </c>
      <c r="CU18">
        <v>7212.5227193920819</v>
      </c>
    </row>
    <row r="19" spans="2:99">
      <c r="C19" s="99" t="s">
        <v>186</v>
      </c>
      <c r="D19">
        <v>1.497159375057296</v>
      </c>
      <c r="E19">
        <v>494.06259376890767</v>
      </c>
      <c r="F19">
        <v>7.4121052982496289</v>
      </c>
      <c r="G19">
        <v>2445.9947484223776</v>
      </c>
      <c r="H19">
        <v>3.7734819696507538</v>
      </c>
      <c r="I19">
        <v>1245.2490499847488</v>
      </c>
      <c r="J19">
        <v>6</v>
      </c>
      <c r="K19">
        <v>1980</v>
      </c>
      <c r="L19">
        <v>3.6044711517230463</v>
      </c>
      <c r="M19">
        <v>1189.4754800686053</v>
      </c>
      <c r="N19">
        <v>8</v>
      </c>
      <c r="O19">
        <v>2640</v>
      </c>
      <c r="P19">
        <v>4.6349635096894275</v>
      </c>
      <c r="Q19">
        <v>1529.537958197511</v>
      </c>
      <c r="R19">
        <v>7</v>
      </c>
      <c r="S19">
        <v>2310</v>
      </c>
      <c r="T19">
        <v>6</v>
      </c>
      <c r="U19">
        <v>1980</v>
      </c>
      <c r="V19">
        <v>7.1290631554654027</v>
      </c>
      <c r="W19">
        <v>2352.5908413035827</v>
      </c>
      <c r="X19">
        <v>4.0368367452990661</v>
      </c>
      <c r="Y19">
        <v>1332.1561259486919</v>
      </c>
      <c r="Z19">
        <v>7.157711773687141</v>
      </c>
      <c r="AA19">
        <v>2362.0448853167563</v>
      </c>
      <c r="AB19">
        <v>8.0420231840540115</v>
      </c>
      <c r="AC19">
        <v>2653.8676507378236</v>
      </c>
      <c r="AD19">
        <v>2.9208275819280902</v>
      </c>
      <c r="AE19">
        <v>963.87310203626976</v>
      </c>
      <c r="AF19">
        <v>4.4970925383142095</v>
      </c>
      <c r="AG19">
        <v>1484.040537643689</v>
      </c>
      <c r="AH19">
        <v>7.8332655577241868</v>
      </c>
      <c r="AI19">
        <v>2584.9776340489816</v>
      </c>
      <c r="AJ19">
        <v>4.073309803766068</v>
      </c>
      <c r="AK19">
        <v>1344.1922352428023</v>
      </c>
      <c r="AL19">
        <v>1.697076892544741</v>
      </c>
      <c r="AM19">
        <v>560.03537453976458</v>
      </c>
      <c r="AN19">
        <v>7.5595826403373616</v>
      </c>
      <c r="AO19">
        <v>2494.6622713113293</v>
      </c>
      <c r="AP19">
        <v>10</v>
      </c>
      <c r="AQ19">
        <v>3300</v>
      </c>
      <c r="AR19">
        <v>5.8457466559723166</v>
      </c>
      <c r="AS19">
        <v>1929.0963964708644</v>
      </c>
      <c r="AT19">
        <v>5.2701721810300324</v>
      </c>
      <c r="AU19">
        <v>1739.1568197399106</v>
      </c>
      <c r="AV19">
        <v>7.572127107091279</v>
      </c>
      <c r="AW19">
        <v>2498.8019453401221</v>
      </c>
      <c r="AX19">
        <v>7</v>
      </c>
      <c r="AY19">
        <v>2310</v>
      </c>
      <c r="AZ19">
        <v>4.5910131150401661</v>
      </c>
      <c r="BA19">
        <v>1515.0343279632548</v>
      </c>
      <c r="BB19">
        <v>6.7081931418526759</v>
      </c>
      <c r="BC19">
        <v>2213.7037368113829</v>
      </c>
      <c r="BD19">
        <v>5.451931517105721</v>
      </c>
      <c r="BE19">
        <v>1799.137400644888</v>
      </c>
      <c r="BF19">
        <v>5.9260008569417444</v>
      </c>
      <c r="BG19">
        <v>1955.5802827907758</v>
      </c>
      <c r="BH19">
        <v>7.9579679787901973</v>
      </c>
      <c r="BI19">
        <v>2626.1294330007649</v>
      </c>
      <c r="BJ19">
        <v>6</v>
      </c>
      <c r="BK19">
        <v>1980</v>
      </c>
      <c r="BL19">
        <v>6</v>
      </c>
      <c r="BM19">
        <v>1980</v>
      </c>
      <c r="BN19">
        <v>1.4074194162735978</v>
      </c>
      <c r="BO19">
        <v>464.44840737028727</v>
      </c>
      <c r="BP19">
        <v>8.5871682254155139</v>
      </c>
      <c r="BQ19">
        <v>2833.7655143871198</v>
      </c>
      <c r="BR19">
        <v>3.3922232575335376</v>
      </c>
      <c r="BS19">
        <v>1119.4336749860674</v>
      </c>
      <c r="BT19">
        <v>6.6677056115027735</v>
      </c>
      <c r="BU19">
        <v>2200.3428517959151</v>
      </c>
      <c r="BV19">
        <v>10</v>
      </c>
      <c r="BW19">
        <v>3300</v>
      </c>
      <c r="BX19">
        <v>4.9691175542450576</v>
      </c>
      <c r="BY19">
        <v>1639.8087929008691</v>
      </c>
      <c r="BZ19">
        <v>5.7258838539675709</v>
      </c>
      <c r="CA19">
        <v>1889.5416718092984</v>
      </c>
      <c r="CB19">
        <v>10.032445636111495</v>
      </c>
      <c r="CC19">
        <v>3310.7070599167932</v>
      </c>
      <c r="CD19">
        <v>1.9105756616106473</v>
      </c>
      <c r="CE19">
        <v>630.48996833151364</v>
      </c>
      <c r="CF19">
        <v>8.1817179108779392</v>
      </c>
      <c r="CG19">
        <v>2699.9669105897201</v>
      </c>
      <c r="CH19">
        <v>6</v>
      </c>
      <c r="CI19">
        <v>1980</v>
      </c>
      <c r="CJ19">
        <v>7</v>
      </c>
      <c r="CK19">
        <v>2310</v>
      </c>
      <c r="CL19">
        <v>1.6590833764991517</v>
      </c>
      <c r="CM19">
        <v>547.49751424472004</v>
      </c>
      <c r="CN19">
        <v>10.16293635006884</v>
      </c>
      <c r="CO19">
        <v>3353.768995522717</v>
      </c>
      <c r="CP19">
        <v>9.8037019726319095</v>
      </c>
      <c r="CQ19">
        <v>3235.22165096853</v>
      </c>
      <c r="CR19">
        <v>2.29572804351089</v>
      </c>
      <c r="CS19">
        <v>757.59025435859371</v>
      </c>
      <c r="CT19">
        <v>10.223360660678251</v>
      </c>
      <c r="CU19">
        <v>3373.7090180238229</v>
      </c>
    </row>
    <row r="20" spans="2:99">
      <c r="B20" s="99" t="s">
        <v>127</v>
      </c>
      <c r="C20" s="99" t="s">
        <v>187</v>
      </c>
      <c r="D20">
        <v>1.2181806894171228</v>
      </c>
      <c r="E20">
        <v>349.37422172483082</v>
      </c>
      <c r="F20">
        <v>8.3636045284744895</v>
      </c>
      <c r="G20">
        <v>2398.6817787664836</v>
      </c>
      <c r="H20">
        <v>7.2858781799550822</v>
      </c>
      <c r="I20">
        <v>2089.5898620111175</v>
      </c>
      <c r="J20">
        <v>7.1546657963300522</v>
      </c>
      <c r="K20">
        <v>2051.9581503874592</v>
      </c>
      <c r="L20">
        <v>3.6044711517230463</v>
      </c>
      <c r="M20">
        <v>1033.7623263141697</v>
      </c>
      <c r="N20">
        <v>8</v>
      </c>
      <c r="O20">
        <v>2294.4</v>
      </c>
      <c r="P20">
        <v>5.1461526566938511</v>
      </c>
      <c r="Q20">
        <v>1475.9165819397965</v>
      </c>
      <c r="R20">
        <v>8</v>
      </c>
      <c r="S20">
        <v>2294.4</v>
      </c>
      <c r="T20">
        <v>7</v>
      </c>
      <c r="U20">
        <v>2007.6000000000001</v>
      </c>
      <c r="V20">
        <v>8.0201960498985798</v>
      </c>
      <c r="W20">
        <v>2300.1922271109129</v>
      </c>
      <c r="X20">
        <v>8.8810408396579454</v>
      </c>
      <c r="Y20">
        <v>2547.082512813899</v>
      </c>
      <c r="Z20">
        <v>9.1481064413349635</v>
      </c>
      <c r="AA20">
        <v>2623.6769273748678</v>
      </c>
      <c r="AB20">
        <v>5.6294162288378073</v>
      </c>
      <c r="AC20">
        <v>1614.5165744306832</v>
      </c>
      <c r="AD20">
        <v>2.9809889623157551</v>
      </c>
      <c r="AE20">
        <v>854.94763439215853</v>
      </c>
      <c r="AF20">
        <v>5.5980484785524931</v>
      </c>
      <c r="AG20">
        <v>1605.5203036488551</v>
      </c>
      <c r="AH20">
        <v>9.3331435616277219</v>
      </c>
      <c r="AI20">
        <v>2676.7455734748305</v>
      </c>
      <c r="AJ20">
        <v>8.9612815682853491</v>
      </c>
      <c r="AK20">
        <v>2570.0955537842383</v>
      </c>
      <c r="AL20">
        <v>1.1681101797078959</v>
      </c>
      <c r="AM20">
        <v>335.01399954022457</v>
      </c>
      <c r="AN20">
        <v>11.95928452629262</v>
      </c>
      <c r="AO20">
        <v>3429.9228021407239</v>
      </c>
      <c r="AP20">
        <v>8</v>
      </c>
      <c r="AQ20">
        <v>2294.4</v>
      </c>
      <c r="AR20">
        <v>5.8457466559723166</v>
      </c>
      <c r="AS20">
        <v>1676.5601409328603</v>
      </c>
      <c r="AT20">
        <v>4.5172904408828849</v>
      </c>
      <c r="AU20">
        <v>1295.5588984452115</v>
      </c>
      <c r="AV20">
        <v>6.8149143963821501</v>
      </c>
      <c r="AW20">
        <v>1954.5174488824007</v>
      </c>
      <c r="AX20">
        <v>9</v>
      </c>
      <c r="AY20">
        <v>2581.2000000000003</v>
      </c>
      <c r="AZ20">
        <v>6.5585901643430953</v>
      </c>
      <c r="BA20">
        <v>1881.0036591335997</v>
      </c>
      <c r="BB20">
        <v>5.0311448563895071</v>
      </c>
      <c r="BC20">
        <v>1442.9323448125108</v>
      </c>
      <c r="BD20">
        <v>7.2692420228076271</v>
      </c>
      <c r="BE20">
        <v>2084.8186121412277</v>
      </c>
      <c r="BF20">
        <v>5.2675563172815503</v>
      </c>
      <c r="BG20">
        <v>1510.7351517963486</v>
      </c>
      <c r="BH20">
        <v>6.3663743830321584</v>
      </c>
      <c r="BI20">
        <v>1825.876173053623</v>
      </c>
      <c r="BJ20">
        <v>9</v>
      </c>
      <c r="BK20">
        <v>2581.2000000000003</v>
      </c>
      <c r="BL20">
        <v>7</v>
      </c>
      <c r="BM20">
        <v>2007.6000000000001</v>
      </c>
      <c r="BN20">
        <v>2.3456990271226625</v>
      </c>
      <c r="BO20">
        <v>672.74648097877969</v>
      </c>
      <c r="BP20">
        <v>8.1743364508310279</v>
      </c>
      <c r="BQ20">
        <v>2344.3996940983388</v>
      </c>
      <c r="BR20">
        <v>3.3922232575335376</v>
      </c>
      <c r="BS20">
        <v>972.88963026061867</v>
      </c>
      <c r="BT20">
        <v>7.0015584172541612</v>
      </c>
      <c r="BU20">
        <v>2008.0469540684935</v>
      </c>
      <c r="BV20">
        <v>8</v>
      </c>
      <c r="BW20">
        <v>2294.4</v>
      </c>
      <c r="BX20">
        <v>3.4783822879715398</v>
      </c>
      <c r="BY20">
        <v>997.60004019023768</v>
      </c>
      <c r="BZ20">
        <v>4.9234286352215024</v>
      </c>
      <c r="CA20">
        <v>1412.0393325815269</v>
      </c>
      <c r="CB20">
        <v>11.327430103571924</v>
      </c>
      <c r="CC20">
        <v>3248.7069537044281</v>
      </c>
      <c r="CD20">
        <v>2.6748059262549067</v>
      </c>
      <c r="CE20">
        <v>767.13433964990725</v>
      </c>
      <c r="CF20">
        <v>8.701069510578149</v>
      </c>
      <c r="CG20">
        <v>2495.4667356338132</v>
      </c>
      <c r="CH20">
        <v>7</v>
      </c>
      <c r="CI20">
        <v>2007.6000000000001</v>
      </c>
      <c r="CJ20">
        <v>9</v>
      </c>
      <c r="CK20">
        <v>2581.2000000000003</v>
      </c>
      <c r="CL20">
        <v>1.4808583394349693</v>
      </c>
      <c r="CM20">
        <v>424.71017174994921</v>
      </c>
      <c r="CN20">
        <v>13.744404525103262</v>
      </c>
      <c r="CO20">
        <v>3941.8952177996157</v>
      </c>
      <c r="CP20">
        <v>10.694947606507538</v>
      </c>
      <c r="CQ20">
        <v>3067.3109735463622</v>
      </c>
      <c r="CR20">
        <v>3.494179160076293</v>
      </c>
      <c r="CS20">
        <v>1002.1305831098808</v>
      </c>
      <c r="CT20">
        <v>12.97101874736147</v>
      </c>
      <c r="CU20">
        <v>3720.0881767432697</v>
      </c>
    </row>
    <row r="21" spans="2:99">
      <c r="C21" s="99" t="s">
        <v>188</v>
      </c>
      <c r="D21">
        <v>1.3610788971324237</v>
      </c>
      <c r="E21">
        <v>84.931323181063235</v>
      </c>
      <c r="F21">
        <v>8.4575558643089401</v>
      </c>
      <c r="G21">
        <v>527.75148593287781</v>
      </c>
      <c r="H21">
        <v>7.2858781799550822</v>
      </c>
      <c r="I21">
        <v>454.6387984291971</v>
      </c>
      <c r="J21">
        <v>8.4112581955145078</v>
      </c>
      <c r="K21">
        <v>524.86251140010529</v>
      </c>
      <c r="L21">
        <v>3.0037259597692052</v>
      </c>
      <c r="M21">
        <v>187.4324998895984</v>
      </c>
      <c r="N21">
        <v>8</v>
      </c>
      <c r="O21">
        <v>499.2</v>
      </c>
      <c r="P21">
        <v>5.1461526566938511</v>
      </c>
      <c r="Q21">
        <v>321.11992577769632</v>
      </c>
      <c r="R21">
        <v>8</v>
      </c>
      <c r="S21">
        <v>499.2</v>
      </c>
      <c r="T21">
        <v>6</v>
      </c>
      <c r="U21">
        <v>374.4</v>
      </c>
      <c r="V21">
        <v>8.0201960498985798</v>
      </c>
      <c r="W21">
        <v>500.46023351367137</v>
      </c>
      <c r="X21">
        <v>8.0736734905981322</v>
      </c>
      <c r="Y21">
        <v>503.79722581332345</v>
      </c>
      <c r="Z21">
        <v>8.2701396966429073</v>
      </c>
      <c r="AA21">
        <v>516.05671707051738</v>
      </c>
      <c r="AB21">
        <v>5.9348678122461695</v>
      </c>
      <c r="AC21">
        <v>370.33575148416099</v>
      </c>
      <c r="AD21">
        <v>2.9373720568666597</v>
      </c>
      <c r="AE21">
        <v>183.29201634847956</v>
      </c>
      <c r="AF21">
        <v>4.9243760212487144</v>
      </c>
      <c r="AG21">
        <v>307.28106372591975</v>
      </c>
      <c r="AH21">
        <v>10.333143561627722</v>
      </c>
      <c r="AI21">
        <v>644.78815824556978</v>
      </c>
      <c r="AJ21">
        <v>8.9612815682853491</v>
      </c>
      <c r="AK21">
        <v>559.18396986100572</v>
      </c>
      <c r="AL21">
        <v>1.1646671561443269</v>
      </c>
      <c r="AM21">
        <v>72.675230543406002</v>
      </c>
      <c r="AN21">
        <v>11.039224903483673</v>
      </c>
      <c r="AO21">
        <v>688.84763397738118</v>
      </c>
      <c r="AP21">
        <v>7</v>
      </c>
      <c r="AQ21">
        <v>436.8</v>
      </c>
      <c r="AR21">
        <v>5.8457466559723166</v>
      </c>
      <c r="AS21">
        <v>364.77459133267257</v>
      </c>
      <c r="AT21">
        <v>4.5172904408828849</v>
      </c>
      <c r="AU21">
        <v>281.87892351109201</v>
      </c>
      <c r="AV21">
        <v>6.8149143963821501</v>
      </c>
      <c r="AW21">
        <v>425.25065833424617</v>
      </c>
      <c r="AX21">
        <v>11</v>
      </c>
      <c r="AY21">
        <v>686.4</v>
      </c>
      <c r="AZ21">
        <v>7.2144491807774038</v>
      </c>
      <c r="BA21">
        <v>450.18162888051</v>
      </c>
      <c r="BB21">
        <v>5.0311448563895071</v>
      </c>
      <c r="BC21">
        <v>313.94343903870526</v>
      </c>
      <c r="BD21">
        <v>7.2692420228076271</v>
      </c>
      <c r="BE21">
        <v>453.60070222319592</v>
      </c>
      <c r="BF21">
        <v>5.2675563172815503</v>
      </c>
      <c r="BG21">
        <v>328.69551419836876</v>
      </c>
      <c r="BH21">
        <v>6.3663743830321584</v>
      </c>
      <c r="BI21">
        <v>397.26176150120665</v>
      </c>
      <c r="BJ21">
        <v>10</v>
      </c>
      <c r="BK21">
        <v>624</v>
      </c>
      <c r="BL21">
        <v>7</v>
      </c>
      <c r="BM21">
        <v>436.8</v>
      </c>
      <c r="BN21">
        <v>2.5802689298349293</v>
      </c>
      <c r="BO21">
        <v>161.00878122169959</v>
      </c>
      <c r="BP21">
        <v>9.090455275771669</v>
      </c>
      <c r="BQ21">
        <v>567.24440920815209</v>
      </c>
      <c r="BR21">
        <v>3.3922232575335376</v>
      </c>
      <c r="BS21">
        <v>211.67473127009274</v>
      </c>
      <c r="BT21">
        <v>8.1128426858379559</v>
      </c>
      <c r="BU21">
        <v>506.24138359628841</v>
      </c>
      <c r="BV21">
        <v>10</v>
      </c>
      <c r="BW21">
        <v>624</v>
      </c>
      <c r="BX21">
        <v>3.9752940433960453</v>
      </c>
      <c r="BY21">
        <v>248.05834830791323</v>
      </c>
      <c r="BZ21">
        <v>4.9753561431074793</v>
      </c>
      <c r="CA21">
        <v>310.46222332990669</v>
      </c>
      <c r="CB21">
        <v>11.179937869841709</v>
      </c>
      <c r="CC21">
        <v>697.6281230781226</v>
      </c>
      <c r="CD21">
        <v>2.6748059262549067</v>
      </c>
      <c r="CE21">
        <v>166.90788979830617</v>
      </c>
      <c r="CF21">
        <v>8.701069510578149</v>
      </c>
      <c r="CG21">
        <v>542.94673746007652</v>
      </c>
      <c r="CH21">
        <v>7</v>
      </c>
      <c r="CI21">
        <v>436.8</v>
      </c>
      <c r="CJ21">
        <v>9</v>
      </c>
      <c r="CK21">
        <v>561.6</v>
      </c>
      <c r="CL21">
        <v>1.6453981549277437</v>
      </c>
      <c r="CM21">
        <v>102.67284486749121</v>
      </c>
      <c r="CN21">
        <v>14.511817255089493</v>
      </c>
      <c r="CO21">
        <v>905.53739671758433</v>
      </c>
      <c r="CP21">
        <v>11.586193240383164</v>
      </c>
      <c r="CQ21">
        <v>722.97845819990937</v>
      </c>
      <c r="CR21">
        <v>3.8729091856760598</v>
      </c>
      <c r="CS21">
        <v>241.66953318618613</v>
      </c>
      <c r="CT21">
        <v>13.796252938693147</v>
      </c>
      <c r="CU21">
        <v>860.88618337445234</v>
      </c>
    </row>
    <row r="22" spans="2:99">
      <c r="C22" s="99" t="s">
        <v>189</v>
      </c>
      <c r="D22">
        <v>1.3610788971324237</v>
      </c>
      <c r="E22">
        <v>254.79396954318969</v>
      </c>
      <c r="F22">
        <v>7.3181539624151783</v>
      </c>
      <c r="G22">
        <v>1369.9584217641213</v>
      </c>
      <c r="H22">
        <v>7.2858781799550822</v>
      </c>
      <c r="I22">
        <v>1363.9163952875913</v>
      </c>
      <c r="J22">
        <v>8.28296199592228</v>
      </c>
      <c r="K22">
        <v>1550.5704856366508</v>
      </c>
      <c r="L22">
        <v>3.0037259597692052</v>
      </c>
      <c r="M22">
        <v>562.29749966879513</v>
      </c>
      <c r="N22">
        <v>7</v>
      </c>
      <c r="O22">
        <v>1310.3999999999999</v>
      </c>
      <c r="P22">
        <v>5.1461526566938511</v>
      </c>
      <c r="Q22">
        <v>963.35977733308891</v>
      </c>
      <c r="R22">
        <v>8</v>
      </c>
      <c r="S22">
        <v>1497.6</v>
      </c>
      <c r="T22">
        <v>6</v>
      </c>
      <c r="U22">
        <v>1123.1999999999998</v>
      </c>
      <c r="V22">
        <v>8.0201960498985798</v>
      </c>
      <c r="W22">
        <v>1501.380700541014</v>
      </c>
      <c r="X22">
        <v>8.0736734905981322</v>
      </c>
      <c r="Y22">
        <v>1511.3916774399702</v>
      </c>
      <c r="Z22">
        <v>8.2533924696240728</v>
      </c>
      <c r="AA22">
        <v>1545.0350703136264</v>
      </c>
      <c r="AB22">
        <v>5.9348678122461695</v>
      </c>
      <c r="AC22">
        <v>1111.0072544524828</v>
      </c>
      <c r="AD22">
        <v>2.561364382763375</v>
      </c>
      <c r="AE22">
        <v>479.48741245330376</v>
      </c>
      <c r="AF22">
        <v>5.5980484785524931</v>
      </c>
      <c r="AG22">
        <v>1047.9546751850266</v>
      </c>
      <c r="AH22">
        <v>9.6664497847173969</v>
      </c>
      <c r="AI22">
        <v>1809.5593996990965</v>
      </c>
      <c r="AJ22">
        <v>8.9612815682853491</v>
      </c>
      <c r="AK22">
        <v>1677.5519095830173</v>
      </c>
      <c r="AL22">
        <v>1.3501707899261257</v>
      </c>
      <c r="AM22">
        <v>252.75197187417072</v>
      </c>
      <c r="AN22">
        <v>11.119165280674723</v>
      </c>
      <c r="AO22">
        <v>2081.5077405423081</v>
      </c>
      <c r="AP22">
        <v>8</v>
      </c>
      <c r="AQ22">
        <v>1497.6</v>
      </c>
      <c r="AR22">
        <v>5.8457466559723166</v>
      </c>
      <c r="AS22">
        <v>1094.3237739980175</v>
      </c>
      <c r="AT22">
        <v>5.2701721810300324</v>
      </c>
      <c r="AU22">
        <v>986.57623228882198</v>
      </c>
      <c r="AV22">
        <v>7.572127107091279</v>
      </c>
      <c r="AW22">
        <v>1417.5021944474875</v>
      </c>
      <c r="AX22">
        <v>11</v>
      </c>
      <c r="AY22">
        <v>2059.1999999999998</v>
      </c>
      <c r="AZ22">
        <v>5.9027311479087858</v>
      </c>
      <c r="BA22">
        <v>1104.9912708885247</v>
      </c>
      <c r="BB22">
        <v>5.0311448563895071</v>
      </c>
      <c r="BC22">
        <v>941.83031711611568</v>
      </c>
      <c r="BD22">
        <v>8.1778972756585819</v>
      </c>
      <c r="BE22">
        <v>1530.9023700032865</v>
      </c>
      <c r="BF22">
        <v>4.6091117776213562</v>
      </c>
      <c r="BG22">
        <v>862.82572477071778</v>
      </c>
      <c r="BH22">
        <v>6.3663743830321584</v>
      </c>
      <c r="BI22">
        <v>1191.78528450362</v>
      </c>
      <c r="BJ22">
        <v>9</v>
      </c>
      <c r="BK22">
        <v>1684.8</v>
      </c>
      <c r="BL22">
        <v>8</v>
      </c>
      <c r="BM22">
        <v>1497.6</v>
      </c>
      <c r="BN22">
        <v>2.8148388325471956</v>
      </c>
      <c r="BO22">
        <v>526.93782945283499</v>
      </c>
      <c r="BP22">
        <v>10.090455275771669</v>
      </c>
      <c r="BQ22">
        <v>1888.9332276244563</v>
      </c>
      <c r="BR22">
        <v>3.7314455832868911</v>
      </c>
      <c r="BS22">
        <v>698.52661319130596</v>
      </c>
      <c r="BT22">
        <v>7.1128426858379568</v>
      </c>
      <c r="BU22">
        <v>1331.5241507888654</v>
      </c>
      <c r="BV22">
        <v>10</v>
      </c>
      <c r="BW22">
        <v>1872</v>
      </c>
      <c r="BX22">
        <v>3.9752940433960453</v>
      </c>
      <c r="BY22">
        <v>744.17504492373962</v>
      </c>
      <c r="BZ22">
        <v>4.3923822561335264</v>
      </c>
      <c r="CA22">
        <v>822.25395834819608</v>
      </c>
      <c r="CB22">
        <v>11.327430103571924</v>
      </c>
      <c r="CC22">
        <v>2120.4949153886641</v>
      </c>
      <c r="CD22">
        <v>2.6748059262549067</v>
      </c>
      <c r="CE22">
        <v>500.72366939491849</v>
      </c>
      <c r="CF22">
        <v>8.701069510578149</v>
      </c>
      <c r="CG22">
        <v>1628.8402123802293</v>
      </c>
      <c r="CH22">
        <v>7</v>
      </c>
      <c r="CI22">
        <v>1310.3999999999999</v>
      </c>
      <c r="CJ22">
        <v>8</v>
      </c>
      <c r="CK22">
        <v>1497.6</v>
      </c>
      <c r="CL22">
        <v>1.4808583394349693</v>
      </c>
      <c r="CM22">
        <v>277.21668114222621</v>
      </c>
      <c r="CN22">
        <v>14.511817255089493</v>
      </c>
      <c r="CO22">
        <v>2716.6121901527531</v>
      </c>
      <c r="CP22">
        <v>10.694947606507538</v>
      </c>
      <c r="CQ22">
        <v>2002.094191938211</v>
      </c>
      <c r="CR22">
        <v>3.8729091856760598</v>
      </c>
      <c r="CS22">
        <v>725.00859955855833</v>
      </c>
      <c r="CT22">
        <v>13.796252938693147</v>
      </c>
      <c r="CU22">
        <v>2582.6585501233571</v>
      </c>
    </row>
    <row r="23" spans="2:99">
      <c r="C23" s="99" t="s">
        <v>190</v>
      </c>
      <c r="D23">
        <v>1.2181806894171228</v>
      </c>
      <c r="E23">
        <v>358.1451226886341</v>
      </c>
      <c r="F23">
        <v>7.4121052982496289</v>
      </c>
      <c r="G23">
        <v>2179.1589576853908</v>
      </c>
      <c r="H23">
        <v>7.2858781799550822</v>
      </c>
      <c r="I23">
        <v>2142.0481849067942</v>
      </c>
      <c r="J23">
        <v>8.1546657963300522</v>
      </c>
      <c r="K23">
        <v>2397.4717441210355</v>
      </c>
      <c r="L23">
        <v>3.6044711517230463</v>
      </c>
      <c r="M23">
        <v>1059.7145186065757</v>
      </c>
      <c r="N23">
        <v>8.1077522147946759</v>
      </c>
      <c r="O23">
        <v>2383.6791511496349</v>
      </c>
      <c r="P23">
        <v>5.1461526566938511</v>
      </c>
      <c r="Q23">
        <v>1512.9688810679922</v>
      </c>
      <c r="R23">
        <v>8</v>
      </c>
      <c r="S23">
        <v>2352</v>
      </c>
      <c r="T23">
        <v>6</v>
      </c>
      <c r="U23">
        <v>1764</v>
      </c>
      <c r="V23">
        <v>7.1290631554654027</v>
      </c>
      <c r="W23">
        <v>2095.9445677068284</v>
      </c>
      <c r="X23">
        <v>7.266306141538319</v>
      </c>
      <c r="Y23">
        <v>2136.2940056122657</v>
      </c>
      <c r="Z23">
        <v>7.3586784979131794</v>
      </c>
      <c r="AA23">
        <v>2163.4514783864747</v>
      </c>
      <c r="AB23">
        <v>5.8423966537616892</v>
      </c>
      <c r="AC23">
        <v>1717.6646162059367</v>
      </c>
      <c r="AD23">
        <v>2.9373720568666597</v>
      </c>
      <c r="AE23">
        <v>863.58738471879792</v>
      </c>
      <c r="AF23">
        <v>5.5930755572075004</v>
      </c>
      <c r="AG23">
        <v>1644.364213819005</v>
      </c>
      <c r="AH23">
        <v>10.333143561627722</v>
      </c>
      <c r="AI23">
        <v>3037.9442071185504</v>
      </c>
      <c r="AJ23">
        <v>8.9612815682853491</v>
      </c>
      <c r="AK23">
        <v>2634.6167810758925</v>
      </c>
      <c r="AL23">
        <v>1.1612241325807582</v>
      </c>
      <c r="AM23">
        <v>341.39989497874291</v>
      </c>
      <c r="AN23">
        <v>11.95928452629262</v>
      </c>
      <c r="AO23">
        <v>3516.0296507300304</v>
      </c>
      <c r="AP23">
        <v>8</v>
      </c>
      <c r="AQ23">
        <v>2352</v>
      </c>
      <c r="AR23">
        <v>5.8457466559723166</v>
      </c>
      <c r="AS23">
        <v>1718.6495168558611</v>
      </c>
      <c r="AT23">
        <v>4.5172904408828849</v>
      </c>
      <c r="AU23">
        <v>1328.0833896195682</v>
      </c>
      <c r="AV23">
        <v>8.3293398178004061</v>
      </c>
      <c r="AW23">
        <v>2448.8259064333192</v>
      </c>
      <c r="AX23">
        <v>10</v>
      </c>
      <c r="AY23">
        <v>2940</v>
      </c>
      <c r="AZ23">
        <v>5.9027311479087858</v>
      </c>
      <c r="BA23">
        <v>1735.4029574851829</v>
      </c>
      <c r="BB23">
        <v>5.0311448563895071</v>
      </c>
      <c r="BC23">
        <v>1479.1565877785151</v>
      </c>
      <c r="BD23">
        <v>7.2692420228076271</v>
      </c>
      <c r="BE23">
        <v>2137.1571547054423</v>
      </c>
      <c r="BF23">
        <v>5.2675563172815503</v>
      </c>
      <c r="BG23">
        <v>1548.6615572807757</v>
      </c>
      <c r="BH23">
        <v>6.3663743830321584</v>
      </c>
      <c r="BI23">
        <v>1871.7140686114546</v>
      </c>
      <c r="BJ23">
        <v>10</v>
      </c>
      <c r="BK23">
        <v>2940</v>
      </c>
      <c r="BL23">
        <v>7</v>
      </c>
      <c r="BM23">
        <v>2058</v>
      </c>
      <c r="BN23">
        <v>2.8148388325471956</v>
      </c>
      <c r="BO23">
        <v>827.5626167688755</v>
      </c>
      <c r="BP23">
        <v>9.1743364508310279</v>
      </c>
      <c r="BQ23">
        <v>2697.254916544322</v>
      </c>
      <c r="BR23">
        <v>3.3922232575335376</v>
      </c>
      <c r="BS23">
        <v>997.31363771486008</v>
      </c>
      <c r="BT23">
        <v>8.1128426858379559</v>
      </c>
      <c r="BU23">
        <v>2385.1757496363589</v>
      </c>
      <c r="BV23">
        <v>10</v>
      </c>
      <c r="BW23">
        <v>2940</v>
      </c>
      <c r="BX23">
        <v>3.9752940433960453</v>
      </c>
      <c r="BY23">
        <v>1168.7364487584373</v>
      </c>
      <c r="BZ23">
        <v>4.9753561431074793</v>
      </c>
      <c r="CA23">
        <v>1462.754706073599</v>
      </c>
      <c r="CB23">
        <v>10.327430103571924</v>
      </c>
      <c r="CC23">
        <v>3036.2644504501459</v>
      </c>
      <c r="CD23">
        <v>2.6748059262549067</v>
      </c>
      <c r="CE23">
        <v>786.39294231894257</v>
      </c>
      <c r="CF23">
        <v>8.701069510578149</v>
      </c>
      <c r="CG23">
        <v>2558.1144361099759</v>
      </c>
      <c r="CH23">
        <v>6</v>
      </c>
      <c r="CI23">
        <v>1764</v>
      </c>
      <c r="CJ23">
        <v>8</v>
      </c>
      <c r="CK23">
        <v>2352</v>
      </c>
      <c r="CL23">
        <v>1.6453981549277437</v>
      </c>
      <c r="CM23">
        <v>483.74705754875663</v>
      </c>
      <c r="CN23">
        <v>13.511817255089493</v>
      </c>
      <c r="CO23">
        <v>3972.4742729963109</v>
      </c>
      <c r="CP23">
        <v>9.8037019726319095</v>
      </c>
      <c r="CQ23">
        <v>2882.2883799537813</v>
      </c>
      <c r="CR23">
        <v>4.2555305262612082</v>
      </c>
      <c r="CS23">
        <v>1251.1259747207953</v>
      </c>
      <c r="CT23">
        <v>11.796252938693147</v>
      </c>
      <c r="CU23">
        <v>3468.0983639757851</v>
      </c>
    </row>
    <row r="24" spans="2:99">
      <c r="C24" s="99" t="s">
        <v>191</v>
      </c>
      <c r="D24">
        <v>1.2181806894171228</v>
      </c>
      <c r="E24">
        <v>447.31594915396744</v>
      </c>
      <c r="F24">
        <v>8.3636045284744895</v>
      </c>
      <c r="G24">
        <v>3071.1155828558326</v>
      </c>
      <c r="H24">
        <v>7.2858781799550822</v>
      </c>
      <c r="I24">
        <v>2675.3744676795063</v>
      </c>
      <c r="J24">
        <v>7.28296199592228</v>
      </c>
      <c r="K24">
        <v>2674.3036449026613</v>
      </c>
      <c r="L24">
        <v>3.6044711517230463</v>
      </c>
      <c r="M24">
        <v>1323.5618069127027</v>
      </c>
      <c r="N24">
        <v>8</v>
      </c>
      <c r="O24">
        <v>2937.6</v>
      </c>
      <c r="P24">
        <v>5.1461526566938511</v>
      </c>
      <c r="Q24">
        <v>1889.6672555379821</v>
      </c>
      <c r="R24">
        <v>8</v>
      </c>
      <c r="S24">
        <v>2937.6</v>
      </c>
      <c r="T24">
        <v>6</v>
      </c>
      <c r="U24">
        <v>2203.1999999999998</v>
      </c>
      <c r="V24">
        <v>7.1290631554654027</v>
      </c>
      <c r="W24">
        <v>2617.7919906868956</v>
      </c>
      <c r="X24">
        <v>8.8810408396579454</v>
      </c>
      <c r="Y24">
        <v>3261.1181963223976</v>
      </c>
      <c r="Z24">
        <v>7.3754257249320156</v>
      </c>
      <c r="AA24">
        <v>2708.2563261950359</v>
      </c>
      <c r="AB24">
        <v>6.0273389707306508</v>
      </c>
      <c r="AC24">
        <v>2213.2388700522947</v>
      </c>
      <c r="AD24">
        <v>2.6049812882124699</v>
      </c>
      <c r="AE24">
        <v>956.54912903161892</v>
      </c>
      <c r="AF24">
        <v>5.4862546864738748</v>
      </c>
      <c r="AG24">
        <v>2014.5527208732067</v>
      </c>
      <c r="AH24">
        <v>9.4997966731725594</v>
      </c>
      <c r="AI24">
        <v>3488.3253383889637</v>
      </c>
      <c r="AJ24">
        <v>8.146619607532136</v>
      </c>
      <c r="AK24">
        <v>2991.4387198858003</v>
      </c>
      <c r="AL24">
        <v>1.1681101797078959</v>
      </c>
      <c r="AM24">
        <v>428.93005798873935</v>
      </c>
      <c r="AN24">
        <v>10.039224903483673</v>
      </c>
      <c r="AO24">
        <v>3686.4033845592044</v>
      </c>
      <c r="AP24">
        <v>8</v>
      </c>
      <c r="AQ24">
        <v>2937.6</v>
      </c>
      <c r="AR24">
        <v>5.8457466559723166</v>
      </c>
      <c r="AS24">
        <v>2146.5581720730347</v>
      </c>
      <c r="AT24">
        <v>5.2701721810300324</v>
      </c>
      <c r="AU24">
        <v>1935.2072248742279</v>
      </c>
      <c r="AV24">
        <v>7.572127107091279</v>
      </c>
      <c r="AW24">
        <v>2780.4850737239176</v>
      </c>
      <c r="AX24">
        <v>9</v>
      </c>
      <c r="AY24">
        <v>3304.7999999999997</v>
      </c>
      <c r="AZ24">
        <v>5.2468721314744764</v>
      </c>
      <c r="BA24">
        <v>1926.6514466774277</v>
      </c>
      <c r="BB24">
        <v>5.0311448563895071</v>
      </c>
      <c r="BC24">
        <v>1847.436391266227</v>
      </c>
      <c r="BD24">
        <v>7.2692420228076271</v>
      </c>
      <c r="BE24">
        <v>2669.2656707749607</v>
      </c>
      <c r="BF24">
        <v>5.2675563172815503</v>
      </c>
      <c r="BG24">
        <v>1934.2466797057853</v>
      </c>
      <c r="BH24">
        <v>6.3663743830321584</v>
      </c>
      <c r="BI24">
        <v>2337.7326734494086</v>
      </c>
      <c r="BJ24">
        <v>10</v>
      </c>
      <c r="BK24">
        <v>3672</v>
      </c>
      <c r="BL24">
        <v>8</v>
      </c>
      <c r="BM24">
        <v>2937.6</v>
      </c>
      <c r="BN24">
        <v>2.5802689298349293</v>
      </c>
      <c r="BO24">
        <v>947.47475103538602</v>
      </c>
      <c r="BP24">
        <v>8.0065741007123101</v>
      </c>
      <c r="BQ24">
        <v>2940.0140097815602</v>
      </c>
      <c r="BR24">
        <v>3.0530009317801841</v>
      </c>
      <c r="BS24">
        <v>1121.0619421496835</v>
      </c>
      <c r="BT24">
        <v>7.0015584172541612</v>
      </c>
      <c r="BU24">
        <v>2570.9722508157279</v>
      </c>
      <c r="BV24">
        <v>9</v>
      </c>
      <c r="BW24">
        <v>3304.7999999999997</v>
      </c>
      <c r="BX24">
        <v>3.9752940433960453</v>
      </c>
      <c r="BY24">
        <v>1459.7279727350278</v>
      </c>
      <c r="BZ24">
        <v>4.4443097640195033</v>
      </c>
      <c r="CA24">
        <v>1631.9505453479615</v>
      </c>
      <c r="CB24">
        <v>10.179937869841709</v>
      </c>
      <c r="CC24">
        <v>3738.0731858058753</v>
      </c>
      <c r="CD24">
        <v>2.6748059262549067</v>
      </c>
      <c r="CE24">
        <v>982.18873612080165</v>
      </c>
      <c r="CF24">
        <v>8.5322526661670146</v>
      </c>
      <c r="CG24">
        <v>3133.0431790165276</v>
      </c>
      <c r="CH24">
        <v>7</v>
      </c>
      <c r="CI24">
        <v>2570.4</v>
      </c>
      <c r="CJ24">
        <v>9</v>
      </c>
      <c r="CK24">
        <v>3304.7999999999997</v>
      </c>
      <c r="CL24">
        <v>1.8099379704205181</v>
      </c>
      <c r="CM24">
        <v>664.60922273841425</v>
      </c>
      <c r="CN24">
        <v>12.628110890096377</v>
      </c>
      <c r="CO24">
        <v>4637.0423188433897</v>
      </c>
      <c r="CP24">
        <v>10.694947606507538</v>
      </c>
      <c r="CQ24">
        <v>3927.1847611095682</v>
      </c>
      <c r="CR24">
        <v>4.2594218412465894</v>
      </c>
      <c r="CS24">
        <v>1564.0597001057477</v>
      </c>
      <c r="CT24">
        <v>12.97101874736147</v>
      </c>
      <c r="CU24">
        <v>4762.9580840311319</v>
      </c>
    </row>
    <row r="25" spans="2:99">
      <c r="C25" s="99" t="s">
        <v>192</v>
      </c>
      <c r="D25">
        <v>1.2113629596266942</v>
      </c>
      <c r="E25">
        <v>642.50691378599856</v>
      </c>
      <c r="F25">
        <v>8.3636045284744895</v>
      </c>
      <c r="G25">
        <v>4436.0558419028694</v>
      </c>
      <c r="H25">
        <v>6.5572903619595735</v>
      </c>
      <c r="I25">
        <v>3477.9868079833577</v>
      </c>
      <c r="J25">
        <v>7.28296199592228</v>
      </c>
      <c r="K25">
        <v>3862.8830426371774</v>
      </c>
      <c r="L25">
        <v>3.6044711517230463</v>
      </c>
      <c r="M25">
        <v>1911.8114988739037</v>
      </c>
      <c r="N25">
        <v>7</v>
      </c>
      <c r="O25">
        <v>3712.7999999999997</v>
      </c>
      <c r="P25">
        <v>4.5743579170612012</v>
      </c>
      <c r="Q25">
        <v>2426.239439209261</v>
      </c>
      <c r="R25">
        <v>7</v>
      </c>
      <c r="S25">
        <v>3712.7999999999997</v>
      </c>
      <c r="T25">
        <v>6</v>
      </c>
      <c r="U25">
        <v>3182.3999999999996</v>
      </c>
      <c r="V25">
        <v>7.1290631554654027</v>
      </c>
      <c r="W25">
        <v>3781.2550976588495</v>
      </c>
      <c r="X25">
        <v>7.266306141538319</v>
      </c>
      <c r="Y25">
        <v>3854.048777471924</v>
      </c>
      <c r="Z25">
        <v>8.2533924696240728</v>
      </c>
      <c r="AA25">
        <v>4377.5993658886082</v>
      </c>
      <c r="AB25">
        <v>5.6294162288378073</v>
      </c>
      <c r="AC25">
        <v>2985.8423677755727</v>
      </c>
      <c r="AD25">
        <v>2.8937551514175652</v>
      </c>
      <c r="AE25">
        <v>1534.8477323118766</v>
      </c>
      <c r="AF25">
        <v>5.4812817651288821</v>
      </c>
      <c r="AG25">
        <v>2907.271848224359</v>
      </c>
      <c r="AH25">
        <v>10.166490450082884</v>
      </c>
      <c r="AI25">
        <v>5392.3065347239617</v>
      </c>
      <c r="AJ25">
        <v>8.146619607532136</v>
      </c>
      <c r="AK25">
        <v>4320.9670398350445</v>
      </c>
      <c r="AL25">
        <v>1.1612241325807582</v>
      </c>
      <c r="AM25">
        <v>615.91327992083416</v>
      </c>
      <c r="AN25">
        <v>11.039224903483673</v>
      </c>
      <c r="AO25">
        <v>5855.2048888077397</v>
      </c>
      <c r="AP25">
        <v>8</v>
      </c>
      <c r="AQ25">
        <v>4243.2</v>
      </c>
      <c r="AR25">
        <v>6.6808533211112193</v>
      </c>
      <c r="AS25">
        <v>3543.5246015173907</v>
      </c>
      <c r="AT25">
        <v>5.2701721810300324</v>
      </c>
      <c r="AU25">
        <v>2795.2993248183288</v>
      </c>
      <c r="AV25">
        <v>7.572127107091279</v>
      </c>
      <c r="AW25">
        <v>4016.2562176012143</v>
      </c>
      <c r="AX25">
        <v>9</v>
      </c>
      <c r="AY25">
        <v>4773.5999999999995</v>
      </c>
      <c r="AZ25">
        <v>5.9027311479087858</v>
      </c>
      <c r="BA25">
        <v>3130.8086008508199</v>
      </c>
      <c r="BB25">
        <v>5.0311448563895071</v>
      </c>
      <c r="BC25">
        <v>2668.5192318289946</v>
      </c>
      <c r="BD25">
        <v>6.360586769956674</v>
      </c>
      <c r="BE25">
        <v>3373.6552227850198</v>
      </c>
      <c r="BF25">
        <v>4.6091117776213562</v>
      </c>
      <c r="BG25">
        <v>2444.6728868503674</v>
      </c>
      <c r="BH25">
        <v>6.3663743830321584</v>
      </c>
      <c r="BI25">
        <v>3376.7249727602566</v>
      </c>
      <c r="BJ25">
        <v>10</v>
      </c>
      <c r="BK25">
        <v>5304</v>
      </c>
      <c r="BL25">
        <v>8</v>
      </c>
      <c r="BM25">
        <v>4243.2</v>
      </c>
      <c r="BN25">
        <v>2.3456990271226625</v>
      </c>
      <c r="BO25">
        <v>1244.1587639858601</v>
      </c>
      <c r="BP25">
        <v>8.1743364508310279</v>
      </c>
      <c r="BQ25">
        <v>4335.668053520777</v>
      </c>
      <c r="BR25">
        <v>3.7314455832868911</v>
      </c>
      <c r="BS25">
        <v>1979.1587373753671</v>
      </c>
      <c r="BT25">
        <v>7.1128426858379568</v>
      </c>
      <c r="BU25">
        <v>3772.6517605684521</v>
      </c>
      <c r="BV25">
        <v>8</v>
      </c>
      <c r="BW25">
        <v>4243.2</v>
      </c>
      <c r="BX25">
        <v>3.9752940433960453</v>
      </c>
      <c r="BY25">
        <v>2108.4959606172624</v>
      </c>
      <c r="BZ25">
        <v>4.9234286352215024</v>
      </c>
      <c r="CA25">
        <v>2611.3865481214848</v>
      </c>
      <c r="CB25">
        <v>11.327430103571924</v>
      </c>
      <c r="CC25">
        <v>6008.0689269345485</v>
      </c>
      <c r="CD25">
        <v>3.0569210585770361</v>
      </c>
      <c r="CE25">
        <v>1621.3909294692598</v>
      </c>
      <c r="CF25">
        <v>8.5322526661670146</v>
      </c>
      <c r="CG25">
        <v>4525.5068141349848</v>
      </c>
      <c r="CH25">
        <v>6</v>
      </c>
      <c r="CI25">
        <v>3182.3999999999996</v>
      </c>
      <c r="CJ25">
        <v>9</v>
      </c>
      <c r="CK25">
        <v>4773.5999999999995</v>
      </c>
      <c r="CL25">
        <v>1.4808583394349693</v>
      </c>
      <c r="CM25">
        <v>785.44726323630766</v>
      </c>
      <c r="CN25">
        <v>12.628110890096377</v>
      </c>
      <c r="CO25">
        <v>6697.9500161071182</v>
      </c>
      <c r="CP25">
        <v>10.694947606507538</v>
      </c>
      <c r="CQ25">
        <v>5672.6002104915979</v>
      </c>
      <c r="CR25">
        <v>3.8690178706906782</v>
      </c>
      <c r="CS25">
        <v>2052.1270786143355</v>
      </c>
      <c r="CT25">
        <v>13.796252938693147</v>
      </c>
      <c r="CU25">
        <v>7317.5325586828449</v>
      </c>
    </row>
    <row r="26" spans="2:99">
      <c r="C26" s="99" t="s">
        <v>193</v>
      </c>
      <c r="D26">
        <v>1.3678966269228525</v>
      </c>
      <c r="E26">
        <v>664.79776068450633</v>
      </c>
      <c r="F26">
        <v>8.3636045284744895</v>
      </c>
      <c r="G26">
        <v>4064.7118008386019</v>
      </c>
      <c r="H26">
        <v>7.2858781799550822</v>
      </c>
      <c r="I26">
        <v>3540.9367954581699</v>
      </c>
      <c r="J26">
        <v>8.28296199592228</v>
      </c>
      <c r="K26">
        <v>4025.5195300182281</v>
      </c>
      <c r="L26">
        <v>3.6044711517230463</v>
      </c>
      <c r="M26">
        <v>1751.7729797374004</v>
      </c>
      <c r="N26">
        <v>8</v>
      </c>
      <c r="O26">
        <v>3888</v>
      </c>
      <c r="P26">
        <v>4.5743579170612012</v>
      </c>
      <c r="Q26">
        <v>2223.1379476917436</v>
      </c>
      <c r="R26">
        <v>8</v>
      </c>
      <c r="S26">
        <v>3888</v>
      </c>
      <c r="T26">
        <v>6</v>
      </c>
      <c r="U26">
        <v>2916</v>
      </c>
      <c r="V26">
        <v>7.1290631554654027</v>
      </c>
      <c r="W26">
        <v>3464.7246935561857</v>
      </c>
      <c r="X26">
        <v>8.0736734905981322</v>
      </c>
      <c r="Y26">
        <v>3923.8053164306921</v>
      </c>
      <c r="Z26">
        <v>7.3754257249320156</v>
      </c>
      <c r="AA26">
        <v>3584.4569023169597</v>
      </c>
      <c r="AB26">
        <v>5.9348678122461695</v>
      </c>
      <c r="AC26">
        <v>2884.3457567516384</v>
      </c>
      <c r="AD26">
        <v>2.9373720568666597</v>
      </c>
      <c r="AE26">
        <v>1427.5628196371965</v>
      </c>
      <c r="AF26">
        <v>4.9293489425937063</v>
      </c>
      <c r="AG26">
        <v>2395.6635861005411</v>
      </c>
      <c r="AH26">
        <v>9.4997966731725594</v>
      </c>
      <c r="AI26">
        <v>4616.9011831618636</v>
      </c>
      <c r="AJ26">
        <v>8.146619607532136</v>
      </c>
      <c r="AK26">
        <v>3959.2571292606181</v>
      </c>
      <c r="AL26">
        <v>1.1612241325807582</v>
      </c>
      <c r="AM26">
        <v>564.35492843424845</v>
      </c>
      <c r="AN26">
        <v>10.039224903483673</v>
      </c>
      <c r="AO26">
        <v>4879.0633030930649</v>
      </c>
      <c r="AP26">
        <v>7</v>
      </c>
      <c r="AQ26">
        <v>3402</v>
      </c>
      <c r="AR26">
        <v>5.8457466559723166</v>
      </c>
      <c r="AS26">
        <v>2841.0328748025458</v>
      </c>
      <c r="AT26">
        <v>4.5172904408828849</v>
      </c>
      <c r="AU26">
        <v>2195.4031542690823</v>
      </c>
      <c r="AV26">
        <v>7.572127107091279</v>
      </c>
      <c r="AW26">
        <v>3680.0537740463615</v>
      </c>
      <c r="AX26">
        <v>10</v>
      </c>
      <c r="AY26">
        <v>4860</v>
      </c>
      <c r="AZ26">
        <v>5.2468721314744764</v>
      </c>
      <c r="BA26">
        <v>2549.9798558965954</v>
      </c>
      <c r="BB26">
        <v>5.0311448563895071</v>
      </c>
      <c r="BC26">
        <v>2445.1364002053006</v>
      </c>
      <c r="BD26">
        <v>7.2692420228076271</v>
      </c>
      <c r="BE26">
        <v>3532.8516230845066</v>
      </c>
      <c r="BF26">
        <v>4.6091117776213562</v>
      </c>
      <c r="BG26">
        <v>2240.0283239239793</v>
      </c>
      <c r="BH26">
        <v>5.5705775851531376</v>
      </c>
      <c r="BI26">
        <v>2707.3007063844248</v>
      </c>
      <c r="BJ26">
        <v>10</v>
      </c>
      <c r="BK26">
        <v>4860</v>
      </c>
      <c r="BL26">
        <v>7</v>
      </c>
      <c r="BM26">
        <v>3402</v>
      </c>
      <c r="BN26">
        <v>2.3456990271226625</v>
      </c>
      <c r="BO26">
        <v>1140.0097271816139</v>
      </c>
      <c r="BP26">
        <v>8.1743364508310279</v>
      </c>
      <c r="BQ26">
        <v>3972.7275151038793</v>
      </c>
      <c r="BR26">
        <v>3.7314455832868911</v>
      </c>
      <c r="BS26">
        <v>1813.4825534774291</v>
      </c>
      <c r="BT26">
        <v>7.0015584172541612</v>
      </c>
      <c r="BU26">
        <v>3402.7573907855221</v>
      </c>
      <c r="BV26">
        <v>8</v>
      </c>
      <c r="BW26">
        <v>3888</v>
      </c>
      <c r="BX26">
        <v>3.9752940433960453</v>
      </c>
      <c r="BY26">
        <v>1931.992905090478</v>
      </c>
      <c r="BZ26">
        <v>4.3923822561335264</v>
      </c>
      <c r="CA26">
        <v>2134.6977764808939</v>
      </c>
      <c r="CB26">
        <v>10.327430103571924</v>
      </c>
      <c r="CC26">
        <v>5019.1310303359551</v>
      </c>
      <c r="CD26">
        <v>2.6748059262549067</v>
      </c>
      <c r="CE26">
        <v>1299.9556801598847</v>
      </c>
      <c r="CF26">
        <v>9.701069510578149</v>
      </c>
      <c r="CG26">
        <v>4714.71978214098</v>
      </c>
      <c r="CH26">
        <v>6</v>
      </c>
      <c r="CI26">
        <v>2916</v>
      </c>
      <c r="CJ26">
        <v>9</v>
      </c>
      <c r="CK26">
        <v>4374</v>
      </c>
      <c r="CL26">
        <v>1.4808583394349693</v>
      </c>
      <c r="CM26">
        <v>719.69715296539505</v>
      </c>
      <c r="CN26">
        <v>12.395523620082608</v>
      </c>
      <c r="CO26">
        <v>6024.2244793601476</v>
      </c>
      <c r="CP26">
        <v>10.694947606507538</v>
      </c>
      <c r="CQ26">
        <v>5197.7445367626633</v>
      </c>
      <c r="CR26">
        <v>4.2555305262612082</v>
      </c>
      <c r="CS26">
        <v>2068.1878357629471</v>
      </c>
      <c r="CT26">
        <v>12.97101874736147</v>
      </c>
      <c r="CU26">
        <v>6303.9151112176742</v>
      </c>
    </row>
    <row r="27" spans="2:99">
      <c r="C27" s="99" t="s">
        <v>194</v>
      </c>
      <c r="D27">
        <v>1.2249984192075514</v>
      </c>
      <c r="E27">
        <v>523.31932468546597</v>
      </c>
      <c r="F27">
        <v>7.4121052982496289</v>
      </c>
      <c r="G27">
        <v>3166.4513834122413</v>
      </c>
      <c r="H27">
        <v>6.5572903619595735</v>
      </c>
      <c r="I27">
        <v>2801.2744426291297</v>
      </c>
      <c r="J27">
        <v>7.28296199592228</v>
      </c>
      <c r="K27">
        <v>3111.281364657998</v>
      </c>
      <c r="L27">
        <v>3.6044711517230463</v>
      </c>
      <c r="M27">
        <v>1539.8300760160853</v>
      </c>
      <c r="N27">
        <v>7</v>
      </c>
      <c r="O27">
        <v>2990.4</v>
      </c>
      <c r="P27">
        <v>4.5743579170612012</v>
      </c>
      <c r="Q27">
        <v>1954.1657021685451</v>
      </c>
      <c r="R27">
        <v>8</v>
      </c>
      <c r="S27">
        <v>3417.6</v>
      </c>
      <c r="T27">
        <v>6</v>
      </c>
      <c r="U27">
        <v>2563.1999999999998</v>
      </c>
      <c r="V27">
        <v>8.0201960498985798</v>
      </c>
      <c r="W27">
        <v>3426.2277525166733</v>
      </c>
      <c r="X27">
        <v>7.266306141538319</v>
      </c>
      <c r="Y27">
        <v>3104.1659836651697</v>
      </c>
      <c r="Z27">
        <v>8.2533924696240728</v>
      </c>
      <c r="AA27">
        <v>3525.8492630234036</v>
      </c>
      <c r="AB27">
        <v>4.8252139104324074</v>
      </c>
      <c r="AC27">
        <v>2061.3313825367245</v>
      </c>
      <c r="AD27">
        <v>2.6049812882124699</v>
      </c>
      <c r="AE27">
        <v>1112.8480063243671</v>
      </c>
      <c r="AF27">
        <v>5.03119689198234</v>
      </c>
      <c r="AG27">
        <v>2149.3273122548558</v>
      </c>
      <c r="AH27">
        <v>10.166490450082884</v>
      </c>
      <c r="AI27">
        <v>4343.1247202754084</v>
      </c>
      <c r="AJ27">
        <v>8.9612815682853491</v>
      </c>
      <c r="AK27">
        <v>3828.2594859715009</v>
      </c>
      <c r="AL27">
        <v>1.1681101797078959</v>
      </c>
      <c r="AM27">
        <v>499.01666877121312</v>
      </c>
      <c r="AN27">
        <v>11.119165280674723</v>
      </c>
      <c r="AO27">
        <v>4750.1074079042419</v>
      </c>
      <c r="AP27">
        <v>7</v>
      </c>
      <c r="AQ27">
        <v>2990.4</v>
      </c>
      <c r="AR27">
        <v>5.8457466559723166</v>
      </c>
      <c r="AS27">
        <v>2497.3029714313734</v>
      </c>
      <c r="AT27">
        <v>4.5172904408828849</v>
      </c>
      <c r="AU27">
        <v>1929.7864763451685</v>
      </c>
      <c r="AV27">
        <v>6.8149143963821501</v>
      </c>
      <c r="AW27">
        <v>2911.3314301344544</v>
      </c>
      <c r="AX27">
        <v>10</v>
      </c>
      <c r="AY27">
        <v>4272</v>
      </c>
      <c r="AZ27">
        <v>6.5585901643430953</v>
      </c>
      <c r="BA27">
        <v>2801.8297182073702</v>
      </c>
      <c r="BB27">
        <v>5.0311448563895071</v>
      </c>
      <c r="BC27">
        <v>2149.3050826495974</v>
      </c>
      <c r="BD27">
        <v>7.2692420228076271</v>
      </c>
      <c r="BE27">
        <v>3105.4201921434183</v>
      </c>
      <c r="BF27">
        <v>4.6091117776213562</v>
      </c>
      <c r="BG27">
        <v>1969.0125513998432</v>
      </c>
      <c r="BH27">
        <v>5.5705775851531376</v>
      </c>
      <c r="BI27">
        <v>2379.7507443774202</v>
      </c>
      <c r="BJ27">
        <v>10</v>
      </c>
      <c r="BK27">
        <v>4272</v>
      </c>
      <c r="BL27">
        <v>7</v>
      </c>
      <c r="BM27">
        <v>2990.4</v>
      </c>
      <c r="BN27">
        <v>2.5802689298349293</v>
      </c>
      <c r="BO27">
        <v>1102.2908868254817</v>
      </c>
      <c r="BP27">
        <v>8.090455275771669</v>
      </c>
      <c r="BQ27">
        <v>3456.2424938096569</v>
      </c>
      <c r="BR27">
        <v>3.7314455832868911</v>
      </c>
      <c r="BS27">
        <v>1594.0735531801599</v>
      </c>
      <c r="BT27">
        <v>7.0015584172541612</v>
      </c>
      <c r="BU27">
        <v>2991.0657558509774</v>
      </c>
      <c r="BV27">
        <v>10</v>
      </c>
      <c r="BW27">
        <v>4272</v>
      </c>
      <c r="BX27">
        <v>3.9752940433960453</v>
      </c>
      <c r="BY27">
        <v>1698.2456153387905</v>
      </c>
      <c r="BZ27">
        <v>4.4962372719054802</v>
      </c>
      <c r="CA27">
        <v>1920.792562558021</v>
      </c>
      <c r="CB27">
        <v>11.179937869841709</v>
      </c>
      <c r="CC27">
        <v>4776.0694579963774</v>
      </c>
      <c r="CD27">
        <v>2.6748059262549067</v>
      </c>
      <c r="CE27">
        <v>1142.6770916960961</v>
      </c>
      <c r="CF27">
        <v>8.701069510578149</v>
      </c>
      <c r="CG27">
        <v>3717.0968949189851</v>
      </c>
      <c r="CH27">
        <v>6</v>
      </c>
      <c r="CI27">
        <v>2563.1999999999998</v>
      </c>
      <c r="CJ27">
        <v>9</v>
      </c>
      <c r="CK27">
        <v>3844.7999999999997</v>
      </c>
      <c r="CL27">
        <v>1.6453981549277437</v>
      </c>
      <c r="CM27">
        <v>702.91409178513209</v>
      </c>
      <c r="CN27">
        <v>12.628110890096377</v>
      </c>
      <c r="CO27">
        <v>5394.7289722491723</v>
      </c>
      <c r="CP27">
        <v>9.8037019726319095</v>
      </c>
      <c r="CQ27">
        <v>4188.1414827083518</v>
      </c>
      <c r="CR27">
        <v>4.2555305262612082</v>
      </c>
      <c r="CS27">
        <v>1817.962640818788</v>
      </c>
      <c r="CT27">
        <v>12.97101874736147</v>
      </c>
      <c r="CU27">
        <v>5541.2192088728198</v>
      </c>
    </row>
    <row r="28" spans="2:99">
      <c r="C28" s="99" t="s">
        <v>195</v>
      </c>
      <c r="D28">
        <v>1.2249984192075514</v>
      </c>
      <c r="E28">
        <v>904.04883337517288</v>
      </c>
      <c r="F28">
        <v>8.269653192640039</v>
      </c>
      <c r="G28">
        <v>6103.0040561683491</v>
      </c>
      <c r="H28">
        <v>7.2858781799550822</v>
      </c>
      <c r="I28">
        <v>5376.9780968068508</v>
      </c>
      <c r="J28">
        <v>8.28296199592228</v>
      </c>
      <c r="K28">
        <v>6112.8259529906427</v>
      </c>
      <c r="L28">
        <v>3.6044711517230463</v>
      </c>
      <c r="M28">
        <v>2660.0997099716083</v>
      </c>
      <c r="N28">
        <v>8</v>
      </c>
      <c r="O28">
        <v>5904</v>
      </c>
      <c r="P28">
        <v>4.5743579170612012</v>
      </c>
      <c r="Q28">
        <v>3375.8761427911663</v>
      </c>
      <c r="R28">
        <v>8</v>
      </c>
      <c r="S28">
        <v>5904</v>
      </c>
      <c r="T28">
        <v>6</v>
      </c>
      <c r="U28">
        <v>4428</v>
      </c>
      <c r="V28">
        <v>7.1290631554654027</v>
      </c>
      <c r="W28">
        <v>5261.2486087334673</v>
      </c>
      <c r="X28">
        <v>7.266306141538319</v>
      </c>
      <c r="Y28">
        <v>5362.5339324552797</v>
      </c>
      <c r="Z28">
        <v>7.3586784979131794</v>
      </c>
      <c r="AA28">
        <v>5430.7047314599267</v>
      </c>
      <c r="AB28">
        <v>5.9348678122461695</v>
      </c>
      <c r="AC28">
        <v>4379.9324454376729</v>
      </c>
      <c r="AD28">
        <v>2.9373720568666597</v>
      </c>
      <c r="AE28">
        <v>2167.780577967595</v>
      </c>
      <c r="AF28">
        <v>5.5831297145175158</v>
      </c>
      <c r="AG28">
        <v>4120.3497293139271</v>
      </c>
      <c r="AH28">
        <v>9.4997966731725594</v>
      </c>
      <c r="AI28">
        <v>7010.849944801349</v>
      </c>
      <c r="AJ28">
        <v>7.3319576467789229</v>
      </c>
      <c r="AK28">
        <v>5410.9847433228451</v>
      </c>
      <c r="AL28">
        <v>1.1681101797078959</v>
      </c>
      <c r="AM28">
        <v>862.06531262442718</v>
      </c>
      <c r="AN28">
        <v>9.9592845262926204</v>
      </c>
      <c r="AO28">
        <v>7349.9519804039537</v>
      </c>
      <c r="AP28">
        <v>7</v>
      </c>
      <c r="AQ28">
        <v>5166</v>
      </c>
      <c r="AR28">
        <v>6.6808533211112193</v>
      </c>
      <c r="AS28">
        <v>4930.4697509800799</v>
      </c>
      <c r="AT28">
        <v>4.5172904408828849</v>
      </c>
      <c r="AU28">
        <v>3333.7603453715692</v>
      </c>
      <c r="AV28">
        <v>7.572127107091279</v>
      </c>
      <c r="AW28">
        <v>5588.2298050333638</v>
      </c>
      <c r="AX28">
        <v>9</v>
      </c>
      <c r="AY28">
        <v>6642</v>
      </c>
      <c r="AZ28">
        <v>5.9027311479087858</v>
      </c>
      <c r="BA28">
        <v>4356.2155871566838</v>
      </c>
      <c r="BB28">
        <v>5.0311448563895071</v>
      </c>
      <c r="BC28">
        <v>3712.9849040154563</v>
      </c>
      <c r="BD28">
        <v>6.360586769956674</v>
      </c>
      <c r="BE28">
        <v>4694.1130362280255</v>
      </c>
      <c r="BF28">
        <v>5.2675563172815503</v>
      </c>
      <c r="BG28">
        <v>3887.456562153784</v>
      </c>
      <c r="BH28">
        <v>6.3663743830321584</v>
      </c>
      <c r="BI28">
        <v>4698.3842946777331</v>
      </c>
      <c r="BJ28">
        <v>9</v>
      </c>
      <c r="BK28">
        <v>6642</v>
      </c>
      <c r="BL28">
        <v>7</v>
      </c>
      <c r="BM28">
        <v>5166</v>
      </c>
      <c r="BN28">
        <v>2.3456990271226625</v>
      </c>
      <c r="BO28">
        <v>1731.1258820165249</v>
      </c>
      <c r="BP28">
        <v>8.090455275771669</v>
      </c>
      <c r="BQ28">
        <v>5970.7559935194913</v>
      </c>
      <c r="BR28">
        <v>3.3922232575335376</v>
      </c>
      <c r="BS28">
        <v>2503.4607640597505</v>
      </c>
      <c r="BT28">
        <v>7.0015584172541612</v>
      </c>
      <c r="BU28">
        <v>5167.1501119335708</v>
      </c>
      <c r="BV28">
        <v>9</v>
      </c>
      <c r="BW28">
        <v>6642</v>
      </c>
      <c r="BX28">
        <v>3.9752940433960453</v>
      </c>
      <c r="BY28">
        <v>2933.7670040262815</v>
      </c>
      <c r="BZ28">
        <v>3.8613358770455504</v>
      </c>
      <c r="CA28">
        <v>2849.6658772596161</v>
      </c>
      <c r="CB28">
        <v>11.327430103571924</v>
      </c>
      <c r="CC28">
        <v>8359.6434164360799</v>
      </c>
      <c r="CD28">
        <v>2.6748059262549067</v>
      </c>
      <c r="CE28">
        <v>1974.0067735761211</v>
      </c>
      <c r="CF28">
        <v>8.5322526661670146</v>
      </c>
      <c r="CG28">
        <v>6296.8024676312571</v>
      </c>
      <c r="CH28">
        <v>6</v>
      </c>
      <c r="CI28">
        <v>4428</v>
      </c>
      <c r="CJ28">
        <v>9</v>
      </c>
      <c r="CK28">
        <v>6642</v>
      </c>
      <c r="CL28">
        <v>1.4808583394349693</v>
      </c>
      <c r="CM28">
        <v>1092.8734545030072</v>
      </c>
      <c r="CN28">
        <v>12.511817255089493</v>
      </c>
      <c r="CO28">
        <v>9233.7211342560458</v>
      </c>
      <c r="CP28">
        <v>8.9124563387562805</v>
      </c>
      <c r="CQ28">
        <v>6577.3927780021349</v>
      </c>
      <c r="CR28">
        <v>4.2594218412465894</v>
      </c>
      <c r="CS28">
        <v>3143.4533188399828</v>
      </c>
      <c r="CT28">
        <v>12.446721321356502</v>
      </c>
      <c r="CU28">
        <v>9185.6803351610979</v>
      </c>
    </row>
    <row r="29" spans="2:99">
      <c r="C29" s="99" t="s">
        <v>196</v>
      </c>
      <c r="D29">
        <v>1.2181806894171228</v>
      </c>
      <c r="E29">
        <v>412.2323452987543</v>
      </c>
      <c r="F29">
        <v>8.269653192640039</v>
      </c>
      <c r="G29">
        <v>2798.4506403893888</v>
      </c>
      <c r="H29">
        <v>7.2858781799550822</v>
      </c>
      <c r="I29">
        <v>2465.5411760967995</v>
      </c>
      <c r="J29">
        <v>8.1546657963300522</v>
      </c>
      <c r="K29">
        <v>2759.5389054780894</v>
      </c>
      <c r="L29">
        <v>3.0037259597692052</v>
      </c>
      <c r="M29">
        <v>1016.4608647858989</v>
      </c>
      <c r="N29">
        <v>8</v>
      </c>
      <c r="O29">
        <v>2707.2</v>
      </c>
      <c r="P29">
        <v>4.5743579170612012</v>
      </c>
      <c r="Q29">
        <v>1547.9627191335103</v>
      </c>
      <c r="R29">
        <v>9</v>
      </c>
      <c r="S29">
        <v>3045.6</v>
      </c>
      <c r="T29">
        <v>6</v>
      </c>
      <c r="U29">
        <v>2030.3999999999999</v>
      </c>
      <c r="V29">
        <v>8.0201960498985798</v>
      </c>
      <c r="W29">
        <v>2714.0343432856794</v>
      </c>
      <c r="X29">
        <v>7.266306141538319</v>
      </c>
      <c r="Y29">
        <v>2458.917998296567</v>
      </c>
      <c r="Z29">
        <v>8.2701396966429073</v>
      </c>
      <c r="AA29">
        <v>2798.6152733439594</v>
      </c>
      <c r="AB29">
        <v>5.9348678122461695</v>
      </c>
      <c r="AC29">
        <v>2008.3592676641038</v>
      </c>
      <c r="AD29">
        <v>2.8937551514175652</v>
      </c>
      <c r="AE29">
        <v>979.24674323970396</v>
      </c>
      <c r="AF29">
        <v>5.5980484785524931</v>
      </c>
      <c r="AG29">
        <v>1894.3796051421634</v>
      </c>
      <c r="AH29">
        <v>10.333143561627722</v>
      </c>
      <c r="AI29">
        <v>3496.7357812548207</v>
      </c>
      <c r="AJ29">
        <v>8.146619607532136</v>
      </c>
      <c r="AK29">
        <v>2756.8160751888745</v>
      </c>
      <c r="AL29">
        <v>1.3536138134896947</v>
      </c>
      <c r="AM29">
        <v>458.06291448491265</v>
      </c>
      <c r="AN29">
        <v>11.119165280674723</v>
      </c>
      <c r="AO29">
        <v>3762.7255309803259</v>
      </c>
      <c r="AP29">
        <v>8</v>
      </c>
      <c r="AQ29">
        <v>2707.2</v>
      </c>
      <c r="AR29">
        <v>5.8457466559723166</v>
      </c>
      <c r="AS29">
        <v>1978.2006683810318</v>
      </c>
      <c r="AT29">
        <v>4.5172904408828849</v>
      </c>
      <c r="AU29">
        <v>1528.6510851947683</v>
      </c>
      <c r="AV29">
        <v>6.8149143963821501</v>
      </c>
      <c r="AW29">
        <v>2306.1670317357193</v>
      </c>
      <c r="AX29">
        <v>9</v>
      </c>
      <c r="AY29">
        <v>3045.6</v>
      </c>
      <c r="AZ29">
        <v>5.9027311479087858</v>
      </c>
      <c r="BA29">
        <v>1997.4842204523329</v>
      </c>
      <c r="BB29">
        <v>5.0311448563895071</v>
      </c>
      <c r="BC29">
        <v>1702.5394194022092</v>
      </c>
      <c r="BD29">
        <v>8.1778972756585819</v>
      </c>
      <c r="BE29">
        <v>2767.4004380828637</v>
      </c>
      <c r="BF29">
        <v>5.2675563172815503</v>
      </c>
      <c r="BG29">
        <v>1782.5410577680766</v>
      </c>
      <c r="BH29">
        <v>6.3663743830321584</v>
      </c>
      <c r="BI29">
        <v>2154.3810912180825</v>
      </c>
      <c r="BJ29">
        <v>10</v>
      </c>
      <c r="BK29">
        <v>3384</v>
      </c>
      <c r="BL29">
        <v>7</v>
      </c>
      <c r="BM29">
        <v>2368.7999999999997</v>
      </c>
      <c r="BN29">
        <v>2.5802689298349293</v>
      </c>
      <c r="BO29">
        <v>873.16300585613999</v>
      </c>
      <c r="BP29">
        <v>8.1743364508310279</v>
      </c>
      <c r="BQ29">
        <v>2766.1954549612196</v>
      </c>
      <c r="BR29">
        <v>3.7314455832868911</v>
      </c>
      <c r="BS29">
        <v>1262.7211853842839</v>
      </c>
      <c r="BT29">
        <v>7.1128426858379568</v>
      </c>
      <c r="BU29">
        <v>2406.9859648875645</v>
      </c>
      <c r="BV29">
        <v>8</v>
      </c>
      <c r="BW29">
        <v>2707.2</v>
      </c>
      <c r="BX29">
        <v>3.4783822879715398</v>
      </c>
      <c r="BY29">
        <v>1177.084566249569</v>
      </c>
      <c r="BZ29">
        <v>4.4443097640195033</v>
      </c>
      <c r="CA29">
        <v>1503.9544241441997</v>
      </c>
      <c r="CB29">
        <v>10.327430103571924</v>
      </c>
      <c r="CC29">
        <v>3494.8023470487387</v>
      </c>
      <c r="CD29">
        <v>2.6748059262549067</v>
      </c>
      <c r="CE29">
        <v>905.15432544466034</v>
      </c>
      <c r="CF29">
        <v>9.8698863549892835</v>
      </c>
      <c r="CG29">
        <v>3339.9695425283735</v>
      </c>
      <c r="CH29">
        <v>6</v>
      </c>
      <c r="CI29">
        <v>2030.3999999999999</v>
      </c>
      <c r="CJ29">
        <v>8</v>
      </c>
      <c r="CK29">
        <v>2707.2</v>
      </c>
      <c r="CL29">
        <v>1.4808583394349693</v>
      </c>
      <c r="CM29">
        <v>501.12246206479358</v>
      </c>
      <c r="CN29">
        <v>12.628110890096377</v>
      </c>
      <c r="CO29">
        <v>4273.3527252086133</v>
      </c>
      <c r="CP29">
        <v>10.694947606507538</v>
      </c>
      <c r="CQ29">
        <v>3619.1702700421506</v>
      </c>
      <c r="CR29">
        <v>3.8690178706906782</v>
      </c>
      <c r="CS29">
        <v>1309.2756474417254</v>
      </c>
      <c r="CT29">
        <v>12.621487130024825</v>
      </c>
      <c r="CU29">
        <v>4271.1112448004005</v>
      </c>
    </row>
    <row r="30" spans="2:99">
      <c r="C30" s="99" t="s">
        <v>197</v>
      </c>
      <c r="D30">
        <v>1.3610788971324237</v>
      </c>
      <c r="E30">
        <v>189.46218248083335</v>
      </c>
      <c r="F30">
        <v>8.269653192640039</v>
      </c>
      <c r="G30">
        <v>1151.1357244154933</v>
      </c>
      <c r="H30">
        <v>6.5572903619595735</v>
      </c>
      <c r="I30">
        <v>912.77481838477252</v>
      </c>
      <c r="J30">
        <v>8.28296199592228</v>
      </c>
      <c r="K30">
        <v>1152.9883098323812</v>
      </c>
      <c r="L30">
        <v>3.6044711517230463</v>
      </c>
      <c r="M30">
        <v>501.74238431984799</v>
      </c>
      <c r="N30">
        <v>8</v>
      </c>
      <c r="O30">
        <v>1113.5999999999999</v>
      </c>
      <c r="P30">
        <v>5.1461526566938511</v>
      </c>
      <c r="Q30">
        <v>716.34444981178399</v>
      </c>
      <c r="R30">
        <v>9</v>
      </c>
      <c r="S30">
        <v>1252.8</v>
      </c>
      <c r="T30">
        <v>6</v>
      </c>
      <c r="U30">
        <v>835.19999999999993</v>
      </c>
      <c r="V30">
        <v>7.1290631554654027</v>
      </c>
      <c r="W30">
        <v>992.36559124078394</v>
      </c>
      <c r="X30">
        <v>8.0736734905981322</v>
      </c>
      <c r="Y30">
        <v>1123.8553498912599</v>
      </c>
      <c r="Z30">
        <v>8.9471397171089251</v>
      </c>
      <c r="AA30">
        <v>1245.4418486215623</v>
      </c>
      <c r="AB30">
        <v>6.8315412891360516</v>
      </c>
      <c r="AC30">
        <v>950.95054744773836</v>
      </c>
      <c r="AD30">
        <v>2.9809889623157551</v>
      </c>
      <c r="AE30">
        <v>414.95366355435306</v>
      </c>
      <c r="AF30">
        <v>5.03119689198234</v>
      </c>
      <c r="AG30">
        <v>700.34260736394162</v>
      </c>
      <c r="AH30">
        <v>11.333143561627722</v>
      </c>
      <c r="AI30">
        <v>1577.5735837785787</v>
      </c>
      <c r="AJ30">
        <v>8.146619607532136</v>
      </c>
      <c r="AK30">
        <v>1134.0094493684733</v>
      </c>
      <c r="AL30">
        <v>1.1681101797078959</v>
      </c>
      <c r="AM30">
        <v>162.6009370153391</v>
      </c>
      <c r="AN30">
        <v>11.119165280674723</v>
      </c>
      <c r="AO30">
        <v>1547.7878070699214</v>
      </c>
      <c r="AP30">
        <v>8</v>
      </c>
      <c r="AQ30">
        <v>1113.5999999999999</v>
      </c>
      <c r="AR30">
        <v>6.6808533211112193</v>
      </c>
      <c r="AS30">
        <v>929.9747822986817</v>
      </c>
      <c r="AT30">
        <v>4.5172904408828849</v>
      </c>
      <c r="AU30">
        <v>628.8068293708975</v>
      </c>
      <c r="AV30">
        <v>7.572127107091279</v>
      </c>
      <c r="AW30">
        <v>1054.040093307106</v>
      </c>
      <c r="AX30">
        <v>9</v>
      </c>
      <c r="AY30">
        <v>1252.8</v>
      </c>
      <c r="AZ30">
        <v>5.9027311479087858</v>
      </c>
      <c r="BA30">
        <v>821.66017578890296</v>
      </c>
      <c r="BB30">
        <v>5.0311448563895071</v>
      </c>
      <c r="BC30">
        <v>700.33536400941932</v>
      </c>
      <c r="BD30">
        <v>7.2692420228076271</v>
      </c>
      <c r="BE30">
        <v>1011.8784895748216</v>
      </c>
      <c r="BF30">
        <v>4.6091117776213562</v>
      </c>
      <c r="BG30">
        <v>641.58835944489272</v>
      </c>
      <c r="BH30">
        <v>5.5705775851531376</v>
      </c>
      <c r="BI30">
        <v>775.42439985331669</v>
      </c>
      <c r="BJ30">
        <v>9</v>
      </c>
      <c r="BK30">
        <v>1252.8</v>
      </c>
      <c r="BL30">
        <v>7</v>
      </c>
      <c r="BM30">
        <v>974.39999999999986</v>
      </c>
      <c r="BN30">
        <v>2.5802689298349293</v>
      </c>
      <c r="BO30">
        <v>359.17343503302214</v>
      </c>
      <c r="BP30">
        <v>9.1743364508310279</v>
      </c>
      <c r="BQ30">
        <v>1277.067633955679</v>
      </c>
      <c r="BR30">
        <v>3.7314455832868911</v>
      </c>
      <c r="BS30">
        <v>519.41722519353516</v>
      </c>
      <c r="BT30">
        <v>7.1128426858379568</v>
      </c>
      <c r="BU30">
        <v>990.10770186864352</v>
      </c>
      <c r="BV30">
        <v>9</v>
      </c>
      <c r="BW30">
        <v>1252.8</v>
      </c>
      <c r="BX30">
        <v>3.9752940433960453</v>
      </c>
      <c r="BY30">
        <v>553.36093084072945</v>
      </c>
      <c r="BZ30">
        <v>5.0272836509934553</v>
      </c>
      <c r="CA30">
        <v>699.79788421828891</v>
      </c>
      <c r="CB30">
        <v>10.179937869841709</v>
      </c>
      <c r="CC30">
        <v>1417.0473514819657</v>
      </c>
      <c r="CD30">
        <v>2.6748059262549067</v>
      </c>
      <c r="CE30">
        <v>372.332984934683</v>
      </c>
      <c r="CF30">
        <v>9.8698863549892835</v>
      </c>
      <c r="CG30">
        <v>1373.8881806145082</v>
      </c>
      <c r="CH30">
        <v>6</v>
      </c>
      <c r="CI30">
        <v>835.19999999999993</v>
      </c>
      <c r="CJ30">
        <v>10</v>
      </c>
      <c r="CK30">
        <v>1392</v>
      </c>
      <c r="CL30">
        <v>1.6453981549277437</v>
      </c>
      <c r="CM30">
        <v>229.03942316594191</v>
      </c>
      <c r="CN30">
        <v>12.628110890096377</v>
      </c>
      <c r="CO30">
        <v>1757.8330359014155</v>
      </c>
      <c r="CP30">
        <v>10.694947606507538</v>
      </c>
      <c r="CQ30">
        <v>1488.7367068258493</v>
      </c>
      <c r="CR30">
        <v>3.8729091856760598</v>
      </c>
      <c r="CS30">
        <v>539.10895864610745</v>
      </c>
      <c r="CT30">
        <v>13.621487130024825</v>
      </c>
      <c r="CU30">
        <v>1896.1110084994555</v>
      </c>
    </row>
    <row r="31" spans="2:99">
      <c r="C31" s="99" t="s">
        <v>198</v>
      </c>
      <c r="D31">
        <v>1.2181806894171228</v>
      </c>
      <c r="E31">
        <v>415.15597895335543</v>
      </c>
      <c r="F31">
        <v>8.3636045284744895</v>
      </c>
      <c r="G31">
        <v>2850.3164233041061</v>
      </c>
      <c r="H31">
        <v>7.2858781799550822</v>
      </c>
      <c r="I31">
        <v>2483.0272837286921</v>
      </c>
      <c r="J31">
        <v>8.28296199592228</v>
      </c>
      <c r="K31">
        <v>2822.8334482103132</v>
      </c>
      <c r="L31">
        <v>3.6044711517230463</v>
      </c>
      <c r="M31">
        <v>1228.4037685072142</v>
      </c>
      <c r="N31">
        <v>7</v>
      </c>
      <c r="O31">
        <v>2385.6</v>
      </c>
      <c r="P31">
        <v>4.5743579170612012</v>
      </c>
      <c r="Q31">
        <v>1558.9411781344575</v>
      </c>
      <c r="R31">
        <v>8</v>
      </c>
      <c r="S31">
        <v>2726.4</v>
      </c>
      <c r="T31">
        <v>6</v>
      </c>
      <c r="U31">
        <v>2044.8000000000002</v>
      </c>
      <c r="V31">
        <v>7.1290631554654027</v>
      </c>
      <c r="W31">
        <v>2429.5847233826094</v>
      </c>
      <c r="X31">
        <v>7.266306141538319</v>
      </c>
      <c r="Y31">
        <v>2476.3571330362593</v>
      </c>
      <c r="Z31">
        <v>8.2533924696240728</v>
      </c>
      <c r="AA31">
        <v>2812.7561536478843</v>
      </c>
      <c r="AB31">
        <v>4.8252139104324074</v>
      </c>
      <c r="AC31">
        <v>1644.4329006753644</v>
      </c>
      <c r="AD31">
        <v>2.9373720568666597</v>
      </c>
      <c r="AE31">
        <v>1001.0563969801576</v>
      </c>
      <c r="AF31">
        <v>4.934321863938699</v>
      </c>
      <c r="AG31">
        <v>1681.6168912303087</v>
      </c>
      <c r="AH31">
        <v>10.499796673172559</v>
      </c>
      <c r="AI31">
        <v>3578.3307062172084</v>
      </c>
      <c r="AJ31">
        <v>8.146619607532136</v>
      </c>
      <c r="AK31">
        <v>2776.3679622469522</v>
      </c>
      <c r="AL31">
        <v>1.1681101797078959</v>
      </c>
      <c r="AM31">
        <v>398.09194924445092</v>
      </c>
      <c r="AN31">
        <v>11.039224903483673</v>
      </c>
      <c r="AO31">
        <v>3762.167847107236</v>
      </c>
      <c r="AP31">
        <v>8</v>
      </c>
      <c r="AQ31">
        <v>2726.4</v>
      </c>
      <c r="AR31">
        <v>6.6808533211112193</v>
      </c>
      <c r="AS31">
        <v>2276.8348118347035</v>
      </c>
      <c r="AT31">
        <v>4.5172904408828849</v>
      </c>
      <c r="AU31">
        <v>1539.4925822528871</v>
      </c>
      <c r="AV31">
        <v>7.572127107091279</v>
      </c>
      <c r="AW31">
        <v>2580.580918096708</v>
      </c>
      <c r="AX31">
        <v>9</v>
      </c>
      <c r="AY31">
        <v>3067.2000000000003</v>
      </c>
      <c r="AZ31">
        <v>5.9027311479087858</v>
      </c>
      <c r="BA31">
        <v>2011.6507752073144</v>
      </c>
      <c r="BB31">
        <v>5.0311448563895071</v>
      </c>
      <c r="BC31">
        <v>1714.6141670575441</v>
      </c>
      <c r="BD31">
        <v>8.1778972756585819</v>
      </c>
      <c r="BE31">
        <v>2787.027391544445</v>
      </c>
      <c r="BF31">
        <v>4.6091117776213562</v>
      </c>
      <c r="BG31">
        <v>1570.7852938133583</v>
      </c>
      <c r="BH31">
        <v>6.3663743830321584</v>
      </c>
      <c r="BI31">
        <v>2169.6603897373598</v>
      </c>
      <c r="BJ31">
        <v>10</v>
      </c>
      <c r="BK31">
        <v>3408</v>
      </c>
      <c r="BL31">
        <v>7</v>
      </c>
      <c r="BM31">
        <v>2385.6</v>
      </c>
      <c r="BN31">
        <v>2.3456990271226625</v>
      </c>
      <c r="BO31">
        <v>799.41422844340343</v>
      </c>
      <c r="BP31">
        <v>9.0065741007123101</v>
      </c>
      <c r="BQ31">
        <v>3069.4404535227554</v>
      </c>
      <c r="BR31">
        <v>3.3922232575335376</v>
      </c>
      <c r="BS31">
        <v>1156.0696861674296</v>
      </c>
      <c r="BT31">
        <v>8.1128426858379559</v>
      </c>
      <c r="BU31">
        <v>2764.8567873335755</v>
      </c>
      <c r="BV31">
        <v>10</v>
      </c>
      <c r="BW31">
        <v>3408</v>
      </c>
      <c r="BX31">
        <v>3.9752940433960453</v>
      </c>
      <c r="BY31">
        <v>1354.7802099893722</v>
      </c>
      <c r="BZ31">
        <v>4.4443097640195033</v>
      </c>
      <c r="CA31">
        <v>1514.6207675778467</v>
      </c>
      <c r="CB31">
        <v>10.179937869841709</v>
      </c>
      <c r="CC31">
        <v>3469.3228260420547</v>
      </c>
      <c r="CD31">
        <v>2.6748059262549067</v>
      </c>
      <c r="CE31">
        <v>911.5738596676722</v>
      </c>
      <c r="CF31">
        <v>8.701069510578149</v>
      </c>
      <c r="CG31">
        <v>2965.3244892050334</v>
      </c>
      <c r="CH31">
        <v>7</v>
      </c>
      <c r="CI31">
        <v>2385.6</v>
      </c>
      <c r="CJ31">
        <v>8</v>
      </c>
      <c r="CK31">
        <v>2726.4</v>
      </c>
      <c r="CL31">
        <v>1.6453981549277437</v>
      </c>
      <c r="CM31">
        <v>560.75169119937505</v>
      </c>
      <c r="CN31">
        <v>12.628110890096377</v>
      </c>
      <c r="CO31">
        <v>4303.6601913448449</v>
      </c>
      <c r="CP31">
        <v>9.8037019726319095</v>
      </c>
      <c r="CQ31">
        <v>3341.1016322729547</v>
      </c>
      <c r="CR31">
        <v>3.8729091856760598</v>
      </c>
      <c r="CS31">
        <v>1319.8874504784012</v>
      </c>
      <c r="CT31">
        <v>11.796252938693147</v>
      </c>
      <c r="CU31">
        <v>4020.1630015066248</v>
      </c>
    </row>
    <row r="32" spans="2:99">
      <c r="C32" s="99" t="s">
        <v>199</v>
      </c>
      <c r="D32">
        <v>1.0752824817018216</v>
      </c>
      <c r="E32">
        <v>903.23728462953011</v>
      </c>
      <c r="F32">
        <v>8.269653192640039</v>
      </c>
      <c r="G32">
        <v>6946.5086818176324</v>
      </c>
      <c r="H32">
        <v>7.2858781799550822</v>
      </c>
      <c r="I32">
        <v>6120.1376711622688</v>
      </c>
      <c r="J32">
        <v>8.28296199592228</v>
      </c>
      <c r="K32">
        <v>6957.6880765747155</v>
      </c>
      <c r="L32">
        <v>3.0037259597692052</v>
      </c>
      <c r="M32">
        <v>2523.1298062061323</v>
      </c>
      <c r="N32">
        <v>7</v>
      </c>
      <c r="O32">
        <v>5880</v>
      </c>
      <c r="P32">
        <v>4.5743579170612012</v>
      </c>
      <c r="Q32">
        <v>3842.4606503314089</v>
      </c>
      <c r="R32">
        <v>8</v>
      </c>
      <c r="S32">
        <v>6720</v>
      </c>
      <c r="T32">
        <v>5</v>
      </c>
      <c r="U32">
        <v>4200</v>
      </c>
      <c r="V32">
        <v>7.1290631554654027</v>
      </c>
      <c r="W32">
        <v>5988.4130505909379</v>
      </c>
      <c r="X32">
        <v>7.266306141538319</v>
      </c>
      <c r="Y32">
        <v>6103.6971588921879</v>
      </c>
      <c r="Z32">
        <v>7.3586784979131794</v>
      </c>
      <c r="AA32">
        <v>6181.2899382470705</v>
      </c>
      <c r="AB32">
        <v>4.0210115920270058</v>
      </c>
      <c r="AC32">
        <v>3377.649737302685</v>
      </c>
      <c r="AD32">
        <v>2.6049812882124699</v>
      </c>
      <c r="AE32">
        <v>2188.1842820984748</v>
      </c>
      <c r="AF32">
        <v>5.5980484785524931</v>
      </c>
      <c r="AG32">
        <v>4702.3607219840942</v>
      </c>
      <c r="AH32">
        <v>10.166490450082884</v>
      </c>
      <c r="AI32">
        <v>8539.8519780696224</v>
      </c>
      <c r="AJ32">
        <v>8.146619607532136</v>
      </c>
      <c r="AK32">
        <v>6843.1604703269941</v>
      </c>
      <c r="AL32">
        <v>1.1681101797078959</v>
      </c>
      <c r="AM32">
        <v>981.21255095463255</v>
      </c>
      <c r="AN32">
        <v>10.95928452629262</v>
      </c>
      <c r="AO32">
        <v>9205.7990020858015</v>
      </c>
      <c r="AP32">
        <v>7</v>
      </c>
      <c r="AQ32">
        <v>5880</v>
      </c>
      <c r="AR32">
        <v>6.6808533211112193</v>
      </c>
      <c r="AS32">
        <v>5611.9167897334246</v>
      </c>
      <c r="AT32">
        <v>3.764408700735737</v>
      </c>
      <c r="AU32">
        <v>3162.1033086180191</v>
      </c>
      <c r="AV32">
        <v>6.8149143963821501</v>
      </c>
      <c r="AW32">
        <v>5724.5280929610062</v>
      </c>
      <c r="AX32">
        <v>8</v>
      </c>
      <c r="AY32">
        <v>6720</v>
      </c>
      <c r="AZ32">
        <v>5.9027311479087858</v>
      </c>
      <c r="BA32">
        <v>4958.2941642433798</v>
      </c>
      <c r="BB32">
        <v>5.0311448563895071</v>
      </c>
      <c r="BC32">
        <v>4226.1616793671856</v>
      </c>
      <c r="BD32">
        <v>7.2692420228076271</v>
      </c>
      <c r="BE32">
        <v>6106.1632991584065</v>
      </c>
      <c r="BF32">
        <v>4.6091117776213562</v>
      </c>
      <c r="BG32">
        <v>3871.6538932019394</v>
      </c>
      <c r="BH32">
        <v>5.5705775851531376</v>
      </c>
      <c r="BI32">
        <v>4679.2851715286351</v>
      </c>
      <c r="BJ32">
        <v>10</v>
      </c>
      <c r="BK32">
        <v>8400</v>
      </c>
      <c r="BL32">
        <v>7</v>
      </c>
      <c r="BM32">
        <v>5880</v>
      </c>
      <c r="BN32">
        <v>2.3456990271226625</v>
      </c>
      <c r="BO32">
        <v>1970.3871827830365</v>
      </c>
      <c r="BP32">
        <v>8.0065741007123101</v>
      </c>
      <c r="BQ32">
        <v>6725.5222445983409</v>
      </c>
      <c r="BR32">
        <v>3.0530009317801841</v>
      </c>
      <c r="BS32">
        <v>2564.5207826953547</v>
      </c>
      <c r="BT32">
        <v>7.1128426858379568</v>
      </c>
      <c r="BU32">
        <v>5974.7878561038833</v>
      </c>
      <c r="BV32">
        <v>9</v>
      </c>
      <c r="BW32">
        <v>7560</v>
      </c>
      <c r="BX32">
        <v>3.9752940433960453</v>
      </c>
      <c r="BY32">
        <v>3339.2469964526781</v>
      </c>
      <c r="BZ32">
        <v>3.1862782745278548</v>
      </c>
      <c r="CA32">
        <v>2676.473750603398</v>
      </c>
      <c r="CB32">
        <v>10.327430103571924</v>
      </c>
      <c r="CC32">
        <v>8675.0412870004166</v>
      </c>
      <c r="CD32">
        <v>2.2926907939327767</v>
      </c>
      <c r="CE32">
        <v>1925.8602669035324</v>
      </c>
      <c r="CF32">
        <v>8.5322526661670146</v>
      </c>
      <c r="CG32">
        <v>7167.0922395802927</v>
      </c>
      <c r="CH32">
        <v>7</v>
      </c>
      <c r="CI32">
        <v>5880</v>
      </c>
      <c r="CJ32">
        <v>9</v>
      </c>
      <c r="CK32">
        <v>7560</v>
      </c>
      <c r="CL32">
        <v>1.4808583394349693</v>
      </c>
      <c r="CM32">
        <v>1243.9210051253742</v>
      </c>
      <c r="CN32">
        <v>13.628110890096377</v>
      </c>
      <c r="CO32">
        <v>11447.613147680957</v>
      </c>
      <c r="CP32">
        <v>9.8037019726319095</v>
      </c>
      <c r="CQ32">
        <v>8235.1096570108039</v>
      </c>
      <c r="CR32">
        <v>4.2633131562319706</v>
      </c>
      <c r="CS32">
        <v>3581.1830512348552</v>
      </c>
      <c r="CT32">
        <v>11.621487130024825</v>
      </c>
      <c r="CU32">
        <v>9762.049189220852</v>
      </c>
    </row>
    <row r="33" spans="2:99">
      <c r="C33" s="99" t="s">
        <v>200</v>
      </c>
      <c r="D33">
        <v>1.2181806894171228</v>
      </c>
      <c r="E33">
        <v>577.41764678371624</v>
      </c>
      <c r="F33">
        <v>8.3636045284744895</v>
      </c>
      <c r="G33">
        <v>3964.3485464969081</v>
      </c>
      <c r="H33">
        <v>6.9228104250445703</v>
      </c>
      <c r="I33">
        <v>3281.4121414711262</v>
      </c>
      <c r="J33">
        <v>7.28296199592228</v>
      </c>
      <c r="K33">
        <v>3452.1239860671608</v>
      </c>
      <c r="L33">
        <v>3.0037259597692052</v>
      </c>
      <c r="M33">
        <v>1423.7661049306032</v>
      </c>
      <c r="N33">
        <v>8</v>
      </c>
      <c r="O33">
        <v>3792</v>
      </c>
      <c r="P33">
        <v>5.1461526566938511</v>
      </c>
      <c r="Q33">
        <v>2439.2763592728857</v>
      </c>
      <c r="R33">
        <v>8</v>
      </c>
      <c r="S33">
        <v>3792</v>
      </c>
      <c r="T33">
        <v>6</v>
      </c>
      <c r="U33">
        <v>2844</v>
      </c>
      <c r="V33">
        <v>7.1290631554654027</v>
      </c>
      <c r="W33">
        <v>3379.1759356906009</v>
      </c>
      <c r="X33">
        <v>7.266306141538319</v>
      </c>
      <c r="Y33">
        <v>3444.2291110891633</v>
      </c>
      <c r="Z33">
        <v>7.3921729519508528</v>
      </c>
      <c r="AA33">
        <v>3503.8899792247043</v>
      </c>
      <c r="AB33">
        <v>4.8252139104324074</v>
      </c>
      <c r="AC33">
        <v>2287.1513935449611</v>
      </c>
      <c r="AD33">
        <v>2.561364382763375</v>
      </c>
      <c r="AE33">
        <v>1214.0867174298398</v>
      </c>
      <c r="AF33">
        <v>5.5881026358625085</v>
      </c>
      <c r="AG33">
        <v>2648.7606493988292</v>
      </c>
      <c r="AH33">
        <v>9.4997966731725594</v>
      </c>
      <c r="AI33">
        <v>4502.9036230837928</v>
      </c>
      <c r="AJ33">
        <v>7.3319576467789229</v>
      </c>
      <c r="AK33">
        <v>3475.3479245732096</v>
      </c>
      <c r="AL33">
        <v>1.1681101797078959</v>
      </c>
      <c r="AM33">
        <v>553.68422518154262</v>
      </c>
      <c r="AN33">
        <v>12.039224903483673</v>
      </c>
      <c r="AO33">
        <v>5706.592604251261</v>
      </c>
      <c r="AP33">
        <v>8</v>
      </c>
      <c r="AQ33">
        <v>3792</v>
      </c>
      <c r="AR33">
        <v>5.8457466559723166</v>
      </c>
      <c r="AS33">
        <v>2770.8839149308778</v>
      </c>
      <c r="AT33">
        <v>5.2701721810300324</v>
      </c>
      <c r="AU33">
        <v>2498.0616138082355</v>
      </c>
      <c r="AV33">
        <v>8.3293398178004061</v>
      </c>
      <c r="AW33">
        <v>3948.1070736373927</v>
      </c>
      <c r="AX33">
        <v>9</v>
      </c>
      <c r="AY33">
        <v>4266</v>
      </c>
      <c r="AZ33">
        <v>5.9027311479087858</v>
      </c>
      <c r="BA33">
        <v>2797.8945641087644</v>
      </c>
      <c r="BB33">
        <v>5.0311448563895071</v>
      </c>
      <c r="BC33">
        <v>2384.7626619286266</v>
      </c>
      <c r="BD33">
        <v>7.2692420228076271</v>
      </c>
      <c r="BE33">
        <v>3445.6207188108151</v>
      </c>
      <c r="BF33">
        <v>4.6091117776213562</v>
      </c>
      <c r="BG33">
        <v>2184.7189825925229</v>
      </c>
      <c r="BH33">
        <v>6.3663743830321584</v>
      </c>
      <c r="BI33">
        <v>3017.661457557243</v>
      </c>
      <c r="BJ33">
        <v>10</v>
      </c>
      <c r="BK33">
        <v>4740</v>
      </c>
      <c r="BL33">
        <v>7</v>
      </c>
      <c r="BM33">
        <v>3318</v>
      </c>
      <c r="BN33">
        <v>2.5802689298349293</v>
      </c>
      <c r="BO33">
        <v>1223.0474727417566</v>
      </c>
      <c r="BP33">
        <v>9.1743364508310279</v>
      </c>
      <c r="BQ33">
        <v>4348.635477693907</v>
      </c>
      <c r="BR33">
        <v>3.7314455832868911</v>
      </c>
      <c r="BS33">
        <v>1768.7052064779864</v>
      </c>
      <c r="BT33">
        <v>7.1128426858379568</v>
      </c>
      <c r="BU33">
        <v>3371.4874330871917</v>
      </c>
      <c r="BV33">
        <v>9</v>
      </c>
      <c r="BW33">
        <v>4266</v>
      </c>
      <c r="BX33">
        <v>3.9752940433960453</v>
      </c>
      <c r="BY33">
        <v>1884.2893765697254</v>
      </c>
      <c r="BZ33">
        <v>4.3923822561335264</v>
      </c>
      <c r="CA33">
        <v>2081.9891894072916</v>
      </c>
      <c r="CB33">
        <v>10.327430103571924</v>
      </c>
      <c r="CC33">
        <v>4895.2018690930918</v>
      </c>
      <c r="CD33">
        <v>2.6748059262549067</v>
      </c>
      <c r="CE33">
        <v>1267.8580090448258</v>
      </c>
      <c r="CF33">
        <v>8.5322526661670146</v>
      </c>
      <c r="CG33">
        <v>4044.287763763165</v>
      </c>
      <c r="CH33">
        <v>6</v>
      </c>
      <c r="CI33">
        <v>2844</v>
      </c>
      <c r="CJ33">
        <v>9</v>
      </c>
      <c r="CK33">
        <v>4266</v>
      </c>
      <c r="CL33">
        <v>1.6453981549277437</v>
      </c>
      <c r="CM33">
        <v>779.9187254357505</v>
      </c>
      <c r="CN33">
        <v>12.744404525103262</v>
      </c>
      <c r="CO33">
        <v>6040.8477448989461</v>
      </c>
      <c r="CP33">
        <v>10.694947606507538</v>
      </c>
      <c r="CQ33">
        <v>5069.4051654845734</v>
      </c>
      <c r="CR33">
        <v>3.494179160076293</v>
      </c>
      <c r="CS33">
        <v>1656.2409218761629</v>
      </c>
      <c r="CT33">
        <v>12.796252938693147</v>
      </c>
      <c r="CU33">
        <v>6065.4238929405519</v>
      </c>
    </row>
    <row r="34" spans="2:99">
      <c r="C34" s="99" t="s">
        <v>201</v>
      </c>
      <c r="D34">
        <v>1.2181806894171228</v>
      </c>
      <c r="E34">
        <v>668.05029007635005</v>
      </c>
      <c r="F34">
        <v>8.3636045284744895</v>
      </c>
      <c r="G34">
        <v>4586.6007234154094</v>
      </c>
      <c r="H34">
        <v>7.2858781799550822</v>
      </c>
      <c r="I34">
        <v>3995.5755938873667</v>
      </c>
      <c r="J34">
        <v>8.28296199592228</v>
      </c>
      <c r="K34">
        <v>4542.376358563778</v>
      </c>
      <c r="L34">
        <v>3.6044711517230463</v>
      </c>
      <c r="M34">
        <v>1976.6919796049185</v>
      </c>
      <c r="N34">
        <v>7</v>
      </c>
      <c r="O34">
        <v>3838.7999999999997</v>
      </c>
      <c r="P34">
        <v>5.1461526566938511</v>
      </c>
      <c r="Q34">
        <v>2822.1501169309076</v>
      </c>
      <c r="R34">
        <v>8</v>
      </c>
      <c r="S34">
        <v>4387.2</v>
      </c>
      <c r="T34">
        <v>5</v>
      </c>
      <c r="U34">
        <v>2742</v>
      </c>
      <c r="V34">
        <v>8.0201960498985798</v>
      </c>
      <c r="W34">
        <v>4398.2755137643808</v>
      </c>
      <c r="X34">
        <v>7.266306141538319</v>
      </c>
      <c r="Y34">
        <v>3984.842288019614</v>
      </c>
      <c r="Z34">
        <v>7.3754257249320156</v>
      </c>
      <c r="AA34">
        <v>4044.683467552717</v>
      </c>
      <c r="AB34">
        <v>4.8252139104324074</v>
      </c>
      <c r="AC34">
        <v>2646.1473084811323</v>
      </c>
      <c r="AD34">
        <v>2.9373720568666597</v>
      </c>
      <c r="AE34">
        <v>1610.8548359856761</v>
      </c>
      <c r="AF34">
        <v>5.0262239706373482</v>
      </c>
      <c r="AG34">
        <v>2756.3812254975214</v>
      </c>
      <c r="AH34">
        <v>10.333143561627722</v>
      </c>
      <c r="AI34">
        <v>5666.6959291966423</v>
      </c>
      <c r="AJ34">
        <v>8.146619607532136</v>
      </c>
      <c r="AK34">
        <v>4467.6061927706232</v>
      </c>
      <c r="AL34">
        <v>1.3467277663625568</v>
      </c>
      <c r="AM34">
        <v>738.54550707322608</v>
      </c>
      <c r="AN34">
        <v>11.119165280674723</v>
      </c>
      <c r="AO34">
        <v>6097.7502399220175</v>
      </c>
      <c r="AP34">
        <v>7</v>
      </c>
      <c r="AQ34">
        <v>3838.7999999999997</v>
      </c>
      <c r="AR34">
        <v>6.6808533211112193</v>
      </c>
      <c r="AS34">
        <v>3663.7799612973927</v>
      </c>
      <c r="AT34">
        <v>5.2701721810300324</v>
      </c>
      <c r="AU34">
        <v>2890.1624240768697</v>
      </c>
      <c r="AV34">
        <v>6.8149143963821501</v>
      </c>
      <c r="AW34">
        <v>3737.2990549759711</v>
      </c>
      <c r="AX34">
        <v>9</v>
      </c>
      <c r="AY34">
        <v>4935.5999999999995</v>
      </c>
      <c r="AZ34">
        <v>6.5585901643430953</v>
      </c>
      <c r="BA34">
        <v>3596.7308461257535</v>
      </c>
      <c r="BB34">
        <v>5.0311448563895071</v>
      </c>
      <c r="BC34">
        <v>2759.0798392440056</v>
      </c>
      <c r="BD34">
        <v>8.1778972756585819</v>
      </c>
      <c r="BE34">
        <v>4484.7588659711664</v>
      </c>
      <c r="BF34">
        <v>5.2675563172815503</v>
      </c>
      <c r="BG34">
        <v>2888.7278843972022</v>
      </c>
      <c r="BH34">
        <v>6.3663743830321584</v>
      </c>
      <c r="BI34">
        <v>3491.3197116548354</v>
      </c>
      <c r="BJ34">
        <v>9</v>
      </c>
      <c r="BK34">
        <v>4935.5999999999995</v>
      </c>
      <c r="BL34">
        <v>8</v>
      </c>
      <c r="BM34">
        <v>4387.2</v>
      </c>
      <c r="BN34">
        <v>2.1111291244103967</v>
      </c>
      <c r="BO34">
        <v>1157.7432118266615</v>
      </c>
      <c r="BP34">
        <v>9.0065741007123101</v>
      </c>
      <c r="BQ34">
        <v>4939.2052368306304</v>
      </c>
      <c r="BR34">
        <v>3.7314455832868911</v>
      </c>
      <c r="BS34">
        <v>2046.3247578745311</v>
      </c>
      <c r="BT34">
        <v>8.0015584172541612</v>
      </c>
      <c r="BU34">
        <v>4388.0546360221815</v>
      </c>
      <c r="BV34">
        <v>10</v>
      </c>
      <c r="BW34">
        <v>5484</v>
      </c>
      <c r="BX34">
        <v>3.4783822879715398</v>
      </c>
      <c r="BY34">
        <v>1907.5448467235924</v>
      </c>
      <c r="BZ34">
        <v>4.4443097640195033</v>
      </c>
      <c r="CA34">
        <v>2437.2594745882957</v>
      </c>
      <c r="CB34">
        <v>10.327430103571924</v>
      </c>
      <c r="CC34">
        <v>5663.5626687988433</v>
      </c>
      <c r="CD34">
        <v>3.0569210585770361</v>
      </c>
      <c r="CE34">
        <v>1676.4155085236466</v>
      </c>
      <c r="CF34">
        <v>9.5322526661670146</v>
      </c>
      <c r="CG34">
        <v>5227.4873621259903</v>
      </c>
      <c r="CH34">
        <v>6</v>
      </c>
      <c r="CI34">
        <v>3290.3999999999996</v>
      </c>
      <c r="CJ34">
        <v>8</v>
      </c>
      <c r="CK34">
        <v>4387.2</v>
      </c>
      <c r="CL34">
        <v>1.6453981549277437</v>
      </c>
      <c r="CM34">
        <v>902.33634816237463</v>
      </c>
      <c r="CN34">
        <v>13.628110890096377</v>
      </c>
      <c r="CO34">
        <v>7473.656012128853</v>
      </c>
      <c r="CP34">
        <v>9.8037019726319095</v>
      </c>
      <c r="CQ34">
        <v>5376.3501617913389</v>
      </c>
      <c r="CR34">
        <v>3.8806918156468226</v>
      </c>
      <c r="CS34">
        <v>2128.1713917007173</v>
      </c>
      <c r="CT34">
        <v>12.796252938693147</v>
      </c>
      <c r="CU34">
        <v>7017.4651115793213</v>
      </c>
    </row>
    <row r="35" spans="2:99">
      <c r="C35" s="99" t="s">
        <v>202</v>
      </c>
      <c r="D35">
        <v>1.068464751911393</v>
      </c>
      <c r="E35">
        <v>537.22407726104825</v>
      </c>
      <c r="F35">
        <v>8.3636045284744895</v>
      </c>
      <c r="G35">
        <v>4205.2203569169724</v>
      </c>
      <c r="H35">
        <v>8.0144659979505892</v>
      </c>
      <c r="I35">
        <v>4029.6735037695553</v>
      </c>
      <c r="J35">
        <v>7.28296199592228</v>
      </c>
      <c r="K35">
        <v>3661.8732915497217</v>
      </c>
      <c r="L35">
        <v>3.0037259597692052</v>
      </c>
      <c r="M35">
        <v>1510.273412571956</v>
      </c>
      <c r="N35">
        <v>8</v>
      </c>
      <c r="O35">
        <v>4022.3999999999992</v>
      </c>
      <c r="P35">
        <v>5.1461526566938511</v>
      </c>
      <c r="Q35">
        <v>2587.4855557856677</v>
      </c>
      <c r="R35">
        <v>8</v>
      </c>
      <c r="S35">
        <v>4022.3999999999992</v>
      </c>
      <c r="T35">
        <v>6</v>
      </c>
      <c r="U35">
        <v>3016.7999999999993</v>
      </c>
      <c r="V35">
        <v>7.1290631554654027</v>
      </c>
      <c r="W35">
        <v>3584.4929545680038</v>
      </c>
      <c r="X35">
        <v>7.266306141538319</v>
      </c>
      <c r="Y35">
        <v>3653.4987279654661</v>
      </c>
      <c r="Z35">
        <v>7.3754257249320156</v>
      </c>
      <c r="AA35">
        <v>3708.3640544958166</v>
      </c>
      <c r="AB35">
        <v>5.9348678122461695</v>
      </c>
      <c r="AC35">
        <v>2984.0515359973733</v>
      </c>
      <c r="AD35">
        <v>2.8937551514175652</v>
      </c>
      <c r="AE35">
        <v>1454.9800901327515</v>
      </c>
      <c r="AF35">
        <v>4.9293489425937063</v>
      </c>
      <c r="AG35">
        <v>2478.476648336115</v>
      </c>
      <c r="AH35">
        <v>10.333143561627722</v>
      </c>
      <c r="AI35">
        <v>5195.5045827864178</v>
      </c>
      <c r="AJ35">
        <v>8.146619607532136</v>
      </c>
      <c r="AK35">
        <v>4096.1203386671568</v>
      </c>
      <c r="AL35">
        <v>1.1612241325807582</v>
      </c>
      <c r="AM35">
        <v>583.86349386160509</v>
      </c>
      <c r="AN35">
        <v>11.119165280674723</v>
      </c>
      <c r="AO35">
        <v>5590.7163031232494</v>
      </c>
      <c r="AP35">
        <v>7</v>
      </c>
      <c r="AQ35">
        <v>3519.5999999999995</v>
      </c>
      <c r="AR35">
        <v>6.6808533211112193</v>
      </c>
      <c r="AS35">
        <v>3359.1330498547204</v>
      </c>
      <c r="AT35">
        <v>4.5172904408828849</v>
      </c>
      <c r="AU35">
        <v>2271.293633675914</v>
      </c>
      <c r="AV35">
        <v>6.8149143963821501</v>
      </c>
      <c r="AW35">
        <v>3426.5389585009443</v>
      </c>
      <c r="AX35">
        <v>10</v>
      </c>
      <c r="AY35">
        <v>5027.9999999999991</v>
      </c>
      <c r="AZ35">
        <v>6.5585901643430953</v>
      </c>
      <c r="BA35">
        <v>3297.6591346317077</v>
      </c>
      <c r="BB35">
        <v>5.0311448563895071</v>
      </c>
      <c r="BC35">
        <v>2529.6596337926435</v>
      </c>
      <c r="BD35">
        <v>6.360586769956674</v>
      </c>
      <c r="BE35">
        <v>3198.1030279342149</v>
      </c>
      <c r="BF35">
        <v>5.2675563172815503</v>
      </c>
      <c r="BG35">
        <v>2648.5273163291631</v>
      </c>
      <c r="BH35">
        <v>5.5705775851531376</v>
      </c>
      <c r="BI35">
        <v>2800.886409814997</v>
      </c>
      <c r="BJ35">
        <v>9</v>
      </c>
      <c r="BK35">
        <v>4525.1999999999989</v>
      </c>
      <c r="BL35">
        <v>7</v>
      </c>
      <c r="BM35">
        <v>3519.5999999999995</v>
      </c>
      <c r="BN35">
        <v>2.3456990271226625</v>
      </c>
      <c r="BO35">
        <v>1179.4174708372745</v>
      </c>
      <c r="BP35">
        <v>9.0065741007123101</v>
      </c>
      <c r="BQ35">
        <v>4528.5054578381487</v>
      </c>
      <c r="BR35">
        <v>3.0530009317801841</v>
      </c>
      <c r="BS35">
        <v>1535.0488684990762</v>
      </c>
      <c r="BT35">
        <v>7.0015584172541612</v>
      </c>
      <c r="BU35">
        <v>3520.3835721953915</v>
      </c>
      <c r="BV35">
        <v>9</v>
      </c>
      <c r="BW35">
        <v>4525.1999999999989</v>
      </c>
      <c r="BX35">
        <v>3.9752940433960453</v>
      </c>
      <c r="BY35">
        <v>1998.7778450195312</v>
      </c>
      <c r="BZ35">
        <v>4.4443097640195033</v>
      </c>
      <c r="CA35">
        <v>2234.5989493490056</v>
      </c>
      <c r="CB35">
        <v>11.327430103571924</v>
      </c>
      <c r="CC35">
        <v>5695.4318560759621</v>
      </c>
      <c r="CD35">
        <v>2.6748059262549067</v>
      </c>
      <c r="CE35">
        <v>1344.8924197209667</v>
      </c>
      <c r="CF35">
        <v>8.5322526661670146</v>
      </c>
      <c r="CG35">
        <v>4290.0166405487744</v>
      </c>
      <c r="CH35">
        <v>6</v>
      </c>
      <c r="CI35">
        <v>3016.7999999999993</v>
      </c>
      <c r="CJ35">
        <v>9</v>
      </c>
      <c r="CK35">
        <v>4525.1999999999989</v>
      </c>
      <c r="CL35">
        <v>1.4808583394349693</v>
      </c>
      <c r="CM35">
        <v>744.57557306790238</v>
      </c>
      <c r="CN35">
        <v>13.395523620082608</v>
      </c>
      <c r="CO35">
        <v>6735.2692761775343</v>
      </c>
      <c r="CP35">
        <v>10.694947606507538</v>
      </c>
      <c r="CQ35">
        <v>5377.4196565519896</v>
      </c>
      <c r="CR35">
        <v>3.494179160076293</v>
      </c>
      <c r="CS35">
        <v>1756.8732816863599</v>
      </c>
      <c r="CT35">
        <v>12.97101874736147</v>
      </c>
      <c r="CU35">
        <v>6521.8282261733457</v>
      </c>
    </row>
    <row r="36" spans="2:99">
      <c r="C36" s="99" t="s">
        <v>203</v>
      </c>
      <c r="D36">
        <v>1.2113629596266942</v>
      </c>
      <c r="E36">
        <v>921.60493968398885</v>
      </c>
      <c r="F36">
        <v>7.3181539624151783</v>
      </c>
      <c r="G36">
        <v>5567.6515346054675</v>
      </c>
      <c r="H36">
        <v>7.2858781799550822</v>
      </c>
      <c r="I36">
        <v>5543.0961193098265</v>
      </c>
      <c r="J36">
        <v>7.28296199592228</v>
      </c>
      <c r="K36">
        <v>5540.8774864976704</v>
      </c>
      <c r="L36">
        <v>3.0037259597692052</v>
      </c>
      <c r="M36">
        <v>2285.2347101924111</v>
      </c>
      <c r="N36">
        <v>8</v>
      </c>
      <c r="O36">
        <v>6086.4</v>
      </c>
      <c r="P36">
        <v>4.5743579170612012</v>
      </c>
      <c r="Q36">
        <v>3480.1715033001615</v>
      </c>
      <c r="R36">
        <v>8</v>
      </c>
      <c r="S36">
        <v>6086.4</v>
      </c>
      <c r="T36">
        <v>5</v>
      </c>
      <c r="U36">
        <v>3804</v>
      </c>
      <c r="V36">
        <v>7.1290631554654027</v>
      </c>
      <c r="W36">
        <v>5423.7912486780779</v>
      </c>
      <c r="X36">
        <v>7.266306141538319</v>
      </c>
      <c r="Y36">
        <v>5528.2057124823532</v>
      </c>
      <c r="Z36">
        <v>8.2533924696240728</v>
      </c>
      <c r="AA36">
        <v>6279.1809908899941</v>
      </c>
      <c r="AB36">
        <v>4.8252139104324074</v>
      </c>
      <c r="AC36">
        <v>3671.0227430569753</v>
      </c>
      <c r="AD36">
        <v>2.561364382763375</v>
      </c>
      <c r="AE36">
        <v>1948.6860224063755</v>
      </c>
      <c r="AF36">
        <v>4.934321863938699</v>
      </c>
      <c r="AG36">
        <v>3754.0320740845618</v>
      </c>
      <c r="AH36">
        <v>9.3331435616277219</v>
      </c>
      <c r="AI36">
        <v>7100.6556216863701</v>
      </c>
      <c r="AJ36">
        <v>8.146619607532136</v>
      </c>
      <c r="AK36">
        <v>6197.9481974104483</v>
      </c>
      <c r="AL36">
        <v>1.1681101797078959</v>
      </c>
      <c r="AM36">
        <v>888.69822472176713</v>
      </c>
      <c r="AN36">
        <v>10.039224903483673</v>
      </c>
      <c r="AO36">
        <v>7637.8423065703773</v>
      </c>
      <c r="AP36">
        <v>7</v>
      </c>
      <c r="AQ36">
        <v>5325.5999999999995</v>
      </c>
      <c r="AR36">
        <v>5.8457466559723166</v>
      </c>
      <c r="AS36">
        <v>4447.444055863738</v>
      </c>
      <c r="AT36">
        <v>4.5172904408828849</v>
      </c>
      <c r="AU36">
        <v>3436.7545674236985</v>
      </c>
      <c r="AV36">
        <v>6.8149143963821501</v>
      </c>
      <c r="AW36">
        <v>5184.7868727675395</v>
      </c>
      <c r="AX36">
        <v>9</v>
      </c>
      <c r="AY36">
        <v>6847.2</v>
      </c>
      <c r="AZ36">
        <v>5.9027311479087858</v>
      </c>
      <c r="BA36">
        <v>4490.7978573290038</v>
      </c>
      <c r="BB36">
        <v>4.1926207136579228</v>
      </c>
      <c r="BC36">
        <v>3189.7458389509475</v>
      </c>
      <c r="BD36">
        <v>8.1778972756585819</v>
      </c>
      <c r="BE36">
        <v>6221.7442473210485</v>
      </c>
      <c r="BF36">
        <v>4.6091117776213562</v>
      </c>
      <c r="BG36">
        <v>3506.6122404143275</v>
      </c>
      <c r="BH36">
        <v>6.3663743830321584</v>
      </c>
      <c r="BI36">
        <v>4843.5376306108656</v>
      </c>
      <c r="BJ36">
        <v>10</v>
      </c>
      <c r="BK36">
        <v>7608</v>
      </c>
      <c r="BL36">
        <v>7</v>
      </c>
      <c r="BM36">
        <v>5325.5999999999995</v>
      </c>
      <c r="BN36">
        <v>2.1111291244103967</v>
      </c>
      <c r="BO36">
        <v>1606.1470378514298</v>
      </c>
      <c r="BP36">
        <v>8.090455275771669</v>
      </c>
      <c r="BQ36">
        <v>6155.2183738070853</v>
      </c>
      <c r="BR36">
        <v>3.0530009317801841</v>
      </c>
      <c r="BS36">
        <v>2322.723108898364</v>
      </c>
      <c r="BT36">
        <v>7.0015584172541612</v>
      </c>
      <c r="BU36">
        <v>5326.7856438469653</v>
      </c>
      <c r="BV36">
        <v>8</v>
      </c>
      <c r="BW36">
        <v>6086.4</v>
      </c>
      <c r="BX36">
        <v>3.4783822879715398</v>
      </c>
      <c r="BY36">
        <v>2646.3532446887475</v>
      </c>
      <c r="BZ36">
        <v>4.3404547482475495</v>
      </c>
      <c r="CA36">
        <v>3302.2179724667353</v>
      </c>
      <c r="CB36">
        <v>10.327430103571924</v>
      </c>
      <c r="CC36">
        <v>7857.1088227975197</v>
      </c>
      <c r="CD36">
        <v>2.2926907939327767</v>
      </c>
      <c r="CE36">
        <v>1744.2791560240564</v>
      </c>
      <c r="CF36">
        <v>8.5322526661670146</v>
      </c>
      <c r="CG36">
        <v>6491.3378284198643</v>
      </c>
      <c r="CH36">
        <v>7</v>
      </c>
      <c r="CI36">
        <v>5325.5999999999995</v>
      </c>
      <c r="CJ36">
        <v>9</v>
      </c>
      <c r="CK36">
        <v>6847.2</v>
      </c>
      <c r="CL36">
        <v>1.4808583394349693</v>
      </c>
      <c r="CM36">
        <v>1126.6370246421245</v>
      </c>
      <c r="CN36">
        <v>13.628110890096377</v>
      </c>
      <c r="CO36">
        <v>10368.266765185323</v>
      </c>
      <c r="CP36">
        <v>10.694947606507538</v>
      </c>
      <c r="CQ36">
        <v>8136.7161390309348</v>
      </c>
      <c r="CR36">
        <v>3.4863965301055302</v>
      </c>
      <c r="CS36">
        <v>2652.4504801042872</v>
      </c>
      <c r="CT36">
        <v>11.621487130024825</v>
      </c>
      <c r="CU36">
        <v>8841.627408522887</v>
      </c>
    </row>
    <row r="37" spans="2:99">
      <c r="B37" s="99" t="s">
        <v>128</v>
      </c>
      <c r="C37" s="99" t="s">
        <v>204</v>
      </c>
      <c r="D37">
        <v>2.6403450367797046</v>
      </c>
      <c r="E37">
        <v>2271.7528696452578</v>
      </c>
      <c r="F37">
        <v>18.736144725113505</v>
      </c>
      <c r="G37">
        <v>16120.578921487659</v>
      </c>
      <c r="H37">
        <v>11.033251573671192</v>
      </c>
      <c r="I37">
        <v>9493.0096539866936</v>
      </c>
      <c r="J37">
        <v>13.898073397145597</v>
      </c>
      <c r="K37">
        <v>11957.902350904071</v>
      </c>
      <c r="L37">
        <v>6.0074519195384104</v>
      </c>
      <c r="M37">
        <v>5168.8116315708485</v>
      </c>
      <c r="N37">
        <v>11.053876107397338</v>
      </c>
      <c r="O37">
        <v>9510.7550028046699</v>
      </c>
      <c r="P37">
        <v>7.4333316152244517</v>
      </c>
      <c r="Q37">
        <v>6395.638521739118</v>
      </c>
      <c r="R37">
        <v>15</v>
      </c>
      <c r="S37">
        <v>12906</v>
      </c>
      <c r="T37">
        <v>15</v>
      </c>
      <c r="U37">
        <v>12906</v>
      </c>
      <c r="V37">
        <v>16.931524994230333</v>
      </c>
      <c r="W37">
        <v>14567.884105035779</v>
      </c>
      <c r="X37">
        <v>15.339979632136451</v>
      </c>
      <c r="Y37">
        <v>13198.518475490202</v>
      </c>
      <c r="Z37">
        <v>9.9255898239140006</v>
      </c>
      <c r="AA37">
        <v>8539.9774844956064</v>
      </c>
      <c r="AB37">
        <v>14.133795205314222</v>
      </c>
      <c r="AC37">
        <v>12160.717394652356</v>
      </c>
      <c r="AD37">
        <v>5.9559614052648948</v>
      </c>
      <c r="AE37">
        <v>5124.5091930899152</v>
      </c>
      <c r="AF37">
        <v>7.7138776619945464</v>
      </c>
      <c r="AG37">
        <v>6637.0203403801079</v>
      </c>
      <c r="AH37">
        <v>13.833265557724186</v>
      </c>
      <c r="AI37">
        <v>11902.141685865889</v>
      </c>
      <c r="AJ37">
        <v>9.7759435290385621</v>
      </c>
      <c r="AK37">
        <v>8411.2218123847779</v>
      </c>
      <c r="AL37">
        <v>2.0680841601083384</v>
      </c>
      <c r="AM37">
        <v>1779.3796113572143</v>
      </c>
      <c r="AN37">
        <v>14.559582640337362</v>
      </c>
      <c r="AO37">
        <v>12527.064903746266</v>
      </c>
      <c r="AP37">
        <v>13</v>
      </c>
      <c r="AQ37">
        <v>11185.199999999999</v>
      </c>
      <c r="AR37">
        <v>14.196813307361341</v>
      </c>
      <c r="AS37">
        <v>12214.938169653697</v>
      </c>
      <c r="AT37">
        <v>16.563398283237245</v>
      </c>
      <c r="AU37">
        <v>14251.147882897325</v>
      </c>
      <c r="AV37">
        <v>12.872616082055172</v>
      </c>
      <c r="AW37">
        <v>11075.59887700027</v>
      </c>
      <c r="AX37">
        <v>18</v>
      </c>
      <c r="AY37">
        <v>15487.199999999999</v>
      </c>
      <c r="AZ37">
        <v>11.149603279383262</v>
      </c>
      <c r="BA37">
        <v>9593.1186615813585</v>
      </c>
      <c r="BB37">
        <v>15.093434569168522</v>
      </c>
      <c r="BC37">
        <v>12986.391103312597</v>
      </c>
      <c r="BD37">
        <v>15.447139298466208</v>
      </c>
      <c r="BE37">
        <v>13290.718652400325</v>
      </c>
      <c r="BF37">
        <v>8.5597790155825191</v>
      </c>
      <c r="BG37">
        <v>7364.8338650071992</v>
      </c>
      <c r="BH37">
        <v>15.120139159701374</v>
      </c>
      <c r="BI37">
        <v>13009.367733007062</v>
      </c>
      <c r="BJ37">
        <v>12</v>
      </c>
      <c r="BK37">
        <v>10324.799999999999</v>
      </c>
      <c r="BL37">
        <v>17</v>
      </c>
      <c r="BM37">
        <v>14626.8</v>
      </c>
      <c r="BN37">
        <v>4.6913980542453251</v>
      </c>
      <c r="BO37">
        <v>4036.4788858726774</v>
      </c>
      <c r="BP37">
        <v>15.503287050356155</v>
      </c>
      <c r="BQ37">
        <v>13339.028178126435</v>
      </c>
      <c r="BR37">
        <v>6.4452241893137217</v>
      </c>
      <c r="BS37">
        <v>5545.4708924855258</v>
      </c>
      <c r="BT37">
        <v>15.890274148670365</v>
      </c>
      <c r="BU37">
        <v>13671.991877515982</v>
      </c>
      <c r="BV37">
        <v>13</v>
      </c>
      <c r="BW37">
        <v>11185.199999999999</v>
      </c>
      <c r="BX37">
        <v>5.9629410650940686</v>
      </c>
      <c r="BY37">
        <v>5130.5144924069364</v>
      </c>
      <c r="BZ37">
        <v>7.7462143545475213</v>
      </c>
      <c r="CA37">
        <v>6664.8428306526876</v>
      </c>
      <c r="CB37">
        <v>15.032445636111495</v>
      </c>
      <c r="CC37">
        <v>12933.91622531033</v>
      </c>
      <c r="CD37">
        <v>5.4025775152203943</v>
      </c>
      <c r="CE37">
        <v>4648.3776940956268</v>
      </c>
      <c r="CF37">
        <v>14.181717910877939</v>
      </c>
      <c r="CG37">
        <v>12201.950090519378</v>
      </c>
      <c r="CH37">
        <v>18</v>
      </c>
      <c r="CI37">
        <v>15487.199999999999</v>
      </c>
      <c r="CJ37">
        <v>15</v>
      </c>
      <c r="CK37">
        <v>12906</v>
      </c>
      <c r="CL37">
        <v>1.9744777859132923</v>
      </c>
      <c r="CM37">
        <v>1698.8406869997966</v>
      </c>
      <c r="CN37">
        <v>13.697761810041305</v>
      </c>
      <c r="CO37">
        <v>11785.554261359539</v>
      </c>
      <c r="CP37">
        <v>11.586193240383164</v>
      </c>
      <c r="CQ37">
        <v>9968.7606640256745</v>
      </c>
      <c r="CR37">
        <v>7.2698054711178184</v>
      </c>
      <c r="CS37">
        <v>6254.9406273497707</v>
      </c>
      <c r="CT37">
        <v>17.223360660678253</v>
      </c>
      <c r="CU37">
        <v>14818.979512447568</v>
      </c>
    </row>
    <row r="38" spans="2:99">
      <c r="C38" s="99" t="s">
        <v>205</v>
      </c>
      <c r="D38">
        <v>2.7832432444950057</v>
      </c>
      <c r="E38">
        <v>3456.7881096627971</v>
      </c>
      <c r="F38">
        <v>17.784645494888643</v>
      </c>
      <c r="G38">
        <v>22088.529704651693</v>
      </c>
      <c r="H38">
        <v>11.787947967601342</v>
      </c>
      <c r="I38">
        <v>14640.631375760868</v>
      </c>
      <c r="J38">
        <v>13.769777197553367</v>
      </c>
      <c r="K38">
        <v>17102.063279361282</v>
      </c>
      <c r="L38">
        <v>6.6081971114922524</v>
      </c>
      <c r="M38">
        <v>8207.3808124733769</v>
      </c>
      <c r="N38">
        <v>11.053876107397338</v>
      </c>
      <c r="O38">
        <v>13728.914125387493</v>
      </c>
      <c r="P38">
        <v>6.289742135959151</v>
      </c>
      <c r="Q38">
        <v>7811.8597328612659</v>
      </c>
      <c r="R38">
        <v>12</v>
      </c>
      <c r="S38">
        <v>14904</v>
      </c>
      <c r="T38">
        <v>13</v>
      </c>
      <c r="U38">
        <v>16146</v>
      </c>
      <c r="V38">
        <v>16.931524994230333</v>
      </c>
      <c r="W38">
        <v>21028.954042834073</v>
      </c>
      <c r="X38">
        <v>13.725244934016825</v>
      </c>
      <c r="Y38">
        <v>17046.754208048897</v>
      </c>
      <c r="Z38">
        <v>9.9255898239140006</v>
      </c>
      <c r="AA38">
        <v>12327.582561301189</v>
      </c>
      <c r="AB38">
        <v>13.32959288690882</v>
      </c>
      <c r="AC38">
        <v>16555.354365540756</v>
      </c>
      <c r="AD38">
        <v>6.2883521739190851</v>
      </c>
      <c r="AE38">
        <v>7810.133400007504</v>
      </c>
      <c r="AF38">
        <v>8.0720604284424411</v>
      </c>
      <c r="AG38">
        <v>10025.499052125511</v>
      </c>
      <c r="AH38">
        <v>13.833265557724186</v>
      </c>
      <c r="AI38">
        <v>17180.915822693438</v>
      </c>
      <c r="AJ38">
        <v>8.146619607532136</v>
      </c>
      <c r="AK38">
        <v>10118.101552554914</v>
      </c>
      <c r="AL38">
        <v>1.8825805263265396</v>
      </c>
      <c r="AM38">
        <v>2338.1650136975622</v>
      </c>
      <c r="AN38">
        <v>14.639523017528413</v>
      </c>
      <c r="AO38">
        <v>18182.28758777029</v>
      </c>
      <c r="AP38">
        <v>15</v>
      </c>
      <c r="AQ38">
        <v>18630</v>
      </c>
      <c r="AR38">
        <v>15.031919972500242</v>
      </c>
      <c r="AS38">
        <v>18669.6446058453</v>
      </c>
      <c r="AT38">
        <v>13.551871322648655</v>
      </c>
      <c r="AU38">
        <v>16831.424182729628</v>
      </c>
      <c r="AV38">
        <v>11.358190660636918</v>
      </c>
      <c r="AW38">
        <v>14106.872800511052</v>
      </c>
      <c r="AX38">
        <v>19</v>
      </c>
      <c r="AY38">
        <v>23598</v>
      </c>
      <c r="AZ38">
        <v>12.461321312251881</v>
      </c>
      <c r="BA38">
        <v>15476.961069816836</v>
      </c>
      <c r="BB38">
        <v>15.931958711900107</v>
      </c>
      <c r="BC38">
        <v>19787.492720179933</v>
      </c>
      <c r="BD38">
        <v>17.264449804168116</v>
      </c>
      <c r="BE38">
        <v>21442.4466567768</v>
      </c>
      <c r="BF38">
        <v>7.2428899362621317</v>
      </c>
      <c r="BG38">
        <v>8995.6693008375678</v>
      </c>
      <c r="BH38">
        <v>13.528545563943336</v>
      </c>
      <c r="BI38">
        <v>16802.453590417623</v>
      </c>
      <c r="BJ38">
        <v>12</v>
      </c>
      <c r="BK38">
        <v>14904</v>
      </c>
      <c r="BL38">
        <v>16</v>
      </c>
      <c r="BM38">
        <v>19872</v>
      </c>
      <c r="BN38">
        <v>4.4568281515330597</v>
      </c>
      <c r="BO38">
        <v>5535.3805642040597</v>
      </c>
      <c r="BP38">
        <v>14.503287050356155</v>
      </c>
      <c r="BQ38">
        <v>18013.082516542345</v>
      </c>
      <c r="BR38">
        <v>5.7667795378070146</v>
      </c>
      <c r="BS38">
        <v>7162.3401859563119</v>
      </c>
      <c r="BT38">
        <v>16.77898988008657</v>
      </c>
      <c r="BU38">
        <v>20839.505431067519</v>
      </c>
      <c r="BV38">
        <v>14</v>
      </c>
      <c r="BW38">
        <v>17388</v>
      </c>
      <c r="BX38">
        <v>5.9629410650940686</v>
      </c>
      <c r="BY38">
        <v>7405.9728028468335</v>
      </c>
      <c r="BZ38">
        <v>7.2151679754595452</v>
      </c>
      <c r="CA38">
        <v>8961.2386255207548</v>
      </c>
      <c r="CB38">
        <v>16.032445636111497</v>
      </c>
      <c r="CC38">
        <v>19912.297480050478</v>
      </c>
      <c r="CD38">
        <v>5.4025775152203943</v>
      </c>
      <c r="CE38">
        <v>6710.0012739037302</v>
      </c>
      <c r="CF38">
        <v>12.350534755289074</v>
      </c>
      <c r="CG38">
        <v>15339.36416606903</v>
      </c>
      <c r="CH38">
        <v>17</v>
      </c>
      <c r="CI38">
        <v>21114</v>
      </c>
      <c r="CJ38">
        <v>15</v>
      </c>
      <c r="CK38">
        <v>18630</v>
      </c>
      <c r="CL38">
        <v>1.8099379704205181</v>
      </c>
      <c r="CM38">
        <v>2247.9429592622832</v>
      </c>
      <c r="CN38">
        <v>11.58146817503442</v>
      </c>
      <c r="CO38">
        <v>14384.18347339275</v>
      </c>
      <c r="CP38">
        <v>10.694947606507538</v>
      </c>
      <c r="CQ38">
        <v>13283.124927282362</v>
      </c>
      <c r="CR38">
        <v>5.7393201087772256</v>
      </c>
      <c r="CS38">
        <v>7128.2355751013147</v>
      </c>
      <c r="CT38">
        <v>18.223360660678253</v>
      </c>
      <c r="CU38">
        <v>22633.41394056239</v>
      </c>
    </row>
    <row r="39" spans="2:99">
      <c r="C39" s="99" t="s">
        <v>206</v>
      </c>
      <c r="D39">
        <v>2.5042645588548322</v>
      </c>
      <c r="E39">
        <v>3564.0693201621975</v>
      </c>
      <c r="F39">
        <v>18.736144725113505</v>
      </c>
      <c r="G39">
        <v>26665.281172781542</v>
      </c>
      <c r="H39">
        <v>10.304663755675683</v>
      </c>
      <c r="I39">
        <v>14665.597457077632</v>
      </c>
      <c r="J39">
        <v>13.898073397145597</v>
      </c>
      <c r="K39">
        <v>19779.738058817613</v>
      </c>
      <c r="L39">
        <v>6.6081971114922524</v>
      </c>
      <c r="M39">
        <v>9404.7861290757737</v>
      </c>
      <c r="N39">
        <v>10.053876107397338</v>
      </c>
      <c r="O39">
        <v>14308.676476047893</v>
      </c>
      <c r="P39">
        <v>6.289742135959151</v>
      </c>
      <c r="Q39">
        <v>8951.561007897064</v>
      </c>
      <c r="R39">
        <v>12</v>
      </c>
      <c r="S39">
        <v>17078.400000000001</v>
      </c>
      <c r="T39">
        <v>13</v>
      </c>
      <c r="U39">
        <v>18501.600000000002</v>
      </c>
      <c r="V39">
        <v>16.04039209979716</v>
      </c>
      <c r="W39">
        <v>22828.686036431318</v>
      </c>
      <c r="X39">
        <v>13.725244934016825</v>
      </c>
      <c r="Y39">
        <v>19533.768590092746</v>
      </c>
      <c r="Z39">
        <v>9.0308758522031081</v>
      </c>
      <c r="AA39">
        <v>12852.742512855464</v>
      </c>
      <c r="AB39">
        <v>10.916985931692617</v>
      </c>
      <c r="AC39">
        <v>15537.054377984932</v>
      </c>
      <c r="AD39">
        <v>5.9123444998158003</v>
      </c>
      <c r="AE39">
        <v>8414.4486921378466</v>
      </c>
      <c r="AF39">
        <v>7.5052088418722862</v>
      </c>
      <c r="AG39">
        <v>10681.413223752637</v>
      </c>
      <c r="AH39">
        <v>13.833265557724186</v>
      </c>
      <c r="AI39">
        <v>19687.503541753063</v>
      </c>
      <c r="AJ39">
        <v>8.9612815682853491</v>
      </c>
      <c r="AK39">
        <v>12753.695927983708</v>
      </c>
      <c r="AL39">
        <v>1.697076892544741</v>
      </c>
      <c r="AM39">
        <v>2415.2798334696754</v>
      </c>
      <c r="AN39">
        <v>13.639523017528413</v>
      </c>
      <c r="AO39">
        <v>19411.769158546438</v>
      </c>
      <c r="AP39">
        <v>12</v>
      </c>
      <c r="AQ39">
        <v>17078.400000000001</v>
      </c>
      <c r="AR39">
        <v>13.361706642222439</v>
      </c>
      <c r="AS39">
        <v>19016.380893210975</v>
      </c>
      <c r="AT39">
        <v>13.551871322648655</v>
      </c>
      <c r="AU39">
        <v>19287.023266393568</v>
      </c>
      <c r="AV39">
        <v>12.115403371346046</v>
      </c>
      <c r="AW39">
        <v>17242.642078099692</v>
      </c>
      <c r="AX39">
        <v>15</v>
      </c>
      <c r="AY39">
        <v>21348</v>
      </c>
      <c r="AZ39">
        <v>11.805462295817572</v>
      </c>
      <c r="BA39">
        <v>16801.533939407567</v>
      </c>
      <c r="BB39">
        <v>14.254910426436938</v>
      </c>
      <c r="BC39">
        <v>20287.58851890505</v>
      </c>
      <c r="BD39">
        <v>14.538484045615254</v>
      </c>
      <c r="BE39">
        <v>20691.17049371963</v>
      </c>
      <c r="BF39">
        <v>7.2428899362621317</v>
      </c>
      <c r="BG39">
        <v>10308.080957288266</v>
      </c>
      <c r="BH39">
        <v>13.528545563943336</v>
      </c>
      <c r="BI39">
        <v>19253.826046604157</v>
      </c>
      <c r="BJ39">
        <v>10</v>
      </c>
      <c r="BK39">
        <v>14232</v>
      </c>
      <c r="BL39">
        <v>16</v>
      </c>
      <c r="BM39">
        <v>22771.200000000001</v>
      </c>
      <c r="BN39">
        <v>3.9876883461085266</v>
      </c>
      <c r="BO39">
        <v>5675.2780541816555</v>
      </c>
      <c r="BP39">
        <v>14.503287050356155</v>
      </c>
      <c r="BQ39">
        <v>20641.078130066882</v>
      </c>
      <c r="BR39">
        <v>6.4452241893137217</v>
      </c>
      <c r="BS39">
        <v>9172.8430662312894</v>
      </c>
      <c r="BT39">
        <v>16.890274148670365</v>
      </c>
      <c r="BU39">
        <v>24038.238168387663</v>
      </c>
      <c r="BV39">
        <v>15</v>
      </c>
      <c r="BW39">
        <v>21348</v>
      </c>
      <c r="BX39">
        <v>5.9629410650940686</v>
      </c>
      <c r="BY39">
        <v>8486.4577238418788</v>
      </c>
      <c r="BZ39">
        <v>7.2151679754595452</v>
      </c>
      <c r="CA39">
        <v>10268.627062674024</v>
      </c>
      <c r="CB39">
        <v>15.032445636111495</v>
      </c>
      <c r="CC39">
        <v>21394.176629313879</v>
      </c>
      <c r="CD39">
        <v>5.3959568073815714</v>
      </c>
      <c r="CE39">
        <v>7679.5257282654529</v>
      </c>
      <c r="CF39">
        <v>12.350534755289074</v>
      </c>
      <c r="CG39">
        <v>17577.281063727409</v>
      </c>
      <c r="CH39">
        <v>17</v>
      </c>
      <c r="CI39">
        <v>24194.400000000001</v>
      </c>
      <c r="CJ39">
        <v>15</v>
      </c>
      <c r="CK39">
        <v>21348</v>
      </c>
      <c r="CL39">
        <v>1.8099379704205181</v>
      </c>
      <c r="CM39">
        <v>2575.9037195024812</v>
      </c>
      <c r="CN39">
        <v>12.697761810041305</v>
      </c>
      <c r="CO39">
        <v>18071.454608050786</v>
      </c>
      <c r="CP39">
        <v>12.477438874258793</v>
      </c>
      <c r="CQ39">
        <v>17757.891005845115</v>
      </c>
      <c r="CR39">
        <v>6.1219414493623736</v>
      </c>
      <c r="CS39">
        <v>8712.7470707325301</v>
      </c>
      <c r="CT39">
        <v>16.048594852009931</v>
      </c>
      <c r="CU39">
        <v>22840.360193380533</v>
      </c>
    </row>
    <row r="40" spans="2:99">
      <c r="C40" s="99" t="s">
        <v>207</v>
      </c>
      <c r="D40">
        <v>2.7900609742854341</v>
      </c>
      <c r="E40">
        <v>2022.2361941620825</v>
      </c>
      <c r="F40">
        <v>19.687643955338363</v>
      </c>
      <c r="G40">
        <v>14269.604338829244</v>
      </c>
      <c r="H40">
        <v>11.787947967601342</v>
      </c>
      <c r="I40">
        <v>8543.9046869174526</v>
      </c>
      <c r="J40">
        <v>13.898073397145597</v>
      </c>
      <c r="K40">
        <v>10073.323598251127</v>
      </c>
      <c r="L40">
        <v>6.6081971114922524</v>
      </c>
      <c r="M40">
        <v>4789.6212664095847</v>
      </c>
      <c r="N40">
        <v>10.053876107397338</v>
      </c>
      <c r="O40">
        <v>7287.0494026415899</v>
      </c>
      <c r="P40">
        <v>6.8615368755918018</v>
      </c>
      <c r="Q40">
        <v>4973.2419274289377</v>
      </c>
      <c r="R40">
        <v>14</v>
      </c>
      <c r="S40">
        <v>10147.199999999999</v>
      </c>
      <c r="T40">
        <v>14</v>
      </c>
      <c r="U40">
        <v>10147.199999999999</v>
      </c>
      <c r="V40">
        <v>16.04039209979716</v>
      </c>
      <c r="W40">
        <v>11626.07619393298</v>
      </c>
      <c r="X40">
        <v>16.147346981196264</v>
      </c>
      <c r="Y40">
        <v>11703.597091971053</v>
      </c>
      <c r="Z40">
        <v>9.9255898239140006</v>
      </c>
      <c r="AA40">
        <v>7194.067504372867</v>
      </c>
      <c r="AB40">
        <v>13.32959288690882</v>
      </c>
      <c r="AC40">
        <v>9661.288924431512</v>
      </c>
      <c r="AD40">
        <v>6.2447352684699906</v>
      </c>
      <c r="AE40">
        <v>4526.1841225870485</v>
      </c>
      <c r="AF40">
        <v>8.7357870430562343</v>
      </c>
      <c r="AG40">
        <v>6331.6984488071585</v>
      </c>
      <c r="AH40">
        <v>14.666612446179348</v>
      </c>
      <c r="AI40">
        <v>10630.360700990792</v>
      </c>
      <c r="AJ40">
        <v>10.590605489791777</v>
      </c>
      <c r="AK40">
        <v>7676.070859001079</v>
      </c>
      <c r="AL40">
        <v>1.8825805263265396</v>
      </c>
      <c r="AM40">
        <v>1364.4943654814758</v>
      </c>
      <c r="AN40">
        <v>16.719463394719465</v>
      </c>
      <c r="AO40">
        <v>12118.267068492667</v>
      </c>
      <c r="AP40">
        <v>15</v>
      </c>
      <c r="AQ40">
        <v>10872</v>
      </c>
      <c r="AR40">
        <v>15.031919972500242</v>
      </c>
      <c r="AS40">
        <v>10895.135596068176</v>
      </c>
      <c r="AT40">
        <v>14.304753062795802</v>
      </c>
      <c r="AU40">
        <v>10368.085019914397</v>
      </c>
      <c r="AV40">
        <v>12.115403371346046</v>
      </c>
      <c r="AW40">
        <v>8781.2443635516138</v>
      </c>
      <c r="AX40">
        <v>16</v>
      </c>
      <c r="AY40">
        <v>11596.8</v>
      </c>
      <c r="AZ40">
        <v>13.117180328686191</v>
      </c>
      <c r="BA40">
        <v>9507.3323022317509</v>
      </c>
      <c r="BB40">
        <v>15.931958711900107</v>
      </c>
      <c r="BC40">
        <v>11547.483674385197</v>
      </c>
      <c r="BD40">
        <v>15.447139298466208</v>
      </c>
      <c r="BE40">
        <v>11196.086563528306</v>
      </c>
      <c r="BF40">
        <v>7.9013344759223259</v>
      </c>
      <c r="BG40">
        <v>5726.887228148501</v>
      </c>
      <c r="BH40">
        <v>15.915935957580395</v>
      </c>
      <c r="BI40">
        <v>11535.870382054269</v>
      </c>
      <c r="BJ40">
        <v>11</v>
      </c>
      <c r="BK40">
        <v>7972.7999999999993</v>
      </c>
      <c r="BL40">
        <v>17</v>
      </c>
      <c r="BM40">
        <v>12321.599999999999</v>
      </c>
      <c r="BN40">
        <v>4.4568281515330597</v>
      </c>
      <c r="BO40">
        <v>3230.3090442311614</v>
      </c>
      <c r="BP40">
        <v>15.419405875296796</v>
      </c>
      <c r="BQ40">
        <v>11175.985378415116</v>
      </c>
      <c r="BR40">
        <v>6.7844465150670752</v>
      </c>
      <c r="BS40">
        <v>4917.3668341206157</v>
      </c>
      <c r="BT40">
        <v>18</v>
      </c>
      <c r="BU40">
        <v>13046.4</v>
      </c>
      <c r="BV40">
        <v>15</v>
      </c>
      <c r="BW40">
        <v>10872</v>
      </c>
      <c r="BX40">
        <v>6.4598528205185746</v>
      </c>
      <c r="BY40">
        <v>4682.1013243118623</v>
      </c>
      <c r="BZ40">
        <v>7.798141862433499</v>
      </c>
      <c r="CA40">
        <v>5652.0932218917997</v>
      </c>
      <c r="CB40">
        <v>17.032445636111497</v>
      </c>
      <c r="CC40">
        <v>12345.116597053611</v>
      </c>
      <c r="CD40">
        <v>5.7780719397037013</v>
      </c>
      <c r="CE40">
        <v>4187.9465418972422</v>
      </c>
      <c r="CF40">
        <v>14.350534755289074</v>
      </c>
      <c r="CG40">
        <v>10401.267590633521</v>
      </c>
      <c r="CH40">
        <v>17</v>
      </c>
      <c r="CI40">
        <v>12321.599999999999</v>
      </c>
      <c r="CJ40">
        <v>16</v>
      </c>
      <c r="CK40">
        <v>11596.8</v>
      </c>
      <c r="CL40">
        <v>1.8099379704205181</v>
      </c>
      <c r="CM40">
        <v>1311.8430409607913</v>
      </c>
      <c r="CN40">
        <v>12.697761810041305</v>
      </c>
      <c r="CO40">
        <v>9203.3377599179366</v>
      </c>
      <c r="CP40">
        <v>11.586193240383164</v>
      </c>
      <c r="CQ40">
        <v>8397.6728606297165</v>
      </c>
      <c r="CR40">
        <v>7.2698054711178184</v>
      </c>
      <c r="CS40">
        <v>5269.1550054661948</v>
      </c>
      <c r="CT40">
        <v>16.398126469346572</v>
      </c>
      <c r="CU40">
        <v>11885.362064982395</v>
      </c>
    </row>
    <row r="41" spans="2:99">
      <c r="C41" s="99" t="s">
        <v>208</v>
      </c>
      <c r="D41">
        <v>2.6471627665701334</v>
      </c>
      <c r="E41">
        <v>1747.1274259362881</v>
      </c>
      <c r="F41">
        <v>19.687643955338363</v>
      </c>
      <c r="G41">
        <v>12993.845010523319</v>
      </c>
      <c r="H41">
        <v>12.516535785596851</v>
      </c>
      <c r="I41">
        <v>8260.9136184939216</v>
      </c>
      <c r="J41">
        <v>14.898073397145597</v>
      </c>
      <c r="K41">
        <v>9832.728442116093</v>
      </c>
      <c r="L41">
        <v>7.2089423034460927</v>
      </c>
      <c r="M41">
        <v>4757.9019202744212</v>
      </c>
      <c r="N41">
        <v>11.053876107397338</v>
      </c>
      <c r="O41">
        <v>7295.5582308822432</v>
      </c>
      <c r="P41">
        <v>6.8615368755918018</v>
      </c>
      <c r="Q41">
        <v>4528.614337890589</v>
      </c>
      <c r="R41">
        <v>15</v>
      </c>
      <c r="S41">
        <v>9900</v>
      </c>
      <c r="T41">
        <v>13</v>
      </c>
      <c r="U41">
        <v>8580</v>
      </c>
      <c r="V41">
        <v>16.931524994230333</v>
      </c>
      <c r="W41">
        <v>11174.806496192019</v>
      </c>
      <c r="X41">
        <v>16.147346981196264</v>
      </c>
      <c r="Y41">
        <v>10657.249007589535</v>
      </c>
      <c r="Z41">
        <v>9.9255898239140006</v>
      </c>
      <c r="AA41">
        <v>6550.88928378324</v>
      </c>
      <c r="AB41">
        <v>11.721188250098015</v>
      </c>
      <c r="AC41">
        <v>7735.9842450646902</v>
      </c>
      <c r="AD41">
        <v>6.5771260371241809</v>
      </c>
      <c r="AE41">
        <v>4340.903184501959</v>
      </c>
      <c r="AF41">
        <v>8.2757563272197068</v>
      </c>
      <c r="AG41">
        <v>5461.9991759650065</v>
      </c>
      <c r="AH41">
        <v>14.833265557724186</v>
      </c>
      <c r="AI41">
        <v>9789.9552680979632</v>
      </c>
      <c r="AJ41">
        <v>9.7759435290385621</v>
      </c>
      <c r="AK41">
        <v>6452.1227291654513</v>
      </c>
      <c r="AL41">
        <v>1.8825805263265396</v>
      </c>
      <c r="AM41">
        <v>1242.5031473755162</v>
      </c>
      <c r="AN41">
        <v>17.719463394719465</v>
      </c>
      <c r="AO41">
        <v>11694.845840514847</v>
      </c>
      <c r="AP41">
        <v>14</v>
      </c>
      <c r="AQ41">
        <v>9240</v>
      </c>
      <c r="AR41">
        <v>14.196813307361341</v>
      </c>
      <c r="AS41">
        <v>9369.8967828584846</v>
      </c>
      <c r="AT41">
        <v>17.31628002338439</v>
      </c>
      <c r="AU41">
        <v>11428.744815433698</v>
      </c>
      <c r="AV41">
        <v>14.38704150347343</v>
      </c>
      <c r="AW41">
        <v>9495.4473922924644</v>
      </c>
      <c r="AX41">
        <v>20</v>
      </c>
      <c r="AY41">
        <v>13200</v>
      </c>
      <c r="AZ41">
        <v>13.117180328686191</v>
      </c>
      <c r="BA41">
        <v>8657.339016932885</v>
      </c>
      <c r="BB41">
        <v>15.931958711900107</v>
      </c>
      <c r="BC41">
        <v>10515.09274985407</v>
      </c>
      <c r="BD41">
        <v>16.355794551317164</v>
      </c>
      <c r="BE41">
        <v>10794.824403869328</v>
      </c>
      <c r="BF41">
        <v>7.9013344759223259</v>
      </c>
      <c r="BG41">
        <v>5214.8807541087353</v>
      </c>
      <c r="BH41">
        <v>13.528545563943336</v>
      </c>
      <c r="BI41">
        <v>8928.8400722026017</v>
      </c>
      <c r="BJ41">
        <v>12</v>
      </c>
      <c r="BK41">
        <v>7920</v>
      </c>
      <c r="BL41">
        <v>18</v>
      </c>
      <c r="BM41">
        <v>11880</v>
      </c>
      <c r="BN41">
        <v>4.2222582488207934</v>
      </c>
      <c r="BO41">
        <v>2786.6904442217237</v>
      </c>
      <c r="BP41">
        <v>16.503287050356153</v>
      </c>
      <c r="BQ41">
        <v>10892.169453235061</v>
      </c>
      <c r="BR41">
        <v>6.7844465150670752</v>
      </c>
      <c r="BS41">
        <v>4477.7346999442698</v>
      </c>
      <c r="BT41">
        <v>16.890274148670365</v>
      </c>
      <c r="BU41">
        <v>11147.580938122441</v>
      </c>
      <c r="BV41">
        <v>15</v>
      </c>
      <c r="BW41">
        <v>9900</v>
      </c>
      <c r="BX41">
        <v>6.9567645759430796</v>
      </c>
      <c r="BY41">
        <v>4591.4646201224323</v>
      </c>
      <c r="BZ41">
        <v>8.8083071127234742</v>
      </c>
      <c r="CA41">
        <v>5813.4826943974931</v>
      </c>
      <c r="CB41">
        <v>17.032445636111497</v>
      </c>
      <c r="CC41">
        <v>11241.414119833587</v>
      </c>
      <c r="CD41">
        <v>6.1668077798646532</v>
      </c>
      <c r="CE41">
        <v>4070.0931347106712</v>
      </c>
      <c r="CF41">
        <v>14.181717910877939</v>
      </c>
      <c r="CG41">
        <v>9359.9338211794402</v>
      </c>
      <c r="CH41">
        <v>19</v>
      </c>
      <c r="CI41">
        <v>12540</v>
      </c>
      <c r="CJ41">
        <v>15</v>
      </c>
      <c r="CK41">
        <v>9900</v>
      </c>
      <c r="CL41">
        <v>1.9744777859132923</v>
      </c>
      <c r="CM41">
        <v>1303.155338702773</v>
      </c>
      <c r="CN41">
        <v>13.697761810041305</v>
      </c>
      <c r="CO41">
        <v>9040.5227946272607</v>
      </c>
      <c r="CP41">
        <v>11.586193240383164</v>
      </c>
      <c r="CQ41">
        <v>7646.887538652888</v>
      </c>
      <c r="CR41">
        <v>6.8871841305326704</v>
      </c>
      <c r="CS41">
        <v>4545.5415261515627</v>
      </c>
      <c r="CT41">
        <v>17.223360660678253</v>
      </c>
      <c r="CU41">
        <v>11367.418036047648</v>
      </c>
    </row>
    <row r="42" spans="2:99">
      <c r="C42" s="99" t="s">
        <v>209</v>
      </c>
      <c r="D42">
        <v>3.0758573897160364</v>
      </c>
      <c r="E42">
        <v>2602.1753516997669</v>
      </c>
      <c r="F42">
        <v>18.736144725113505</v>
      </c>
      <c r="G42">
        <v>15850.778437446024</v>
      </c>
      <c r="H42">
        <v>12.516535785596851</v>
      </c>
      <c r="I42">
        <v>10588.989274614936</v>
      </c>
      <c r="J42">
        <v>12.898073397145597</v>
      </c>
      <c r="K42">
        <v>10911.770093985175</v>
      </c>
      <c r="L42">
        <v>7.2089423034460927</v>
      </c>
      <c r="M42">
        <v>6098.7651887153943</v>
      </c>
      <c r="N42">
        <v>10.04310088591787</v>
      </c>
      <c r="O42">
        <v>8496.4633494865175</v>
      </c>
      <c r="P42">
        <v>7.4333316152244517</v>
      </c>
      <c r="Q42">
        <v>6288.598546479886</v>
      </c>
      <c r="R42">
        <v>13</v>
      </c>
      <c r="S42">
        <v>10998</v>
      </c>
      <c r="T42">
        <v>13</v>
      </c>
      <c r="U42">
        <v>10998</v>
      </c>
      <c r="V42">
        <v>16.931524994230333</v>
      </c>
      <c r="W42">
        <v>14324.070145118862</v>
      </c>
      <c r="X42">
        <v>14.532612283076638</v>
      </c>
      <c r="Y42">
        <v>12294.589991482835</v>
      </c>
      <c r="Z42">
        <v>10.837051022643731</v>
      </c>
      <c r="AA42">
        <v>9168.1451651565967</v>
      </c>
      <c r="AB42">
        <v>14.226266363798699</v>
      </c>
      <c r="AC42">
        <v>12035.4213437737</v>
      </c>
      <c r="AD42">
        <v>6.2447352684699906</v>
      </c>
      <c r="AE42">
        <v>5283.0460371256122</v>
      </c>
      <c r="AF42">
        <v>8.1739083778310739</v>
      </c>
      <c r="AG42">
        <v>6915.1264876450887</v>
      </c>
      <c r="AH42">
        <v>12.833265557724186</v>
      </c>
      <c r="AI42">
        <v>10856.942661834661</v>
      </c>
      <c r="AJ42">
        <v>8.9612815682853491</v>
      </c>
      <c r="AK42">
        <v>7581.2442067694055</v>
      </c>
      <c r="AL42">
        <v>2.0680841601083384</v>
      </c>
      <c r="AM42">
        <v>1749.5991994516544</v>
      </c>
      <c r="AN42">
        <v>14.639523017528413</v>
      </c>
      <c r="AO42">
        <v>12385.036472829037</v>
      </c>
      <c r="AP42">
        <v>14</v>
      </c>
      <c r="AQ42">
        <v>11844</v>
      </c>
      <c r="AR42">
        <v>15.031919972500242</v>
      </c>
      <c r="AS42">
        <v>12717.004296735206</v>
      </c>
      <c r="AT42">
        <v>15.810516543090095</v>
      </c>
      <c r="AU42">
        <v>13375.69699545422</v>
      </c>
      <c r="AV42">
        <v>12.115403371346046</v>
      </c>
      <c r="AW42">
        <v>10249.631252158755</v>
      </c>
      <c r="AX42">
        <v>17</v>
      </c>
      <c r="AY42">
        <v>14382</v>
      </c>
      <c r="AZ42">
        <v>12.461321312251881</v>
      </c>
      <c r="BA42">
        <v>10542.277830165091</v>
      </c>
      <c r="BB42">
        <v>15.931958711900107</v>
      </c>
      <c r="BC42">
        <v>13478.43707026749</v>
      </c>
      <c r="BD42">
        <v>17.264449804168116</v>
      </c>
      <c r="BE42">
        <v>14605.724534326226</v>
      </c>
      <c r="BF42">
        <v>7.2428899362621317</v>
      </c>
      <c r="BG42">
        <v>6127.4848860777638</v>
      </c>
      <c r="BH42">
        <v>15.120139159701374</v>
      </c>
      <c r="BI42">
        <v>12791.637729107362</v>
      </c>
      <c r="BJ42">
        <v>11</v>
      </c>
      <c r="BK42">
        <v>9306</v>
      </c>
      <c r="BL42">
        <v>16</v>
      </c>
      <c r="BM42">
        <v>13536</v>
      </c>
      <c r="BN42">
        <v>4.9259679569575923</v>
      </c>
      <c r="BO42">
        <v>4167.368891586123</v>
      </c>
      <c r="BP42">
        <v>14.503287050356155</v>
      </c>
      <c r="BQ42">
        <v>12269.780844601308</v>
      </c>
      <c r="BR42">
        <v>6.4452241893137217</v>
      </c>
      <c r="BS42">
        <v>5452.6596641594087</v>
      </c>
      <c r="BT42">
        <v>18.77898988008657</v>
      </c>
      <c r="BU42">
        <v>15887.025438553239</v>
      </c>
      <c r="BV42">
        <v>14</v>
      </c>
      <c r="BW42">
        <v>11844</v>
      </c>
      <c r="BX42">
        <v>5.9629410650940686</v>
      </c>
      <c r="BY42">
        <v>5044.6481410695824</v>
      </c>
      <c r="BZ42">
        <v>7.798141862433499</v>
      </c>
      <c r="CA42">
        <v>6597.2280156187398</v>
      </c>
      <c r="CB42">
        <v>15.032445636111495</v>
      </c>
      <c r="CC42">
        <v>12717.449008150325</v>
      </c>
      <c r="CD42">
        <v>5.7846926475425242</v>
      </c>
      <c r="CE42">
        <v>4893.8499798209759</v>
      </c>
      <c r="CF42">
        <v>15.350534755289074</v>
      </c>
      <c r="CG42">
        <v>12986.552402974556</v>
      </c>
      <c r="CH42">
        <v>20</v>
      </c>
      <c r="CI42">
        <v>16920</v>
      </c>
      <c r="CJ42">
        <v>16</v>
      </c>
      <c r="CK42">
        <v>13536</v>
      </c>
      <c r="CL42">
        <v>1.8099379704205181</v>
      </c>
      <c r="CM42">
        <v>1531.2075229757584</v>
      </c>
      <c r="CN42">
        <v>14.697761810041305</v>
      </c>
      <c r="CO42">
        <v>12434.306491294945</v>
      </c>
      <c r="CP42">
        <v>13.368684508134422</v>
      </c>
      <c r="CQ42">
        <v>11309.90709388172</v>
      </c>
      <c r="CR42">
        <v>7.2698054711178184</v>
      </c>
      <c r="CS42">
        <v>6150.2554285656743</v>
      </c>
      <c r="CT42">
        <v>17.223360660678253</v>
      </c>
      <c r="CU42">
        <v>14570.963118933802</v>
      </c>
    </row>
    <row r="43" spans="2:99">
      <c r="C43" s="99" t="s">
        <v>210</v>
      </c>
      <c r="D43">
        <v>2.7900609742854341</v>
      </c>
      <c r="E43">
        <v>2852.5583401094277</v>
      </c>
      <c r="F43">
        <v>17.784645494888643</v>
      </c>
      <c r="G43">
        <v>18183.021553974148</v>
      </c>
      <c r="H43">
        <v>11.787947967601342</v>
      </c>
      <c r="I43">
        <v>12051.998002075612</v>
      </c>
      <c r="J43">
        <v>12.769777197553367</v>
      </c>
      <c r="K43">
        <v>13055.820206778562</v>
      </c>
      <c r="L43">
        <v>7.2089423034460927</v>
      </c>
      <c r="M43">
        <v>7370.4226110432846</v>
      </c>
      <c r="N43">
        <v>11.053876107397338</v>
      </c>
      <c r="O43">
        <v>11301.482932203038</v>
      </c>
      <c r="P43">
        <v>6.8615368755918018</v>
      </c>
      <c r="Q43">
        <v>7015.2353016050583</v>
      </c>
      <c r="R43">
        <v>13</v>
      </c>
      <c r="S43">
        <v>13291.199999999999</v>
      </c>
      <c r="T43">
        <v>13</v>
      </c>
      <c r="U43">
        <v>13291.199999999999</v>
      </c>
      <c r="V43">
        <v>16.04039209979716</v>
      </c>
      <c r="W43">
        <v>16399.696882832617</v>
      </c>
      <c r="X43">
        <v>15.339979632136451</v>
      </c>
      <c r="Y43">
        <v>15683.595175896307</v>
      </c>
      <c r="Z43">
        <v>9.0308758522031081</v>
      </c>
      <c r="AA43">
        <v>9233.1674712924578</v>
      </c>
      <c r="AB43">
        <v>13.32959288690882</v>
      </c>
      <c r="AC43">
        <v>13628.175767575578</v>
      </c>
      <c r="AD43">
        <v>5.9123444998158003</v>
      </c>
      <c r="AE43">
        <v>6044.7810166116742</v>
      </c>
      <c r="AF43">
        <v>8.2757563272197068</v>
      </c>
      <c r="AG43">
        <v>8461.1332689494284</v>
      </c>
      <c r="AH43">
        <v>13.833265557724186</v>
      </c>
      <c r="AI43">
        <v>14143.130706217207</v>
      </c>
      <c r="AJ43">
        <v>9.7759435290385621</v>
      </c>
      <c r="AK43">
        <v>9994.9246640890251</v>
      </c>
      <c r="AL43">
        <v>2.0680841601083384</v>
      </c>
      <c r="AM43">
        <v>2114.4092452947652</v>
      </c>
      <c r="AN43">
        <v>15.639523017528413</v>
      </c>
      <c r="AO43">
        <v>15989.848333121048</v>
      </c>
      <c r="AP43">
        <v>14</v>
      </c>
      <c r="AQ43">
        <v>14313.6</v>
      </c>
      <c r="AR43">
        <v>13.361706642222439</v>
      </c>
      <c r="AS43">
        <v>13661.008871008222</v>
      </c>
      <c r="AT43">
        <v>15.057634802942948</v>
      </c>
      <c r="AU43">
        <v>15394.92582252887</v>
      </c>
      <c r="AV43">
        <v>12.115403371346046</v>
      </c>
      <c r="AW43">
        <v>12386.788406864198</v>
      </c>
      <c r="AX43">
        <v>18</v>
      </c>
      <c r="AY43">
        <v>18403.2</v>
      </c>
      <c r="AZ43">
        <v>11.149603279383262</v>
      </c>
      <c r="BA43">
        <v>11399.354392841447</v>
      </c>
      <c r="BB43">
        <v>15.931958711900107</v>
      </c>
      <c r="BC43">
        <v>16288.834587046669</v>
      </c>
      <c r="BD43">
        <v>17.264449804168116</v>
      </c>
      <c r="BE43">
        <v>17651.173479781482</v>
      </c>
      <c r="BF43">
        <v>7.2428899362621317</v>
      </c>
      <c r="BG43">
        <v>7405.1306708344036</v>
      </c>
      <c r="BH43">
        <v>14.324342361822355</v>
      </c>
      <c r="BI43">
        <v>14645.207630727175</v>
      </c>
      <c r="BJ43">
        <v>11</v>
      </c>
      <c r="BK43">
        <v>11246.4</v>
      </c>
      <c r="BL43">
        <v>16</v>
      </c>
      <c r="BM43">
        <v>16358.4</v>
      </c>
      <c r="BN43">
        <v>4.2222582488207934</v>
      </c>
      <c r="BO43">
        <v>4316.8368335943787</v>
      </c>
      <c r="BP43">
        <v>15.503287050356155</v>
      </c>
      <c r="BQ43">
        <v>15850.560680284132</v>
      </c>
      <c r="BR43">
        <v>6.1060018635603681</v>
      </c>
      <c r="BS43">
        <v>6242.7763053041199</v>
      </c>
      <c r="BT43">
        <v>16.890274148670365</v>
      </c>
      <c r="BU43">
        <v>17268.616289600581</v>
      </c>
      <c r="BV43">
        <v>15</v>
      </c>
      <c r="BW43">
        <v>15336</v>
      </c>
      <c r="BX43">
        <v>5.4660293096695627</v>
      </c>
      <c r="BY43">
        <v>5588.4683662061607</v>
      </c>
      <c r="BZ43">
        <v>8.8602346206094502</v>
      </c>
      <c r="CA43">
        <v>9058.7038761111016</v>
      </c>
      <c r="CB43">
        <v>15.032445636111495</v>
      </c>
      <c r="CC43">
        <v>15369.172418360393</v>
      </c>
      <c r="CD43">
        <v>5.4025775152203943</v>
      </c>
      <c r="CE43">
        <v>5523.5952515613308</v>
      </c>
      <c r="CF43">
        <v>14.181717910877939</v>
      </c>
      <c r="CG43">
        <v>14499.388392081604</v>
      </c>
      <c r="CH43">
        <v>16</v>
      </c>
      <c r="CI43">
        <v>16358.4</v>
      </c>
      <c r="CJ43">
        <v>15</v>
      </c>
      <c r="CK43">
        <v>15336</v>
      </c>
      <c r="CL43">
        <v>1.8099379704205181</v>
      </c>
      <c r="CM43">
        <v>1850.4805809579377</v>
      </c>
      <c r="CN43">
        <v>12.697761810041305</v>
      </c>
      <c r="CO43">
        <v>12982.191674586229</v>
      </c>
      <c r="CP43">
        <v>11.586193240383164</v>
      </c>
      <c r="CQ43">
        <v>11845.723968967746</v>
      </c>
      <c r="CR43">
        <v>6.9260972803864842</v>
      </c>
      <c r="CS43">
        <v>7081.2418594671417</v>
      </c>
      <c r="CT43">
        <v>17.223360660678253</v>
      </c>
      <c r="CU43">
        <v>17609.163939477447</v>
      </c>
    </row>
    <row r="44" spans="2:99">
      <c r="C44" s="99" t="s">
        <v>211</v>
      </c>
      <c r="D44">
        <v>2.9397769117911641</v>
      </c>
      <c r="E44">
        <v>3005.627914615286</v>
      </c>
      <c r="F44">
        <v>17.690694159054196</v>
      </c>
      <c r="G44">
        <v>18086.965708217009</v>
      </c>
      <c r="H44">
        <v>11.787947967601342</v>
      </c>
      <c r="I44">
        <v>12051.998002075612</v>
      </c>
      <c r="J44">
        <v>13.898073397145597</v>
      </c>
      <c r="K44">
        <v>14209.390241241657</v>
      </c>
      <c r="L44">
        <v>6.6081971114922524</v>
      </c>
      <c r="M44">
        <v>6756.2207267896783</v>
      </c>
      <c r="N44">
        <v>9.0538761073973379</v>
      </c>
      <c r="O44">
        <v>9256.6829322030389</v>
      </c>
      <c r="P44">
        <v>7.4333316152244517</v>
      </c>
      <c r="Q44">
        <v>7599.8382434054793</v>
      </c>
      <c r="R44">
        <v>14</v>
      </c>
      <c r="S44">
        <v>14313.6</v>
      </c>
      <c r="T44">
        <v>15</v>
      </c>
      <c r="U44">
        <v>15336</v>
      </c>
      <c r="V44">
        <v>17.82265788866351</v>
      </c>
      <c r="W44">
        <v>18221.885425369572</v>
      </c>
      <c r="X44">
        <v>15.339979632136451</v>
      </c>
      <c r="Y44">
        <v>15683.595175896307</v>
      </c>
      <c r="Z44">
        <v>9.0308758522031081</v>
      </c>
      <c r="AA44">
        <v>9233.1674712924578</v>
      </c>
      <c r="AB44">
        <v>12.525390568503417</v>
      </c>
      <c r="AC44">
        <v>12805.959317237894</v>
      </c>
      <c r="AD44">
        <v>6.5771260371241809</v>
      </c>
      <c r="AE44">
        <v>6724.4536603557626</v>
      </c>
      <c r="AF44">
        <v>7.7089047406495528</v>
      </c>
      <c r="AG44">
        <v>7881.5842068401025</v>
      </c>
      <c r="AH44">
        <v>13.833265557724186</v>
      </c>
      <c r="AI44">
        <v>14143.130706217207</v>
      </c>
      <c r="AJ44">
        <v>9.7759435290385621</v>
      </c>
      <c r="AK44">
        <v>9994.9246640890251</v>
      </c>
      <c r="AL44">
        <v>1.8860235498901088</v>
      </c>
      <c r="AM44">
        <v>1928.2704774076471</v>
      </c>
      <c r="AN44">
        <v>15.639523017528413</v>
      </c>
      <c r="AO44">
        <v>15989.848333121048</v>
      </c>
      <c r="AP44">
        <v>13</v>
      </c>
      <c r="AQ44">
        <v>13291.199999999999</v>
      </c>
      <c r="AR44">
        <v>13.361706642222439</v>
      </c>
      <c r="AS44">
        <v>13661.008871008222</v>
      </c>
      <c r="AT44">
        <v>14.304753062795802</v>
      </c>
      <c r="AU44">
        <v>14625.179531402428</v>
      </c>
      <c r="AV44">
        <v>13.6298287927643</v>
      </c>
      <c r="AW44">
        <v>13935.136957722219</v>
      </c>
      <c r="AX44">
        <v>17</v>
      </c>
      <c r="AY44">
        <v>17380.8</v>
      </c>
      <c r="AZ44">
        <v>12.461321312251881</v>
      </c>
      <c r="BA44">
        <v>12740.454909646323</v>
      </c>
      <c r="BB44">
        <v>13.416386283705352</v>
      </c>
      <c r="BC44">
        <v>13716.913336460351</v>
      </c>
      <c r="BD44">
        <v>18.173105057019068</v>
      </c>
      <c r="BE44">
        <v>18580.182610296295</v>
      </c>
      <c r="BF44">
        <v>7.9013344759223259</v>
      </c>
      <c r="BG44">
        <v>8078.3243681829854</v>
      </c>
      <c r="BH44">
        <v>15.120139159701374</v>
      </c>
      <c r="BI44">
        <v>15458.830276878683</v>
      </c>
      <c r="BJ44">
        <v>12</v>
      </c>
      <c r="BK44">
        <v>12268.8</v>
      </c>
      <c r="BL44">
        <v>16</v>
      </c>
      <c r="BM44">
        <v>16358.4</v>
      </c>
      <c r="BN44">
        <v>3.9876883461085266</v>
      </c>
      <c r="BO44">
        <v>4077.0125650613577</v>
      </c>
      <c r="BP44">
        <v>15.503287050356155</v>
      </c>
      <c r="BQ44">
        <v>15850.560680284132</v>
      </c>
      <c r="BR44">
        <v>5.4275572120536602</v>
      </c>
      <c r="BS44">
        <v>5549.1344936036621</v>
      </c>
      <c r="BT44">
        <v>16</v>
      </c>
      <c r="BU44">
        <v>16358.4</v>
      </c>
      <c r="BV44">
        <v>15</v>
      </c>
      <c r="BW44">
        <v>15336</v>
      </c>
      <c r="BX44">
        <v>6.4598528205185746</v>
      </c>
      <c r="BY44">
        <v>6604.5535236981905</v>
      </c>
      <c r="BZ44">
        <v>8.8083071127234742</v>
      </c>
      <c r="CA44">
        <v>9005.6131920484804</v>
      </c>
      <c r="CB44">
        <v>16.884953402381282</v>
      </c>
      <c r="CC44">
        <v>17263.176358594621</v>
      </c>
      <c r="CD44">
        <v>6.1601870720258303</v>
      </c>
      <c r="CE44">
        <v>6298.1752624392084</v>
      </c>
      <c r="CF44">
        <v>13.181717910877939</v>
      </c>
      <c r="CG44">
        <v>13476.988392081605</v>
      </c>
      <c r="CH44">
        <v>19</v>
      </c>
      <c r="CI44">
        <v>19425.599999999999</v>
      </c>
      <c r="CJ44">
        <v>14</v>
      </c>
      <c r="CK44">
        <v>14313.6</v>
      </c>
      <c r="CL44">
        <v>1.8099379704205181</v>
      </c>
      <c r="CM44">
        <v>1850.4805809579377</v>
      </c>
      <c r="CN44">
        <v>13.697761810041305</v>
      </c>
      <c r="CO44">
        <v>14004.591674586231</v>
      </c>
      <c r="CP44">
        <v>13.368684508134422</v>
      </c>
      <c r="CQ44">
        <v>13668.143041116633</v>
      </c>
      <c r="CR44">
        <v>6.1219414493623736</v>
      </c>
      <c r="CS44">
        <v>6259.0729378280903</v>
      </c>
      <c r="CT44">
        <v>16.048594852009931</v>
      </c>
      <c r="CU44">
        <v>16408.083376694954</v>
      </c>
    </row>
    <row r="45" spans="2:99">
      <c r="C45" s="99" t="s">
        <v>212</v>
      </c>
      <c r="D45">
        <v>2.6539804963605618</v>
      </c>
      <c r="E45">
        <v>3315.3524360536139</v>
      </c>
      <c r="F45">
        <v>18.736144725113505</v>
      </c>
      <c r="G45">
        <v>23405.191990611791</v>
      </c>
      <c r="H45">
        <v>11.761839391666699</v>
      </c>
      <c r="I45">
        <v>14692.889768070041</v>
      </c>
      <c r="J45">
        <v>12.769777197553367</v>
      </c>
      <c r="K45">
        <v>15952.005675183667</v>
      </c>
      <c r="L45">
        <v>6.6081971114922524</v>
      </c>
      <c r="M45">
        <v>8254.9598316761221</v>
      </c>
      <c r="N45">
        <v>10.053876107397338</v>
      </c>
      <c r="O45">
        <v>12559.302033360755</v>
      </c>
      <c r="P45">
        <v>6.8615368755918018</v>
      </c>
      <c r="Q45">
        <v>8571.4318649892793</v>
      </c>
      <c r="R45">
        <v>13</v>
      </c>
      <c r="S45">
        <v>16239.6</v>
      </c>
      <c r="T45">
        <v>14</v>
      </c>
      <c r="U45">
        <v>17488.8</v>
      </c>
      <c r="V45">
        <v>17.82265788866351</v>
      </c>
      <c r="W45">
        <v>22264.064234518457</v>
      </c>
      <c r="X45">
        <v>15.339979632136451</v>
      </c>
      <c r="Y45">
        <v>19162.702556464854</v>
      </c>
      <c r="Z45">
        <v>9.9255898239140006</v>
      </c>
      <c r="AA45">
        <v>12399.04680803337</v>
      </c>
      <c r="AB45">
        <v>13.32959288690882</v>
      </c>
      <c r="AC45">
        <v>16651.3274343265</v>
      </c>
      <c r="AD45">
        <v>5.5799537311616101</v>
      </c>
      <c r="AE45">
        <v>6970.4782009670835</v>
      </c>
      <c r="AF45">
        <v>8.2807292485647004</v>
      </c>
      <c r="AG45">
        <v>10344.286977307023</v>
      </c>
      <c r="AH45">
        <v>12.833265557724186</v>
      </c>
      <c r="AI45">
        <v>16031.315334709054</v>
      </c>
      <c r="AJ45">
        <v>9.7759435290385621</v>
      </c>
      <c r="AK45">
        <v>12212.108656474973</v>
      </c>
      <c r="AL45">
        <v>2.0715271836719076</v>
      </c>
      <c r="AM45">
        <v>2587.751757842947</v>
      </c>
      <c r="AN45">
        <v>15.639523017528413</v>
      </c>
      <c r="AO45">
        <v>19536.892153496494</v>
      </c>
      <c r="AP45">
        <v>13</v>
      </c>
      <c r="AQ45">
        <v>16239.6</v>
      </c>
      <c r="AR45">
        <v>13.361706642222439</v>
      </c>
      <c r="AS45">
        <v>16691.443937464272</v>
      </c>
      <c r="AT45">
        <v>15.810516543090095</v>
      </c>
      <c r="AU45">
        <v>19750.497265628146</v>
      </c>
      <c r="AV45">
        <v>12.872616082055172</v>
      </c>
      <c r="AW45">
        <v>16080.472009703322</v>
      </c>
      <c r="AX45">
        <v>16</v>
      </c>
      <c r="AY45">
        <v>19987.2</v>
      </c>
      <c r="AZ45">
        <v>11.805462295817572</v>
      </c>
      <c r="BA45">
        <v>14747.383499935311</v>
      </c>
      <c r="BB45">
        <v>15.931958711900107</v>
      </c>
      <c r="BC45">
        <v>19902.202822905612</v>
      </c>
      <c r="BD45">
        <v>16.355794551317164</v>
      </c>
      <c r="BE45">
        <v>20431.6585535054</v>
      </c>
      <c r="BF45">
        <v>7.2428899362621317</v>
      </c>
      <c r="BG45">
        <v>9047.8181083786549</v>
      </c>
      <c r="BH45">
        <v>15.915935957580395</v>
      </c>
      <c r="BI45">
        <v>19882.187198209431</v>
      </c>
      <c r="BJ45">
        <v>12</v>
      </c>
      <c r="BK45">
        <v>14990.400000000001</v>
      </c>
      <c r="BL45">
        <v>16</v>
      </c>
      <c r="BM45">
        <v>19987.2</v>
      </c>
      <c r="BN45">
        <v>4.4568281515330597</v>
      </c>
      <c r="BO45">
        <v>5567.4697268950986</v>
      </c>
      <c r="BP45">
        <v>15.419405875296796</v>
      </c>
      <c r="BQ45">
        <v>19261.921819420757</v>
      </c>
      <c r="BR45">
        <v>5.4275572120536602</v>
      </c>
      <c r="BS45">
        <v>6780.1044692974328</v>
      </c>
      <c r="BT45">
        <v>15.890274148670365</v>
      </c>
      <c r="BU45">
        <v>19850.130466519022</v>
      </c>
      <c r="BV45">
        <v>14</v>
      </c>
      <c r="BW45">
        <v>17488.8</v>
      </c>
      <c r="BX45">
        <v>6.4598528205185746</v>
      </c>
      <c r="BY45">
        <v>8069.6481433918034</v>
      </c>
      <c r="BZ45">
        <v>7.7462143545475213</v>
      </c>
      <c r="CA45">
        <v>9676.570971700763</v>
      </c>
      <c r="CB45">
        <v>17.032445636111497</v>
      </c>
      <c r="CC45">
        <v>21276.931088630481</v>
      </c>
      <c r="CD45">
        <v>5.7780719397037013</v>
      </c>
      <c r="CE45">
        <v>7217.9674670778641</v>
      </c>
      <c r="CF45">
        <v>12.181717910877939</v>
      </c>
      <c r="CG45">
        <v>15217.402014268722</v>
      </c>
      <c r="CH45">
        <v>19</v>
      </c>
      <c r="CI45">
        <v>23734.799999999999</v>
      </c>
      <c r="CJ45">
        <v>14</v>
      </c>
      <c r="CK45">
        <v>17488.8</v>
      </c>
      <c r="CL45">
        <v>1.9744777859132923</v>
      </c>
      <c r="CM45">
        <v>2466.5176501628848</v>
      </c>
      <c r="CN45">
        <v>11.697761810041305</v>
      </c>
      <c r="CO45">
        <v>14612.844053103599</v>
      </c>
      <c r="CP45">
        <v>11.586193240383164</v>
      </c>
      <c r="CQ45">
        <v>14473.472595886649</v>
      </c>
      <c r="CR45">
        <v>5.7393201087772256</v>
      </c>
      <c r="CS45">
        <v>7169.5586798845106</v>
      </c>
      <c r="CT45">
        <v>15.048594852009931</v>
      </c>
      <c r="CU45">
        <v>18798.704689130805</v>
      </c>
    </row>
    <row r="46" spans="2:99">
      <c r="C46" s="99" t="s">
        <v>213</v>
      </c>
      <c r="D46">
        <v>2.6403450367797046</v>
      </c>
      <c r="E46">
        <v>3200.098184577002</v>
      </c>
      <c r="F46">
        <v>18.736144725113505</v>
      </c>
      <c r="G46">
        <v>22708.207406837566</v>
      </c>
      <c r="H46">
        <v>11.059360149605837</v>
      </c>
      <c r="I46">
        <v>13403.944501322274</v>
      </c>
      <c r="J46">
        <v>13.769777197553367</v>
      </c>
      <c r="K46">
        <v>16688.96996343468</v>
      </c>
      <c r="L46">
        <v>6.0074519195384104</v>
      </c>
      <c r="M46">
        <v>7281.0317264805535</v>
      </c>
      <c r="N46">
        <v>10.053876107397338</v>
      </c>
      <c r="O46">
        <v>12185.297842165573</v>
      </c>
      <c r="P46">
        <v>6.8615368755918018</v>
      </c>
      <c r="Q46">
        <v>8316.1826932172644</v>
      </c>
      <c r="R46">
        <v>12</v>
      </c>
      <c r="S46">
        <v>14544</v>
      </c>
      <c r="T46">
        <v>14</v>
      </c>
      <c r="U46">
        <v>16968</v>
      </c>
      <c r="V46">
        <v>15.149259205363983</v>
      </c>
      <c r="W46">
        <v>18360.902156901146</v>
      </c>
      <c r="X46">
        <v>14.532612283076638</v>
      </c>
      <c r="Y46">
        <v>17613.526087088885</v>
      </c>
      <c r="Z46">
        <v>9.0308758522031081</v>
      </c>
      <c r="AA46">
        <v>10945.421532870167</v>
      </c>
      <c r="AB46">
        <v>12.525390568503417</v>
      </c>
      <c r="AC46">
        <v>15180.773369026141</v>
      </c>
      <c r="AD46">
        <v>6.2447352684699906</v>
      </c>
      <c r="AE46">
        <v>7568.6191453856291</v>
      </c>
      <c r="AF46">
        <v>8.7357870430562343</v>
      </c>
      <c r="AG46">
        <v>10587.773896184157</v>
      </c>
      <c r="AH46">
        <v>13.833265557724186</v>
      </c>
      <c r="AI46">
        <v>16765.917855961714</v>
      </c>
      <c r="AJ46">
        <v>8.9612815682853491</v>
      </c>
      <c r="AK46">
        <v>10861.073260761843</v>
      </c>
      <c r="AL46">
        <v>1.8825805263265396</v>
      </c>
      <c r="AM46">
        <v>2281.6875979077658</v>
      </c>
      <c r="AN46">
        <v>15.639523017528413</v>
      </c>
      <c r="AO46">
        <v>18955.101897244436</v>
      </c>
      <c r="AP46">
        <v>13</v>
      </c>
      <c r="AQ46">
        <v>15756</v>
      </c>
      <c r="AR46">
        <v>14.196813307361341</v>
      </c>
      <c r="AS46">
        <v>17206.537728521944</v>
      </c>
      <c r="AT46">
        <v>14.304753062795802</v>
      </c>
      <c r="AU46">
        <v>17337.360712108512</v>
      </c>
      <c r="AV46">
        <v>12.115403371346046</v>
      </c>
      <c r="AW46">
        <v>14683.868886071408</v>
      </c>
      <c r="AX46">
        <v>19</v>
      </c>
      <c r="AY46">
        <v>23028</v>
      </c>
      <c r="AZ46">
        <v>11.149603279383262</v>
      </c>
      <c r="BA46">
        <v>13513.319174612514</v>
      </c>
      <c r="BB46">
        <v>14.254910426436938</v>
      </c>
      <c r="BC46">
        <v>17276.951436841569</v>
      </c>
      <c r="BD46">
        <v>16.355794551317164</v>
      </c>
      <c r="BE46">
        <v>19823.222996196404</v>
      </c>
      <c r="BF46">
        <v>7.9013344759223259</v>
      </c>
      <c r="BG46">
        <v>9576.4173848178598</v>
      </c>
      <c r="BH46">
        <v>12.732748766064317</v>
      </c>
      <c r="BI46">
        <v>15432.091504469952</v>
      </c>
      <c r="BJ46">
        <v>12</v>
      </c>
      <c r="BK46">
        <v>14544</v>
      </c>
      <c r="BL46">
        <v>15</v>
      </c>
      <c r="BM46">
        <v>18180</v>
      </c>
      <c r="BN46">
        <v>4.2222582488207934</v>
      </c>
      <c r="BO46">
        <v>5117.3769975708019</v>
      </c>
      <c r="BP46">
        <v>14.503287050356155</v>
      </c>
      <c r="BQ46">
        <v>17577.983905031659</v>
      </c>
      <c r="BR46">
        <v>5.4275572120536602</v>
      </c>
      <c r="BS46">
        <v>6578.1993410090363</v>
      </c>
      <c r="BT46">
        <v>17</v>
      </c>
      <c r="BU46">
        <v>20604</v>
      </c>
      <c r="BV46">
        <v>15</v>
      </c>
      <c r="BW46">
        <v>18180</v>
      </c>
      <c r="BX46">
        <v>5.4660293096695627</v>
      </c>
      <c r="BY46">
        <v>6624.82752331951</v>
      </c>
      <c r="BZ46">
        <v>7.2151679754595452</v>
      </c>
      <c r="CA46">
        <v>8744.7835862569682</v>
      </c>
      <c r="CB46">
        <v>15.884953402381282</v>
      </c>
      <c r="CC46">
        <v>19252.563523686113</v>
      </c>
      <c r="CD46">
        <v>5.7846926475425242</v>
      </c>
      <c r="CE46">
        <v>7011.0474888215394</v>
      </c>
      <c r="CF46">
        <v>13.350534755289074</v>
      </c>
      <c r="CG46">
        <v>16180.848123410356</v>
      </c>
      <c r="CH46">
        <v>17</v>
      </c>
      <c r="CI46">
        <v>20604</v>
      </c>
      <c r="CJ46">
        <v>15</v>
      </c>
      <c r="CK46">
        <v>18180</v>
      </c>
      <c r="CL46">
        <v>1.9744777859132923</v>
      </c>
      <c r="CM46">
        <v>2393.0670765269101</v>
      </c>
      <c r="CN46">
        <v>12.697761810041305</v>
      </c>
      <c r="CO46">
        <v>15389.687313770062</v>
      </c>
      <c r="CP46">
        <v>12.477438874258793</v>
      </c>
      <c r="CQ46">
        <v>15122.655915601657</v>
      </c>
      <c r="CR46">
        <v>6.5395846248159542</v>
      </c>
      <c r="CS46">
        <v>7925.9765652769365</v>
      </c>
      <c r="CT46">
        <v>17.223360660678253</v>
      </c>
      <c r="CU46">
        <v>20874.713120742043</v>
      </c>
    </row>
    <row r="47" spans="2:99">
      <c r="C47" s="99" t="s">
        <v>214</v>
      </c>
      <c r="D47">
        <v>2.8380653999246377</v>
      </c>
      <c r="E47">
        <v>4335.428704924876</v>
      </c>
      <c r="F47">
        <v>18.736144725113505</v>
      </c>
      <c r="G47">
        <v>28621.334682083387</v>
      </c>
      <c r="H47">
        <v>10.330772331610326</v>
      </c>
      <c r="I47">
        <v>15781.287813767934</v>
      </c>
      <c r="J47">
        <v>12.769777197553367</v>
      </c>
      <c r="K47">
        <v>19507.111646982521</v>
      </c>
      <c r="L47">
        <v>6.0074519195384104</v>
      </c>
      <c r="M47">
        <v>9176.9835522868743</v>
      </c>
      <c r="N47">
        <v>9.0538761073973379</v>
      </c>
      <c r="O47">
        <v>13830.701141660173</v>
      </c>
      <c r="P47">
        <v>6.8615368755918018</v>
      </c>
      <c r="Q47">
        <v>10481.683731154037</v>
      </c>
      <c r="R47">
        <v>13</v>
      </c>
      <c r="S47">
        <v>19858.8</v>
      </c>
      <c r="T47">
        <v>13</v>
      </c>
      <c r="U47">
        <v>19858.8</v>
      </c>
      <c r="V47">
        <v>16.04039209979716</v>
      </c>
      <c r="W47">
        <v>24503.302971650141</v>
      </c>
      <c r="X47">
        <v>12.917877584957012</v>
      </c>
      <c r="Y47">
        <v>19733.349798780331</v>
      </c>
      <c r="Z47">
        <v>9.0308758522031081</v>
      </c>
      <c r="AA47">
        <v>13795.565951825467</v>
      </c>
      <c r="AB47">
        <v>12.525390568503417</v>
      </c>
      <c r="AC47">
        <v>19133.786632445819</v>
      </c>
      <c r="AD47">
        <v>5.8687275943667059</v>
      </c>
      <c r="AE47">
        <v>8965.0682731545785</v>
      </c>
      <c r="AF47">
        <v>7.0451781260357595</v>
      </c>
      <c r="AG47">
        <v>10762.214105332225</v>
      </c>
      <c r="AH47">
        <v>11.833265557724186</v>
      </c>
      <c r="AI47">
        <v>18076.496465979464</v>
      </c>
      <c r="AJ47">
        <v>8.146619607532136</v>
      </c>
      <c r="AK47">
        <v>12444.77611246609</v>
      </c>
      <c r="AL47">
        <v>1.8825805263265396</v>
      </c>
      <c r="AM47">
        <v>2875.8300120164217</v>
      </c>
      <c r="AN47">
        <v>15.559582640337362</v>
      </c>
      <c r="AO47">
        <v>23768.818441379353</v>
      </c>
      <c r="AP47">
        <v>12</v>
      </c>
      <c r="AQ47">
        <v>18331.199999999997</v>
      </c>
      <c r="AR47">
        <v>14.196813307361341</v>
      </c>
      <c r="AS47">
        <v>21687.052008325183</v>
      </c>
      <c r="AT47">
        <v>15.057634802942948</v>
      </c>
      <c r="AU47">
        <v>23002.042924975645</v>
      </c>
      <c r="AV47">
        <v>12.115403371346046</v>
      </c>
      <c r="AW47">
        <v>18507.49019006822</v>
      </c>
      <c r="AX47">
        <v>17</v>
      </c>
      <c r="AY47">
        <v>25969.199999999997</v>
      </c>
      <c r="AZ47">
        <v>11.149603279383262</v>
      </c>
      <c r="BA47">
        <v>17032.13396958587</v>
      </c>
      <c r="BB47">
        <v>15.931958711900107</v>
      </c>
      <c r="BC47">
        <v>24337.660128298601</v>
      </c>
      <c r="BD47">
        <v>17.264449804168116</v>
      </c>
      <c r="BE47">
        <v>26373.173520847213</v>
      </c>
      <c r="BF47">
        <v>6.5844453966019376</v>
      </c>
      <c r="BG47">
        <v>10058.398787849119</v>
      </c>
      <c r="BH47">
        <v>15.120139159701374</v>
      </c>
      <c r="BI47">
        <v>23097.524580359819</v>
      </c>
      <c r="BJ47">
        <v>10</v>
      </c>
      <c r="BK47">
        <v>15276</v>
      </c>
      <c r="BL47">
        <v>17</v>
      </c>
      <c r="BM47">
        <v>25969.199999999997</v>
      </c>
      <c r="BN47">
        <v>4.4568281515330597</v>
      </c>
      <c r="BO47">
        <v>6808.2506842819012</v>
      </c>
      <c r="BP47">
        <v>15.503287050356155</v>
      </c>
      <c r="BQ47">
        <v>23682.821298124061</v>
      </c>
      <c r="BR47">
        <v>5.4275572120536602</v>
      </c>
      <c r="BS47">
        <v>8291.1363971331702</v>
      </c>
      <c r="BT47">
        <v>16.77898988008657</v>
      </c>
      <c r="BU47">
        <v>25631.584940820241</v>
      </c>
      <c r="BV47">
        <v>14</v>
      </c>
      <c r="BW47">
        <v>21386.399999999998</v>
      </c>
      <c r="BX47">
        <v>5.4660293096695627</v>
      </c>
      <c r="BY47">
        <v>8349.9063734512238</v>
      </c>
      <c r="BZ47">
        <v>7.2151679754595452</v>
      </c>
      <c r="CA47">
        <v>11021.890599312001</v>
      </c>
      <c r="CB47">
        <v>16.032445636111497</v>
      </c>
      <c r="CC47">
        <v>24491.163953723921</v>
      </c>
      <c r="CD47">
        <v>6.1668077798646532</v>
      </c>
      <c r="CE47">
        <v>9420.4155645212431</v>
      </c>
      <c r="CF47">
        <v>13.181717910877939</v>
      </c>
      <c r="CG47">
        <v>20136.392280657139</v>
      </c>
      <c r="CH47">
        <v>18</v>
      </c>
      <c r="CI47">
        <v>27496.799999999999</v>
      </c>
      <c r="CJ47">
        <v>14</v>
      </c>
      <c r="CK47">
        <v>21386.399999999998</v>
      </c>
      <c r="CL47">
        <v>1.9744777859132923</v>
      </c>
      <c r="CM47">
        <v>3016.2122657611449</v>
      </c>
      <c r="CN47">
        <v>11.697761810041305</v>
      </c>
      <c r="CO47">
        <v>17869.500941019098</v>
      </c>
      <c r="CP47">
        <v>12.477438874258793</v>
      </c>
      <c r="CQ47">
        <v>19060.53562431773</v>
      </c>
      <c r="CR47">
        <v>6.5045627899475225</v>
      </c>
      <c r="CS47">
        <v>9936.3701179238342</v>
      </c>
      <c r="CT47">
        <v>17.048594852009931</v>
      </c>
      <c r="CU47">
        <v>26043.433495930367</v>
      </c>
    </row>
    <row r="48" spans="2:99">
      <c r="C48" s="99" t="s">
        <v>215</v>
      </c>
      <c r="D48">
        <v>3.069039659925608</v>
      </c>
      <c r="E48">
        <v>2662.6988089514575</v>
      </c>
      <c r="F48">
        <v>16.833146264663782</v>
      </c>
      <c r="G48">
        <v>14604.437699222297</v>
      </c>
      <c r="H48">
        <v>11.033251573671192</v>
      </c>
      <c r="I48">
        <v>9572.449065317127</v>
      </c>
      <c r="J48">
        <v>13.898073397145597</v>
      </c>
      <c r="K48">
        <v>12057.968479363521</v>
      </c>
      <c r="L48">
        <v>6.6081971114922524</v>
      </c>
      <c r="M48">
        <v>5733.271813930678</v>
      </c>
      <c r="N48">
        <v>11.053876107397338</v>
      </c>
      <c r="O48">
        <v>9590.3429107779302</v>
      </c>
      <c r="P48">
        <v>6.8615368755918018</v>
      </c>
      <c r="Q48">
        <v>5953.0693932634476</v>
      </c>
      <c r="R48">
        <v>13</v>
      </c>
      <c r="S48">
        <v>11278.800000000001</v>
      </c>
      <c r="T48">
        <v>15</v>
      </c>
      <c r="U48">
        <v>13014</v>
      </c>
      <c r="V48">
        <v>16.04039209979716</v>
      </c>
      <c r="W48">
        <v>13916.644185784016</v>
      </c>
      <c r="X48">
        <v>14.532612283076638</v>
      </c>
      <c r="Y48">
        <v>12608.494416797292</v>
      </c>
      <c r="Z48">
        <v>9.0476230792219461</v>
      </c>
      <c r="AA48">
        <v>7849.7177835329603</v>
      </c>
      <c r="AB48">
        <v>13.422064045393299</v>
      </c>
      <c r="AC48">
        <v>11644.982765783227</v>
      </c>
      <c r="AD48">
        <v>6.2447352684699906</v>
      </c>
      <c r="AE48">
        <v>5417.9323189245642</v>
      </c>
      <c r="AF48">
        <v>7.71885058333954</v>
      </c>
      <c r="AG48">
        <v>6696.8747661053849</v>
      </c>
      <c r="AH48">
        <v>12.833265557724186</v>
      </c>
      <c r="AI48">
        <v>11134.141197881503</v>
      </c>
      <c r="AJ48">
        <v>8.9612815682853491</v>
      </c>
      <c r="AK48">
        <v>7774.8078886443691</v>
      </c>
      <c r="AL48">
        <v>1.8860235498901088</v>
      </c>
      <c r="AM48">
        <v>1636.3140318846583</v>
      </c>
      <c r="AN48">
        <v>16.559582640337361</v>
      </c>
      <c r="AO48">
        <v>14367.093898756695</v>
      </c>
      <c r="AP48">
        <v>16</v>
      </c>
      <c r="AQ48">
        <v>13881.6</v>
      </c>
      <c r="AR48">
        <v>15.867026637639144</v>
      </c>
      <c r="AS48">
        <v>13766.232310815722</v>
      </c>
      <c r="AT48">
        <v>16.563398283237245</v>
      </c>
      <c r="AU48">
        <v>14370.404350536634</v>
      </c>
      <c r="AV48">
        <v>12.115403371346046</v>
      </c>
      <c r="AW48">
        <v>10511.323964979831</v>
      </c>
      <c r="AX48">
        <v>18</v>
      </c>
      <c r="AY48">
        <v>15616.800000000001</v>
      </c>
      <c r="AZ48">
        <v>11.805462295817572</v>
      </c>
      <c r="BA48">
        <v>10242.419087851325</v>
      </c>
      <c r="BB48">
        <v>16.770482854631691</v>
      </c>
      <c r="BC48">
        <v>14550.070924678455</v>
      </c>
      <c r="BD48">
        <v>16.355794551317164</v>
      </c>
      <c r="BE48">
        <v>14190.287352722771</v>
      </c>
      <c r="BF48">
        <v>7.2428899362621317</v>
      </c>
      <c r="BG48">
        <v>6283.931308701026</v>
      </c>
      <c r="BH48">
        <v>15.120139159701374</v>
      </c>
      <c r="BI48">
        <v>13118.232734956913</v>
      </c>
      <c r="BJ48">
        <v>12</v>
      </c>
      <c r="BK48">
        <v>10411.200000000001</v>
      </c>
      <c r="BL48">
        <v>15</v>
      </c>
      <c r="BM48">
        <v>13014</v>
      </c>
      <c r="BN48">
        <v>4.6913980542453251</v>
      </c>
      <c r="BO48">
        <v>4070.256951863244</v>
      </c>
      <c r="BP48">
        <v>16.419405875296796</v>
      </c>
      <c r="BQ48">
        <v>14245.476537407501</v>
      </c>
      <c r="BR48">
        <v>5.7667795378070146</v>
      </c>
      <c r="BS48">
        <v>5003.2579270013657</v>
      </c>
      <c r="BT48">
        <v>16.77898988008657</v>
      </c>
      <c r="BU48">
        <v>14557.451619963109</v>
      </c>
      <c r="BV48">
        <v>16</v>
      </c>
      <c r="BW48">
        <v>13881.6</v>
      </c>
      <c r="BX48">
        <v>6.9567645759430796</v>
      </c>
      <c r="BY48">
        <v>6035.6889460882157</v>
      </c>
      <c r="BZ48">
        <v>7.798141862433499</v>
      </c>
      <c r="CA48">
        <v>6765.667879847304</v>
      </c>
      <c r="CB48">
        <v>15.884953402381282</v>
      </c>
      <c r="CC48">
        <v>13781.785571906001</v>
      </c>
      <c r="CD48">
        <v>6.5423022043479593</v>
      </c>
      <c r="CE48">
        <v>5676.10139249229</v>
      </c>
      <c r="CF48">
        <v>13.181717910877939</v>
      </c>
      <c r="CG48">
        <v>11436.458459477701</v>
      </c>
      <c r="CH48">
        <v>17</v>
      </c>
      <c r="CI48">
        <v>14749.2</v>
      </c>
      <c r="CJ48">
        <v>16</v>
      </c>
      <c r="CK48">
        <v>13881.6</v>
      </c>
      <c r="CL48">
        <v>1.8099379704205181</v>
      </c>
      <c r="CM48">
        <v>1570.3021831368414</v>
      </c>
      <c r="CN48">
        <v>12.697761810041305</v>
      </c>
      <c r="CO48">
        <v>11016.578146391836</v>
      </c>
      <c r="CP48">
        <v>11.586193240383164</v>
      </c>
      <c r="CQ48">
        <v>10052.181255356432</v>
      </c>
      <c r="CR48">
        <v>6.1219414493623736</v>
      </c>
      <c r="CS48">
        <v>5311.3964014667954</v>
      </c>
      <c r="CT48">
        <v>16.223360660678253</v>
      </c>
      <c r="CU48">
        <v>14075.387709204453</v>
      </c>
    </row>
    <row r="49" spans="2:99">
      <c r="B49" s="99" t="s">
        <v>129</v>
      </c>
      <c r="C49" s="99" t="s">
        <v>216</v>
      </c>
      <c r="D49">
        <v>4.9123134744812242</v>
      </c>
      <c r="E49">
        <v>4839.6112350589019</v>
      </c>
      <c r="F49">
        <v>7</v>
      </c>
      <c r="G49">
        <v>6896.4</v>
      </c>
      <c r="H49">
        <v>7</v>
      </c>
      <c r="I49">
        <v>6896.4</v>
      </c>
      <c r="J49">
        <v>9</v>
      </c>
      <c r="K49">
        <v>8866.7999999999993</v>
      </c>
      <c r="L49">
        <v>10</v>
      </c>
      <c r="M49">
        <v>9852</v>
      </c>
      <c r="N49">
        <v>4.6534000571944008</v>
      </c>
      <c r="O49">
        <v>4584.5297363479231</v>
      </c>
      <c r="P49">
        <v>1.1820649446121736</v>
      </c>
      <c r="Q49">
        <v>1164.5703834319133</v>
      </c>
      <c r="R49">
        <v>7.2835430901629055</v>
      </c>
      <c r="S49">
        <v>7175.7466524284937</v>
      </c>
      <c r="T49">
        <v>7.6632541327781887</v>
      </c>
      <c r="U49">
        <v>7549.8379716130712</v>
      </c>
      <c r="V49">
        <v>3.0088328424087272</v>
      </c>
      <c r="W49">
        <v>2964.3021163410776</v>
      </c>
      <c r="X49">
        <v>8.9596082342102967</v>
      </c>
      <c r="Y49">
        <v>8827.006032343983</v>
      </c>
      <c r="Z49">
        <v>6.7856068000475505</v>
      </c>
      <c r="AA49">
        <v>6685.179819406846</v>
      </c>
      <c r="AB49">
        <v>9</v>
      </c>
      <c r="AC49">
        <v>8866.7999999999993</v>
      </c>
      <c r="AD49">
        <v>11</v>
      </c>
      <c r="AE49">
        <v>10837.199999999999</v>
      </c>
      <c r="AF49">
        <v>7.8887735021173837</v>
      </c>
      <c r="AG49">
        <v>7772.0196542860458</v>
      </c>
      <c r="AH49">
        <v>5.2036760256123546</v>
      </c>
      <c r="AI49">
        <v>5126.6616204332913</v>
      </c>
      <c r="AJ49">
        <v>6</v>
      </c>
      <c r="AK49">
        <v>5911.2</v>
      </c>
      <c r="AL49">
        <v>6</v>
      </c>
      <c r="AM49">
        <v>5911.2</v>
      </c>
      <c r="AN49">
        <v>10</v>
      </c>
      <c r="AO49">
        <v>9852</v>
      </c>
      <c r="AP49">
        <v>3.3639355445820875</v>
      </c>
      <c r="AQ49">
        <v>3314.1492985222726</v>
      </c>
      <c r="AR49">
        <v>7</v>
      </c>
      <c r="AS49">
        <v>6896.4</v>
      </c>
      <c r="AT49">
        <v>8</v>
      </c>
      <c r="AU49">
        <v>7881.5999999999995</v>
      </c>
      <c r="AV49">
        <v>9</v>
      </c>
      <c r="AW49">
        <v>8866.7999999999993</v>
      </c>
      <c r="AX49">
        <v>10</v>
      </c>
      <c r="AY49">
        <v>9852</v>
      </c>
      <c r="AZ49">
        <v>9.2059927626980684</v>
      </c>
      <c r="BA49">
        <v>9069.7440698101364</v>
      </c>
      <c r="BB49">
        <v>3.204485824327632</v>
      </c>
      <c r="BC49">
        <v>3157.0594341275828</v>
      </c>
      <c r="BD49">
        <v>6.9666050758040967</v>
      </c>
      <c r="BE49">
        <v>6863.4993206821955</v>
      </c>
      <c r="BF49">
        <v>7.2756602265290535</v>
      </c>
      <c r="BG49">
        <v>7167.9804551764228</v>
      </c>
      <c r="BH49">
        <v>7.3118319539373591</v>
      </c>
      <c r="BI49">
        <v>7203.6168410190858</v>
      </c>
      <c r="BJ49">
        <v>7.519385613465448</v>
      </c>
      <c r="BK49">
        <v>7408.0987063861585</v>
      </c>
      <c r="BL49">
        <v>7.3558325476422839</v>
      </c>
      <c r="BM49">
        <v>7246.966225937178</v>
      </c>
      <c r="BN49">
        <v>8.0040378957415346</v>
      </c>
      <c r="BO49">
        <v>7885.5781348845594</v>
      </c>
      <c r="BP49">
        <v>10.015011826828319</v>
      </c>
      <c r="BQ49">
        <v>9866.7896517912595</v>
      </c>
      <c r="BR49">
        <v>3.6059485174377968</v>
      </c>
      <c r="BS49">
        <v>3552.580479379717</v>
      </c>
      <c r="BT49">
        <v>6.7836998367819774</v>
      </c>
      <c r="BU49">
        <v>6683.3010791976039</v>
      </c>
      <c r="BV49">
        <v>2.4324145641945423</v>
      </c>
      <c r="BW49">
        <v>2396.4148286444629</v>
      </c>
      <c r="BX49">
        <v>9.1503964071644237</v>
      </c>
      <c r="BY49">
        <v>9014.9705403383905</v>
      </c>
      <c r="BZ49">
        <v>11</v>
      </c>
      <c r="CA49">
        <v>10837.199999999999</v>
      </c>
      <c r="CB49">
        <v>6.1338790052328847</v>
      </c>
      <c r="CC49">
        <v>6043.0975959554371</v>
      </c>
      <c r="CD49">
        <v>6.4994289429385708</v>
      </c>
      <c r="CE49">
        <v>6403.2373945830795</v>
      </c>
      <c r="CF49">
        <v>7</v>
      </c>
      <c r="CG49">
        <v>6896.4</v>
      </c>
      <c r="CH49">
        <v>11.222477184226866</v>
      </c>
      <c r="CI49">
        <v>11056.384521900309</v>
      </c>
      <c r="CJ49">
        <v>5.4797938350686035</v>
      </c>
      <c r="CK49">
        <v>5398.6928863095882</v>
      </c>
      <c r="CL49">
        <v>7.3542532574159063</v>
      </c>
      <c r="CM49">
        <v>7245.4103092061505</v>
      </c>
      <c r="CN49">
        <v>7.0349929299737326</v>
      </c>
      <c r="CO49">
        <v>6930.8750346101206</v>
      </c>
      <c r="CP49">
        <v>9.8269921937315985</v>
      </c>
      <c r="CQ49">
        <v>9681.5527092643697</v>
      </c>
      <c r="CR49">
        <v>1.4532858011564773</v>
      </c>
      <c r="CS49">
        <v>1431.7771712993613</v>
      </c>
      <c r="CT49">
        <v>5.6056288143219772</v>
      </c>
      <c r="CU49">
        <v>5522.6655078700114</v>
      </c>
    </row>
    <row r="50" spans="2:99">
      <c r="C50" s="99" t="s">
        <v>217</v>
      </c>
      <c r="D50">
        <v>1.0616470221209644</v>
      </c>
      <c r="E50">
        <v>299.38446023811196</v>
      </c>
      <c r="F50">
        <v>7.1302512907462763</v>
      </c>
      <c r="G50">
        <v>2010.73086399045</v>
      </c>
      <c r="H50">
        <v>6.0114625755065632</v>
      </c>
      <c r="I50">
        <v>1695.2324462928509</v>
      </c>
      <c r="J50">
        <v>8.6414809979611391</v>
      </c>
      <c r="K50">
        <v>2436.897641425041</v>
      </c>
      <c r="L50">
        <v>6.6081971114922524</v>
      </c>
      <c r="M50">
        <v>1863.5115854408152</v>
      </c>
      <c r="N50">
        <v>9.0754265503562728</v>
      </c>
      <c r="O50">
        <v>2559.2702872004688</v>
      </c>
      <c r="P50">
        <v>4.0025631774285504</v>
      </c>
      <c r="Q50">
        <v>1128.7228160348511</v>
      </c>
      <c r="R50">
        <v>9</v>
      </c>
      <c r="S50">
        <v>2538</v>
      </c>
      <c r="T50">
        <v>11</v>
      </c>
      <c r="U50">
        <v>3102</v>
      </c>
      <c r="V50">
        <v>10.693594733198106</v>
      </c>
      <c r="W50">
        <v>3015.5937147618661</v>
      </c>
      <c r="X50">
        <v>7.266306141538319</v>
      </c>
      <c r="Y50">
        <v>2049.0983319138059</v>
      </c>
      <c r="Z50">
        <v>9.9255898239140006</v>
      </c>
      <c r="AA50">
        <v>2799.016330343748</v>
      </c>
      <c r="AB50">
        <v>8.5043789764764117</v>
      </c>
      <c r="AC50">
        <v>2398.2348713663482</v>
      </c>
      <c r="AD50">
        <v>3.9179998878906601</v>
      </c>
      <c r="AE50">
        <v>1104.8759683851661</v>
      </c>
      <c r="AF50">
        <v>5.5239748407208902</v>
      </c>
      <c r="AG50">
        <v>1557.7609050832909</v>
      </c>
      <c r="AH50">
        <v>6.8332655577241868</v>
      </c>
      <c r="AI50">
        <v>1926.9808872782207</v>
      </c>
      <c r="AJ50">
        <v>4.8879717645192811</v>
      </c>
      <c r="AK50">
        <v>1378.4080375944372</v>
      </c>
      <c r="AL50">
        <v>1.3329556721082811</v>
      </c>
      <c r="AM50">
        <v>375.89349953453529</v>
      </c>
      <c r="AN50">
        <v>12.47964226314631</v>
      </c>
      <c r="AO50">
        <v>3519.2591182072597</v>
      </c>
      <c r="AP50">
        <v>9</v>
      </c>
      <c r="AQ50">
        <v>2538</v>
      </c>
      <c r="AR50">
        <v>5.8457466559723166</v>
      </c>
      <c r="AS50">
        <v>1648.5005569841933</v>
      </c>
      <c r="AT50">
        <v>6.7759356613243273</v>
      </c>
      <c r="AU50">
        <v>1910.8138564934602</v>
      </c>
      <c r="AV50">
        <v>6.8149143963821501</v>
      </c>
      <c r="AW50">
        <v>1921.8058597797663</v>
      </c>
      <c r="AX50">
        <v>10</v>
      </c>
      <c r="AY50">
        <v>2820</v>
      </c>
      <c r="AZ50">
        <v>6.5585901643430953</v>
      </c>
      <c r="BA50">
        <v>1849.5224263447528</v>
      </c>
      <c r="BB50">
        <v>7.5467172845842612</v>
      </c>
      <c r="BC50">
        <v>2128.1742742527617</v>
      </c>
      <c r="BD50">
        <v>6.360586769956674</v>
      </c>
      <c r="BE50">
        <v>1793.685469127782</v>
      </c>
      <c r="BF50">
        <v>5.9260008569417444</v>
      </c>
      <c r="BG50">
        <v>1671.132241657572</v>
      </c>
      <c r="BH50">
        <v>5.5705775851531376</v>
      </c>
      <c r="BI50">
        <v>1570.9028790131847</v>
      </c>
      <c r="BJ50">
        <v>11</v>
      </c>
      <c r="BK50">
        <v>3102</v>
      </c>
      <c r="BL50">
        <v>10</v>
      </c>
      <c r="BM50">
        <v>2820</v>
      </c>
      <c r="BN50">
        <v>2.3456990271226625</v>
      </c>
      <c r="BO50">
        <v>661.48712564859079</v>
      </c>
      <c r="BP50">
        <v>11.503287050356155</v>
      </c>
      <c r="BQ50">
        <v>3243.9269482004356</v>
      </c>
      <c r="BR50">
        <v>3.7314455832868911</v>
      </c>
      <c r="BS50">
        <v>1052.2676544869032</v>
      </c>
      <c r="BT50">
        <v>6.5564213429189779</v>
      </c>
      <c r="BU50">
        <v>1848.9108187031518</v>
      </c>
      <c r="BV50">
        <v>10</v>
      </c>
      <c r="BW50">
        <v>2820</v>
      </c>
      <c r="BX50">
        <v>4.4722057988205517</v>
      </c>
      <c r="BY50">
        <v>1261.1620352673956</v>
      </c>
      <c r="BZ50">
        <v>6.736049104257547</v>
      </c>
      <c r="CA50">
        <v>1899.5658474006282</v>
      </c>
      <c r="CB50">
        <v>8.5899689349208543</v>
      </c>
      <c r="CC50">
        <v>2422.3712396476808</v>
      </c>
      <c r="CD50">
        <v>4.2032664555434245</v>
      </c>
      <c r="CE50">
        <v>1185.3211404632457</v>
      </c>
      <c r="CF50">
        <v>8.6752673776445377</v>
      </c>
      <c r="CG50">
        <v>2446.4254004957597</v>
      </c>
      <c r="CH50">
        <v>12</v>
      </c>
      <c r="CI50">
        <v>3384</v>
      </c>
      <c r="CJ50">
        <v>10</v>
      </c>
      <c r="CK50">
        <v>2820</v>
      </c>
      <c r="CL50">
        <v>1.3163185239421951</v>
      </c>
      <c r="CM50">
        <v>371.20182375169901</v>
      </c>
      <c r="CN50">
        <v>10.465174540027537</v>
      </c>
      <c r="CO50">
        <v>2951.1792202877655</v>
      </c>
      <c r="CP50">
        <v>9.8037019726319095</v>
      </c>
      <c r="CQ50">
        <v>2764.6439562821984</v>
      </c>
      <c r="CR50">
        <v>3.0609707246811868</v>
      </c>
      <c r="CS50">
        <v>863.19374436009468</v>
      </c>
      <c r="CT50">
        <v>7.3981264693465736</v>
      </c>
      <c r="CU50">
        <v>2086.2716643557337</v>
      </c>
    </row>
    <row r="51" spans="2:99">
      <c r="C51" s="99" t="s">
        <v>218</v>
      </c>
      <c r="D51">
        <v>1.054829292330536</v>
      </c>
      <c r="E51">
        <v>901.24614736720991</v>
      </c>
      <c r="F51">
        <v>7.1302512907462763</v>
      </c>
      <c r="G51">
        <v>6092.0867028136181</v>
      </c>
      <c r="H51">
        <v>5.2828747575110553</v>
      </c>
      <c r="I51">
        <v>4513.6881928174453</v>
      </c>
      <c r="J51">
        <v>8.7697771975533669</v>
      </c>
      <c r="K51">
        <v>7492.8976375895963</v>
      </c>
      <c r="L51">
        <v>6.0074519195384104</v>
      </c>
      <c r="M51">
        <v>5132.7669200536175</v>
      </c>
      <c r="N51">
        <v>10.075426550356273</v>
      </c>
      <c r="O51">
        <v>8608.4444446243997</v>
      </c>
      <c r="P51">
        <v>4.0025631774285504</v>
      </c>
      <c r="Q51">
        <v>3419.7899787949532</v>
      </c>
      <c r="R51">
        <v>8</v>
      </c>
      <c r="S51">
        <v>6835.2</v>
      </c>
      <c r="T51">
        <v>10</v>
      </c>
      <c r="U51">
        <v>8544</v>
      </c>
      <c r="V51">
        <v>9.8024618387649287</v>
      </c>
      <c r="W51">
        <v>8375.2233950407553</v>
      </c>
      <c r="X51">
        <v>7.266306141538319</v>
      </c>
      <c r="Y51">
        <v>6208.3319673303395</v>
      </c>
      <c r="Z51">
        <v>8.1361618804922156</v>
      </c>
      <c r="AA51">
        <v>6951.5367106925487</v>
      </c>
      <c r="AB51">
        <v>7.6077054995865314</v>
      </c>
      <c r="AC51">
        <v>6500.0235788467326</v>
      </c>
      <c r="AD51">
        <v>3.9179998878906601</v>
      </c>
      <c r="AE51">
        <v>3347.5391042137799</v>
      </c>
      <c r="AF51">
        <v>4.9571232541507371</v>
      </c>
      <c r="AG51">
        <v>4235.3661083463894</v>
      </c>
      <c r="AH51">
        <v>5.8332655577241868</v>
      </c>
      <c r="AI51">
        <v>4983.9420925195454</v>
      </c>
      <c r="AJ51">
        <v>4.8879717645192811</v>
      </c>
      <c r="AK51">
        <v>4176.2830756052736</v>
      </c>
      <c r="AL51">
        <v>1.3329556721082811</v>
      </c>
      <c r="AM51">
        <v>1138.8773262493153</v>
      </c>
      <c r="AN51">
        <v>12.47964226314631</v>
      </c>
      <c r="AO51">
        <v>10662.606349632208</v>
      </c>
      <c r="AP51">
        <v>8</v>
      </c>
      <c r="AQ51">
        <v>6835.2</v>
      </c>
      <c r="AR51">
        <v>5.8457466559723166</v>
      </c>
      <c r="AS51">
        <v>4994.6059428627468</v>
      </c>
      <c r="AT51">
        <v>6.0230539211771799</v>
      </c>
      <c r="AU51">
        <v>5146.097270253782</v>
      </c>
      <c r="AV51">
        <v>6.8149143963821501</v>
      </c>
      <c r="AW51">
        <v>5822.6628602689088</v>
      </c>
      <c r="AX51">
        <v>10</v>
      </c>
      <c r="AY51">
        <v>8544</v>
      </c>
      <c r="AZ51">
        <v>7.2144491807774038</v>
      </c>
      <c r="BA51">
        <v>6164.0253800562141</v>
      </c>
      <c r="BB51">
        <v>8.3852414273158455</v>
      </c>
      <c r="BC51">
        <v>7164.3502754986584</v>
      </c>
      <c r="BD51">
        <v>6.360586769956674</v>
      </c>
      <c r="BE51">
        <v>5434.4853362509821</v>
      </c>
      <c r="BF51">
        <v>5.9260008569417444</v>
      </c>
      <c r="BG51">
        <v>5063.1751321710262</v>
      </c>
      <c r="BH51">
        <v>6.3663743830321584</v>
      </c>
      <c r="BI51">
        <v>5439.4302728626762</v>
      </c>
      <c r="BJ51">
        <v>9</v>
      </c>
      <c r="BK51">
        <v>7689.5999999999995</v>
      </c>
      <c r="BL51">
        <v>10</v>
      </c>
      <c r="BM51">
        <v>8544</v>
      </c>
      <c r="BN51">
        <v>2.5802689298349293</v>
      </c>
      <c r="BO51">
        <v>2204.5817736509634</v>
      </c>
      <c r="BP51">
        <v>11.419405875296796</v>
      </c>
      <c r="BQ51">
        <v>9756.7403798535815</v>
      </c>
      <c r="BR51">
        <v>3.3922232575335376</v>
      </c>
      <c r="BS51">
        <v>2898.3155512366543</v>
      </c>
      <c r="BT51">
        <v>5.5564213429189779</v>
      </c>
      <c r="BU51">
        <v>4747.4063953899749</v>
      </c>
      <c r="BV51">
        <v>9</v>
      </c>
      <c r="BW51">
        <v>7689.5999999999995</v>
      </c>
      <c r="BX51">
        <v>3.4783822879715398</v>
      </c>
      <c r="BY51">
        <v>2971.9298268428834</v>
      </c>
      <c r="BZ51">
        <v>6.6841215963715692</v>
      </c>
      <c r="CA51">
        <v>5710.9134919398684</v>
      </c>
      <c r="CB51">
        <v>9.5899689349208543</v>
      </c>
      <c r="CC51">
        <v>8193.6694579963769</v>
      </c>
      <c r="CD51">
        <v>4.2032664555434245</v>
      </c>
      <c r="CE51">
        <v>3591.270859616302</v>
      </c>
      <c r="CF51">
        <v>7.6752673776445368</v>
      </c>
      <c r="CG51">
        <v>6557.7484474594921</v>
      </c>
      <c r="CH51">
        <v>10</v>
      </c>
      <c r="CI51">
        <v>8544</v>
      </c>
      <c r="CJ51">
        <v>10</v>
      </c>
      <c r="CK51">
        <v>8544</v>
      </c>
      <c r="CL51">
        <v>1.3163185239421951</v>
      </c>
      <c r="CM51">
        <v>1124.6625468562115</v>
      </c>
      <c r="CN51">
        <v>9.4651745400275367</v>
      </c>
      <c r="CO51">
        <v>8087.0451269995274</v>
      </c>
      <c r="CP51">
        <v>9.8037019726319095</v>
      </c>
      <c r="CQ51">
        <v>8376.2829654167035</v>
      </c>
      <c r="CR51">
        <v>2.6783493840960384</v>
      </c>
      <c r="CS51">
        <v>2288.3817137716551</v>
      </c>
      <c r="CT51">
        <v>7.0485948520099306</v>
      </c>
      <c r="CU51">
        <v>6022.3194415572843</v>
      </c>
    </row>
    <row r="52" spans="2:99">
      <c r="C52" s="99" t="s">
        <v>219</v>
      </c>
      <c r="D52">
        <v>1.2045452298362656</v>
      </c>
      <c r="E52">
        <v>650.45442411158342</v>
      </c>
      <c r="F52">
        <v>8.0817505209711378</v>
      </c>
      <c r="G52">
        <v>4364.1452813244141</v>
      </c>
      <c r="H52">
        <v>6.740050393502071</v>
      </c>
      <c r="I52">
        <v>3639.6272124911184</v>
      </c>
      <c r="J52">
        <v>8.6414809979611391</v>
      </c>
      <c r="K52">
        <v>4666.3997388990156</v>
      </c>
      <c r="L52">
        <v>6.6081971114922524</v>
      </c>
      <c r="M52">
        <v>3568.4264402058161</v>
      </c>
      <c r="N52">
        <v>9.0754265503562728</v>
      </c>
      <c r="O52">
        <v>4900.7303371923872</v>
      </c>
      <c r="P52">
        <v>4.0025631774285504</v>
      </c>
      <c r="Q52">
        <v>2161.3841158114174</v>
      </c>
      <c r="R52">
        <v>9</v>
      </c>
      <c r="S52">
        <v>4860</v>
      </c>
      <c r="T52">
        <v>9</v>
      </c>
      <c r="U52">
        <v>4860</v>
      </c>
      <c r="V52">
        <v>8.9113289443317552</v>
      </c>
      <c r="W52">
        <v>4812.1176299391482</v>
      </c>
      <c r="X52">
        <v>7.266306141538319</v>
      </c>
      <c r="Y52">
        <v>3923.8053164306921</v>
      </c>
      <c r="Z52">
        <v>8.1361618804922156</v>
      </c>
      <c r="AA52">
        <v>4393.5274154657964</v>
      </c>
      <c r="AB52">
        <v>9.3085812948818134</v>
      </c>
      <c r="AC52">
        <v>5026.6338992361789</v>
      </c>
      <c r="AD52">
        <v>4.2503906565448499</v>
      </c>
      <c r="AE52">
        <v>2295.2109545342191</v>
      </c>
      <c r="AF52">
        <v>6.0759076632560651</v>
      </c>
      <c r="AG52">
        <v>3280.9901381582754</v>
      </c>
      <c r="AH52">
        <v>6.6666124461793492</v>
      </c>
      <c r="AI52">
        <v>3599.9707209368485</v>
      </c>
      <c r="AJ52">
        <v>4.8879717645192811</v>
      </c>
      <c r="AK52">
        <v>2639.5047528404116</v>
      </c>
      <c r="AL52">
        <v>1.3329556721082811</v>
      </c>
      <c r="AM52">
        <v>719.79606293847178</v>
      </c>
      <c r="AN52">
        <v>11.47964226314631</v>
      </c>
      <c r="AO52">
        <v>6199.0068220990079</v>
      </c>
      <c r="AP52">
        <v>9</v>
      </c>
      <c r="AQ52">
        <v>4860</v>
      </c>
      <c r="AR52">
        <v>5.8457466559723166</v>
      </c>
      <c r="AS52">
        <v>3156.703194225051</v>
      </c>
      <c r="AT52">
        <v>6.7759356613243273</v>
      </c>
      <c r="AU52">
        <v>3659.0052571151368</v>
      </c>
      <c r="AV52">
        <v>7.572127107091279</v>
      </c>
      <c r="AW52">
        <v>4088.9486378292909</v>
      </c>
      <c r="AX52">
        <v>10</v>
      </c>
      <c r="AY52">
        <v>5400</v>
      </c>
      <c r="AZ52">
        <v>7.2144491807774038</v>
      </c>
      <c r="BA52">
        <v>3895.8025576197979</v>
      </c>
      <c r="BB52">
        <v>8.3852414273158455</v>
      </c>
      <c r="BC52">
        <v>4528.0303707505564</v>
      </c>
      <c r="BD52">
        <v>6.360586769956674</v>
      </c>
      <c r="BE52">
        <v>3434.716855776604</v>
      </c>
      <c r="BF52">
        <v>5.9260008569417444</v>
      </c>
      <c r="BG52">
        <v>3200.0404627485418</v>
      </c>
      <c r="BH52">
        <v>6.3663743830321584</v>
      </c>
      <c r="BI52">
        <v>3437.8421668373658</v>
      </c>
      <c r="BJ52">
        <v>12</v>
      </c>
      <c r="BK52">
        <v>6480</v>
      </c>
      <c r="BL52">
        <v>10</v>
      </c>
      <c r="BM52">
        <v>5400</v>
      </c>
      <c r="BN52">
        <v>2.5802689298349293</v>
      </c>
      <c r="BO52">
        <v>1393.3452221108619</v>
      </c>
      <c r="BP52">
        <v>10.419405875296796</v>
      </c>
      <c r="BQ52">
        <v>5626.4791726602698</v>
      </c>
      <c r="BR52">
        <v>3.3922232575335376</v>
      </c>
      <c r="BS52">
        <v>1831.8005590681103</v>
      </c>
      <c r="BT52">
        <v>7.5564213429189779</v>
      </c>
      <c r="BU52">
        <v>4080.4675251762483</v>
      </c>
      <c r="BV52">
        <v>9</v>
      </c>
      <c r="BW52">
        <v>4860</v>
      </c>
      <c r="BX52">
        <v>3.9752940433960453</v>
      </c>
      <c r="BY52">
        <v>2146.6587834338643</v>
      </c>
      <c r="BZ52">
        <v>6.6841215963715692</v>
      </c>
      <c r="CA52">
        <v>3609.4256620406472</v>
      </c>
      <c r="CB52">
        <v>9.5899689349208543</v>
      </c>
      <c r="CC52">
        <v>5178.5832248572615</v>
      </c>
      <c r="CD52">
        <v>4.5853815878655535</v>
      </c>
      <c r="CE52">
        <v>2476.1060574473991</v>
      </c>
      <c r="CF52">
        <v>8.6752673776445377</v>
      </c>
      <c r="CG52">
        <v>4684.64438392805</v>
      </c>
      <c r="CH52">
        <v>12</v>
      </c>
      <c r="CI52">
        <v>6480</v>
      </c>
      <c r="CJ52">
        <v>9</v>
      </c>
      <c r="CK52">
        <v>4860</v>
      </c>
      <c r="CL52">
        <v>1.1517787084494204</v>
      </c>
      <c r="CM52">
        <v>621.960502562687</v>
      </c>
      <c r="CN52">
        <v>9.4651745400275367</v>
      </c>
      <c r="CO52">
        <v>5111.1942516148702</v>
      </c>
      <c r="CP52">
        <v>8.0212107048806534</v>
      </c>
      <c r="CQ52">
        <v>4331.4537806355529</v>
      </c>
      <c r="CR52">
        <v>3.0609707246811868</v>
      </c>
      <c r="CS52">
        <v>1652.9241913278408</v>
      </c>
      <c r="CT52">
        <v>7.2233606606782512</v>
      </c>
      <c r="CU52">
        <v>3900.6147567662556</v>
      </c>
    </row>
    <row r="53" spans="2:99">
      <c r="C53" s="99" t="s">
        <v>220</v>
      </c>
      <c r="D53">
        <v>1.1977275000458372</v>
      </c>
      <c r="E53">
        <v>487.23554701864657</v>
      </c>
      <c r="F53">
        <v>8.0817505209711378</v>
      </c>
      <c r="G53">
        <v>3287.6561119310591</v>
      </c>
      <c r="H53">
        <v>6.740050393502071</v>
      </c>
      <c r="I53">
        <v>2741.8525000766426</v>
      </c>
      <c r="J53">
        <v>8.7697771975533669</v>
      </c>
      <c r="K53">
        <v>3567.5453639647098</v>
      </c>
      <c r="L53">
        <v>7.2089423034460927</v>
      </c>
      <c r="M53">
        <v>2932.5977290418705</v>
      </c>
      <c r="N53">
        <v>10.075426550356273</v>
      </c>
      <c r="O53">
        <v>4098.6835206849319</v>
      </c>
      <c r="P53">
        <v>4.5743579170612012</v>
      </c>
      <c r="Q53">
        <v>1860.8488006604966</v>
      </c>
      <c r="R53">
        <v>9</v>
      </c>
      <c r="S53">
        <v>3661.2000000000003</v>
      </c>
      <c r="T53">
        <v>10</v>
      </c>
      <c r="U53">
        <v>4068</v>
      </c>
      <c r="V53">
        <v>10.693594733198106</v>
      </c>
      <c r="W53">
        <v>4350.15433746499</v>
      </c>
      <c r="X53">
        <v>8.0736734905981322</v>
      </c>
      <c r="Y53">
        <v>3284.3703759753203</v>
      </c>
      <c r="Z53">
        <v>9.0308758522031081</v>
      </c>
      <c r="AA53">
        <v>3673.7602966762242</v>
      </c>
      <c r="AB53">
        <v>7.7001766580710109</v>
      </c>
      <c r="AC53">
        <v>3132.4318645032872</v>
      </c>
      <c r="AD53">
        <v>4.2503906565448499</v>
      </c>
      <c r="AE53">
        <v>1729.0589190824451</v>
      </c>
      <c r="AF53">
        <v>5.6208498687645312</v>
      </c>
      <c r="AG53">
        <v>2286.5617266134113</v>
      </c>
      <c r="AH53">
        <v>6.6666124461793492</v>
      </c>
      <c r="AI53">
        <v>2711.9779431057596</v>
      </c>
      <c r="AJ53">
        <v>4.8879717645192811</v>
      </c>
      <c r="AK53">
        <v>1988.4269138064435</v>
      </c>
      <c r="AL53">
        <v>1.3329556721082811</v>
      </c>
      <c r="AM53">
        <v>542.24636741364873</v>
      </c>
      <c r="AN53">
        <v>11.47964226314631</v>
      </c>
      <c r="AO53">
        <v>4669.9184726479189</v>
      </c>
      <c r="AP53">
        <v>9</v>
      </c>
      <c r="AQ53">
        <v>3661.2000000000003</v>
      </c>
      <c r="AR53">
        <v>5.8457466559723166</v>
      </c>
      <c r="AS53">
        <v>2378.0497396495384</v>
      </c>
      <c r="AT53">
        <v>6.7759356613243273</v>
      </c>
      <c r="AU53">
        <v>2756.4506270267366</v>
      </c>
      <c r="AV53">
        <v>6.8149143963821501</v>
      </c>
      <c r="AW53">
        <v>2772.3071764482588</v>
      </c>
      <c r="AX53">
        <v>10</v>
      </c>
      <c r="AY53">
        <v>4068</v>
      </c>
      <c r="AZ53">
        <v>6.5585901643430953</v>
      </c>
      <c r="BA53">
        <v>2668.0344788547714</v>
      </c>
      <c r="BB53">
        <v>7.5467172845842612</v>
      </c>
      <c r="BC53">
        <v>3070.0045913688778</v>
      </c>
      <c r="BD53">
        <v>6.360586769956674</v>
      </c>
      <c r="BE53">
        <v>2587.4866980183751</v>
      </c>
      <c r="BF53">
        <v>6.5844453966019376</v>
      </c>
      <c r="BG53">
        <v>2678.5523873376683</v>
      </c>
      <c r="BH53">
        <v>5.5705775851531376</v>
      </c>
      <c r="BI53">
        <v>2266.1109616402964</v>
      </c>
      <c r="BJ53">
        <v>10</v>
      </c>
      <c r="BK53">
        <v>4068</v>
      </c>
      <c r="BL53">
        <v>10</v>
      </c>
      <c r="BM53">
        <v>4068</v>
      </c>
      <c r="BN53">
        <v>2.5802689298349293</v>
      </c>
      <c r="BO53">
        <v>1049.6534006568493</v>
      </c>
      <c r="BP53">
        <v>11.503287050356155</v>
      </c>
      <c r="BQ53">
        <v>4679.5371720848843</v>
      </c>
      <c r="BR53">
        <v>3.3922232575335376</v>
      </c>
      <c r="BS53">
        <v>1379.9564211646432</v>
      </c>
      <c r="BT53">
        <v>6.6677056115027735</v>
      </c>
      <c r="BU53">
        <v>2712.4226427593285</v>
      </c>
      <c r="BV53">
        <v>8</v>
      </c>
      <c r="BW53">
        <v>3254.4</v>
      </c>
      <c r="BX53">
        <v>4.4722057988205517</v>
      </c>
      <c r="BY53">
        <v>1819.2933189602004</v>
      </c>
      <c r="BZ53">
        <v>6.6841215963715692</v>
      </c>
      <c r="CA53">
        <v>2719.1006654039543</v>
      </c>
      <c r="CB53">
        <v>9.5899689349208543</v>
      </c>
      <c r="CC53">
        <v>3901.1993627258034</v>
      </c>
      <c r="CD53">
        <v>4.6383472505761354</v>
      </c>
      <c r="CE53">
        <v>1886.879661534372</v>
      </c>
      <c r="CF53">
        <v>7.8440842220556712</v>
      </c>
      <c r="CG53">
        <v>3190.9734615322473</v>
      </c>
      <c r="CH53">
        <v>12</v>
      </c>
      <c r="CI53">
        <v>4881.6000000000004</v>
      </c>
      <c r="CJ53">
        <v>10</v>
      </c>
      <c r="CK53">
        <v>4068</v>
      </c>
      <c r="CL53">
        <v>1.1517787084494204</v>
      </c>
      <c r="CM53">
        <v>468.54357859722427</v>
      </c>
      <c r="CN53">
        <v>9.4651745400275367</v>
      </c>
      <c r="CO53">
        <v>3850.4330028832019</v>
      </c>
      <c r="CP53">
        <v>8.9124563387562805</v>
      </c>
      <c r="CQ53">
        <v>3625.5872386060551</v>
      </c>
      <c r="CR53">
        <v>2.6783493840960384</v>
      </c>
      <c r="CS53">
        <v>1089.5525294502684</v>
      </c>
      <c r="CT53">
        <v>7.2233606606782512</v>
      </c>
      <c r="CU53">
        <v>2938.4631167639127</v>
      </c>
    </row>
    <row r="54" spans="2:99">
      <c r="C54" s="99" t="s">
        <v>221</v>
      </c>
      <c r="D54">
        <v>1.054829292330536</v>
      </c>
      <c r="E54">
        <v>353.15684707226347</v>
      </c>
      <c r="F54">
        <v>7.9877991851366863</v>
      </c>
      <c r="G54">
        <v>2674.3151671837627</v>
      </c>
      <c r="H54">
        <v>5.9853539995719203</v>
      </c>
      <c r="I54">
        <v>2003.8965190566789</v>
      </c>
      <c r="J54">
        <v>9.6414809979611391</v>
      </c>
      <c r="K54">
        <v>3227.9678381173894</v>
      </c>
      <c r="L54">
        <v>7.2089423034460927</v>
      </c>
      <c r="M54">
        <v>2413.553883193752</v>
      </c>
      <c r="N54">
        <v>10.075426550356273</v>
      </c>
      <c r="O54">
        <v>3373.25280905928</v>
      </c>
      <c r="P54">
        <v>4.0025631774285504</v>
      </c>
      <c r="Q54">
        <v>1340.0581518030788</v>
      </c>
      <c r="R54">
        <v>9</v>
      </c>
      <c r="S54">
        <v>3013.2000000000003</v>
      </c>
      <c r="T54">
        <v>11</v>
      </c>
      <c r="U54">
        <v>3682.8</v>
      </c>
      <c r="V54">
        <v>9.8024618387649287</v>
      </c>
      <c r="W54">
        <v>3281.8642236184983</v>
      </c>
      <c r="X54">
        <v>8.0736734905981322</v>
      </c>
      <c r="Y54">
        <v>2703.0658846522547</v>
      </c>
      <c r="Z54">
        <v>8.1361618804922156</v>
      </c>
      <c r="AA54">
        <v>2723.9869975887937</v>
      </c>
      <c r="AB54">
        <v>8.5043789764764117</v>
      </c>
      <c r="AC54">
        <v>2847.2660813243028</v>
      </c>
      <c r="AD54">
        <v>4.5827814251990402</v>
      </c>
      <c r="AE54">
        <v>1534.3152211566387</v>
      </c>
      <c r="AF54">
        <v>5.5140289980309047</v>
      </c>
      <c r="AG54">
        <v>1846.0969085407469</v>
      </c>
      <c r="AH54">
        <v>7.8332655577241868</v>
      </c>
      <c r="AI54">
        <v>2622.5773087260577</v>
      </c>
      <c r="AJ54">
        <v>4.8879717645192811</v>
      </c>
      <c r="AK54">
        <v>1636.4929467610555</v>
      </c>
      <c r="AL54">
        <v>1.3329556721082811</v>
      </c>
      <c r="AM54">
        <v>446.27355902185252</v>
      </c>
      <c r="AN54">
        <v>12.47964226314631</v>
      </c>
      <c r="AO54">
        <v>4178.1842297013845</v>
      </c>
      <c r="AP54">
        <v>9</v>
      </c>
      <c r="AQ54">
        <v>3013.2000000000003</v>
      </c>
      <c r="AR54">
        <v>5.8457466559723166</v>
      </c>
      <c r="AS54">
        <v>1957.1559804195317</v>
      </c>
      <c r="AT54">
        <v>6.7759356613243273</v>
      </c>
      <c r="AU54">
        <v>2268.5832594113849</v>
      </c>
      <c r="AV54">
        <v>7.572127107091279</v>
      </c>
      <c r="AW54">
        <v>2535.1481554541601</v>
      </c>
      <c r="AX54">
        <v>9</v>
      </c>
      <c r="AY54">
        <v>3013.2000000000003</v>
      </c>
      <c r="AZ54">
        <v>7.2144491807774038</v>
      </c>
      <c r="BA54">
        <v>2415.3975857242749</v>
      </c>
      <c r="BB54">
        <v>8.3852414273158455</v>
      </c>
      <c r="BC54">
        <v>2807.3788298653453</v>
      </c>
      <c r="BD54">
        <v>6.360586769956674</v>
      </c>
      <c r="BE54">
        <v>2129.5244505814944</v>
      </c>
      <c r="BF54">
        <v>5.9260008569417444</v>
      </c>
      <c r="BG54">
        <v>1984.025086904096</v>
      </c>
      <c r="BH54">
        <v>5.5705775851531376</v>
      </c>
      <c r="BI54">
        <v>1865.0293755092705</v>
      </c>
      <c r="BJ54">
        <v>11</v>
      </c>
      <c r="BK54">
        <v>3682.8</v>
      </c>
      <c r="BL54">
        <v>10</v>
      </c>
      <c r="BM54">
        <v>3348</v>
      </c>
      <c r="BN54">
        <v>2.8148388325471956</v>
      </c>
      <c r="BO54">
        <v>942.4080411368011</v>
      </c>
      <c r="BP54">
        <v>11.419405875296796</v>
      </c>
      <c r="BQ54">
        <v>3823.2170870493674</v>
      </c>
      <c r="BR54">
        <v>3.3922232575335376</v>
      </c>
      <c r="BS54">
        <v>1135.7163466222285</v>
      </c>
      <c r="BT54">
        <v>6.5564213429189779</v>
      </c>
      <c r="BU54">
        <v>2195.0898656092741</v>
      </c>
      <c r="BV54">
        <v>9</v>
      </c>
      <c r="BW54">
        <v>3013.2000000000003</v>
      </c>
      <c r="BX54">
        <v>3.9752940433960453</v>
      </c>
      <c r="BY54">
        <v>1330.9284457289959</v>
      </c>
      <c r="BZ54">
        <v>6.1530752172835932</v>
      </c>
      <c r="CA54">
        <v>2060.049582746547</v>
      </c>
      <c r="CB54">
        <v>10.589968934920854</v>
      </c>
      <c r="CC54">
        <v>3545.5215994115019</v>
      </c>
      <c r="CD54">
        <v>4.5853815878655535</v>
      </c>
      <c r="CE54">
        <v>1535.1857556173873</v>
      </c>
      <c r="CF54">
        <v>8.8440842220556721</v>
      </c>
      <c r="CG54">
        <v>2960.9993975442389</v>
      </c>
      <c r="CH54">
        <v>11</v>
      </c>
      <c r="CI54">
        <v>3682.8</v>
      </c>
      <c r="CJ54">
        <v>10</v>
      </c>
      <c r="CK54">
        <v>3348</v>
      </c>
      <c r="CL54">
        <v>1.3163185239421951</v>
      </c>
      <c r="CM54">
        <v>440.70344181584693</v>
      </c>
      <c r="CN54">
        <v>10.465174540027537</v>
      </c>
      <c r="CO54">
        <v>3503.7404360012192</v>
      </c>
      <c r="CP54">
        <v>8.9124563387562805</v>
      </c>
      <c r="CQ54">
        <v>2983.890382215603</v>
      </c>
      <c r="CR54">
        <v>2.6783493840960384</v>
      </c>
      <c r="CS54">
        <v>896.71137379535367</v>
      </c>
      <c r="CT54">
        <v>8.2233606606782512</v>
      </c>
      <c r="CU54">
        <v>2753.1811491950784</v>
      </c>
    </row>
    <row r="55" spans="2:99">
      <c r="C55" s="99" t="s">
        <v>222</v>
      </c>
      <c r="D55">
        <v>1.0616470221209644</v>
      </c>
      <c r="E55">
        <v>704.50896387947205</v>
      </c>
      <c r="F55">
        <v>8.0817505209711378</v>
      </c>
      <c r="G55">
        <v>5363.0496457164472</v>
      </c>
      <c r="H55">
        <v>5.2828747575110553</v>
      </c>
      <c r="I55">
        <v>3505.7156890843362</v>
      </c>
      <c r="J55">
        <v>9.6414809979611391</v>
      </c>
      <c r="K55">
        <v>6398.0867902470118</v>
      </c>
      <c r="L55">
        <v>6.6081971114922524</v>
      </c>
      <c r="M55">
        <v>4385.1996031862591</v>
      </c>
      <c r="N55">
        <v>8.0646513288768062</v>
      </c>
      <c r="O55">
        <v>5351.702621842649</v>
      </c>
      <c r="P55">
        <v>4.5743579170612012</v>
      </c>
      <c r="Q55">
        <v>3035.5439137618132</v>
      </c>
      <c r="R55">
        <v>8</v>
      </c>
      <c r="S55">
        <v>5308.8</v>
      </c>
      <c r="T55">
        <v>10</v>
      </c>
      <c r="U55">
        <v>6636</v>
      </c>
      <c r="V55">
        <v>9.8024618387649287</v>
      </c>
      <c r="W55">
        <v>6504.9136762044072</v>
      </c>
      <c r="X55">
        <v>6.4589387924785058</v>
      </c>
      <c r="Y55">
        <v>4286.1517826887366</v>
      </c>
      <c r="Z55">
        <v>8.1361618804922156</v>
      </c>
      <c r="AA55">
        <v>5399.1570238946342</v>
      </c>
      <c r="AB55">
        <v>8.5043789764764117</v>
      </c>
      <c r="AC55">
        <v>5643.5058887897467</v>
      </c>
      <c r="AD55">
        <v>3.8743829824415648</v>
      </c>
      <c r="AE55">
        <v>2571.0405471482227</v>
      </c>
      <c r="AF55">
        <v>5.5140289980309047</v>
      </c>
      <c r="AG55">
        <v>3659.1096430933085</v>
      </c>
      <c r="AH55">
        <v>6.6666124461793492</v>
      </c>
      <c r="AI55">
        <v>4423.9640192846164</v>
      </c>
      <c r="AJ55">
        <v>4.8879717645192811</v>
      </c>
      <c r="AK55">
        <v>3243.6580629349951</v>
      </c>
      <c r="AL55">
        <v>1.3295126485447124</v>
      </c>
      <c r="AM55">
        <v>882.2645935742712</v>
      </c>
      <c r="AN55">
        <v>11.47964226314631</v>
      </c>
      <c r="AO55">
        <v>7617.8906058238917</v>
      </c>
      <c r="AP55">
        <v>8</v>
      </c>
      <c r="AQ55">
        <v>5308.8</v>
      </c>
      <c r="AR55">
        <v>5.8457466559723166</v>
      </c>
      <c r="AS55">
        <v>3879.2374809032294</v>
      </c>
      <c r="AT55">
        <v>6.0230539211771799</v>
      </c>
      <c r="AU55">
        <v>3996.8985820931766</v>
      </c>
      <c r="AV55">
        <v>7.572127107091279</v>
      </c>
      <c r="AW55">
        <v>5024.8635482657728</v>
      </c>
      <c r="AX55">
        <v>10</v>
      </c>
      <c r="AY55">
        <v>6636</v>
      </c>
      <c r="AZ55">
        <v>6.5585901643430953</v>
      </c>
      <c r="BA55">
        <v>4352.2804330580784</v>
      </c>
      <c r="BB55">
        <v>7.5467172845842612</v>
      </c>
      <c r="BC55">
        <v>5008.0015900501157</v>
      </c>
      <c r="BD55">
        <v>5.451931517105721</v>
      </c>
      <c r="BE55">
        <v>3617.9017547513567</v>
      </c>
      <c r="BF55">
        <v>5.9260008569417444</v>
      </c>
      <c r="BG55">
        <v>3932.4941686665416</v>
      </c>
      <c r="BH55">
        <v>6.3663743830321584</v>
      </c>
      <c r="BI55">
        <v>4224.7260405801408</v>
      </c>
      <c r="BJ55">
        <v>10</v>
      </c>
      <c r="BK55">
        <v>6636</v>
      </c>
      <c r="BL55">
        <v>10</v>
      </c>
      <c r="BM55">
        <v>6636</v>
      </c>
      <c r="BN55">
        <v>2.8148388325471956</v>
      </c>
      <c r="BO55">
        <v>1867.9270492783191</v>
      </c>
      <c r="BP55">
        <v>11.419405875296796</v>
      </c>
      <c r="BQ55">
        <v>7577.9177388469543</v>
      </c>
      <c r="BR55">
        <v>3.3922232575335376</v>
      </c>
      <c r="BS55">
        <v>2251.0793536992555</v>
      </c>
      <c r="BT55">
        <v>6.6677056115027735</v>
      </c>
      <c r="BU55">
        <v>4424.6894437932406</v>
      </c>
      <c r="BV55">
        <v>8</v>
      </c>
      <c r="BW55">
        <v>5308.8</v>
      </c>
      <c r="BX55">
        <v>3.9752940433960453</v>
      </c>
      <c r="BY55">
        <v>2638.0051271976158</v>
      </c>
      <c r="BZ55">
        <v>5.6220288381956181</v>
      </c>
      <c r="CA55">
        <v>3730.7783370266125</v>
      </c>
      <c r="CB55">
        <v>9.5899689349208543</v>
      </c>
      <c r="CC55">
        <v>6363.9033852134789</v>
      </c>
      <c r="CD55">
        <v>4.2032664555434245</v>
      </c>
      <c r="CE55">
        <v>2789.2876198986164</v>
      </c>
      <c r="CF55">
        <v>8.6752673776445377</v>
      </c>
      <c r="CG55">
        <v>5756.9074318049152</v>
      </c>
      <c r="CH55">
        <v>11</v>
      </c>
      <c r="CI55">
        <v>7299.6</v>
      </c>
      <c r="CJ55">
        <v>9</v>
      </c>
      <c r="CK55">
        <v>5972.4000000000005</v>
      </c>
      <c r="CL55">
        <v>1.3163185239421951</v>
      </c>
      <c r="CM55">
        <v>873.50897248804063</v>
      </c>
      <c r="CN55">
        <v>9.5814681750344199</v>
      </c>
      <c r="CO55">
        <v>6358.2622809528411</v>
      </c>
      <c r="CP55">
        <v>9.8037019726319095</v>
      </c>
      <c r="CQ55">
        <v>6505.7366290385353</v>
      </c>
      <c r="CR55">
        <v>3.0609707246811868</v>
      </c>
      <c r="CS55">
        <v>2031.2601728984357</v>
      </c>
      <c r="CT55">
        <v>7.2233606606782512</v>
      </c>
      <c r="CU55">
        <v>4793.4221344260877</v>
      </c>
    </row>
    <row r="56" spans="2:99">
      <c r="C56" s="99" t="s">
        <v>223</v>
      </c>
      <c r="D56">
        <v>6.5428605045282735</v>
      </c>
      <c r="E56">
        <v>6422.471871244953</v>
      </c>
      <c r="F56">
        <v>5.1062361912301419</v>
      </c>
      <c r="G56">
        <v>5012.281445311507</v>
      </c>
      <c r="H56">
        <v>4.6601496826236986</v>
      </c>
      <c r="I56">
        <v>4574.4029284634216</v>
      </c>
      <c r="J56">
        <v>5.7023095776389576</v>
      </c>
      <c r="K56">
        <v>5597.3870814104002</v>
      </c>
      <c r="L56">
        <v>9.8444545146775813</v>
      </c>
      <c r="M56">
        <v>9663.3165516075132</v>
      </c>
      <c r="N56">
        <v>4.3364747176821297</v>
      </c>
      <c r="O56">
        <v>4256.683582876778</v>
      </c>
      <c r="P56">
        <v>4.0383145715560476</v>
      </c>
      <c r="Q56">
        <v>3964.009583439416</v>
      </c>
      <c r="R56">
        <v>1.5175215518257619</v>
      </c>
      <c r="S56">
        <v>1489.5991552721678</v>
      </c>
      <c r="T56">
        <v>1.752999034005621</v>
      </c>
      <c r="U56">
        <v>1720.7438517799173</v>
      </c>
      <c r="V56">
        <v>1.4338633124302387</v>
      </c>
      <c r="W56">
        <v>1407.4802274815222</v>
      </c>
      <c r="X56">
        <v>9.0636975117391376</v>
      </c>
      <c r="Y56">
        <v>8896.9254775231366</v>
      </c>
      <c r="Z56">
        <v>7.4686160097115968</v>
      </c>
      <c r="AA56">
        <v>7331.1934751329027</v>
      </c>
      <c r="AB56">
        <v>6.3483496498263028</v>
      </c>
      <c r="AC56">
        <v>6231.5400162694987</v>
      </c>
      <c r="AD56">
        <v>7.0452531947958583</v>
      </c>
      <c r="AE56">
        <v>6915.6205360116137</v>
      </c>
      <c r="AF56">
        <v>6.334475920233503</v>
      </c>
      <c r="AG56">
        <v>6217.9215633012063</v>
      </c>
      <c r="AH56">
        <v>1.5129605305468394</v>
      </c>
      <c r="AI56">
        <v>1485.1220567847774</v>
      </c>
      <c r="AJ56">
        <v>5.9760913070312558</v>
      </c>
      <c r="AK56">
        <v>5866.13122698188</v>
      </c>
      <c r="AL56">
        <v>6.2049649004133061</v>
      </c>
      <c r="AM56">
        <v>6090.7935462457008</v>
      </c>
      <c r="AN56">
        <v>9.402908898160355</v>
      </c>
      <c r="AO56">
        <v>9229.8953744342034</v>
      </c>
      <c r="AP56">
        <v>6.066505430443268</v>
      </c>
      <c r="AQ56">
        <v>5954.8817305231114</v>
      </c>
      <c r="AR56">
        <v>7.0132713918836611</v>
      </c>
      <c r="AS56">
        <v>6884.2271982730008</v>
      </c>
      <c r="AT56">
        <v>2.393980612331414</v>
      </c>
      <c r="AU56">
        <v>2349.9313690645158</v>
      </c>
      <c r="AV56">
        <v>7.9536654233695572</v>
      </c>
      <c r="AW56">
        <v>7807.3179795795568</v>
      </c>
      <c r="AX56">
        <v>8.8844229834889745</v>
      </c>
      <c r="AY56">
        <v>8720.9496005927758</v>
      </c>
      <c r="AZ56">
        <v>10.072774689569377</v>
      </c>
      <c r="BA56">
        <v>9887.4356352812993</v>
      </c>
      <c r="BB56">
        <v>9</v>
      </c>
      <c r="BC56">
        <v>8834.4</v>
      </c>
      <c r="BD56">
        <v>5.2907832145557068</v>
      </c>
      <c r="BE56">
        <v>5193.4328034078817</v>
      </c>
      <c r="BF56">
        <v>6.0777432134652045</v>
      </c>
      <c r="BG56">
        <v>5965.9127383374444</v>
      </c>
      <c r="BH56">
        <v>5.6366910806057895</v>
      </c>
      <c r="BI56">
        <v>5532.9759647226429</v>
      </c>
      <c r="BJ56">
        <v>7.0866973610523321</v>
      </c>
      <c r="BK56">
        <v>6956.3021296089682</v>
      </c>
      <c r="BL56">
        <v>5.2512527456573634</v>
      </c>
      <c r="BM56">
        <v>5154.6296951372678</v>
      </c>
      <c r="BN56">
        <v>5.8859837255241061</v>
      </c>
      <c r="BO56">
        <v>5777.6816249744616</v>
      </c>
      <c r="BP56">
        <v>5.9351461826225993</v>
      </c>
      <c r="BQ56">
        <v>5825.9394928623433</v>
      </c>
      <c r="BR56">
        <v>6.0883167619180831</v>
      </c>
      <c r="BS56">
        <v>5976.2917334987897</v>
      </c>
      <c r="BT56">
        <v>3.919421307370742</v>
      </c>
      <c r="BU56">
        <v>3847.3039553151202</v>
      </c>
      <c r="BV56">
        <v>2.9132485673599797</v>
      </c>
      <c r="BW56">
        <v>2859.6447937205558</v>
      </c>
      <c r="BX56">
        <v>9.0540802179221487</v>
      </c>
      <c r="BY56">
        <v>8887.4851419123806</v>
      </c>
      <c r="BZ56">
        <v>11</v>
      </c>
      <c r="CA56">
        <v>10797.599999999999</v>
      </c>
      <c r="CB56">
        <v>6.2979046282792632</v>
      </c>
      <c r="CC56">
        <v>6182.023183118924</v>
      </c>
      <c r="CD56">
        <v>4.1528377855401182</v>
      </c>
      <c r="CE56">
        <v>4076.4255702861797</v>
      </c>
      <c r="CF56">
        <v>7.2147502327623636</v>
      </c>
      <c r="CG56">
        <v>7081.9988284795354</v>
      </c>
      <c r="CH56">
        <v>7.891837437667574</v>
      </c>
      <c r="CI56">
        <v>7746.62762881449</v>
      </c>
      <c r="CJ56">
        <v>1.357376497150883</v>
      </c>
      <c r="CK56">
        <v>1332.4007696033066</v>
      </c>
      <c r="CL56">
        <v>6.5402501242574527</v>
      </c>
      <c r="CM56">
        <v>6419.9095219711153</v>
      </c>
      <c r="CN56">
        <v>1.6828837071943412</v>
      </c>
      <c r="CO56">
        <v>1651.9186469819651</v>
      </c>
      <c r="CP56">
        <v>9.5323358948074439</v>
      </c>
      <c r="CQ56">
        <v>9356.9409143429857</v>
      </c>
      <c r="CR56">
        <v>5.4576130339498841</v>
      </c>
      <c r="CS56">
        <v>5357.1929541252057</v>
      </c>
      <c r="CT56">
        <v>4.8369764439988616</v>
      </c>
      <c r="CU56">
        <v>4747.9760774292818</v>
      </c>
    </row>
    <row r="57" spans="2:99">
      <c r="C57" s="99" t="s">
        <v>224</v>
      </c>
      <c r="D57">
        <v>0.90511335482480637</v>
      </c>
      <c r="E57">
        <v>1277.2959663287668</v>
      </c>
      <c r="F57">
        <v>7.9877991851366863</v>
      </c>
      <c r="G57">
        <v>11272.382210064892</v>
      </c>
      <c r="H57">
        <v>6.0114625755065632</v>
      </c>
      <c r="I57">
        <v>8483.3759865548618</v>
      </c>
      <c r="J57">
        <v>7.64148099796114</v>
      </c>
      <c r="K57">
        <v>10783.657984322761</v>
      </c>
      <c r="L57">
        <v>5.4067067275845693</v>
      </c>
      <c r="M57">
        <v>7629.9445339673448</v>
      </c>
      <c r="N57">
        <v>8.0646513288768062</v>
      </c>
      <c r="O57">
        <v>11380.835955310949</v>
      </c>
      <c r="P57">
        <v>4.0025631774285504</v>
      </c>
      <c r="Q57">
        <v>5648.4171559871702</v>
      </c>
      <c r="R57">
        <v>8</v>
      </c>
      <c r="S57">
        <v>11289.6</v>
      </c>
      <c r="T57">
        <v>9</v>
      </c>
      <c r="U57">
        <v>12700.800000000001</v>
      </c>
      <c r="V57">
        <v>9.8024618387649287</v>
      </c>
      <c r="W57">
        <v>13833.234146865068</v>
      </c>
      <c r="X57">
        <v>6.4589387924785058</v>
      </c>
      <c r="Y57">
        <v>9114.8544239456678</v>
      </c>
      <c r="Z57">
        <v>8.1194146534733811</v>
      </c>
      <c r="AA57">
        <v>11458.117958981637</v>
      </c>
      <c r="AB57">
        <v>7.7001766580710109</v>
      </c>
      <c r="AC57">
        <v>10866.489299869811</v>
      </c>
      <c r="AD57">
        <v>3.9179998878906601</v>
      </c>
      <c r="AE57">
        <v>5529.0814417912998</v>
      </c>
      <c r="AF57">
        <v>4.9521503328057435</v>
      </c>
      <c r="AG57">
        <v>6988.4745496554651</v>
      </c>
      <c r="AH57">
        <v>5.6666124461793492</v>
      </c>
      <c r="AI57">
        <v>7996.7234840482979</v>
      </c>
      <c r="AJ57">
        <v>4.073309803766068</v>
      </c>
      <c r="AK57">
        <v>5748.2547950746757</v>
      </c>
      <c r="AL57">
        <v>1.1440090147629134</v>
      </c>
      <c r="AM57">
        <v>1614.4255216334234</v>
      </c>
      <c r="AN57">
        <v>11.399701885955258</v>
      </c>
      <c r="AO57">
        <v>16087.259301460061</v>
      </c>
      <c r="AP57">
        <v>7</v>
      </c>
      <c r="AQ57">
        <v>9878.4</v>
      </c>
      <c r="AR57">
        <v>5.8457466559723166</v>
      </c>
      <c r="AS57">
        <v>8249.5176809081331</v>
      </c>
      <c r="AT57">
        <v>5.2701721810300324</v>
      </c>
      <c r="AU57">
        <v>7437.2669818695822</v>
      </c>
      <c r="AV57">
        <v>6.8149143963821501</v>
      </c>
      <c r="AW57">
        <v>9617.2071961744914</v>
      </c>
      <c r="AX57">
        <v>10</v>
      </c>
      <c r="AY57">
        <v>14112</v>
      </c>
      <c r="AZ57">
        <v>5.9027311479087858</v>
      </c>
      <c r="BA57">
        <v>8329.9341959288795</v>
      </c>
      <c r="BB57">
        <v>7.5467172845842612</v>
      </c>
      <c r="BC57">
        <v>10649.92743200531</v>
      </c>
      <c r="BD57">
        <v>5.451931517105721</v>
      </c>
      <c r="BE57">
        <v>7693.7657569395933</v>
      </c>
      <c r="BF57">
        <v>5.2675563172815503</v>
      </c>
      <c r="BG57">
        <v>7433.5754749477237</v>
      </c>
      <c r="BH57">
        <v>5.5705775851531376</v>
      </c>
      <c r="BI57">
        <v>7861.1990881681077</v>
      </c>
      <c r="BJ57">
        <v>10</v>
      </c>
      <c r="BK57">
        <v>14112</v>
      </c>
      <c r="BL57">
        <v>9</v>
      </c>
      <c r="BM57">
        <v>12700.800000000001</v>
      </c>
      <c r="BN57">
        <v>2.3456990271226625</v>
      </c>
      <c r="BO57">
        <v>3310.2504670755015</v>
      </c>
      <c r="BP57">
        <v>9.4194058752967962</v>
      </c>
      <c r="BQ57">
        <v>13292.665571218839</v>
      </c>
      <c r="BR57">
        <v>3.3922232575335376</v>
      </c>
      <c r="BS57">
        <v>4787.1054610313286</v>
      </c>
      <c r="BT57">
        <v>5.5564213429189779</v>
      </c>
      <c r="BU57">
        <v>7841.2217991272619</v>
      </c>
      <c r="BV57">
        <v>8</v>
      </c>
      <c r="BW57">
        <v>11289.6</v>
      </c>
      <c r="BX57">
        <v>3.9752940433960453</v>
      </c>
      <c r="BY57">
        <v>5609.9349540404992</v>
      </c>
      <c r="BZ57">
        <v>5.6220288381956181</v>
      </c>
      <c r="CA57">
        <v>7933.8070964616563</v>
      </c>
      <c r="CB57">
        <v>9.5899689349208543</v>
      </c>
      <c r="CC57">
        <v>13533.364160960311</v>
      </c>
      <c r="CD57">
        <v>3.8211513232212946</v>
      </c>
      <c r="CE57">
        <v>5392.4087473298914</v>
      </c>
      <c r="CF57">
        <v>7.6752673776445368</v>
      </c>
      <c r="CG57">
        <v>10831.337323331971</v>
      </c>
      <c r="CH57">
        <v>10</v>
      </c>
      <c r="CI57">
        <v>14112</v>
      </c>
      <c r="CJ57">
        <v>10</v>
      </c>
      <c r="CK57">
        <v>14112</v>
      </c>
      <c r="CL57">
        <v>1.1517787084494204</v>
      </c>
      <c r="CM57">
        <v>1625.3901133638221</v>
      </c>
      <c r="CN57">
        <v>8.4651745400275367</v>
      </c>
      <c r="CO57">
        <v>11946.054310886861</v>
      </c>
      <c r="CP57">
        <v>8.0212107048806534</v>
      </c>
      <c r="CQ57">
        <v>11319.532546727578</v>
      </c>
      <c r="CR57">
        <v>2.6783493840960384</v>
      </c>
      <c r="CS57">
        <v>3779.6866508363296</v>
      </c>
      <c r="CT57">
        <v>7.0485948520099306</v>
      </c>
      <c r="CU57">
        <v>9946.9770551564143</v>
      </c>
    </row>
    <row r="58" spans="2:99">
      <c r="C58" s="99" t="s">
        <v>225</v>
      </c>
      <c r="D58">
        <v>5.7310323868947606</v>
      </c>
      <c r="E58">
        <v>6746.571325852512</v>
      </c>
      <c r="F58">
        <v>7</v>
      </c>
      <c r="G58">
        <v>8240.4</v>
      </c>
      <c r="H58">
        <v>8</v>
      </c>
      <c r="I58">
        <v>9417.6</v>
      </c>
      <c r="J58">
        <v>8</v>
      </c>
      <c r="K58">
        <v>9417.6</v>
      </c>
      <c r="L58">
        <v>10</v>
      </c>
      <c r="M58">
        <v>11772</v>
      </c>
      <c r="N58">
        <v>4.6324961344918547</v>
      </c>
      <c r="O58">
        <v>5453.3744495238116</v>
      </c>
      <c r="P58">
        <v>1.0343068265356519</v>
      </c>
      <c r="Q58">
        <v>1217.5859961977694</v>
      </c>
      <c r="R58">
        <v>6.5466472998678418</v>
      </c>
      <c r="S58">
        <v>7706.7132014044237</v>
      </c>
      <c r="T58">
        <v>6.8506238470348961</v>
      </c>
      <c r="U58">
        <v>8064.5543927294802</v>
      </c>
      <c r="V58">
        <v>2.7329705409040699</v>
      </c>
      <c r="W58">
        <v>3217.2529207522712</v>
      </c>
      <c r="X58">
        <v>8.9596082342102967</v>
      </c>
      <c r="Y58">
        <v>10547.250813312361</v>
      </c>
      <c r="Z58">
        <v>6.0857083590809102</v>
      </c>
      <c r="AA58">
        <v>7164.0958803100475</v>
      </c>
      <c r="AB58">
        <v>10</v>
      </c>
      <c r="AC58">
        <v>11772</v>
      </c>
      <c r="AD58">
        <v>11</v>
      </c>
      <c r="AE58">
        <v>12949.2</v>
      </c>
      <c r="AF58">
        <v>7.0122431129932306</v>
      </c>
      <c r="AG58">
        <v>8254.8125926156317</v>
      </c>
      <c r="AH58">
        <v>5.2036760256123546</v>
      </c>
      <c r="AI58">
        <v>6125.767417350864</v>
      </c>
      <c r="AJ58">
        <v>6</v>
      </c>
      <c r="AK58">
        <v>7063.2000000000007</v>
      </c>
      <c r="AL58">
        <v>7</v>
      </c>
      <c r="AM58">
        <v>8240.4</v>
      </c>
      <c r="AN58">
        <v>11</v>
      </c>
      <c r="AO58">
        <v>12949.2</v>
      </c>
      <c r="AP58">
        <v>3.7698425832048956</v>
      </c>
      <c r="AQ58">
        <v>4437.8586889488033</v>
      </c>
      <c r="AR58">
        <v>7</v>
      </c>
      <c r="AS58">
        <v>8240.4</v>
      </c>
      <c r="AT58">
        <v>7</v>
      </c>
      <c r="AU58">
        <v>8240.4</v>
      </c>
      <c r="AV58">
        <v>9</v>
      </c>
      <c r="AW58">
        <v>10594.800000000001</v>
      </c>
      <c r="AX58">
        <v>8</v>
      </c>
      <c r="AY58">
        <v>9417.6</v>
      </c>
      <c r="AZ58">
        <v>8.2853934864282621</v>
      </c>
      <c r="BA58">
        <v>9753.5652122233514</v>
      </c>
      <c r="BB58">
        <v>2.8931451264604169</v>
      </c>
      <c r="BC58">
        <v>3405.8104428692027</v>
      </c>
      <c r="BD58">
        <v>7.1277059217714456</v>
      </c>
      <c r="BE58">
        <v>8390.7354111093464</v>
      </c>
      <c r="BF58">
        <v>7.2756602265290535</v>
      </c>
      <c r="BG58">
        <v>8564.9072186700014</v>
      </c>
      <c r="BH58">
        <v>6.3978529596951885</v>
      </c>
      <c r="BI58">
        <v>7531.5525041531764</v>
      </c>
      <c r="BJ58">
        <v>8.2713241748119923</v>
      </c>
      <c r="BK58">
        <v>9737.0028185886786</v>
      </c>
      <c r="BL58">
        <v>8.1194137514250198</v>
      </c>
      <c r="BM58">
        <v>9558.1738681775332</v>
      </c>
      <c r="BN58">
        <v>8.0040378957415346</v>
      </c>
      <c r="BO58">
        <v>9422.3534108669355</v>
      </c>
      <c r="BP58">
        <v>10.015011826828319</v>
      </c>
      <c r="BQ58">
        <v>11789.671922542298</v>
      </c>
      <c r="BR58">
        <v>3.9937786177453334</v>
      </c>
      <c r="BS58">
        <v>4701.4761888098064</v>
      </c>
      <c r="BT58">
        <v>6.7836998367819774</v>
      </c>
      <c r="BU58">
        <v>7985.7714478597445</v>
      </c>
      <c r="BV58">
        <v>2.7254840469736554</v>
      </c>
      <c r="BW58">
        <v>3208.4398200973874</v>
      </c>
      <c r="BX58">
        <v>8.9860540632837917</v>
      </c>
      <c r="BY58">
        <v>10578.382843297681</v>
      </c>
      <c r="BZ58">
        <v>11</v>
      </c>
      <c r="CA58">
        <v>12949.2</v>
      </c>
      <c r="CB58">
        <v>6.9006138808869952</v>
      </c>
      <c r="CC58">
        <v>8123.402660580171</v>
      </c>
      <c r="CD58">
        <v>7.1245281127392417</v>
      </c>
      <c r="CE58">
        <v>8386.9944943166356</v>
      </c>
      <c r="CF58">
        <v>7</v>
      </c>
      <c r="CG58">
        <v>8240.4</v>
      </c>
      <c r="CH58">
        <v>10.185397653522388</v>
      </c>
      <c r="CI58">
        <v>11990.250117726557</v>
      </c>
      <c r="CJ58">
        <v>5.4797938350686035</v>
      </c>
      <c r="CK58">
        <v>6450.8133026427604</v>
      </c>
      <c r="CL58">
        <v>6.4900372026842215</v>
      </c>
      <c r="CM58">
        <v>7640.0717949998661</v>
      </c>
      <c r="CN58">
        <v>7.0349929299737326</v>
      </c>
      <c r="CO58">
        <v>8281.5936771650777</v>
      </c>
      <c r="CP58">
        <v>8.0402663403258536</v>
      </c>
      <c r="CQ58">
        <v>9465.0015358315959</v>
      </c>
      <c r="CR58">
        <v>1.4532858011564773</v>
      </c>
      <c r="CS58">
        <v>1710.8080451214053</v>
      </c>
      <c r="CT58">
        <v>5.6056288143219772</v>
      </c>
      <c r="CU58">
        <v>6598.9462402198315</v>
      </c>
    </row>
    <row r="59" spans="2:99">
      <c r="C59" s="99" t="s">
        <v>226</v>
      </c>
      <c r="D59">
        <v>1.054829292330536</v>
      </c>
      <c r="E59">
        <v>320.24617315155069</v>
      </c>
      <c r="F59">
        <v>8.0817505209711378</v>
      </c>
      <c r="G59">
        <v>2453.6194581668374</v>
      </c>
      <c r="H59">
        <v>6.740050393502071</v>
      </c>
      <c r="I59">
        <v>2046.2792994672286</v>
      </c>
      <c r="J59">
        <v>8.6414809979611391</v>
      </c>
      <c r="K59">
        <v>2623.5536309810013</v>
      </c>
      <c r="L59">
        <v>7.2089423034460927</v>
      </c>
      <c r="M59">
        <v>2188.6348833262336</v>
      </c>
      <c r="N59">
        <v>10.075426550356273</v>
      </c>
      <c r="O59">
        <v>3058.8995006881642</v>
      </c>
      <c r="P59">
        <v>5.1461526566938511</v>
      </c>
      <c r="Q59">
        <v>1562.3719465722531</v>
      </c>
      <c r="R59">
        <v>9</v>
      </c>
      <c r="S59">
        <v>2732.3999999999996</v>
      </c>
      <c r="T59">
        <v>10</v>
      </c>
      <c r="U59">
        <v>3035.9999999999995</v>
      </c>
      <c r="V59">
        <v>8.9113289443317552</v>
      </c>
      <c r="W59">
        <v>2705.4794674991203</v>
      </c>
      <c r="X59">
        <v>8.0736734905981322</v>
      </c>
      <c r="Y59">
        <v>2451.1672717455926</v>
      </c>
      <c r="Z59">
        <v>9.0308758522031081</v>
      </c>
      <c r="AA59">
        <v>2741.7739087288633</v>
      </c>
      <c r="AB59">
        <v>9.3085812948818134</v>
      </c>
      <c r="AC59">
        <v>2826.0852811261184</v>
      </c>
      <c r="AD59">
        <v>3.8743829824415648</v>
      </c>
      <c r="AE59">
        <v>1176.262673469259</v>
      </c>
      <c r="AF59">
        <v>6.0759076632560651</v>
      </c>
      <c r="AG59">
        <v>1844.6455665645412</v>
      </c>
      <c r="AH59">
        <v>6.6666124461793492</v>
      </c>
      <c r="AI59">
        <v>2023.9835386600503</v>
      </c>
      <c r="AJ59">
        <v>5.702633725272495</v>
      </c>
      <c r="AK59">
        <v>1731.3195989927292</v>
      </c>
      <c r="AL59">
        <v>1.5150162823265112</v>
      </c>
      <c r="AM59">
        <v>459.95894331432874</v>
      </c>
      <c r="AN59">
        <v>12.47964226314631</v>
      </c>
      <c r="AO59">
        <v>3788.8193910912191</v>
      </c>
      <c r="AP59">
        <v>9</v>
      </c>
      <c r="AQ59">
        <v>2732.3999999999996</v>
      </c>
      <c r="AR59">
        <v>5.8457466559723166</v>
      </c>
      <c r="AS59">
        <v>1774.7686847531952</v>
      </c>
      <c r="AT59">
        <v>6.0230539211771799</v>
      </c>
      <c r="AU59">
        <v>1828.5991704693915</v>
      </c>
      <c r="AV59">
        <v>6.8149143963821501</v>
      </c>
      <c r="AW59">
        <v>2069.0080107416206</v>
      </c>
      <c r="AX59">
        <v>10</v>
      </c>
      <c r="AY59">
        <v>3035.9999999999995</v>
      </c>
      <c r="AZ59">
        <v>7.8703081972117142</v>
      </c>
      <c r="BA59">
        <v>2389.4255686734759</v>
      </c>
      <c r="BB59">
        <v>7.5467172845842612</v>
      </c>
      <c r="BC59">
        <v>2291.1833675997814</v>
      </c>
      <c r="BD59">
        <v>6.360586769956674</v>
      </c>
      <c r="BE59">
        <v>1931.074143358846</v>
      </c>
      <c r="BF59">
        <v>5.9260008569417444</v>
      </c>
      <c r="BG59">
        <v>1799.1338601675134</v>
      </c>
      <c r="BH59">
        <v>6.3663743830321584</v>
      </c>
      <c r="BI59">
        <v>1932.8312626885631</v>
      </c>
      <c r="BJ59">
        <v>10</v>
      </c>
      <c r="BK59">
        <v>3035.9999999999995</v>
      </c>
      <c r="BL59">
        <v>10</v>
      </c>
      <c r="BM59">
        <v>3035.9999999999995</v>
      </c>
      <c r="BN59">
        <v>2.5802689298349293</v>
      </c>
      <c r="BO59">
        <v>783.36964709788447</v>
      </c>
      <c r="BP59">
        <v>10.419405875296796</v>
      </c>
      <c r="BQ59">
        <v>3163.3316237401068</v>
      </c>
      <c r="BR59">
        <v>3.3922232575335376</v>
      </c>
      <c r="BS59">
        <v>1029.8789809871819</v>
      </c>
      <c r="BT59">
        <v>6.5564213429189779</v>
      </c>
      <c r="BU59">
        <v>1990.5295197102014</v>
      </c>
      <c r="BV59">
        <v>9</v>
      </c>
      <c r="BW59">
        <v>2732.3999999999996</v>
      </c>
      <c r="BX59">
        <v>3.9752940433960453</v>
      </c>
      <c r="BY59">
        <v>1206.8992715750392</v>
      </c>
      <c r="BZ59">
        <v>6.1530752172835932</v>
      </c>
      <c r="CA59">
        <v>1868.0736359672987</v>
      </c>
      <c r="CB59">
        <v>9.5899689349208543</v>
      </c>
      <c r="CC59">
        <v>2911.514568641971</v>
      </c>
      <c r="CD59">
        <v>4.2032664555434245</v>
      </c>
      <c r="CE59">
        <v>1276.1116959029835</v>
      </c>
      <c r="CF59">
        <v>7.6752673776445368</v>
      </c>
      <c r="CG59">
        <v>2330.2111758528813</v>
      </c>
      <c r="CH59">
        <v>12</v>
      </c>
      <c r="CI59">
        <v>3643.2</v>
      </c>
      <c r="CJ59">
        <v>11</v>
      </c>
      <c r="CK59">
        <v>3339.5999999999995</v>
      </c>
      <c r="CL59">
        <v>1.3163185239421951</v>
      </c>
      <c r="CM59">
        <v>399.6343038688504</v>
      </c>
      <c r="CN59">
        <v>10.58146817503442</v>
      </c>
      <c r="CO59">
        <v>3212.5337379404496</v>
      </c>
      <c r="CP59">
        <v>9.8037019726319095</v>
      </c>
      <c r="CQ59">
        <v>2976.4039188910474</v>
      </c>
      <c r="CR59">
        <v>3.0609707246811868</v>
      </c>
      <c r="CS59">
        <v>929.31071201320822</v>
      </c>
      <c r="CT59">
        <v>7.2233606606782512</v>
      </c>
      <c r="CU59">
        <v>2193.0122965819169</v>
      </c>
    </row>
    <row r="60" spans="2:99">
      <c r="C60" s="99" t="s">
        <v>227</v>
      </c>
      <c r="D60">
        <v>1.054829292330536</v>
      </c>
      <c r="E60">
        <v>687.32676688257732</v>
      </c>
      <c r="F60">
        <v>7.9877991851366863</v>
      </c>
      <c r="G60">
        <v>5204.849949035065</v>
      </c>
      <c r="H60">
        <v>6.0114625755065632</v>
      </c>
      <c r="I60">
        <v>3917.0690142000767</v>
      </c>
      <c r="J60">
        <v>8.6414809979611391</v>
      </c>
      <c r="K60">
        <v>5630.7890182714782</v>
      </c>
      <c r="L60">
        <v>7.2089423034460927</v>
      </c>
      <c r="M60">
        <v>4697.3468049254743</v>
      </c>
      <c r="N60">
        <v>9.0754265503562728</v>
      </c>
      <c r="O60">
        <v>5913.5479402121473</v>
      </c>
      <c r="P60">
        <v>5.1461526566938511</v>
      </c>
      <c r="Q60">
        <v>3353.2330711017134</v>
      </c>
      <c r="R60">
        <v>8</v>
      </c>
      <c r="S60">
        <v>5212.8</v>
      </c>
      <c r="T60">
        <v>10</v>
      </c>
      <c r="U60">
        <v>6516</v>
      </c>
      <c r="V60">
        <v>9.8024618387649287</v>
      </c>
      <c r="W60">
        <v>6387.2841341392277</v>
      </c>
      <c r="X60">
        <v>7.266306141538319</v>
      </c>
      <c r="Y60">
        <v>4734.7250818263692</v>
      </c>
      <c r="Z60">
        <v>8.1361618804922156</v>
      </c>
      <c r="AA60">
        <v>5301.523081328728</v>
      </c>
      <c r="AB60">
        <v>7.7001766580710109</v>
      </c>
      <c r="AC60">
        <v>5017.4351103990712</v>
      </c>
      <c r="AD60">
        <v>3.5856091192364703</v>
      </c>
      <c r="AE60">
        <v>2336.3829020944841</v>
      </c>
      <c r="AF60">
        <v>4.9521503328057435</v>
      </c>
      <c r="AG60">
        <v>3226.8211568562224</v>
      </c>
      <c r="AH60">
        <v>6.8332655577241868</v>
      </c>
      <c r="AI60">
        <v>4452.5558374130806</v>
      </c>
      <c r="AJ60">
        <v>4.8879717645192811</v>
      </c>
      <c r="AK60">
        <v>3185.0024017607639</v>
      </c>
      <c r="AL60">
        <v>1.3295126485447124</v>
      </c>
      <c r="AM60">
        <v>866.31044179173466</v>
      </c>
      <c r="AN60">
        <v>11.47964226314631</v>
      </c>
      <c r="AO60">
        <v>7480.134898666136</v>
      </c>
      <c r="AP60">
        <v>8</v>
      </c>
      <c r="AQ60">
        <v>5212.8</v>
      </c>
      <c r="AR60">
        <v>5.8457466559723166</v>
      </c>
      <c r="AS60">
        <v>3809.0885210315614</v>
      </c>
      <c r="AT60">
        <v>6.0230539211771799</v>
      </c>
      <c r="AU60">
        <v>3924.6219350390506</v>
      </c>
      <c r="AV60">
        <v>7.572127107091279</v>
      </c>
      <c r="AW60">
        <v>4933.9980229806779</v>
      </c>
      <c r="AX60">
        <v>9</v>
      </c>
      <c r="AY60">
        <v>5864.4000000000005</v>
      </c>
      <c r="AZ60">
        <v>6.5585901643430953</v>
      </c>
      <c r="BA60">
        <v>4273.5773510859608</v>
      </c>
      <c r="BB60">
        <v>8.3852414273158455</v>
      </c>
      <c r="BC60">
        <v>5463.8233140390048</v>
      </c>
      <c r="BD60">
        <v>6.360586769956674</v>
      </c>
      <c r="BE60">
        <v>4144.5583393037687</v>
      </c>
      <c r="BF60">
        <v>5.9260008569417444</v>
      </c>
      <c r="BG60">
        <v>3861.3821583832409</v>
      </c>
      <c r="BH60">
        <v>5.5705775851531376</v>
      </c>
      <c r="BI60">
        <v>3629.7883544857846</v>
      </c>
      <c r="BJ60">
        <v>11</v>
      </c>
      <c r="BK60">
        <v>7167.6</v>
      </c>
      <c r="BL60">
        <v>9</v>
      </c>
      <c r="BM60">
        <v>5864.4000000000005</v>
      </c>
      <c r="BN60">
        <v>2.5802689298349293</v>
      </c>
      <c r="BO60">
        <v>1681.30323468044</v>
      </c>
      <c r="BP60">
        <v>10.419405875296796</v>
      </c>
      <c r="BQ60">
        <v>6789.2848683433922</v>
      </c>
      <c r="BR60">
        <v>3.3922232575335376</v>
      </c>
      <c r="BS60">
        <v>2210.3726746088532</v>
      </c>
      <c r="BT60">
        <v>6.5564213429189779</v>
      </c>
      <c r="BU60">
        <v>4272.1641470460063</v>
      </c>
      <c r="BV60">
        <v>8</v>
      </c>
      <c r="BW60">
        <v>5212.8</v>
      </c>
      <c r="BX60">
        <v>4.4722057988205517</v>
      </c>
      <c r="BY60">
        <v>2914.0892985114715</v>
      </c>
      <c r="BZ60">
        <v>6.6841215963715692</v>
      </c>
      <c r="CA60">
        <v>4355.3736321957149</v>
      </c>
      <c r="CB60">
        <v>8.5899689349208543</v>
      </c>
      <c r="CC60">
        <v>5597.2237579944285</v>
      </c>
      <c r="CD60">
        <v>3.874116985931876</v>
      </c>
      <c r="CE60">
        <v>2524.3746280332107</v>
      </c>
      <c r="CF60">
        <v>8.6752673776445377</v>
      </c>
      <c r="CG60">
        <v>5652.8042232731814</v>
      </c>
      <c r="CH60">
        <v>11</v>
      </c>
      <c r="CI60">
        <v>7167.6</v>
      </c>
      <c r="CJ60">
        <v>10</v>
      </c>
      <c r="CK60">
        <v>6516</v>
      </c>
      <c r="CL60">
        <v>1.1517787084494204</v>
      </c>
      <c r="CM60">
        <v>750.49900642564239</v>
      </c>
      <c r="CN60">
        <v>9.4651745400275367</v>
      </c>
      <c r="CO60">
        <v>6167.5077302819427</v>
      </c>
      <c r="CP60">
        <v>9.8037019726319095</v>
      </c>
      <c r="CQ60">
        <v>6388.0922053669528</v>
      </c>
      <c r="CR60">
        <v>3.0609707246811868</v>
      </c>
      <c r="CS60">
        <v>1994.5285242022615</v>
      </c>
      <c r="CT60">
        <v>7.2233606606782512</v>
      </c>
      <c r="CU60">
        <v>4706.7418064979483</v>
      </c>
    </row>
    <row r="61" spans="2:99">
      <c r="C61" s="99" t="s">
        <v>228</v>
      </c>
      <c r="D61">
        <v>1.0616470221209644</v>
      </c>
      <c r="E61">
        <v>1010.2633062503096</v>
      </c>
      <c r="F61">
        <v>7.0362999549118257</v>
      </c>
      <c r="G61">
        <v>6695.7430370940929</v>
      </c>
      <c r="H61">
        <v>5.2567661815764133</v>
      </c>
      <c r="I61">
        <v>5002.3386983881146</v>
      </c>
      <c r="J61">
        <v>8.6414809979611391</v>
      </c>
      <c r="K61">
        <v>8223.2333176598186</v>
      </c>
      <c r="L61">
        <v>6.0074519195384104</v>
      </c>
      <c r="M61">
        <v>5716.6912466327512</v>
      </c>
      <c r="N61">
        <v>10.064651328876806</v>
      </c>
      <c r="O61">
        <v>9577.5222045591672</v>
      </c>
      <c r="P61">
        <v>4.0025631774285504</v>
      </c>
      <c r="Q61">
        <v>3808.839119641008</v>
      </c>
      <c r="R61">
        <v>8</v>
      </c>
      <c r="S61">
        <v>7612.7999999999993</v>
      </c>
      <c r="T61">
        <v>10</v>
      </c>
      <c r="U61">
        <v>9516</v>
      </c>
      <c r="V61">
        <v>10.693594733198106</v>
      </c>
      <c r="W61">
        <v>10176.024748111317</v>
      </c>
      <c r="X61">
        <v>7.266306141538319</v>
      </c>
      <c r="Y61">
        <v>6914.6169242878641</v>
      </c>
      <c r="Z61">
        <v>8.1361618804922156</v>
      </c>
      <c r="AA61">
        <v>7742.3716454763917</v>
      </c>
      <c r="AB61">
        <v>7.7001766580710109</v>
      </c>
      <c r="AC61">
        <v>7327.4881078203734</v>
      </c>
      <c r="AD61">
        <v>3.5856091192364703</v>
      </c>
      <c r="AE61">
        <v>3412.0656378654248</v>
      </c>
      <c r="AF61">
        <v>4.9471774114607507</v>
      </c>
      <c r="AG61">
        <v>4707.7340247460497</v>
      </c>
      <c r="AH61">
        <v>6.6666124461793492</v>
      </c>
      <c r="AI61">
        <v>6343.9484037842685</v>
      </c>
      <c r="AJ61">
        <v>4.8879717645192811</v>
      </c>
      <c r="AK61">
        <v>4651.3939311165477</v>
      </c>
      <c r="AL61">
        <v>1.3329556721082811</v>
      </c>
      <c r="AM61">
        <v>1268.4406175782401</v>
      </c>
      <c r="AN61">
        <v>10.47964226314631</v>
      </c>
      <c r="AO61">
        <v>9972.4275776100276</v>
      </c>
      <c r="AP61">
        <v>7</v>
      </c>
      <c r="AQ61">
        <v>6661.1999999999989</v>
      </c>
      <c r="AR61">
        <v>6.6808533211112193</v>
      </c>
      <c r="AS61">
        <v>6357.5000203694353</v>
      </c>
      <c r="AT61">
        <v>5.2701721810300324</v>
      </c>
      <c r="AU61">
        <v>5015.0958474681784</v>
      </c>
      <c r="AV61">
        <v>7.572127107091279</v>
      </c>
      <c r="AW61">
        <v>7205.6361551080608</v>
      </c>
      <c r="AX61">
        <v>9</v>
      </c>
      <c r="AY61">
        <v>8564.4</v>
      </c>
      <c r="AZ61">
        <v>7.2144491807774038</v>
      </c>
      <c r="BA61">
        <v>6865.2698404277771</v>
      </c>
      <c r="BB61">
        <v>8.3852414273158455</v>
      </c>
      <c r="BC61">
        <v>7979.395742233758</v>
      </c>
      <c r="BD61">
        <v>5.451931517105721</v>
      </c>
      <c r="BE61">
        <v>5188.0580316778032</v>
      </c>
      <c r="BF61">
        <v>5.9260008569417444</v>
      </c>
      <c r="BG61">
        <v>5639.1824154657634</v>
      </c>
      <c r="BH61">
        <v>5.5705775851531376</v>
      </c>
      <c r="BI61">
        <v>5300.9616300317257</v>
      </c>
      <c r="BJ61">
        <v>11</v>
      </c>
      <c r="BK61">
        <v>10467.599999999999</v>
      </c>
      <c r="BL61">
        <v>10</v>
      </c>
      <c r="BM61">
        <v>9516</v>
      </c>
      <c r="BN61">
        <v>2.5802689298349293</v>
      </c>
      <c r="BO61">
        <v>2455.3839136309184</v>
      </c>
      <c r="BP61">
        <v>11.419405875296796</v>
      </c>
      <c r="BQ61">
        <v>10866.706630932431</v>
      </c>
      <c r="BR61">
        <v>3.0530009317801841</v>
      </c>
      <c r="BS61">
        <v>2905.2356866820228</v>
      </c>
      <c r="BT61">
        <v>6.5564213429189779</v>
      </c>
      <c r="BU61">
        <v>6239.0905499216988</v>
      </c>
      <c r="BV61">
        <v>9</v>
      </c>
      <c r="BW61">
        <v>8564.4</v>
      </c>
      <c r="BX61">
        <v>4.4722057988205517</v>
      </c>
      <c r="BY61">
        <v>4255.7510381576367</v>
      </c>
      <c r="BZ61">
        <v>5.6220288381956181</v>
      </c>
      <c r="CA61">
        <v>5349.92264242695</v>
      </c>
      <c r="CB61">
        <v>9.5899689349208543</v>
      </c>
      <c r="CC61">
        <v>9125.8144384706848</v>
      </c>
      <c r="CD61">
        <v>4.2496114104151834</v>
      </c>
      <c r="CE61">
        <v>4043.930218151088</v>
      </c>
      <c r="CF61">
        <v>7.6752673776445368</v>
      </c>
      <c r="CG61">
        <v>7303.7844365665405</v>
      </c>
      <c r="CH61">
        <v>11</v>
      </c>
      <c r="CI61">
        <v>10467.599999999999</v>
      </c>
      <c r="CJ61">
        <v>11</v>
      </c>
      <c r="CK61">
        <v>10467.599999999999</v>
      </c>
      <c r="CL61">
        <v>1.3163185239421951</v>
      </c>
      <c r="CM61">
        <v>1252.6087073833928</v>
      </c>
      <c r="CN61">
        <v>9.4651745400275367</v>
      </c>
      <c r="CO61">
        <v>9007.0600922902031</v>
      </c>
      <c r="CP61">
        <v>8.9124563387562805</v>
      </c>
      <c r="CQ61">
        <v>8481.0934519604762</v>
      </c>
      <c r="CR61">
        <v>3.0609707246811868</v>
      </c>
      <c r="CS61">
        <v>2912.8197416066173</v>
      </c>
      <c r="CT61">
        <v>7.2233606606782512</v>
      </c>
      <c r="CU61">
        <v>6873.7500047014228</v>
      </c>
    </row>
    <row r="62" spans="2:99">
      <c r="C62" s="99" t="s">
        <v>229</v>
      </c>
      <c r="D62">
        <v>6.3965874508927838</v>
      </c>
      <c r="E62">
        <v>10677.183773030236</v>
      </c>
      <c r="F62">
        <v>5.0720426735814543</v>
      </c>
      <c r="G62">
        <v>8466.2536307421633</v>
      </c>
      <c r="H62">
        <v>4.559895391908646</v>
      </c>
      <c r="I62">
        <v>7611.3773881739125</v>
      </c>
      <c r="J62">
        <v>4.557213047366675</v>
      </c>
      <c r="K62">
        <v>7606.9000186644544</v>
      </c>
      <c r="L62">
        <v>10.844454514677581</v>
      </c>
      <c r="M62">
        <v>18101.56347589982</v>
      </c>
      <c r="N62">
        <v>4.9126950265386515</v>
      </c>
      <c r="O62">
        <v>8200.2705382983168</v>
      </c>
      <c r="P62">
        <v>4.5444297174710195</v>
      </c>
      <c r="Q62">
        <v>7585.5620844026262</v>
      </c>
      <c r="R62">
        <v>1.5175215518257619</v>
      </c>
      <c r="S62">
        <v>2533.0469743075619</v>
      </c>
      <c r="T62">
        <v>1.4023992272044967</v>
      </c>
      <c r="U62">
        <v>2340.8847900497458</v>
      </c>
      <c r="V62">
        <v>1.3035121022093079</v>
      </c>
      <c r="W62">
        <v>2175.822401007777</v>
      </c>
      <c r="X62">
        <v>8.0993437853479211</v>
      </c>
      <c r="Y62">
        <v>13519.42464650275</v>
      </c>
      <c r="Z62">
        <v>6.6665982673803317</v>
      </c>
      <c r="AA62">
        <v>11127.88582791125</v>
      </c>
      <c r="AB62">
        <v>6.8851580843736002</v>
      </c>
      <c r="AC62">
        <v>11492.705874436413</v>
      </c>
      <c r="AD62">
        <v>7.6923572116993455</v>
      </c>
      <c r="AE62">
        <v>12840.082657768548</v>
      </c>
      <c r="AF62">
        <v>6.334475920233503</v>
      </c>
      <c r="AG62">
        <v>10573.507206053764</v>
      </c>
      <c r="AH62">
        <v>1.5129605305468394</v>
      </c>
      <c r="AI62">
        <v>2525.4337175887845</v>
      </c>
      <c r="AJ62">
        <v>5.8708032688646687</v>
      </c>
      <c r="AK62">
        <v>9799.544816388905</v>
      </c>
      <c r="AL62">
        <v>6.2049649004133061</v>
      </c>
      <c r="AM62">
        <v>10357.327411769891</v>
      </c>
      <c r="AN62">
        <v>8.5480989983275961</v>
      </c>
      <c r="AO62">
        <v>14268.486848008424</v>
      </c>
      <c r="AP62">
        <v>6.066505430443268</v>
      </c>
      <c r="AQ62">
        <v>10126.210864495903</v>
      </c>
      <c r="AR62">
        <v>5.3299941667727673</v>
      </c>
      <c r="AS62">
        <v>8896.8262631771031</v>
      </c>
      <c r="AT62">
        <v>2.0850910448927658</v>
      </c>
      <c r="AU62">
        <v>3480.4339721350048</v>
      </c>
      <c r="AV62">
        <v>7.1302833989691994</v>
      </c>
      <c r="AW62">
        <v>11901.869049559387</v>
      </c>
      <c r="AX62">
        <v>9.7580768429905511</v>
      </c>
      <c r="AY62">
        <v>16288.181866319828</v>
      </c>
      <c r="AZ62">
        <v>9.0582197516555016</v>
      </c>
      <c r="BA62">
        <v>15119.980409463364</v>
      </c>
      <c r="BB62">
        <v>9</v>
      </c>
      <c r="BC62">
        <v>15022.800000000001</v>
      </c>
      <c r="BD62">
        <v>4.54550413299713</v>
      </c>
      <c r="BE62">
        <v>7587.3554987988091</v>
      </c>
      <c r="BF62">
        <v>6.0111983691204767</v>
      </c>
      <c r="BG62">
        <v>10033.892317735899</v>
      </c>
      <c r="BH62">
        <v>5.6366910806057895</v>
      </c>
      <c r="BI62">
        <v>9408.7647517471833</v>
      </c>
      <c r="BJ62">
        <v>7.0866973610523321</v>
      </c>
      <c r="BK62">
        <v>11829.115235068553</v>
      </c>
      <c r="BL62">
        <v>4.6245334845934503</v>
      </c>
      <c r="BM62">
        <v>7719.2712924833877</v>
      </c>
      <c r="BN62">
        <v>6.321823289000541</v>
      </c>
      <c r="BO62">
        <v>10552.387433999704</v>
      </c>
      <c r="BP62">
        <v>5.9264099908081587</v>
      </c>
      <c r="BQ62">
        <v>9892.3635566569792</v>
      </c>
      <c r="BR62">
        <v>5.5178306815977516</v>
      </c>
      <c r="BS62">
        <v>9210.3629737229676</v>
      </c>
      <c r="BT62">
        <v>3.919421307370742</v>
      </c>
      <c r="BU62">
        <v>6542.2980462632431</v>
      </c>
      <c r="BV62">
        <v>3.0117061631940119</v>
      </c>
      <c r="BW62">
        <v>5027.1399276034444</v>
      </c>
      <c r="BX62">
        <v>8.903497329647557</v>
      </c>
      <c r="BY62">
        <v>14861.717742647703</v>
      </c>
      <c r="BZ62">
        <v>10</v>
      </c>
      <c r="CA62">
        <v>16692</v>
      </c>
      <c r="CB62">
        <v>5.6355305877232142</v>
      </c>
      <c r="CC62">
        <v>9406.8276570275902</v>
      </c>
      <c r="CD62">
        <v>3.7725501576157683</v>
      </c>
      <c r="CE62">
        <v>6297.1407230922405</v>
      </c>
      <c r="CF62">
        <v>7.2147502327623636</v>
      </c>
      <c r="CG62">
        <v>12042.861088526937</v>
      </c>
      <c r="CH62">
        <v>7.891837437667574</v>
      </c>
      <c r="CI62">
        <v>13173.055050954716</v>
      </c>
      <c r="CJ62">
        <v>1.2208090615012266</v>
      </c>
      <c r="CK62">
        <v>2037.7744854578475</v>
      </c>
      <c r="CL62">
        <v>5.7597861139181292</v>
      </c>
      <c r="CM62">
        <v>9614.2349813521414</v>
      </c>
      <c r="CN62">
        <v>1.4952536277689967</v>
      </c>
      <c r="CO62">
        <v>2495.8773554720092</v>
      </c>
      <c r="CP62">
        <v>10.532335894807444</v>
      </c>
      <c r="CQ62">
        <v>17580.575075612585</v>
      </c>
      <c r="CR62">
        <v>5.4576130339498841</v>
      </c>
      <c r="CS62">
        <v>9109.8476762691462</v>
      </c>
      <c r="CT62">
        <v>4.0487888011315372</v>
      </c>
      <c r="CU62">
        <v>6758.2382668487617</v>
      </c>
    </row>
    <row r="63" spans="2:99">
      <c r="C63" s="99" t="s">
        <v>230</v>
      </c>
      <c r="D63">
        <v>0.91193108461523487</v>
      </c>
      <c r="E63">
        <v>725.53237091988092</v>
      </c>
      <c r="F63">
        <v>7.1302512907462763</v>
      </c>
      <c r="G63">
        <v>5672.8279269177374</v>
      </c>
      <c r="H63">
        <v>5.2828747575110553</v>
      </c>
      <c r="I63">
        <v>4203.0551570757962</v>
      </c>
      <c r="J63">
        <v>9.6414809979611391</v>
      </c>
      <c r="K63">
        <v>7670.7622819778826</v>
      </c>
      <c r="L63">
        <v>6.0074519195384104</v>
      </c>
      <c r="M63">
        <v>4779.5287471847596</v>
      </c>
      <c r="N63">
        <v>9.0646513288768062</v>
      </c>
      <c r="O63">
        <v>7211.836597254387</v>
      </c>
      <c r="P63">
        <v>4.5743579170612012</v>
      </c>
      <c r="Q63">
        <v>3639.359158813892</v>
      </c>
      <c r="R63">
        <v>9</v>
      </c>
      <c r="S63">
        <v>7160.4000000000005</v>
      </c>
      <c r="T63">
        <v>11</v>
      </c>
      <c r="U63">
        <v>8751.6</v>
      </c>
      <c r="V63">
        <v>8.9113289443317552</v>
      </c>
      <c r="W63">
        <v>7089.8533081103442</v>
      </c>
      <c r="X63">
        <v>8.0736734905981322</v>
      </c>
      <c r="Y63">
        <v>6423.414629119874</v>
      </c>
      <c r="Z63">
        <v>8.1361618804922156</v>
      </c>
      <c r="AA63">
        <v>6473.1303921196068</v>
      </c>
      <c r="AB63">
        <v>8.5043789764764117</v>
      </c>
      <c r="AC63">
        <v>6766.0839136846334</v>
      </c>
      <c r="AD63">
        <v>3.9179998878906601</v>
      </c>
      <c r="AE63">
        <v>3117.1607108058092</v>
      </c>
      <c r="AF63">
        <v>4.9521503328057435</v>
      </c>
      <c r="AG63">
        <v>3939.9308047802497</v>
      </c>
      <c r="AH63">
        <v>5.6666124461793492</v>
      </c>
      <c r="AI63">
        <v>4508.3568621802906</v>
      </c>
      <c r="AJ63">
        <v>4.8879717645192811</v>
      </c>
      <c r="AK63">
        <v>3888.8703358515399</v>
      </c>
      <c r="AL63">
        <v>1.3295126485447124</v>
      </c>
      <c r="AM63">
        <v>1057.7602631821733</v>
      </c>
      <c r="AN63">
        <v>12.559582640337362</v>
      </c>
      <c r="AO63">
        <v>9992.4039486524052</v>
      </c>
      <c r="AP63">
        <v>8</v>
      </c>
      <c r="AQ63">
        <v>6364.8</v>
      </c>
      <c r="AR63">
        <v>5.8457466559723166</v>
      </c>
      <c r="AS63">
        <v>4650.8760394915753</v>
      </c>
      <c r="AT63">
        <v>6.0230539211771799</v>
      </c>
      <c r="AU63">
        <v>4791.9416996885648</v>
      </c>
      <c r="AV63">
        <v>6.8149143963821501</v>
      </c>
      <c r="AW63">
        <v>5421.9458937616391</v>
      </c>
      <c r="AX63">
        <v>10</v>
      </c>
      <c r="AY63">
        <v>7956</v>
      </c>
      <c r="AZ63">
        <v>7.2144491807774038</v>
      </c>
      <c r="BA63">
        <v>5739.8157682265028</v>
      </c>
      <c r="BB63">
        <v>7.5467172845842612</v>
      </c>
      <c r="BC63">
        <v>6004.1682716152382</v>
      </c>
      <c r="BD63">
        <v>5.451931517105721</v>
      </c>
      <c r="BE63">
        <v>4337.556715009312</v>
      </c>
      <c r="BF63">
        <v>5.2675563172815503</v>
      </c>
      <c r="BG63">
        <v>4190.8678060292013</v>
      </c>
      <c r="BH63">
        <v>5.5705775851531376</v>
      </c>
      <c r="BI63">
        <v>4431.9515267478364</v>
      </c>
      <c r="BJ63">
        <v>10</v>
      </c>
      <c r="BK63">
        <v>7956</v>
      </c>
      <c r="BL63">
        <v>9</v>
      </c>
      <c r="BM63">
        <v>7160.4000000000005</v>
      </c>
      <c r="BN63">
        <v>2.5802689298349293</v>
      </c>
      <c r="BO63">
        <v>2052.8619605766698</v>
      </c>
      <c r="BP63">
        <v>11.419405875296796</v>
      </c>
      <c r="BQ63">
        <v>9085.2793143861309</v>
      </c>
      <c r="BR63">
        <v>3.3922232575335376</v>
      </c>
      <c r="BS63">
        <v>2698.8528236936827</v>
      </c>
      <c r="BT63">
        <v>5.5564213429189779</v>
      </c>
      <c r="BU63">
        <v>4420.6888204263387</v>
      </c>
      <c r="BV63">
        <v>8</v>
      </c>
      <c r="BW63">
        <v>6364.8</v>
      </c>
      <c r="BX63">
        <v>4.4722057988205517</v>
      </c>
      <c r="BY63">
        <v>3558.086933541631</v>
      </c>
      <c r="BZ63">
        <v>5.6739563460815949</v>
      </c>
      <c r="CA63">
        <v>4514.1996689425168</v>
      </c>
      <c r="CB63">
        <v>8.5899689349208543</v>
      </c>
      <c r="CC63">
        <v>6834.1792846230319</v>
      </c>
      <c r="CD63">
        <v>3.8211513232212946</v>
      </c>
      <c r="CE63">
        <v>3040.1079927548622</v>
      </c>
      <c r="CF63">
        <v>7.6752673776445368</v>
      </c>
      <c r="CG63">
        <v>6106.4427256539939</v>
      </c>
      <c r="CH63">
        <v>11</v>
      </c>
      <c r="CI63">
        <v>8751.6</v>
      </c>
      <c r="CJ63">
        <v>11</v>
      </c>
      <c r="CK63">
        <v>8751.6</v>
      </c>
      <c r="CL63">
        <v>1.3163185239421951</v>
      </c>
      <c r="CM63">
        <v>1047.2630176484104</v>
      </c>
      <c r="CN63">
        <v>9.4651745400275367</v>
      </c>
      <c r="CO63">
        <v>7530.4928640459084</v>
      </c>
      <c r="CP63">
        <v>8.9124563387562805</v>
      </c>
      <c r="CQ63">
        <v>7090.7502631144971</v>
      </c>
      <c r="CR63">
        <v>2.6783493840960384</v>
      </c>
      <c r="CS63">
        <v>2130.8947699868081</v>
      </c>
      <c r="CT63">
        <v>6.0485948520099306</v>
      </c>
      <c r="CU63">
        <v>4812.262064259101</v>
      </c>
    </row>
    <row r="64" spans="2:99">
      <c r="C64" s="99" t="s">
        <v>231</v>
      </c>
      <c r="D64">
        <v>0.91193108461523487</v>
      </c>
      <c r="E64">
        <v>920.3208505936949</v>
      </c>
      <c r="F64">
        <v>7.0362999549118257</v>
      </c>
      <c r="G64">
        <v>7101.033914497013</v>
      </c>
      <c r="H64">
        <v>5.9853539995719203</v>
      </c>
      <c r="I64">
        <v>6040.4192563679808</v>
      </c>
      <c r="J64">
        <v>7.64148099796114</v>
      </c>
      <c r="K64">
        <v>7711.7826231423815</v>
      </c>
      <c r="L64">
        <v>6.6081971114922524</v>
      </c>
      <c r="M64">
        <v>6668.9925249179796</v>
      </c>
      <c r="N64">
        <v>9.0754265503562728</v>
      </c>
      <c r="O64">
        <v>9158.9204746195483</v>
      </c>
      <c r="P64">
        <v>4.5743579170612012</v>
      </c>
      <c r="Q64">
        <v>4616.4420098981636</v>
      </c>
      <c r="R64">
        <v>9</v>
      </c>
      <c r="S64">
        <v>9082.7999999999993</v>
      </c>
      <c r="T64">
        <v>10</v>
      </c>
      <c r="U64">
        <v>10091.999999999998</v>
      </c>
      <c r="V64">
        <v>8.9113289443317552</v>
      </c>
      <c r="W64">
        <v>8993.3131706196054</v>
      </c>
      <c r="X64">
        <v>6.4589387924785058</v>
      </c>
      <c r="Y64">
        <v>6518.3610293693073</v>
      </c>
      <c r="Z64">
        <v>9.0308758522031081</v>
      </c>
      <c r="AA64">
        <v>9113.9599100433752</v>
      </c>
      <c r="AB64">
        <v>7.7001766580710109</v>
      </c>
      <c r="AC64">
        <v>7771.0182833252629</v>
      </c>
      <c r="AD64">
        <v>4.2503906565448499</v>
      </c>
      <c r="AE64">
        <v>4289.4942505850622</v>
      </c>
      <c r="AF64">
        <v>4.9521503328057435</v>
      </c>
      <c r="AG64">
        <v>4997.710115867555</v>
      </c>
      <c r="AH64">
        <v>5.6666124461793492</v>
      </c>
      <c r="AI64">
        <v>5718.7452806841984</v>
      </c>
      <c r="AJ64">
        <v>4.8879717645192811</v>
      </c>
      <c r="AK64">
        <v>4932.9411047528574</v>
      </c>
      <c r="AL64">
        <v>1.3295126485447124</v>
      </c>
      <c r="AM64">
        <v>1341.7441649113234</v>
      </c>
      <c r="AN64">
        <v>10.47964226314631</v>
      </c>
      <c r="AO64">
        <v>10576.054971967254</v>
      </c>
      <c r="AP64">
        <v>8</v>
      </c>
      <c r="AQ64">
        <v>8073.5999999999985</v>
      </c>
      <c r="AR64">
        <v>5.8457466559723166</v>
      </c>
      <c r="AS64">
        <v>5899.5275252072606</v>
      </c>
      <c r="AT64">
        <v>6.7759356613243273</v>
      </c>
      <c r="AU64">
        <v>6838.27426940851</v>
      </c>
      <c r="AV64">
        <v>6.057701685673023</v>
      </c>
      <c r="AW64">
        <v>6113.4325411812133</v>
      </c>
      <c r="AX64">
        <v>9</v>
      </c>
      <c r="AY64">
        <v>9082.7999999999993</v>
      </c>
      <c r="AZ64">
        <v>6.5585901643430953</v>
      </c>
      <c r="BA64">
        <v>6618.9291938550505</v>
      </c>
      <c r="BB64">
        <v>7.5467172845842612</v>
      </c>
      <c r="BC64">
        <v>7616.1470836024346</v>
      </c>
      <c r="BD64">
        <v>4.543276264254767</v>
      </c>
      <c r="BE64">
        <v>4585.07440588591</v>
      </c>
      <c r="BF64">
        <v>5.2675563172815503</v>
      </c>
      <c r="BG64">
        <v>5316.0178354005393</v>
      </c>
      <c r="BH64">
        <v>5.5705775851531376</v>
      </c>
      <c r="BI64">
        <v>5621.8268989365451</v>
      </c>
      <c r="BJ64">
        <v>11</v>
      </c>
      <c r="BK64">
        <v>11101.199999999997</v>
      </c>
      <c r="BL64">
        <v>10</v>
      </c>
      <c r="BM64">
        <v>10091.999999999998</v>
      </c>
      <c r="BN64">
        <v>2.8148388325471956</v>
      </c>
      <c r="BO64">
        <v>2840.7353498066291</v>
      </c>
      <c r="BP64">
        <v>10.419405875296796</v>
      </c>
      <c r="BQ64">
        <v>10515.264409349526</v>
      </c>
      <c r="BR64">
        <v>3.3922232575335376</v>
      </c>
      <c r="BS64">
        <v>3423.4317115028457</v>
      </c>
      <c r="BT64">
        <v>6.5564213429189779</v>
      </c>
      <c r="BU64">
        <v>6616.7404192738313</v>
      </c>
      <c r="BV64">
        <v>8</v>
      </c>
      <c r="BW64">
        <v>8073.5999999999985</v>
      </c>
      <c r="BX64">
        <v>3.9752940433960453</v>
      </c>
      <c r="BY64">
        <v>4011.8667485952883</v>
      </c>
      <c r="BZ64">
        <v>5.6220288381956181</v>
      </c>
      <c r="CA64">
        <v>5673.7515035070164</v>
      </c>
      <c r="CB64">
        <v>9.5899689349208543</v>
      </c>
      <c r="CC64">
        <v>9678.1966491221247</v>
      </c>
      <c r="CD64">
        <v>3.8211513232212946</v>
      </c>
      <c r="CE64">
        <v>3856.3059153949298</v>
      </c>
      <c r="CF64">
        <v>8.6752673776445377</v>
      </c>
      <c r="CG64">
        <v>8755.079837518866</v>
      </c>
      <c r="CH64">
        <v>10</v>
      </c>
      <c r="CI64">
        <v>10091.999999999998</v>
      </c>
      <c r="CJ64">
        <v>9</v>
      </c>
      <c r="CK64">
        <v>9082.7999999999993</v>
      </c>
      <c r="CL64">
        <v>1.3163185239421951</v>
      </c>
      <c r="CM64">
        <v>1328.428654362463</v>
      </c>
      <c r="CN64">
        <v>9.4651745400275367</v>
      </c>
      <c r="CO64">
        <v>9552.2541457957886</v>
      </c>
      <c r="CP64">
        <v>8.9124563387562805</v>
      </c>
      <c r="CQ64">
        <v>8994.4509370728374</v>
      </c>
      <c r="CR64">
        <v>3.0609707246811868</v>
      </c>
      <c r="CS64">
        <v>3089.1316553482534</v>
      </c>
      <c r="CT64">
        <v>7.2233606606782512</v>
      </c>
      <c r="CU64">
        <v>7289.8155787564901</v>
      </c>
    </row>
    <row r="65" spans="2:99">
      <c r="C65" s="99" t="s">
        <v>232</v>
      </c>
      <c r="D65">
        <v>1.054829292330536</v>
      </c>
      <c r="E65">
        <v>1082.2548539311299</v>
      </c>
      <c r="F65">
        <v>8.0817505209711378</v>
      </c>
      <c r="G65">
        <v>8291.8760345163882</v>
      </c>
      <c r="H65">
        <v>5.2828747575110553</v>
      </c>
      <c r="I65">
        <v>5420.2295012063423</v>
      </c>
      <c r="J65">
        <v>8.6414809979611391</v>
      </c>
      <c r="K65">
        <v>8866.1595039081294</v>
      </c>
      <c r="L65">
        <v>6.6081971114922524</v>
      </c>
      <c r="M65">
        <v>6780.010236391051</v>
      </c>
      <c r="N65">
        <v>8.0646513288768062</v>
      </c>
      <c r="O65">
        <v>8274.3322634276028</v>
      </c>
      <c r="P65">
        <v>4.0025631774285504</v>
      </c>
      <c r="Q65">
        <v>4106.6298200416923</v>
      </c>
      <c r="R65">
        <v>8</v>
      </c>
      <c r="S65">
        <v>8208</v>
      </c>
      <c r="T65">
        <v>10</v>
      </c>
      <c r="U65">
        <v>10260</v>
      </c>
      <c r="V65">
        <v>8.9113289443317552</v>
      </c>
      <c r="W65">
        <v>9143.0234968843815</v>
      </c>
      <c r="X65">
        <v>7.266306141538319</v>
      </c>
      <c r="Y65">
        <v>7455.2301012183152</v>
      </c>
      <c r="Z65">
        <v>8.1361618804922156</v>
      </c>
      <c r="AA65">
        <v>8347.7020893850131</v>
      </c>
      <c r="AB65">
        <v>8.5043789764764117</v>
      </c>
      <c r="AC65">
        <v>8725.4928298647992</v>
      </c>
      <c r="AD65">
        <v>4.2503906565448499</v>
      </c>
      <c r="AE65">
        <v>4360.900813615016</v>
      </c>
      <c r="AF65">
        <v>4.9521503328057435</v>
      </c>
      <c r="AG65">
        <v>5080.9062414586924</v>
      </c>
      <c r="AH65">
        <v>5.6666124461793492</v>
      </c>
      <c r="AI65">
        <v>5813.9443697800125</v>
      </c>
      <c r="AJ65">
        <v>4.8879717645192811</v>
      </c>
      <c r="AK65">
        <v>5015.059030396782</v>
      </c>
      <c r="AL65">
        <v>1.3329556721082811</v>
      </c>
      <c r="AM65">
        <v>1367.6125195830964</v>
      </c>
      <c r="AN65">
        <v>12.47964226314631</v>
      </c>
      <c r="AO65">
        <v>12804.112961988114</v>
      </c>
      <c r="AP65">
        <v>9</v>
      </c>
      <c r="AQ65">
        <v>9234</v>
      </c>
      <c r="AR65">
        <v>5.8457466559723166</v>
      </c>
      <c r="AS65">
        <v>5997.7360690275964</v>
      </c>
      <c r="AT65">
        <v>5.2701721810300324</v>
      </c>
      <c r="AU65">
        <v>5407.196657736813</v>
      </c>
      <c r="AV65">
        <v>6.057701685673023</v>
      </c>
      <c r="AW65">
        <v>6215.2019295005221</v>
      </c>
      <c r="AX65">
        <v>9</v>
      </c>
      <c r="AY65">
        <v>9234</v>
      </c>
      <c r="AZ65">
        <v>6.5585901643430953</v>
      </c>
      <c r="BA65">
        <v>6729.1135086160157</v>
      </c>
      <c r="BB65">
        <v>8.3852414273158455</v>
      </c>
      <c r="BC65">
        <v>8603.2577044260579</v>
      </c>
      <c r="BD65">
        <v>5.451931517105721</v>
      </c>
      <c r="BE65">
        <v>5593.6817365504694</v>
      </c>
      <c r="BF65">
        <v>5.2675563172815503</v>
      </c>
      <c r="BG65">
        <v>5404.5127815308706</v>
      </c>
      <c r="BH65">
        <v>5.5705775851531376</v>
      </c>
      <c r="BI65">
        <v>5715.4126023671188</v>
      </c>
      <c r="BJ65">
        <v>11</v>
      </c>
      <c r="BK65">
        <v>11286</v>
      </c>
      <c r="BL65">
        <v>9</v>
      </c>
      <c r="BM65">
        <v>9234</v>
      </c>
      <c r="BN65">
        <v>2.5802689298349293</v>
      </c>
      <c r="BO65">
        <v>2647.3559220106376</v>
      </c>
      <c r="BP65">
        <v>10.419405875296796</v>
      </c>
      <c r="BQ65">
        <v>10690.310428054512</v>
      </c>
      <c r="BR65">
        <v>3.0530009317801841</v>
      </c>
      <c r="BS65">
        <v>3132.3789560064688</v>
      </c>
      <c r="BT65">
        <v>5.5564213429189779</v>
      </c>
      <c r="BU65">
        <v>5700.8882978348711</v>
      </c>
      <c r="BV65">
        <v>8</v>
      </c>
      <c r="BW65">
        <v>8208</v>
      </c>
      <c r="BX65">
        <v>3.4783822879715398</v>
      </c>
      <c r="BY65">
        <v>3568.8202274587998</v>
      </c>
      <c r="BZ65">
        <v>6.1530752172835932</v>
      </c>
      <c r="CA65">
        <v>6313.0551729329663</v>
      </c>
      <c r="CB65">
        <v>8.5899689349208543</v>
      </c>
      <c r="CC65">
        <v>8813.3081272287964</v>
      </c>
      <c r="CD65">
        <v>3.8211513232212946</v>
      </c>
      <c r="CE65">
        <v>3920.5012576250483</v>
      </c>
      <c r="CF65">
        <v>7.6752673776445368</v>
      </c>
      <c r="CG65">
        <v>7874.8243294632948</v>
      </c>
      <c r="CH65">
        <v>10</v>
      </c>
      <c r="CI65">
        <v>10260</v>
      </c>
      <c r="CJ65">
        <v>11</v>
      </c>
      <c r="CK65">
        <v>11286</v>
      </c>
      <c r="CL65">
        <v>1.1517787084494204</v>
      </c>
      <c r="CM65">
        <v>1181.7249548691054</v>
      </c>
      <c r="CN65">
        <v>8.4651745400275367</v>
      </c>
      <c r="CO65">
        <v>8685.2690780682533</v>
      </c>
      <c r="CP65">
        <v>8.9124563387562805</v>
      </c>
      <c r="CQ65">
        <v>9144.180203563943</v>
      </c>
      <c r="CR65">
        <v>3.0609707246811868</v>
      </c>
      <c r="CS65">
        <v>3140.5559635228979</v>
      </c>
      <c r="CT65">
        <v>6.0485948520099306</v>
      </c>
      <c r="CU65">
        <v>6205.8583181621889</v>
      </c>
    </row>
    <row r="66" spans="2:99">
      <c r="C66" s="99" t="s">
        <v>233</v>
      </c>
      <c r="D66">
        <v>1.054829292330536</v>
      </c>
      <c r="E66">
        <v>1255.6687895902699</v>
      </c>
      <c r="F66">
        <v>7.1302512907462763</v>
      </c>
      <c r="G66">
        <v>8487.8511365043669</v>
      </c>
      <c r="H66">
        <v>5.2828747575110553</v>
      </c>
      <c r="I66">
        <v>6288.7341113411594</v>
      </c>
      <c r="J66">
        <v>8.6414809979611391</v>
      </c>
      <c r="K66">
        <v>10286.818979972939</v>
      </c>
      <c r="L66">
        <v>6.6081971114922524</v>
      </c>
      <c r="M66">
        <v>7866.3978415203765</v>
      </c>
      <c r="N66">
        <v>9.0646513288768062</v>
      </c>
      <c r="O66">
        <v>10790.56094189495</v>
      </c>
      <c r="P66">
        <v>4.5743579170612012</v>
      </c>
      <c r="Q66">
        <v>5445.3156644696537</v>
      </c>
      <c r="R66">
        <v>9</v>
      </c>
      <c r="S66">
        <v>10713.599999999999</v>
      </c>
      <c r="T66">
        <v>9</v>
      </c>
      <c r="U66">
        <v>10713.599999999999</v>
      </c>
      <c r="V66">
        <v>9.8024618387649287</v>
      </c>
      <c r="W66">
        <v>11668.850572865769</v>
      </c>
      <c r="X66">
        <v>8.0736734905981322</v>
      </c>
      <c r="Y66">
        <v>9610.9009232080152</v>
      </c>
      <c r="Z66">
        <v>8.1361618804922156</v>
      </c>
      <c r="AA66">
        <v>9685.2871025379318</v>
      </c>
      <c r="AB66">
        <v>6.8035031811811297</v>
      </c>
      <c r="AC66">
        <v>8098.8901868780158</v>
      </c>
      <c r="AD66">
        <v>3.5856091192364703</v>
      </c>
      <c r="AE66">
        <v>4268.3090955390935</v>
      </c>
      <c r="AF66">
        <v>5.5190019193758975</v>
      </c>
      <c r="AG66">
        <v>6569.8198848250677</v>
      </c>
      <c r="AH66">
        <v>6.6666124461793492</v>
      </c>
      <c r="AI66">
        <v>7935.9354559318963</v>
      </c>
      <c r="AJ66">
        <v>4.8879717645192811</v>
      </c>
      <c r="AK66">
        <v>5818.6415884837515</v>
      </c>
      <c r="AL66">
        <v>1.1474520383264823</v>
      </c>
      <c r="AM66">
        <v>1365.9269064238445</v>
      </c>
      <c r="AN66">
        <v>10.47964226314631</v>
      </c>
      <c r="AO66">
        <v>12474.966150049366</v>
      </c>
      <c r="AP66">
        <v>9</v>
      </c>
      <c r="AQ66">
        <v>10713.599999999999</v>
      </c>
      <c r="AR66">
        <v>5.0106399908334138</v>
      </c>
      <c r="AS66">
        <v>5964.665845088095</v>
      </c>
      <c r="AT66">
        <v>5.2701721810300324</v>
      </c>
      <c r="AU66">
        <v>6273.6129642981496</v>
      </c>
      <c r="AV66">
        <v>6.057701685673023</v>
      </c>
      <c r="AW66">
        <v>7211.0880866251655</v>
      </c>
      <c r="AX66">
        <v>9</v>
      </c>
      <c r="AY66">
        <v>10713.599999999999</v>
      </c>
      <c r="AZ66">
        <v>6.5585901643430953</v>
      </c>
      <c r="BA66">
        <v>7807.34573163402</v>
      </c>
      <c r="BB66">
        <v>6.7081931418526759</v>
      </c>
      <c r="BC66">
        <v>7985.4331160614247</v>
      </c>
      <c r="BD66">
        <v>5.451931517105721</v>
      </c>
      <c r="BE66">
        <v>6489.9792779626496</v>
      </c>
      <c r="BF66">
        <v>5.9260008569417444</v>
      </c>
      <c r="BG66">
        <v>7054.3114201034514</v>
      </c>
      <c r="BH66">
        <v>5.5705775851531376</v>
      </c>
      <c r="BI66">
        <v>6631.215557366294</v>
      </c>
      <c r="BJ66">
        <v>10</v>
      </c>
      <c r="BK66">
        <v>11903.999999999998</v>
      </c>
      <c r="BL66">
        <v>9</v>
      </c>
      <c r="BM66">
        <v>10713.599999999999</v>
      </c>
      <c r="BN66">
        <v>2.3456990271226625</v>
      </c>
      <c r="BO66">
        <v>2792.3201218868171</v>
      </c>
      <c r="BP66">
        <v>10.419405875296796</v>
      </c>
      <c r="BQ66">
        <v>12403.260753953306</v>
      </c>
      <c r="BR66">
        <v>3.3922232575335376</v>
      </c>
      <c r="BS66">
        <v>4038.1025657679229</v>
      </c>
      <c r="BT66">
        <v>6.5564213429189779</v>
      </c>
      <c r="BU66">
        <v>7804.7639666107507</v>
      </c>
      <c r="BV66">
        <v>9</v>
      </c>
      <c r="BW66">
        <v>10713.599999999999</v>
      </c>
      <c r="BX66">
        <v>3.9752940433960453</v>
      </c>
      <c r="BY66">
        <v>4732.1900292586515</v>
      </c>
      <c r="BZ66">
        <v>5.6220288381956181</v>
      </c>
      <c r="CA66">
        <v>6692.4631289880626</v>
      </c>
      <c r="CB66">
        <v>8.5899689349208543</v>
      </c>
      <c r="CC66">
        <v>10225.499020129784</v>
      </c>
      <c r="CD66">
        <v>4.2032664555434245</v>
      </c>
      <c r="CE66">
        <v>5003.568388678892</v>
      </c>
      <c r="CF66">
        <v>7.6752673776445368</v>
      </c>
      <c r="CG66">
        <v>9136.6382863480558</v>
      </c>
      <c r="CH66">
        <v>9</v>
      </c>
      <c r="CI66">
        <v>10713.599999999999</v>
      </c>
      <c r="CJ66">
        <v>10</v>
      </c>
      <c r="CK66">
        <v>11903.999999999998</v>
      </c>
      <c r="CL66">
        <v>1.1637532773244026</v>
      </c>
      <c r="CM66">
        <v>1385.3319013269686</v>
      </c>
      <c r="CN66">
        <v>9.4651745400275367</v>
      </c>
      <c r="CO66">
        <v>11267.343772448778</v>
      </c>
      <c r="CP66">
        <v>8.9124563387562805</v>
      </c>
      <c r="CQ66">
        <v>10609.388025655475</v>
      </c>
      <c r="CR66">
        <v>2.29572804351089</v>
      </c>
      <c r="CS66">
        <v>2732.834662995363</v>
      </c>
      <c r="CT66">
        <v>7.2233606606782512</v>
      </c>
      <c r="CU66">
        <v>8598.6885304713887</v>
      </c>
    </row>
    <row r="67" spans="2:99">
      <c r="C67" s="99" t="s">
        <v>234</v>
      </c>
      <c r="D67">
        <v>1.054829292330536</v>
      </c>
      <c r="E67">
        <v>1184.7842611456581</v>
      </c>
      <c r="F67">
        <v>7.1302512907462763</v>
      </c>
      <c r="G67">
        <v>8008.6982497662175</v>
      </c>
      <c r="H67">
        <v>5.2567661815764133</v>
      </c>
      <c r="I67">
        <v>5904.3997751466277</v>
      </c>
      <c r="J67">
        <v>8.6414809979611391</v>
      </c>
      <c r="K67">
        <v>9706.1114569099518</v>
      </c>
      <c r="L67">
        <v>6.6081971114922524</v>
      </c>
      <c r="M67">
        <v>7422.3269956280983</v>
      </c>
      <c r="N67">
        <v>8.0646513288768062</v>
      </c>
      <c r="O67">
        <v>9058.2163725944283</v>
      </c>
      <c r="P67">
        <v>4.5743579170612012</v>
      </c>
      <c r="Q67">
        <v>5137.9188124431412</v>
      </c>
      <c r="R67">
        <v>9</v>
      </c>
      <c r="S67">
        <v>10108.800000000001</v>
      </c>
      <c r="T67">
        <v>9</v>
      </c>
      <c r="U67">
        <v>10108.800000000001</v>
      </c>
      <c r="V67">
        <v>8.9113289443317552</v>
      </c>
      <c r="W67">
        <v>10009.204670273428</v>
      </c>
      <c r="X67">
        <v>7.266306141538319</v>
      </c>
      <c r="Y67">
        <v>8161.5150581758398</v>
      </c>
      <c r="Z67">
        <v>8.1361618804922156</v>
      </c>
      <c r="AA67">
        <v>9138.5370241688561</v>
      </c>
      <c r="AB67">
        <v>8.5043789764764117</v>
      </c>
      <c r="AC67">
        <v>9552.118466378306</v>
      </c>
      <c r="AD67">
        <v>3.9179998878906601</v>
      </c>
      <c r="AE67">
        <v>4400.69747407879</v>
      </c>
      <c r="AF67">
        <v>5.5190019193758975</v>
      </c>
      <c r="AG67">
        <v>6198.9429558430083</v>
      </c>
      <c r="AH67">
        <v>5.6666124461793492</v>
      </c>
      <c r="AI67">
        <v>6364.7390995486458</v>
      </c>
      <c r="AJ67">
        <v>4.073309803766068</v>
      </c>
      <c r="AK67">
        <v>4575.1415715900475</v>
      </c>
      <c r="AL67">
        <v>1.3329556721082811</v>
      </c>
      <c r="AM67">
        <v>1497.1758109120215</v>
      </c>
      <c r="AN67">
        <v>11.47964226314631</v>
      </c>
      <c r="AO67">
        <v>12893.934189965936</v>
      </c>
      <c r="AP67">
        <v>9</v>
      </c>
      <c r="AQ67">
        <v>10108.800000000001</v>
      </c>
      <c r="AR67">
        <v>5.8457466559723166</v>
      </c>
      <c r="AS67">
        <v>6565.9426439881063</v>
      </c>
      <c r="AT67">
        <v>5.2701721810300324</v>
      </c>
      <c r="AU67">
        <v>5919.4573937329324</v>
      </c>
      <c r="AV67">
        <v>6.057701685673023</v>
      </c>
      <c r="AW67">
        <v>6804.0105333479396</v>
      </c>
      <c r="AX67">
        <v>9</v>
      </c>
      <c r="AY67">
        <v>10108.800000000001</v>
      </c>
      <c r="AZ67">
        <v>6.5585901643430953</v>
      </c>
      <c r="BA67">
        <v>7366.6084725901646</v>
      </c>
      <c r="BB67">
        <v>7.5467172845842612</v>
      </c>
      <c r="BC67">
        <v>8476.4728540450433</v>
      </c>
      <c r="BD67">
        <v>5.451931517105721</v>
      </c>
      <c r="BE67">
        <v>6123.6094800131459</v>
      </c>
      <c r="BF67">
        <v>5.2675563172815503</v>
      </c>
      <c r="BG67">
        <v>5916.5192555706371</v>
      </c>
      <c r="BH67">
        <v>5.5705775851531376</v>
      </c>
      <c r="BI67">
        <v>6256.872743644004</v>
      </c>
      <c r="BJ67">
        <v>10</v>
      </c>
      <c r="BK67">
        <v>11232</v>
      </c>
      <c r="BL67">
        <v>9</v>
      </c>
      <c r="BM67">
        <v>10108.800000000001</v>
      </c>
      <c r="BN67">
        <v>2.3456990271226625</v>
      </c>
      <c r="BO67">
        <v>2634.6891472641746</v>
      </c>
      <c r="BP67">
        <v>10.419405875296796</v>
      </c>
      <c r="BQ67">
        <v>11703.076679133363</v>
      </c>
      <c r="BR67">
        <v>3.3922232575335376</v>
      </c>
      <c r="BS67">
        <v>3810.1451628616696</v>
      </c>
      <c r="BT67">
        <v>6.5564213429189779</v>
      </c>
      <c r="BU67">
        <v>7364.1724523665962</v>
      </c>
      <c r="BV67">
        <v>8</v>
      </c>
      <c r="BW67">
        <v>8985.6</v>
      </c>
      <c r="BX67">
        <v>3.4783822879715398</v>
      </c>
      <c r="BY67">
        <v>3906.9189858496338</v>
      </c>
      <c r="BZ67">
        <v>5.6220288381956181</v>
      </c>
      <c r="CA67">
        <v>6314.6627910613188</v>
      </c>
      <c r="CB67">
        <v>8.5899689349208543</v>
      </c>
      <c r="CC67">
        <v>9648.2531077031035</v>
      </c>
      <c r="CD67">
        <v>3.8211513232212946</v>
      </c>
      <c r="CE67">
        <v>4291.9171662421586</v>
      </c>
      <c r="CF67">
        <v>7.6752673776445368</v>
      </c>
      <c r="CG67">
        <v>8620.8603185703432</v>
      </c>
      <c r="CH67">
        <v>11</v>
      </c>
      <c r="CI67">
        <v>12355.2</v>
      </c>
      <c r="CJ67">
        <v>10</v>
      </c>
      <c r="CK67">
        <v>11232</v>
      </c>
      <c r="CL67">
        <v>1.1517787084494204</v>
      </c>
      <c r="CM67">
        <v>1293.6778453303891</v>
      </c>
      <c r="CN67">
        <v>8.4651745400275367</v>
      </c>
      <c r="CO67">
        <v>9508.0840433589292</v>
      </c>
      <c r="CP67">
        <v>8.0212107048806534</v>
      </c>
      <c r="CQ67">
        <v>9009.4238637219496</v>
      </c>
      <c r="CR67">
        <v>2.6783493840960384</v>
      </c>
      <c r="CS67">
        <v>3008.3220282166703</v>
      </c>
      <c r="CT67">
        <v>6.2233606606782512</v>
      </c>
      <c r="CU67">
        <v>6990.0786940738117</v>
      </c>
    </row>
    <row r="68" spans="2:99">
      <c r="C68" s="99" t="s">
        <v>235</v>
      </c>
      <c r="D68">
        <v>1.0616470221209644</v>
      </c>
      <c r="E68">
        <v>1096.8937032553804</v>
      </c>
      <c r="F68">
        <v>8.0817505209711378</v>
      </c>
      <c r="G68">
        <v>8350.0646382673804</v>
      </c>
      <c r="H68">
        <v>5.9853539995719203</v>
      </c>
      <c r="I68">
        <v>6184.0677523577087</v>
      </c>
      <c r="J68">
        <v>8.6414809979611391</v>
      </c>
      <c r="K68">
        <v>8928.3781670934495</v>
      </c>
      <c r="L68">
        <v>5.4067067275845693</v>
      </c>
      <c r="M68">
        <v>5586.2093909403775</v>
      </c>
      <c r="N68">
        <v>9.0754265503562728</v>
      </c>
      <c r="O68">
        <v>9376.7307118281005</v>
      </c>
      <c r="P68">
        <v>4.0025631774285504</v>
      </c>
      <c r="Q68">
        <v>4135.4482749191784</v>
      </c>
      <c r="R68">
        <v>8</v>
      </c>
      <c r="S68">
        <v>8265.6</v>
      </c>
      <c r="T68">
        <v>10</v>
      </c>
      <c r="U68">
        <v>10332</v>
      </c>
      <c r="V68">
        <v>9.8024618387649287</v>
      </c>
      <c r="W68">
        <v>10127.903571811925</v>
      </c>
      <c r="X68">
        <v>7.266306141538319</v>
      </c>
      <c r="Y68">
        <v>7507.5475054373919</v>
      </c>
      <c r="Z68">
        <v>8.1361618804922156</v>
      </c>
      <c r="AA68">
        <v>8406.2824549245579</v>
      </c>
      <c r="AB68">
        <v>8.4119078179919331</v>
      </c>
      <c r="AC68">
        <v>8691.1831575492652</v>
      </c>
      <c r="AD68">
        <v>3.9179998878906601</v>
      </c>
      <c r="AE68">
        <v>4048.0774841686302</v>
      </c>
      <c r="AF68">
        <v>5.5190019193758975</v>
      </c>
      <c r="AG68">
        <v>5702.2327830991771</v>
      </c>
      <c r="AH68">
        <v>5.6666124461793492</v>
      </c>
      <c r="AI68">
        <v>5854.7439793925041</v>
      </c>
      <c r="AJ68">
        <v>4.8879717645192811</v>
      </c>
      <c r="AK68">
        <v>5050.2524271013217</v>
      </c>
      <c r="AL68">
        <v>1.3295126485447124</v>
      </c>
      <c r="AM68">
        <v>1373.652468476397</v>
      </c>
      <c r="AN68">
        <v>12.47964226314631</v>
      </c>
      <c r="AO68">
        <v>12893.966386282767</v>
      </c>
      <c r="AP68">
        <v>8</v>
      </c>
      <c r="AQ68">
        <v>8265.6</v>
      </c>
      <c r="AR68">
        <v>6.6808533211112193</v>
      </c>
      <c r="AS68">
        <v>6902.657651372112</v>
      </c>
      <c r="AT68">
        <v>5.2701721810300324</v>
      </c>
      <c r="AU68">
        <v>5445.1418974402295</v>
      </c>
      <c r="AV68">
        <v>6.8149143963821501</v>
      </c>
      <c r="AW68">
        <v>7041.1695543420374</v>
      </c>
      <c r="AX68">
        <v>9</v>
      </c>
      <c r="AY68">
        <v>9298.8000000000011</v>
      </c>
      <c r="AZ68">
        <v>5.9027311479087858</v>
      </c>
      <c r="BA68">
        <v>6098.7018220193577</v>
      </c>
      <c r="BB68">
        <v>7.5467172845842612</v>
      </c>
      <c r="BC68">
        <v>7797.2682984324592</v>
      </c>
      <c r="BD68">
        <v>5.451931517105721</v>
      </c>
      <c r="BE68">
        <v>5632.935643473631</v>
      </c>
      <c r="BF68">
        <v>5.9260008569417444</v>
      </c>
      <c r="BG68">
        <v>6122.7440853922108</v>
      </c>
      <c r="BH68">
        <v>5.5705775851531376</v>
      </c>
      <c r="BI68">
        <v>5755.5207609802219</v>
      </c>
      <c r="BJ68">
        <v>10</v>
      </c>
      <c r="BK68">
        <v>10332</v>
      </c>
      <c r="BL68">
        <v>9</v>
      </c>
      <c r="BM68">
        <v>9298.8000000000011</v>
      </c>
      <c r="BN68">
        <v>2.5802689298349293</v>
      </c>
      <c r="BO68">
        <v>2665.9338583054491</v>
      </c>
      <c r="BP68">
        <v>11.419405875296796</v>
      </c>
      <c r="BQ68">
        <v>11798.53015035665</v>
      </c>
      <c r="BR68">
        <v>3.0530009317801841</v>
      </c>
      <c r="BS68">
        <v>3154.3605627152865</v>
      </c>
      <c r="BT68">
        <v>6.5564213429189779</v>
      </c>
      <c r="BU68">
        <v>6774.094531503888</v>
      </c>
      <c r="BV68">
        <v>9</v>
      </c>
      <c r="BW68">
        <v>9298.8000000000011</v>
      </c>
      <c r="BX68">
        <v>3.9752940433960453</v>
      </c>
      <c r="BY68">
        <v>4107.2738056367943</v>
      </c>
      <c r="BZ68">
        <v>6.1530752172835932</v>
      </c>
      <c r="CA68">
        <v>6357.3573144974089</v>
      </c>
      <c r="CB68">
        <v>9.5899689349208543</v>
      </c>
      <c r="CC68">
        <v>9908.3559035602266</v>
      </c>
      <c r="CD68">
        <v>3.8211513232212946</v>
      </c>
      <c r="CE68">
        <v>3948.0135471522417</v>
      </c>
      <c r="CF68">
        <v>8.6752673776445377</v>
      </c>
      <c r="CG68">
        <v>8963.2862545823373</v>
      </c>
      <c r="CH68">
        <v>10</v>
      </c>
      <c r="CI68">
        <v>10332</v>
      </c>
      <c r="CJ68">
        <v>10</v>
      </c>
      <c r="CK68">
        <v>10332</v>
      </c>
      <c r="CL68">
        <v>1.3163185239421951</v>
      </c>
      <c r="CM68">
        <v>1360.0202989370759</v>
      </c>
      <c r="CN68">
        <v>9.4651745400275367</v>
      </c>
      <c r="CO68">
        <v>9779.4183347564522</v>
      </c>
      <c r="CP68">
        <v>8.9124563387562805</v>
      </c>
      <c r="CQ68">
        <v>9208.3498892029893</v>
      </c>
      <c r="CR68">
        <v>2.6783493840960384</v>
      </c>
      <c r="CS68">
        <v>2767.2705836480268</v>
      </c>
      <c r="CT68">
        <v>6.2233606606782512</v>
      </c>
      <c r="CU68">
        <v>6429.9762346127691</v>
      </c>
    </row>
    <row r="69" spans="2:99">
      <c r="C69" s="99" t="s">
        <v>236</v>
      </c>
      <c r="D69">
        <v>1.054829292330536</v>
      </c>
      <c r="E69">
        <v>799.98253530347847</v>
      </c>
      <c r="F69">
        <v>8.0817505209711378</v>
      </c>
      <c r="G69">
        <v>6129.199595104511</v>
      </c>
      <c r="H69">
        <v>5.2828747575110553</v>
      </c>
      <c r="I69">
        <v>4006.5322160963842</v>
      </c>
      <c r="J69">
        <v>7.7697771975533678</v>
      </c>
      <c r="K69">
        <v>5892.5990266244744</v>
      </c>
      <c r="L69">
        <v>6.6081971114922524</v>
      </c>
      <c r="M69">
        <v>5011.6566893557238</v>
      </c>
      <c r="N69">
        <v>9.0754265503562728</v>
      </c>
      <c r="O69">
        <v>6882.8034957901973</v>
      </c>
      <c r="P69">
        <v>4.5743579170612012</v>
      </c>
      <c r="Q69">
        <v>3469.1930442992148</v>
      </c>
      <c r="R69">
        <v>9</v>
      </c>
      <c r="S69">
        <v>6825.5999999999995</v>
      </c>
      <c r="T69">
        <v>10</v>
      </c>
      <c r="U69">
        <v>7584</v>
      </c>
      <c r="V69">
        <v>10.693594733198106</v>
      </c>
      <c r="W69">
        <v>8110.0222456574429</v>
      </c>
      <c r="X69">
        <v>7.266306141538319</v>
      </c>
      <c r="Y69">
        <v>5510.766577742661</v>
      </c>
      <c r="Z69">
        <v>8.1361618804922156</v>
      </c>
      <c r="AA69">
        <v>6170.4651701652965</v>
      </c>
      <c r="AB69">
        <v>8.4119078179919331</v>
      </c>
      <c r="AC69">
        <v>6379.5908891650815</v>
      </c>
      <c r="AD69">
        <v>3.5856091192364703</v>
      </c>
      <c r="AE69">
        <v>2719.3259560289389</v>
      </c>
      <c r="AF69">
        <v>5.5190019193758975</v>
      </c>
      <c r="AG69">
        <v>4185.6110556546801</v>
      </c>
      <c r="AH69">
        <v>6.6666124461793492</v>
      </c>
      <c r="AI69">
        <v>5055.9588791824181</v>
      </c>
      <c r="AJ69">
        <v>4.073309803766068</v>
      </c>
      <c r="AK69">
        <v>3089.198155176186</v>
      </c>
      <c r="AL69">
        <v>1.3329556721082811</v>
      </c>
      <c r="AM69">
        <v>1010.9135817269204</v>
      </c>
      <c r="AN69">
        <v>12.559582640337362</v>
      </c>
      <c r="AO69">
        <v>9525.1874744318557</v>
      </c>
      <c r="AP69">
        <v>9</v>
      </c>
      <c r="AQ69">
        <v>6825.5999999999995</v>
      </c>
      <c r="AR69">
        <v>5.8457466559723166</v>
      </c>
      <c r="AS69">
        <v>4433.4142638894045</v>
      </c>
      <c r="AT69">
        <v>6.7759356613243273</v>
      </c>
      <c r="AU69">
        <v>5138.8696055483697</v>
      </c>
      <c r="AV69">
        <v>7.572127107091279</v>
      </c>
      <c r="AW69">
        <v>5742.7011980180259</v>
      </c>
      <c r="AX69">
        <v>9</v>
      </c>
      <c r="AY69">
        <v>6825.5999999999995</v>
      </c>
      <c r="AZ69">
        <v>6.5585901643430953</v>
      </c>
      <c r="BA69">
        <v>4974.0347806378031</v>
      </c>
      <c r="BB69">
        <v>7.5467172845842612</v>
      </c>
      <c r="BC69">
        <v>5723.4303886287034</v>
      </c>
      <c r="BD69">
        <v>5.451931517105721</v>
      </c>
      <c r="BE69">
        <v>4134.7448625729785</v>
      </c>
      <c r="BF69">
        <v>5.2675563172815503</v>
      </c>
      <c r="BG69">
        <v>3994.9147110263275</v>
      </c>
      <c r="BH69">
        <v>6.3663743830321584</v>
      </c>
      <c r="BI69">
        <v>4828.2583320915892</v>
      </c>
      <c r="BJ69">
        <v>11</v>
      </c>
      <c r="BK69">
        <v>8342.4</v>
      </c>
      <c r="BL69">
        <v>10</v>
      </c>
      <c r="BM69">
        <v>7584</v>
      </c>
      <c r="BN69">
        <v>2.8148388325471956</v>
      </c>
      <c r="BO69">
        <v>2134.7737706037929</v>
      </c>
      <c r="BP69">
        <v>11.503287050356155</v>
      </c>
      <c r="BQ69">
        <v>8724.0928989901076</v>
      </c>
      <c r="BR69">
        <v>3.3922232575335376</v>
      </c>
      <c r="BS69">
        <v>2572.662118513435</v>
      </c>
      <c r="BT69">
        <v>7.5564213429189779</v>
      </c>
      <c r="BU69">
        <v>5730.789946469753</v>
      </c>
      <c r="BV69">
        <v>9</v>
      </c>
      <c r="BW69">
        <v>6825.5999999999995</v>
      </c>
      <c r="BX69">
        <v>3.9752940433960453</v>
      </c>
      <c r="BY69">
        <v>3014.8630025115608</v>
      </c>
      <c r="BZ69">
        <v>6.1530752172835932</v>
      </c>
      <c r="CA69">
        <v>4666.4922447878771</v>
      </c>
      <c r="CB69">
        <v>9.5899689349208543</v>
      </c>
      <c r="CC69">
        <v>7273.0324402439755</v>
      </c>
      <c r="CD69">
        <v>4.2032664555434245</v>
      </c>
      <c r="CE69">
        <v>3187.7572798841329</v>
      </c>
      <c r="CF69">
        <v>7.6752673776445368</v>
      </c>
      <c r="CG69">
        <v>5820.9227792056163</v>
      </c>
      <c r="CH69">
        <v>10</v>
      </c>
      <c r="CI69">
        <v>7584</v>
      </c>
      <c r="CJ69">
        <v>10</v>
      </c>
      <c r="CK69">
        <v>7584</v>
      </c>
      <c r="CL69">
        <v>1.3163185239421951</v>
      </c>
      <c r="CM69">
        <v>998.29596855776072</v>
      </c>
      <c r="CN69">
        <v>9.5814681750344199</v>
      </c>
      <c r="CO69">
        <v>7266.585463946104</v>
      </c>
      <c r="CP69">
        <v>8.9124563387562805</v>
      </c>
      <c r="CQ69">
        <v>6759.2068873127628</v>
      </c>
      <c r="CR69">
        <v>3.0609707246811868</v>
      </c>
      <c r="CS69">
        <v>2321.4401975982119</v>
      </c>
      <c r="CT69">
        <v>7.2233606606782512</v>
      </c>
      <c r="CU69">
        <v>5478.1967250583857</v>
      </c>
    </row>
    <row r="70" spans="2:99">
      <c r="C70" s="99" t="s">
        <v>237</v>
      </c>
      <c r="D70">
        <v>1.054829292330536</v>
      </c>
      <c r="E70">
        <v>564.54463725530286</v>
      </c>
      <c r="F70">
        <v>7.1302512907462763</v>
      </c>
      <c r="G70">
        <v>3816.1104908074067</v>
      </c>
      <c r="H70">
        <v>6.0114625755065632</v>
      </c>
      <c r="I70">
        <v>3217.334770411112</v>
      </c>
      <c r="J70">
        <v>8.7697771975533669</v>
      </c>
      <c r="K70">
        <v>4693.5847561305618</v>
      </c>
      <c r="L70">
        <v>6.0074519195384104</v>
      </c>
      <c r="M70">
        <v>3215.1882673369569</v>
      </c>
      <c r="N70">
        <v>10.075426550356273</v>
      </c>
      <c r="O70">
        <v>5392.3682897506769</v>
      </c>
      <c r="P70">
        <v>4.5743579170612012</v>
      </c>
      <c r="Q70">
        <v>2448.1963572111545</v>
      </c>
      <c r="R70">
        <v>8</v>
      </c>
      <c r="S70">
        <v>4281.5999999999995</v>
      </c>
      <c r="T70">
        <v>10</v>
      </c>
      <c r="U70">
        <v>5351.9999999999991</v>
      </c>
      <c r="V70">
        <v>8.9113289443317552</v>
      </c>
      <c r="W70">
        <v>4769.3432510063549</v>
      </c>
      <c r="X70">
        <v>7.266306141538319</v>
      </c>
      <c r="Y70">
        <v>3888.9270469513081</v>
      </c>
      <c r="Z70">
        <v>9.0308758522031081</v>
      </c>
      <c r="AA70">
        <v>4833.3247560991031</v>
      </c>
      <c r="AB70">
        <v>7.6077054995865314</v>
      </c>
      <c r="AC70">
        <v>4071.6439833787113</v>
      </c>
      <c r="AD70">
        <v>3.5419922137873754</v>
      </c>
      <c r="AE70">
        <v>1895.674232819003</v>
      </c>
      <c r="AF70">
        <v>5.5190019193758975</v>
      </c>
      <c r="AG70">
        <v>2953.7698272499802</v>
      </c>
      <c r="AH70">
        <v>6.6666124461793492</v>
      </c>
      <c r="AI70">
        <v>3567.9709811951871</v>
      </c>
      <c r="AJ70">
        <v>4.8879717645192811</v>
      </c>
      <c r="AK70">
        <v>2616.0424883707187</v>
      </c>
      <c r="AL70">
        <v>1.3329556721082811</v>
      </c>
      <c r="AM70">
        <v>713.39787571235195</v>
      </c>
      <c r="AN70">
        <v>11.47964226314631</v>
      </c>
      <c r="AO70">
        <v>6143.9045392359048</v>
      </c>
      <c r="AP70">
        <v>9</v>
      </c>
      <c r="AQ70">
        <v>4816.7999999999993</v>
      </c>
      <c r="AR70">
        <v>5.8457466559723166</v>
      </c>
      <c r="AS70">
        <v>3128.6436102763832</v>
      </c>
      <c r="AT70">
        <v>6.0230539211771799</v>
      </c>
      <c r="AU70">
        <v>3223.5384586140262</v>
      </c>
      <c r="AV70">
        <v>7.572127107091279</v>
      </c>
      <c r="AW70">
        <v>4052.6024277152519</v>
      </c>
      <c r="AX70">
        <v>9</v>
      </c>
      <c r="AY70">
        <v>4816.7999999999993</v>
      </c>
      <c r="AZ70">
        <v>7.2144491807774038</v>
      </c>
      <c r="BA70">
        <v>3861.1732015520661</v>
      </c>
      <c r="BB70">
        <v>7.5467172845842612</v>
      </c>
      <c r="BC70">
        <v>4039.0030907094961</v>
      </c>
      <c r="BD70">
        <v>5.451931517105721</v>
      </c>
      <c r="BE70">
        <v>2917.8737479549814</v>
      </c>
      <c r="BF70">
        <v>5.2675563172815503</v>
      </c>
      <c r="BG70">
        <v>2819.1961410090853</v>
      </c>
      <c r="BH70">
        <v>5.5705775851531376</v>
      </c>
      <c r="BI70">
        <v>2981.3731235739588</v>
      </c>
      <c r="BJ70">
        <v>11</v>
      </c>
      <c r="BK70">
        <v>5887.1999999999989</v>
      </c>
      <c r="BL70">
        <v>10</v>
      </c>
      <c r="BM70">
        <v>5351.9999999999991</v>
      </c>
      <c r="BN70">
        <v>2.5802689298349293</v>
      </c>
      <c r="BO70">
        <v>1380.9599312476539</v>
      </c>
      <c r="BP70">
        <v>11.503287050356155</v>
      </c>
      <c r="BQ70">
        <v>6156.5592293506134</v>
      </c>
      <c r="BR70">
        <v>3.3922232575335376</v>
      </c>
      <c r="BS70">
        <v>1815.517887431949</v>
      </c>
      <c r="BT70">
        <v>6.5564213429189779</v>
      </c>
      <c r="BU70">
        <v>3508.9967027302364</v>
      </c>
      <c r="BV70">
        <v>8</v>
      </c>
      <c r="BW70">
        <v>4281.5999999999995</v>
      </c>
      <c r="BX70">
        <v>3.9752940433960453</v>
      </c>
      <c r="BY70">
        <v>2127.5773720255634</v>
      </c>
      <c r="BZ70">
        <v>6.205002725169571</v>
      </c>
      <c r="CA70">
        <v>3320.9174585107539</v>
      </c>
      <c r="CB70">
        <v>8.5899689349208543</v>
      </c>
      <c r="CC70">
        <v>4597.3513739696409</v>
      </c>
      <c r="CD70">
        <v>3.8211513232212946</v>
      </c>
      <c r="CE70">
        <v>2045.0801881880366</v>
      </c>
      <c r="CF70">
        <v>8.6752673776445377</v>
      </c>
      <c r="CG70">
        <v>4643.003100515356</v>
      </c>
      <c r="CH70">
        <v>10</v>
      </c>
      <c r="CI70">
        <v>5351.9999999999991</v>
      </c>
      <c r="CJ70">
        <v>11</v>
      </c>
      <c r="CK70">
        <v>5887.1999999999989</v>
      </c>
      <c r="CL70">
        <v>1.3163185239421951</v>
      </c>
      <c r="CM70">
        <v>704.49367401386269</v>
      </c>
      <c r="CN70">
        <v>9.4651745400275367</v>
      </c>
      <c r="CO70">
        <v>5065.7614138227373</v>
      </c>
      <c r="CP70">
        <v>8.9124563387562805</v>
      </c>
      <c r="CQ70">
        <v>4769.9466325023604</v>
      </c>
      <c r="CR70">
        <v>2.6783493840960384</v>
      </c>
      <c r="CS70">
        <v>1433.4525903681995</v>
      </c>
      <c r="CT70">
        <v>7.0485948520099306</v>
      </c>
      <c r="CU70">
        <v>3772.4079647957142</v>
      </c>
    </row>
    <row r="71" spans="2:99">
      <c r="B71" s="99" t="s">
        <v>130</v>
      </c>
      <c r="C71" s="99" t="s">
        <v>238</v>
      </c>
      <c r="D71">
        <v>7.3684702117218359</v>
      </c>
      <c r="E71">
        <v>4155.8171994111153</v>
      </c>
      <c r="F71">
        <v>5</v>
      </c>
      <c r="G71">
        <v>2820</v>
      </c>
      <c r="H71">
        <v>5</v>
      </c>
      <c r="I71">
        <v>2820</v>
      </c>
      <c r="J71">
        <v>9</v>
      </c>
      <c r="K71">
        <v>5076</v>
      </c>
      <c r="L71">
        <v>6</v>
      </c>
      <c r="M71">
        <v>3384</v>
      </c>
      <c r="N71">
        <v>4.4652647528714882</v>
      </c>
      <c r="O71">
        <v>2518.4093206195193</v>
      </c>
      <c r="P71">
        <v>1.1820649446121736</v>
      </c>
      <c r="Q71">
        <v>666.68462876126591</v>
      </c>
      <c r="R71">
        <v>3.6493982432538465</v>
      </c>
      <c r="S71">
        <v>2058.2606091951693</v>
      </c>
      <c r="T71">
        <v>4.0299362749571044</v>
      </c>
      <c r="U71">
        <v>2272.8840590758068</v>
      </c>
      <c r="V71">
        <v>1.9652394093892789</v>
      </c>
      <c r="W71">
        <v>1108.3950268955532</v>
      </c>
      <c r="X71">
        <v>6.1819678429837364</v>
      </c>
      <c r="Y71">
        <v>3486.6298634428272</v>
      </c>
      <c r="Z71">
        <v>6.8829109663171097</v>
      </c>
      <c r="AA71">
        <v>3881.9617850028499</v>
      </c>
      <c r="AB71">
        <v>5</v>
      </c>
      <c r="AC71">
        <v>2820</v>
      </c>
      <c r="AD71">
        <v>5</v>
      </c>
      <c r="AE71">
        <v>2820</v>
      </c>
      <c r="AF71">
        <v>7.0122431129932306</v>
      </c>
      <c r="AG71">
        <v>3954.905115728182</v>
      </c>
      <c r="AH71">
        <v>7.8055140384185329</v>
      </c>
      <c r="AI71">
        <v>4402.3099176680525</v>
      </c>
      <c r="AJ71">
        <v>6</v>
      </c>
      <c r="AK71">
        <v>3384</v>
      </c>
      <c r="AL71">
        <v>5</v>
      </c>
      <c r="AM71">
        <v>2820</v>
      </c>
      <c r="AN71">
        <v>8</v>
      </c>
      <c r="AO71">
        <v>4512</v>
      </c>
      <c r="AP71">
        <v>2.8413492703596601</v>
      </c>
      <c r="AQ71">
        <v>1602.5209884828482</v>
      </c>
      <c r="AR71">
        <v>8</v>
      </c>
      <c r="AS71">
        <v>4512</v>
      </c>
      <c r="AT71">
        <v>6</v>
      </c>
      <c r="AU71">
        <v>3384</v>
      </c>
      <c r="AV71">
        <v>7</v>
      </c>
      <c r="AW71">
        <v>3948</v>
      </c>
      <c r="AX71">
        <v>7</v>
      </c>
      <c r="AY71">
        <v>3948</v>
      </c>
      <c r="AZ71">
        <v>6.4441949338886477</v>
      </c>
      <c r="BA71">
        <v>3634.5259427131973</v>
      </c>
      <c r="BB71">
        <v>1.9894826480772638</v>
      </c>
      <c r="BC71">
        <v>1122.0682135155769</v>
      </c>
      <c r="BD71">
        <v>9.6444033838693972</v>
      </c>
      <c r="BE71">
        <v>5439.4435085023397</v>
      </c>
      <c r="BF71">
        <v>6.3662026982129216</v>
      </c>
      <c r="BG71">
        <v>3590.5383217920876</v>
      </c>
      <c r="BH71">
        <v>7.3118319539373591</v>
      </c>
      <c r="BI71">
        <v>4123.8732220206703</v>
      </c>
      <c r="BJ71">
        <v>6.7674470521189036</v>
      </c>
      <c r="BK71">
        <v>3816.8401373950614</v>
      </c>
      <c r="BL71">
        <v>7.2465147453793488</v>
      </c>
      <c r="BM71">
        <v>4087.0343163939528</v>
      </c>
      <c r="BN71">
        <v>3.6302902168080093</v>
      </c>
      <c r="BO71">
        <v>2047.4836822797172</v>
      </c>
      <c r="BP71">
        <v>7.0809260364256659</v>
      </c>
      <c r="BQ71">
        <v>3993.6422845440757</v>
      </c>
      <c r="BR71">
        <v>2.8687808550460479</v>
      </c>
      <c r="BS71">
        <v>1617.9924022459709</v>
      </c>
      <c r="BT71">
        <v>10.568095634420153</v>
      </c>
      <c r="BU71">
        <v>5960.4059378129668</v>
      </c>
      <c r="BV71">
        <v>1.4653474138955651</v>
      </c>
      <c r="BW71">
        <v>826.45594143709877</v>
      </c>
      <c r="BX71">
        <v>8.8217117194031598</v>
      </c>
      <c r="BY71">
        <v>4975.4454097433818</v>
      </c>
      <c r="BZ71">
        <v>7</v>
      </c>
      <c r="CA71">
        <v>3948</v>
      </c>
      <c r="CB71">
        <v>6.9006138808869952</v>
      </c>
      <c r="CC71">
        <v>3891.9462288202653</v>
      </c>
      <c r="CD71">
        <v>4.0921962305853352</v>
      </c>
      <c r="CE71">
        <v>2307.998674050129</v>
      </c>
      <c r="CF71">
        <v>8</v>
      </c>
      <c r="CG71">
        <v>4512</v>
      </c>
      <c r="CH71">
        <v>6</v>
      </c>
      <c r="CI71">
        <v>3384</v>
      </c>
      <c r="CJ71">
        <v>3.990341832320865</v>
      </c>
      <c r="CK71">
        <v>2250.552793428968</v>
      </c>
      <c r="CL71">
        <v>6.4887838548045176</v>
      </c>
      <c r="CM71">
        <v>3659.6740941097478</v>
      </c>
      <c r="CN71">
        <v>6.8128314400998145</v>
      </c>
      <c r="CO71">
        <v>3842.4369322162952</v>
      </c>
      <c r="CP71">
        <v>7.1469034136229803</v>
      </c>
      <c r="CQ71">
        <v>4030.8535252833608</v>
      </c>
      <c r="CR71">
        <v>1.2879856549786857</v>
      </c>
      <c r="CS71">
        <v>726.42390940797873</v>
      </c>
      <c r="CT71">
        <v>7.4325920102299836</v>
      </c>
      <c r="CU71">
        <v>4191.981893769711</v>
      </c>
    </row>
    <row r="72" spans="2:99">
      <c r="C72" s="99" t="s">
        <v>239</v>
      </c>
      <c r="D72">
        <v>6.5497512993082987</v>
      </c>
      <c r="E72">
        <v>487.30149666853737</v>
      </c>
      <c r="F72">
        <v>5</v>
      </c>
      <c r="G72">
        <v>371.99999999999994</v>
      </c>
      <c r="H72">
        <v>6</v>
      </c>
      <c r="I72">
        <v>446.4</v>
      </c>
      <c r="J72">
        <v>9</v>
      </c>
      <c r="K72">
        <v>669.59999999999991</v>
      </c>
      <c r="L72">
        <v>5</v>
      </c>
      <c r="M72">
        <v>371.99999999999994</v>
      </c>
      <c r="N72">
        <v>5.58158094108936</v>
      </c>
      <c r="O72">
        <v>415.26962201704833</v>
      </c>
      <c r="P72">
        <v>1.1820649446121736</v>
      </c>
      <c r="Q72">
        <v>87.945631879145708</v>
      </c>
      <c r="R72">
        <v>3.7591033313152784</v>
      </c>
      <c r="S72">
        <v>279.67728784985667</v>
      </c>
      <c r="T72">
        <v>4.0299362749571044</v>
      </c>
      <c r="U72">
        <v>299.82725885680856</v>
      </c>
      <c r="V72">
        <v>2.5084131876844253</v>
      </c>
      <c r="W72">
        <v>186.62594116372122</v>
      </c>
      <c r="X72">
        <v>7.2331853854987118</v>
      </c>
      <c r="Y72">
        <v>538.14899268110412</v>
      </c>
      <c r="Z72">
        <v>6.0857083590809102</v>
      </c>
      <c r="AA72">
        <v>452.7767019156197</v>
      </c>
      <c r="AB72">
        <v>6</v>
      </c>
      <c r="AC72">
        <v>446.4</v>
      </c>
      <c r="AD72">
        <v>5</v>
      </c>
      <c r="AE72">
        <v>371.99999999999994</v>
      </c>
      <c r="AF72">
        <v>7.0122431129932306</v>
      </c>
      <c r="AG72">
        <v>521.71088760669625</v>
      </c>
      <c r="AH72">
        <v>6.9382347008164729</v>
      </c>
      <c r="AI72">
        <v>516.20466174074556</v>
      </c>
      <c r="AJ72">
        <v>6</v>
      </c>
      <c r="AK72">
        <v>446.4</v>
      </c>
      <c r="AL72">
        <v>5</v>
      </c>
      <c r="AM72">
        <v>371.99999999999994</v>
      </c>
      <c r="AN72">
        <v>9</v>
      </c>
      <c r="AO72">
        <v>669.59999999999991</v>
      </c>
      <c r="AP72">
        <v>3.2472563089824686</v>
      </c>
      <c r="AQ72">
        <v>241.59586938829563</v>
      </c>
      <c r="AR72">
        <v>8</v>
      </c>
      <c r="AS72">
        <v>595.19999999999993</v>
      </c>
      <c r="AT72">
        <v>7</v>
      </c>
      <c r="AU72">
        <v>520.79999999999995</v>
      </c>
      <c r="AV72">
        <v>7</v>
      </c>
      <c r="AW72">
        <v>520.79999999999995</v>
      </c>
      <c r="AX72">
        <v>7</v>
      </c>
      <c r="AY72">
        <v>520.79999999999995</v>
      </c>
      <c r="AZ72">
        <v>7.3647942101584558</v>
      </c>
      <c r="BA72">
        <v>547.94068923578902</v>
      </c>
      <c r="BB72">
        <v>2.3311829611629724</v>
      </c>
      <c r="BC72">
        <v>173.44001231052513</v>
      </c>
      <c r="BD72">
        <v>9.8055042298367461</v>
      </c>
      <c r="BE72">
        <v>729.52951469985385</v>
      </c>
      <c r="BF72">
        <v>7.2756602265290535</v>
      </c>
      <c r="BG72">
        <v>541.30912085376156</v>
      </c>
      <c r="BH72">
        <v>6.3978529596951885</v>
      </c>
      <c r="BI72">
        <v>476.00026020132196</v>
      </c>
      <c r="BJ72">
        <v>6.7674470521189036</v>
      </c>
      <c r="BK72">
        <v>503.49806067764638</v>
      </c>
      <c r="BL72">
        <v>7.2465147453793488</v>
      </c>
      <c r="BM72">
        <v>539.14069705622353</v>
      </c>
      <c r="BN72">
        <v>3.6543170371301268</v>
      </c>
      <c r="BO72">
        <v>271.88118756248139</v>
      </c>
      <c r="BP72">
        <v>7.0809260364256659</v>
      </c>
      <c r="BQ72">
        <v>526.8208971100695</v>
      </c>
      <c r="BR72">
        <v>2.9072733932693717</v>
      </c>
      <c r="BS72">
        <v>216.30114045924122</v>
      </c>
      <c r="BT72">
        <v>9.5794156796135042</v>
      </c>
      <c r="BU72">
        <v>712.70852656324462</v>
      </c>
      <c r="BV72">
        <v>1.758416896674678</v>
      </c>
      <c r="BW72">
        <v>130.82621711259603</v>
      </c>
      <c r="BX72">
        <v>8.8217117194031598</v>
      </c>
      <c r="BY72">
        <v>656.335351923595</v>
      </c>
      <c r="BZ72">
        <v>7</v>
      </c>
      <c r="CA72">
        <v>520.79999999999995</v>
      </c>
      <c r="CB72">
        <v>6.1338790052328847</v>
      </c>
      <c r="CC72">
        <v>456.36059798932655</v>
      </c>
      <c r="CD72">
        <v>3.4360424051681808</v>
      </c>
      <c r="CE72">
        <v>255.64155494451262</v>
      </c>
      <c r="CF72">
        <v>10</v>
      </c>
      <c r="CG72">
        <v>743.99999999999989</v>
      </c>
      <c r="CH72">
        <v>5</v>
      </c>
      <c r="CI72">
        <v>371.99999999999994</v>
      </c>
      <c r="CJ72">
        <v>4.0112183387766542</v>
      </c>
      <c r="CK72">
        <v>298.43464440498303</v>
      </c>
      <c r="CL72">
        <v>6.4887838548045176</v>
      </c>
      <c r="CM72">
        <v>482.76551879745602</v>
      </c>
      <c r="CN72">
        <v>7.664435370112292</v>
      </c>
      <c r="CO72">
        <v>570.23399153635444</v>
      </c>
      <c r="CP72">
        <v>7.1469034136229803</v>
      </c>
      <c r="CQ72">
        <v>531.7296139735497</v>
      </c>
      <c r="CR72">
        <v>1.1054638467306117</v>
      </c>
      <c r="CS72">
        <v>82.246510196757498</v>
      </c>
      <c r="CT72">
        <v>6.4325920102299836</v>
      </c>
      <c r="CU72">
        <v>478.58484556111074</v>
      </c>
    </row>
    <row r="73" spans="2:99">
      <c r="C73" s="99" t="s">
        <v>240</v>
      </c>
      <c r="D73">
        <v>6.5497512993082987</v>
      </c>
      <c r="E73">
        <v>3662.6209265732</v>
      </c>
      <c r="F73">
        <v>5</v>
      </c>
      <c r="G73">
        <v>2795.9999999999995</v>
      </c>
      <c r="H73">
        <v>6</v>
      </c>
      <c r="I73">
        <v>3355.2</v>
      </c>
      <c r="J73">
        <v>9</v>
      </c>
      <c r="K73">
        <v>5032.7999999999993</v>
      </c>
      <c r="L73">
        <v>6</v>
      </c>
      <c r="M73">
        <v>3355.2</v>
      </c>
      <c r="N73">
        <v>5.0234228469804236</v>
      </c>
      <c r="O73">
        <v>2809.0980560314524</v>
      </c>
      <c r="P73">
        <v>1.3298230626886953</v>
      </c>
      <c r="Q73">
        <v>743.63705665551834</v>
      </c>
      <c r="R73">
        <v>3.5607417282459801</v>
      </c>
      <c r="S73">
        <v>1991.1667744351519</v>
      </c>
      <c r="T73">
        <v>4.0167287505724127</v>
      </c>
      <c r="U73">
        <v>2246.1547173200929</v>
      </c>
      <c r="V73">
        <v>2.2325508861797676</v>
      </c>
      <c r="W73">
        <v>1248.442455551726</v>
      </c>
      <c r="X73">
        <v>5.3814251246810043</v>
      </c>
      <c r="Y73">
        <v>3009.2929297216174</v>
      </c>
      <c r="Z73">
        <v>6.8829109663171097</v>
      </c>
      <c r="AA73">
        <v>3848.9238123645273</v>
      </c>
      <c r="AB73">
        <v>5</v>
      </c>
      <c r="AC73">
        <v>2795.9999999999995</v>
      </c>
      <c r="AD73">
        <v>5</v>
      </c>
      <c r="AE73">
        <v>2795.9999999999995</v>
      </c>
      <c r="AF73">
        <v>7.0122431129932306</v>
      </c>
      <c r="AG73">
        <v>3921.246348785814</v>
      </c>
      <c r="AH73">
        <v>6.9382347008164729</v>
      </c>
      <c r="AI73">
        <v>3879.8608446965713</v>
      </c>
      <c r="AJ73">
        <v>6</v>
      </c>
      <c r="AK73">
        <v>3355.2</v>
      </c>
      <c r="AL73">
        <v>6</v>
      </c>
      <c r="AM73">
        <v>3355.2</v>
      </c>
      <c r="AN73">
        <v>7</v>
      </c>
      <c r="AO73">
        <v>3914.3999999999996</v>
      </c>
      <c r="AP73">
        <v>2.8413492703596601</v>
      </c>
      <c r="AQ73">
        <v>1588.8825119851217</v>
      </c>
      <c r="AR73">
        <v>8</v>
      </c>
      <c r="AS73">
        <v>4473.5999999999995</v>
      </c>
      <c r="AT73">
        <v>6</v>
      </c>
      <c r="AU73">
        <v>3355.2</v>
      </c>
      <c r="AV73">
        <v>7</v>
      </c>
      <c r="AW73">
        <v>3914.3999999999996</v>
      </c>
      <c r="AX73">
        <v>7</v>
      </c>
      <c r="AY73">
        <v>3914.3999999999996</v>
      </c>
      <c r="AZ73">
        <v>7.3647942101584558</v>
      </c>
      <c r="BA73">
        <v>4118.3929223206078</v>
      </c>
      <c r="BB73">
        <v>2.3160031535537255</v>
      </c>
      <c r="BC73">
        <v>1295.1089634672433</v>
      </c>
      <c r="BD73">
        <v>8.6444033838693972</v>
      </c>
      <c r="BE73">
        <v>4833.9503722597665</v>
      </c>
      <c r="BF73">
        <v>6.3662026982129216</v>
      </c>
      <c r="BG73">
        <v>3559.9805488406655</v>
      </c>
      <c r="BH73">
        <v>6.3978529596951885</v>
      </c>
      <c r="BI73">
        <v>3577.6793750615489</v>
      </c>
      <c r="BJ73">
        <v>6.7674470521189036</v>
      </c>
      <c r="BK73">
        <v>3784.3563915448904</v>
      </c>
      <c r="BL73">
        <v>5.6589021236141699</v>
      </c>
      <c r="BM73">
        <v>3164.4580675250436</v>
      </c>
      <c r="BN73">
        <v>3.6566896198350292</v>
      </c>
      <c r="BO73">
        <v>2044.820835411748</v>
      </c>
      <c r="BP73">
        <v>7.0809260364256659</v>
      </c>
      <c r="BQ73">
        <v>3959.6538395692319</v>
      </c>
      <c r="BR73">
        <v>2.9072733932693717</v>
      </c>
      <c r="BS73">
        <v>1625.7472815162325</v>
      </c>
      <c r="BT73">
        <v>9.5794156796135042</v>
      </c>
      <c r="BU73">
        <v>5356.8092480398709</v>
      </c>
      <c r="BV73">
        <v>1.4653474138955651</v>
      </c>
      <c r="BW73">
        <v>819.42227385039996</v>
      </c>
      <c r="BX73">
        <v>8.9860540632837917</v>
      </c>
      <c r="BY73">
        <v>5025.0014321882954</v>
      </c>
      <c r="BZ73">
        <v>7</v>
      </c>
      <c r="CA73">
        <v>3914.3999999999996</v>
      </c>
      <c r="CB73">
        <v>6.9006138808869952</v>
      </c>
      <c r="CC73">
        <v>3858.8232821920074</v>
      </c>
      <c r="CD73">
        <v>3.4360424051681808</v>
      </c>
      <c r="CE73">
        <v>1921.4349129700465</v>
      </c>
      <c r="CF73">
        <v>10</v>
      </c>
      <c r="CG73">
        <v>5591.9999999999991</v>
      </c>
      <c r="CH73">
        <v>5</v>
      </c>
      <c r="CI73">
        <v>2795.9999999999995</v>
      </c>
      <c r="CJ73">
        <v>3.5008166668902154</v>
      </c>
      <c r="CK73">
        <v>1957.6566801250083</v>
      </c>
      <c r="CL73">
        <v>5.6245678000728319</v>
      </c>
      <c r="CM73">
        <v>3145.2583138007271</v>
      </c>
      <c r="CN73">
        <v>6.8128314400998145</v>
      </c>
      <c r="CO73">
        <v>3809.7353413038159</v>
      </c>
      <c r="CP73">
        <v>6.2535404869201079</v>
      </c>
      <c r="CQ73">
        <v>3496.9798402857241</v>
      </c>
      <c r="CR73">
        <v>1.1089081791446682</v>
      </c>
      <c r="CS73">
        <v>620.10145377769834</v>
      </c>
      <c r="CT73">
        <v>6.4325920102299836</v>
      </c>
      <c r="CU73">
        <v>3597.1054521206065</v>
      </c>
    </row>
    <row r="74" spans="2:99">
      <c r="C74" s="99" t="s">
        <v>241</v>
      </c>
      <c r="D74">
        <v>6.5497512993082987</v>
      </c>
      <c r="E74">
        <v>2640.8597238811058</v>
      </c>
      <c r="F74">
        <v>5</v>
      </c>
      <c r="G74">
        <v>2016</v>
      </c>
      <c r="H74">
        <v>6</v>
      </c>
      <c r="I74">
        <v>2419.1999999999998</v>
      </c>
      <c r="J74">
        <v>8</v>
      </c>
      <c r="K74">
        <v>3225.6</v>
      </c>
      <c r="L74">
        <v>6</v>
      </c>
      <c r="M74">
        <v>2419.1999999999998</v>
      </c>
      <c r="N74">
        <v>5.0234228469804236</v>
      </c>
      <c r="O74">
        <v>2025.4440919025067</v>
      </c>
      <c r="P74">
        <v>1.1820649446121736</v>
      </c>
      <c r="Q74">
        <v>476.6085856676284</v>
      </c>
      <c r="R74">
        <v>4.3359599289826516</v>
      </c>
      <c r="S74">
        <v>1748.2590433658052</v>
      </c>
      <c r="T74">
        <v>3.3363700514736689</v>
      </c>
      <c r="U74">
        <v>1345.2244047541833</v>
      </c>
      <c r="V74">
        <v>2.2325508861797676</v>
      </c>
      <c r="W74">
        <v>900.16451730768222</v>
      </c>
      <c r="X74">
        <v>6.3073052550898581</v>
      </c>
      <c r="Y74">
        <v>2543.1054788522306</v>
      </c>
      <c r="Z74">
        <v>6.8829109663171097</v>
      </c>
      <c r="AA74">
        <v>2775.1897016190587</v>
      </c>
      <c r="AB74">
        <v>6</v>
      </c>
      <c r="AC74">
        <v>2419.1999999999998</v>
      </c>
      <c r="AD74">
        <v>5</v>
      </c>
      <c r="AE74">
        <v>2016</v>
      </c>
      <c r="AF74">
        <v>6.1357127238690765</v>
      </c>
      <c r="AG74">
        <v>2473.9193702640114</v>
      </c>
      <c r="AH74">
        <v>6.0709553632144138</v>
      </c>
      <c r="AI74">
        <v>2447.8092024480516</v>
      </c>
      <c r="AJ74">
        <v>6</v>
      </c>
      <c r="AK74">
        <v>2419.1999999999998</v>
      </c>
      <c r="AL74">
        <v>6</v>
      </c>
      <c r="AM74">
        <v>2419.1999999999998</v>
      </c>
      <c r="AN74">
        <v>8</v>
      </c>
      <c r="AO74">
        <v>3225.6</v>
      </c>
      <c r="AP74">
        <v>2.8413492703596601</v>
      </c>
      <c r="AQ74">
        <v>1145.632025809015</v>
      </c>
      <c r="AR74">
        <v>9</v>
      </c>
      <c r="AS74">
        <v>3628.7999999999997</v>
      </c>
      <c r="AT74">
        <v>6</v>
      </c>
      <c r="AU74">
        <v>2419.1999999999998</v>
      </c>
      <c r="AV74">
        <v>7</v>
      </c>
      <c r="AW74">
        <v>2822.4</v>
      </c>
      <c r="AX74">
        <v>8</v>
      </c>
      <c r="AY74">
        <v>3225.6</v>
      </c>
      <c r="AZ74">
        <v>7.3647942101584558</v>
      </c>
      <c r="BA74">
        <v>2969.4850255358892</v>
      </c>
      <c r="BB74">
        <v>2.3311829611629724</v>
      </c>
      <c r="BC74">
        <v>939.93296994091043</v>
      </c>
      <c r="BD74">
        <v>9.6444033838693972</v>
      </c>
      <c r="BE74">
        <v>3888.6234443761409</v>
      </c>
      <c r="BF74">
        <v>6.3662026982129216</v>
      </c>
      <c r="BG74">
        <v>2566.8529279194499</v>
      </c>
      <c r="BH74">
        <v>7.3118319539373591</v>
      </c>
      <c r="BI74">
        <v>2948.1306438275433</v>
      </c>
      <c r="BJ74">
        <v>6.0155084907723584</v>
      </c>
      <c r="BK74">
        <v>2425.4530234794147</v>
      </c>
      <c r="BL74">
        <v>6.4731600239839686</v>
      </c>
      <c r="BM74">
        <v>2609.9781216703359</v>
      </c>
      <c r="BN74">
        <v>3.6314765081604605</v>
      </c>
      <c r="BO74">
        <v>1464.2113280902977</v>
      </c>
      <c r="BP74">
        <v>6.1498426113886779</v>
      </c>
      <c r="BQ74">
        <v>2479.6165409119149</v>
      </c>
      <c r="BR74">
        <v>2.8880271241577096</v>
      </c>
      <c r="BS74">
        <v>1164.4525364603885</v>
      </c>
      <c r="BT74">
        <v>10.568095634420153</v>
      </c>
      <c r="BU74">
        <v>4261.056159798206</v>
      </c>
      <c r="BV74">
        <v>1.4653474138955651</v>
      </c>
      <c r="BW74">
        <v>590.82807728269188</v>
      </c>
      <c r="BX74">
        <v>8.8217117194031598</v>
      </c>
      <c r="BY74">
        <v>3556.9141652633539</v>
      </c>
      <c r="BZ74">
        <v>6</v>
      </c>
      <c r="CA74">
        <v>2419.1999999999998</v>
      </c>
      <c r="CB74">
        <v>6.1338790052328847</v>
      </c>
      <c r="CC74">
        <v>2473.180014909899</v>
      </c>
      <c r="CD74">
        <v>4.0300869193523692</v>
      </c>
      <c r="CE74">
        <v>1624.9310458828752</v>
      </c>
      <c r="CF74">
        <v>9</v>
      </c>
      <c r="CG74">
        <v>3628.7999999999997</v>
      </c>
      <c r="CH74">
        <v>5</v>
      </c>
      <c r="CI74">
        <v>2016</v>
      </c>
      <c r="CJ74">
        <v>4.0112183387766542</v>
      </c>
      <c r="CK74">
        <v>1617.3232341947469</v>
      </c>
      <c r="CL74">
        <v>7.440854203872747</v>
      </c>
      <c r="CM74">
        <v>3000.1524150014916</v>
      </c>
      <c r="CN74">
        <v>6.8128314400998145</v>
      </c>
      <c r="CO74">
        <v>2746.9336366482453</v>
      </c>
      <c r="CP74">
        <v>6.2535404869201079</v>
      </c>
      <c r="CQ74">
        <v>2521.4275243261873</v>
      </c>
      <c r="CR74">
        <v>1.1054638467306117</v>
      </c>
      <c r="CS74">
        <v>445.72302300178262</v>
      </c>
      <c r="CT74">
        <v>7.5191104122759809</v>
      </c>
      <c r="CU74">
        <v>3031.7053182296754</v>
      </c>
    </row>
    <row r="75" spans="2:99">
      <c r="C75" s="99" t="s">
        <v>242</v>
      </c>
      <c r="D75">
        <v>7.3684702117218359</v>
      </c>
      <c r="E75">
        <v>4739.4000401794847</v>
      </c>
      <c r="F75">
        <v>5</v>
      </c>
      <c r="G75">
        <v>3215.9999999999995</v>
      </c>
      <c r="H75">
        <v>6</v>
      </c>
      <c r="I75">
        <v>3859.2</v>
      </c>
      <c r="J75">
        <v>8</v>
      </c>
      <c r="K75">
        <v>5145.5999999999995</v>
      </c>
      <c r="L75">
        <v>6</v>
      </c>
      <c r="M75">
        <v>3859.2</v>
      </c>
      <c r="N75">
        <v>4.4652647528714882</v>
      </c>
      <c r="O75">
        <v>2872.0582890469409</v>
      </c>
      <c r="P75">
        <v>1.3298230626886953</v>
      </c>
      <c r="Q75">
        <v>855.34219392136879</v>
      </c>
      <c r="R75">
        <v>3.7591033313152784</v>
      </c>
      <c r="S75">
        <v>2417.8552627019867</v>
      </c>
      <c r="T75">
        <v>3.349577575858361</v>
      </c>
      <c r="U75">
        <v>2154.4482967920976</v>
      </c>
      <c r="V75">
        <v>2.5084131876844253</v>
      </c>
      <c r="W75">
        <v>1613.4113623186222</v>
      </c>
      <c r="X75">
        <v>6.3073052550898581</v>
      </c>
      <c r="Y75">
        <v>4056.8587400737961</v>
      </c>
      <c r="Z75">
        <v>6.0857083590809102</v>
      </c>
      <c r="AA75">
        <v>3914.3276165608409</v>
      </c>
      <c r="AB75">
        <v>5</v>
      </c>
      <c r="AC75">
        <v>3215.9999999999995</v>
      </c>
      <c r="AD75">
        <v>5</v>
      </c>
      <c r="AE75">
        <v>3215.9999999999995</v>
      </c>
      <c r="AF75">
        <v>7.0122431129932306</v>
      </c>
      <c r="AG75">
        <v>4510.2747702772458</v>
      </c>
      <c r="AH75">
        <v>6.9382347008164729</v>
      </c>
      <c r="AI75">
        <v>4462.6725595651551</v>
      </c>
      <c r="AJ75">
        <v>6</v>
      </c>
      <c r="AK75">
        <v>3859.2</v>
      </c>
      <c r="AL75">
        <v>5</v>
      </c>
      <c r="AM75">
        <v>3215.9999999999995</v>
      </c>
      <c r="AN75">
        <v>8</v>
      </c>
      <c r="AO75">
        <v>5145.5999999999995</v>
      </c>
      <c r="AP75">
        <v>2.8413492703596601</v>
      </c>
      <c r="AQ75">
        <v>1827.5558506953332</v>
      </c>
      <c r="AR75">
        <v>8</v>
      </c>
      <c r="AS75">
        <v>5145.5999999999995</v>
      </c>
      <c r="AT75">
        <v>6</v>
      </c>
      <c r="AU75">
        <v>3859.2</v>
      </c>
      <c r="AV75">
        <v>7</v>
      </c>
      <c r="AW75">
        <v>4502.3999999999996</v>
      </c>
      <c r="AX75">
        <v>7</v>
      </c>
      <c r="AY75">
        <v>4502.3999999999996</v>
      </c>
      <c r="AZ75">
        <v>6.4441949338886477</v>
      </c>
      <c r="BA75">
        <v>4144.9061814771776</v>
      </c>
      <c r="BB75">
        <v>2.00466245568651</v>
      </c>
      <c r="BC75">
        <v>1289.398891497563</v>
      </c>
      <c r="BD75">
        <v>8.6444033838693972</v>
      </c>
      <c r="BE75">
        <v>5560.0802565047961</v>
      </c>
      <c r="BF75">
        <v>6.3662026982129216</v>
      </c>
      <c r="BG75">
        <v>4094.7415754905505</v>
      </c>
      <c r="BH75">
        <v>7.3118319539373591</v>
      </c>
      <c r="BI75">
        <v>4702.9703127725088</v>
      </c>
      <c r="BJ75">
        <v>6.7674470521189036</v>
      </c>
      <c r="BK75">
        <v>4352.8219439228787</v>
      </c>
      <c r="BL75">
        <v>7.2465147453793488</v>
      </c>
      <c r="BM75">
        <v>4660.958284227997</v>
      </c>
      <c r="BN75">
        <v>3.6314765081604605</v>
      </c>
      <c r="BO75">
        <v>2335.7656900488078</v>
      </c>
      <c r="BP75">
        <v>6.1498426113886779</v>
      </c>
      <c r="BQ75">
        <v>3955.5787676451973</v>
      </c>
      <c r="BR75">
        <v>2.5194432929618356</v>
      </c>
      <c r="BS75">
        <v>1620.5059260330524</v>
      </c>
      <c r="BT75">
        <v>9.5794156796135042</v>
      </c>
      <c r="BU75">
        <v>6161.4801651274056</v>
      </c>
      <c r="BV75">
        <v>1.4653474138955651</v>
      </c>
      <c r="BW75">
        <v>942.51145661762735</v>
      </c>
      <c r="BX75">
        <v>8.8217117194031598</v>
      </c>
      <c r="BY75">
        <v>5674.1249779201116</v>
      </c>
      <c r="BZ75">
        <v>6</v>
      </c>
      <c r="CA75">
        <v>3859.2</v>
      </c>
      <c r="CB75">
        <v>6.1338790052328847</v>
      </c>
      <c r="CC75">
        <v>3945.3109761657911</v>
      </c>
      <c r="CD75">
        <v>4.0921962305853352</v>
      </c>
      <c r="CE75">
        <v>2632.1006155124874</v>
      </c>
      <c r="CF75">
        <v>9</v>
      </c>
      <c r="CG75">
        <v>5788.7999999999993</v>
      </c>
      <c r="CH75">
        <v>5</v>
      </c>
      <c r="CI75">
        <v>3215.9999999999995</v>
      </c>
      <c r="CJ75">
        <v>3.4799401604344253</v>
      </c>
      <c r="CK75">
        <v>2238.297511191422</v>
      </c>
      <c r="CL75">
        <v>6.4887838548045176</v>
      </c>
      <c r="CM75">
        <v>4173.5857754102653</v>
      </c>
      <c r="CN75">
        <v>6.8128314400998145</v>
      </c>
      <c r="CO75">
        <v>4382.0131822722005</v>
      </c>
      <c r="CP75">
        <v>6.2535404869201079</v>
      </c>
      <c r="CQ75">
        <v>4022.2772411870128</v>
      </c>
      <c r="CR75">
        <v>1.1054638467306117</v>
      </c>
      <c r="CS75">
        <v>711.03434621712938</v>
      </c>
      <c r="CT75">
        <v>6.4325920102299836</v>
      </c>
      <c r="CU75">
        <v>4137.4431809799253</v>
      </c>
    </row>
    <row r="76" spans="2:99">
      <c r="C76" s="99" t="s">
        <v>243</v>
      </c>
      <c r="D76">
        <v>7.3684702117218359</v>
      </c>
      <c r="E76">
        <v>5738.5646008889653</v>
      </c>
      <c r="F76">
        <v>5</v>
      </c>
      <c r="G76">
        <v>3894</v>
      </c>
      <c r="H76">
        <v>6</v>
      </c>
      <c r="I76">
        <v>4672.7999999999993</v>
      </c>
      <c r="J76">
        <v>7</v>
      </c>
      <c r="K76">
        <v>5451.5999999999995</v>
      </c>
      <c r="L76">
        <v>5</v>
      </c>
      <c r="M76">
        <v>3894</v>
      </c>
      <c r="N76">
        <v>5.0234228469804236</v>
      </c>
      <c r="O76">
        <v>3912.2417132283535</v>
      </c>
      <c r="P76">
        <v>1.1820649446121736</v>
      </c>
      <c r="Q76">
        <v>920.59217886396073</v>
      </c>
      <c r="R76">
        <v>4.4246164439905176</v>
      </c>
      <c r="S76">
        <v>3445.8912865798147</v>
      </c>
      <c r="T76">
        <v>4.0233325127647577</v>
      </c>
      <c r="U76">
        <v>3133.371360941193</v>
      </c>
      <c r="V76">
        <v>2.5084131876844253</v>
      </c>
      <c r="W76">
        <v>1953.5521905686303</v>
      </c>
      <c r="X76">
        <v>5.2560877125748817</v>
      </c>
      <c r="Y76">
        <v>4093.4411105533177</v>
      </c>
      <c r="Z76">
        <v>6.7856068000475505</v>
      </c>
      <c r="AA76">
        <v>5284.6305758770322</v>
      </c>
      <c r="AB76">
        <v>5</v>
      </c>
      <c r="AC76">
        <v>3894</v>
      </c>
      <c r="AD76">
        <v>5</v>
      </c>
      <c r="AE76">
        <v>3894</v>
      </c>
      <c r="AF76">
        <v>7.0122431129932306</v>
      </c>
      <c r="AG76">
        <v>5461.1349363991276</v>
      </c>
      <c r="AH76">
        <v>6.0709553632144138</v>
      </c>
      <c r="AI76">
        <v>4728.0600368713849</v>
      </c>
      <c r="AJ76">
        <v>6</v>
      </c>
      <c r="AK76">
        <v>4672.7999999999993</v>
      </c>
      <c r="AL76">
        <v>5</v>
      </c>
      <c r="AM76">
        <v>3894</v>
      </c>
      <c r="AN76">
        <v>8</v>
      </c>
      <c r="AO76">
        <v>6230.4</v>
      </c>
      <c r="AP76">
        <v>2.8413492703596601</v>
      </c>
      <c r="AQ76">
        <v>2212.8428117561029</v>
      </c>
      <c r="AR76">
        <v>7</v>
      </c>
      <c r="AS76">
        <v>5451.5999999999995</v>
      </c>
      <c r="AT76">
        <v>6</v>
      </c>
      <c r="AU76">
        <v>4672.7999999999993</v>
      </c>
      <c r="AV76">
        <v>7</v>
      </c>
      <c r="AW76">
        <v>5451.5999999999995</v>
      </c>
      <c r="AX76">
        <v>7</v>
      </c>
      <c r="AY76">
        <v>5451.5999999999995</v>
      </c>
      <c r="AZ76">
        <v>6.4441949338886477</v>
      </c>
      <c r="BA76">
        <v>5018.7390145124782</v>
      </c>
      <c r="BB76">
        <v>2.3160031535537255</v>
      </c>
      <c r="BC76">
        <v>1803.7032559876413</v>
      </c>
      <c r="BD76">
        <v>9.6444033838693972</v>
      </c>
      <c r="BE76">
        <v>7511.0613553574858</v>
      </c>
      <c r="BF76">
        <v>5.4567451698967897</v>
      </c>
      <c r="BG76">
        <v>4249.7131383156193</v>
      </c>
      <c r="BH76">
        <v>5.4838739654530189</v>
      </c>
      <c r="BI76">
        <v>4270.8410442948107</v>
      </c>
      <c r="BJ76">
        <v>6.0155084907723584</v>
      </c>
      <c r="BK76">
        <v>4684.8780126135125</v>
      </c>
      <c r="BL76">
        <v>6.4527084344967598</v>
      </c>
      <c r="BM76">
        <v>5025.369328786076</v>
      </c>
      <c r="BN76">
        <v>3.6543170371301268</v>
      </c>
      <c r="BO76">
        <v>2845.9821085169424</v>
      </c>
      <c r="BP76">
        <v>6.1498426113886779</v>
      </c>
      <c r="BQ76">
        <v>4789.4974257495023</v>
      </c>
      <c r="BR76">
        <v>2.5001970238501734</v>
      </c>
      <c r="BS76">
        <v>1947.153442174515</v>
      </c>
      <c r="BT76">
        <v>9.5794156796135042</v>
      </c>
      <c r="BU76">
        <v>7460.4489312829965</v>
      </c>
      <c r="BV76">
        <v>1.4653474138955651</v>
      </c>
      <c r="BW76">
        <v>1141.2125659418659</v>
      </c>
      <c r="BX76">
        <v>8.8217117194031598</v>
      </c>
      <c r="BY76">
        <v>6870.3490870711803</v>
      </c>
      <c r="BZ76">
        <v>6</v>
      </c>
      <c r="CA76">
        <v>4672.7999999999993</v>
      </c>
      <c r="CB76">
        <v>6.9006138808869952</v>
      </c>
      <c r="CC76">
        <v>5374.198090434792</v>
      </c>
      <c r="CD76">
        <v>3.4049877495516983</v>
      </c>
      <c r="CE76">
        <v>2651.8044593508625</v>
      </c>
      <c r="CF76">
        <v>9</v>
      </c>
      <c r="CG76">
        <v>7009.2</v>
      </c>
      <c r="CH76">
        <v>5</v>
      </c>
      <c r="CI76">
        <v>3894</v>
      </c>
      <c r="CJ76">
        <v>3.4799401604344253</v>
      </c>
      <c r="CK76">
        <v>2710.1773969463302</v>
      </c>
      <c r="CL76">
        <v>7.3529999095362024</v>
      </c>
      <c r="CM76">
        <v>5726.5163295467937</v>
      </c>
      <c r="CN76">
        <v>6.8128314400998145</v>
      </c>
      <c r="CO76">
        <v>5305.8331255497351</v>
      </c>
      <c r="CP76">
        <v>5.3601775602172355</v>
      </c>
      <c r="CQ76">
        <v>4174.5062838971826</v>
      </c>
      <c r="CR76">
        <v>1.1089081791446682</v>
      </c>
      <c r="CS76">
        <v>863.61768991786755</v>
      </c>
      <c r="CT76">
        <v>6.4325920102299836</v>
      </c>
      <c r="CU76">
        <v>5009.7026575671107</v>
      </c>
    </row>
    <row r="77" spans="2:99">
      <c r="C77" s="99" t="s">
        <v>244</v>
      </c>
      <c r="D77">
        <v>6.5497512993082987</v>
      </c>
      <c r="E77">
        <v>1823.4507617274303</v>
      </c>
      <c r="F77">
        <v>5</v>
      </c>
      <c r="G77">
        <v>1392</v>
      </c>
      <c r="H77">
        <v>6</v>
      </c>
      <c r="I77">
        <v>1670.3999999999999</v>
      </c>
      <c r="J77">
        <v>9</v>
      </c>
      <c r="K77">
        <v>2505.6</v>
      </c>
      <c r="L77">
        <v>6</v>
      </c>
      <c r="M77">
        <v>1670.3999999999999</v>
      </c>
      <c r="N77">
        <v>5.58158094108936</v>
      </c>
      <c r="O77">
        <v>1553.9121339992778</v>
      </c>
      <c r="P77">
        <v>1.1820649446121736</v>
      </c>
      <c r="Q77">
        <v>329.08688058002912</v>
      </c>
      <c r="R77">
        <v>4.4896948450119769</v>
      </c>
      <c r="S77">
        <v>1249.9310448513343</v>
      </c>
      <c r="T77">
        <v>4.0233325127647577</v>
      </c>
      <c r="U77">
        <v>1120.0957715537083</v>
      </c>
      <c r="V77">
        <v>2.4998623629702568</v>
      </c>
      <c r="W77">
        <v>695.96168185091938</v>
      </c>
      <c r="X77">
        <v>6.3073052550898581</v>
      </c>
      <c r="Y77">
        <v>1755.9537830170163</v>
      </c>
      <c r="Z77">
        <v>6.8829109663171097</v>
      </c>
      <c r="AA77">
        <v>1916.2024130226832</v>
      </c>
      <c r="AB77">
        <v>5</v>
      </c>
      <c r="AC77">
        <v>1392</v>
      </c>
      <c r="AD77">
        <v>5</v>
      </c>
      <c r="AE77">
        <v>1392</v>
      </c>
      <c r="AF77">
        <v>7.0122431129932306</v>
      </c>
      <c r="AG77">
        <v>1952.2084826573152</v>
      </c>
      <c r="AH77">
        <v>6.9382347008164729</v>
      </c>
      <c r="AI77">
        <v>1931.6045407073059</v>
      </c>
      <c r="AJ77">
        <v>6</v>
      </c>
      <c r="AK77">
        <v>1670.3999999999999</v>
      </c>
      <c r="AL77">
        <v>6</v>
      </c>
      <c r="AM77">
        <v>1670.3999999999999</v>
      </c>
      <c r="AN77">
        <v>7</v>
      </c>
      <c r="AO77">
        <v>1948.7999999999997</v>
      </c>
      <c r="AP77">
        <v>3.2472563089824686</v>
      </c>
      <c r="AQ77">
        <v>904.03615642071918</v>
      </c>
      <c r="AR77">
        <v>8</v>
      </c>
      <c r="AS77">
        <v>2227.1999999999998</v>
      </c>
      <c r="AT77">
        <v>6</v>
      </c>
      <c r="AU77">
        <v>1670.3999999999999</v>
      </c>
      <c r="AV77">
        <v>7</v>
      </c>
      <c r="AW77">
        <v>1948.7999999999997</v>
      </c>
      <c r="AX77">
        <v>7</v>
      </c>
      <c r="AY77">
        <v>1948.7999999999997</v>
      </c>
      <c r="AZ77">
        <v>6.4441949338886477</v>
      </c>
      <c r="BA77">
        <v>1794.0638695945993</v>
      </c>
      <c r="BB77">
        <v>2.3311829611629724</v>
      </c>
      <c r="BC77">
        <v>649.00133638777152</v>
      </c>
      <c r="BD77">
        <v>8.6444033838693972</v>
      </c>
      <c r="BE77">
        <v>2406.6019020692402</v>
      </c>
      <c r="BF77">
        <v>7.2756602265290535</v>
      </c>
      <c r="BG77">
        <v>2025.5438070656883</v>
      </c>
      <c r="BH77">
        <v>7.3118319539373591</v>
      </c>
      <c r="BI77">
        <v>2035.6140159761605</v>
      </c>
      <c r="BJ77">
        <v>6.0155084907723584</v>
      </c>
      <c r="BK77">
        <v>1674.7175638310243</v>
      </c>
      <c r="BL77">
        <v>7.2465147453793488</v>
      </c>
      <c r="BM77">
        <v>2017.4297051136105</v>
      </c>
      <c r="BN77">
        <v>3.6566896198350292</v>
      </c>
      <c r="BO77">
        <v>1018.022390162072</v>
      </c>
      <c r="BP77">
        <v>6.2906781266803646</v>
      </c>
      <c r="BQ77">
        <v>1751.3247904678133</v>
      </c>
      <c r="BR77">
        <v>2.8880271241577096</v>
      </c>
      <c r="BS77">
        <v>804.02675136550624</v>
      </c>
      <c r="BT77">
        <v>9.5794156796135042</v>
      </c>
      <c r="BU77">
        <v>2666.9093252043995</v>
      </c>
      <c r="BV77">
        <v>1.4653474138955651</v>
      </c>
      <c r="BW77">
        <v>407.95272002852528</v>
      </c>
      <c r="BX77">
        <v>8.9860540632837917</v>
      </c>
      <c r="BY77">
        <v>2501.7174512182073</v>
      </c>
      <c r="BZ77">
        <v>7</v>
      </c>
      <c r="CA77">
        <v>1948.7999999999997</v>
      </c>
      <c r="CB77">
        <v>6.1338790052328847</v>
      </c>
      <c r="CC77">
        <v>1707.6719150568349</v>
      </c>
      <c r="CD77">
        <v>3.4049877495516983</v>
      </c>
      <c r="CE77">
        <v>947.94858947519276</v>
      </c>
      <c r="CF77">
        <v>9</v>
      </c>
      <c r="CG77">
        <v>2505.6</v>
      </c>
      <c r="CH77">
        <v>5</v>
      </c>
      <c r="CI77">
        <v>1392</v>
      </c>
      <c r="CJ77">
        <v>3.9694653258650754</v>
      </c>
      <c r="CK77">
        <v>1105.0991467208369</v>
      </c>
      <c r="CL77">
        <v>7.3529999095362024</v>
      </c>
      <c r="CM77">
        <v>2047.0751748148787</v>
      </c>
      <c r="CN77">
        <v>5.9612275100873378</v>
      </c>
      <c r="CO77">
        <v>1659.6057388083148</v>
      </c>
      <c r="CP77">
        <v>6.2535404869201079</v>
      </c>
      <c r="CQ77">
        <v>1740.9856715585579</v>
      </c>
      <c r="CR77">
        <v>1.2845413225646292</v>
      </c>
      <c r="CS77">
        <v>357.6163042019927</v>
      </c>
      <c r="CT77">
        <v>6.4325920102299836</v>
      </c>
      <c r="CU77">
        <v>1790.8336156480273</v>
      </c>
    </row>
    <row r="78" spans="2:99">
      <c r="C78" s="99" t="s">
        <v>245</v>
      </c>
      <c r="D78">
        <v>6.5497512993082987</v>
      </c>
      <c r="E78">
        <v>3615.4627172181808</v>
      </c>
      <c r="F78">
        <v>5</v>
      </c>
      <c r="G78">
        <v>2760</v>
      </c>
      <c r="H78">
        <v>7</v>
      </c>
      <c r="I78">
        <v>3864</v>
      </c>
      <c r="J78">
        <v>8</v>
      </c>
      <c r="K78">
        <v>4416</v>
      </c>
      <c r="L78">
        <v>5</v>
      </c>
      <c r="M78">
        <v>2760</v>
      </c>
      <c r="N78">
        <v>5.0234228469804236</v>
      </c>
      <c r="O78">
        <v>2772.9294115331941</v>
      </c>
      <c r="P78">
        <v>1.3298230626886953</v>
      </c>
      <c r="Q78">
        <v>734.0623306041598</v>
      </c>
      <c r="R78">
        <v>3.7591033313152784</v>
      </c>
      <c r="S78">
        <v>2075.0250388860336</v>
      </c>
      <c r="T78">
        <v>4.0299362749571044</v>
      </c>
      <c r="U78">
        <v>2224.5248237763217</v>
      </c>
      <c r="V78">
        <v>2.2411017108939366</v>
      </c>
      <c r="W78">
        <v>1237.0881444134529</v>
      </c>
      <c r="X78">
        <v>6.3073052550898581</v>
      </c>
      <c r="Y78">
        <v>3481.6325008096019</v>
      </c>
      <c r="Z78">
        <v>6.8829109663171097</v>
      </c>
      <c r="AA78">
        <v>3799.3668534070448</v>
      </c>
      <c r="AB78">
        <v>6</v>
      </c>
      <c r="AC78">
        <v>3312</v>
      </c>
      <c r="AD78">
        <v>5</v>
      </c>
      <c r="AE78">
        <v>2760</v>
      </c>
      <c r="AF78">
        <v>6.1357127238690765</v>
      </c>
      <c r="AG78">
        <v>3386.9134235757301</v>
      </c>
      <c r="AH78">
        <v>6.9382347008164729</v>
      </c>
      <c r="AI78">
        <v>3829.9055548506931</v>
      </c>
      <c r="AJ78">
        <v>6</v>
      </c>
      <c r="AK78">
        <v>3312</v>
      </c>
      <c r="AL78">
        <v>6</v>
      </c>
      <c r="AM78">
        <v>3312</v>
      </c>
      <c r="AN78">
        <v>8</v>
      </c>
      <c r="AO78">
        <v>4416</v>
      </c>
      <c r="AP78">
        <v>2.4354422317368511</v>
      </c>
      <c r="AQ78">
        <v>1344.3641119187419</v>
      </c>
      <c r="AR78">
        <v>8</v>
      </c>
      <c r="AS78">
        <v>4416</v>
      </c>
      <c r="AT78">
        <v>6</v>
      </c>
      <c r="AU78">
        <v>3312</v>
      </c>
      <c r="AV78">
        <v>7</v>
      </c>
      <c r="AW78">
        <v>3864</v>
      </c>
      <c r="AX78">
        <v>7</v>
      </c>
      <c r="AY78">
        <v>3864</v>
      </c>
      <c r="AZ78">
        <v>7.3647942101584558</v>
      </c>
      <c r="BA78">
        <v>4065.3664040074677</v>
      </c>
      <c r="BB78">
        <v>2.3008233459444791</v>
      </c>
      <c r="BC78">
        <v>1270.0544869613525</v>
      </c>
      <c r="BD78">
        <v>9.6444033838693972</v>
      </c>
      <c r="BE78">
        <v>5323.7106678959071</v>
      </c>
      <c r="BF78">
        <v>6.3662026982129216</v>
      </c>
      <c r="BG78">
        <v>3514.1438894135326</v>
      </c>
      <c r="BH78">
        <v>6.3978529596951885</v>
      </c>
      <c r="BI78">
        <v>3531.6148337517438</v>
      </c>
      <c r="BJ78">
        <v>6.7674470521189036</v>
      </c>
      <c r="BK78">
        <v>3735.6307727696349</v>
      </c>
      <c r="BL78">
        <v>6.4527084344967598</v>
      </c>
      <c r="BM78">
        <v>3561.8950558422116</v>
      </c>
      <c r="BN78">
        <v>3.655503328482578</v>
      </c>
      <c r="BO78">
        <v>2017.8378373223829</v>
      </c>
      <c r="BP78">
        <v>7.0809260364256659</v>
      </c>
      <c r="BQ78">
        <v>3908.6711721069678</v>
      </c>
      <c r="BR78">
        <v>2.9072733932693717</v>
      </c>
      <c r="BS78">
        <v>1604.8149130846932</v>
      </c>
      <c r="BT78">
        <v>10.568095634420153</v>
      </c>
      <c r="BU78">
        <v>5833.5887901999249</v>
      </c>
      <c r="BV78">
        <v>1.4653474138955651</v>
      </c>
      <c r="BW78">
        <v>808.87177247035197</v>
      </c>
      <c r="BX78">
        <v>8.8217117194031598</v>
      </c>
      <c r="BY78">
        <v>4869.5848691105439</v>
      </c>
      <c r="BZ78">
        <v>6</v>
      </c>
      <c r="CA78">
        <v>3312</v>
      </c>
      <c r="CB78">
        <v>6.1338790052328847</v>
      </c>
      <c r="CC78">
        <v>3385.9012108885522</v>
      </c>
      <c r="CD78">
        <v>4.0921962305853352</v>
      </c>
      <c r="CE78">
        <v>2258.8923192831048</v>
      </c>
      <c r="CF78">
        <v>9</v>
      </c>
      <c r="CG78">
        <v>4968</v>
      </c>
      <c r="CH78">
        <v>5</v>
      </c>
      <c r="CI78">
        <v>2760</v>
      </c>
      <c r="CJ78">
        <v>3.9694653258650754</v>
      </c>
      <c r="CK78">
        <v>2191.1448598775214</v>
      </c>
      <c r="CL78">
        <v>6.4887838548045176</v>
      </c>
      <c r="CM78">
        <v>3581.8086878520935</v>
      </c>
      <c r="CN78">
        <v>6.8128314400998145</v>
      </c>
      <c r="CO78">
        <v>3760.6829549350978</v>
      </c>
      <c r="CP78">
        <v>6.2535404869201079</v>
      </c>
      <c r="CQ78">
        <v>3451.9543487798996</v>
      </c>
      <c r="CR78">
        <v>1.2845413225646292</v>
      </c>
      <c r="CS78">
        <v>709.06681005567532</v>
      </c>
      <c r="CT78">
        <v>7.4325920102299836</v>
      </c>
      <c r="CU78">
        <v>4102.7907896469505</v>
      </c>
    </row>
    <row r="79" spans="2:99">
      <c r="C79" s="99" t="s">
        <v>246</v>
      </c>
      <c r="D79">
        <v>6.5497512993082987</v>
      </c>
      <c r="E79">
        <v>4959.4716838362438</v>
      </c>
      <c r="F79">
        <v>4</v>
      </c>
      <c r="G79">
        <v>3028.7999999999997</v>
      </c>
      <c r="H79">
        <v>5</v>
      </c>
      <c r="I79">
        <v>3785.9999999999995</v>
      </c>
      <c r="J79">
        <v>8</v>
      </c>
      <c r="K79">
        <v>6057.5999999999995</v>
      </c>
      <c r="L79">
        <v>5</v>
      </c>
      <c r="M79">
        <v>3785.9999999999995</v>
      </c>
      <c r="N79">
        <v>5.0234228469804236</v>
      </c>
      <c r="O79">
        <v>3803.7357797335762</v>
      </c>
      <c r="P79">
        <v>1.1820649446121736</v>
      </c>
      <c r="Q79">
        <v>895.0595760603378</v>
      </c>
      <c r="R79">
        <v>3.7591033313152784</v>
      </c>
      <c r="S79">
        <v>2846.3930424719288</v>
      </c>
      <c r="T79">
        <v>4.0167287505724127</v>
      </c>
      <c r="U79">
        <v>3041.4670099334307</v>
      </c>
      <c r="V79">
        <v>2.2325508861797676</v>
      </c>
      <c r="W79">
        <v>1690.48753101532</v>
      </c>
      <c r="X79">
        <v>5.3814251246810043</v>
      </c>
      <c r="Y79">
        <v>4074.8151044084561</v>
      </c>
      <c r="Z79">
        <v>6.1830125253504704</v>
      </c>
      <c r="AA79">
        <v>4681.7770841953761</v>
      </c>
      <c r="AB79">
        <v>5</v>
      </c>
      <c r="AC79">
        <v>3785.9999999999995</v>
      </c>
      <c r="AD79">
        <v>5</v>
      </c>
      <c r="AE79">
        <v>3785.9999999999995</v>
      </c>
      <c r="AF79">
        <v>7.0122431129932306</v>
      </c>
      <c r="AG79">
        <v>5309.6704851584736</v>
      </c>
      <c r="AH79">
        <v>6.9382347008164729</v>
      </c>
      <c r="AI79">
        <v>5253.6313154582331</v>
      </c>
      <c r="AJ79">
        <v>6</v>
      </c>
      <c r="AK79">
        <v>4543.2</v>
      </c>
      <c r="AL79">
        <v>6</v>
      </c>
      <c r="AM79">
        <v>4543.2</v>
      </c>
      <c r="AN79">
        <v>8</v>
      </c>
      <c r="AO79">
        <v>6057.5999999999995</v>
      </c>
      <c r="AP79">
        <v>2.8413492703596601</v>
      </c>
      <c r="AQ79">
        <v>2151.4696675163345</v>
      </c>
      <c r="AR79">
        <v>8</v>
      </c>
      <c r="AS79">
        <v>6057.5999999999995</v>
      </c>
      <c r="AT79">
        <v>6</v>
      </c>
      <c r="AU79">
        <v>4543.2</v>
      </c>
      <c r="AV79">
        <v>6</v>
      </c>
      <c r="AW79">
        <v>4543.2</v>
      </c>
      <c r="AX79">
        <v>7</v>
      </c>
      <c r="AY79">
        <v>5300.4</v>
      </c>
      <c r="AZ79">
        <v>6.4441949338886477</v>
      </c>
      <c r="BA79">
        <v>4879.5444039404838</v>
      </c>
      <c r="BB79">
        <v>2.3311829611629724</v>
      </c>
      <c r="BC79">
        <v>1765.1717381926026</v>
      </c>
      <c r="BD79">
        <v>9.6444033838693972</v>
      </c>
      <c r="BE79">
        <v>7302.7422422659065</v>
      </c>
      <c r="BF79">
        <v>6.3662026982129216</v>
      </c>
      <c r="BG79">
        <v>4820.4886830868236</v>
      </c>
      <c r="BH79">
        <v>6.3978529596951885</v>
      </c>
      <c r="BI79">
        <v>4844.4542610811959</v>
      </c>
      <c r="BJ79">
        <v>6.0155084907723584</v>
      </c>
      <c r="BK79">
        <v>4554.9430292128291</v>
      </c>
      <c r="BL79">
        <v>6.4527084344967598</v>
      </c>
      <c r="BM79">
        <v>4885.9908266009461</v>
      </c>
      <c r="BN79">
        <v>3.6543170371301268</v>
      </c>
      <c r="BO79">
        <v>2767.0488605149317</v>
      </c>
      <c r="BP79">
        <v>6.1498426113886779</v>
      </c>
      <c r="BQ79">
        <v>4656.6608253435061</v>
      </c>
      <c r="BR79">
        <v>2.5001970238501734</v>
      </c>
      <c r="BS79">
        <v>1893.1491864593511</v>
      </c>
      <c r="BT79">
        <v>9.5794156796135042</v>
      </c>
      <c r="BU79">
        <v>7253.533552603345</v>
      </c>
      <c r="BV79">
        <v>1.4653474138955651</v>
      </c>
      <c r="BW79">
        <v>1109.5610618017217</v>
      </c>
      <c r="BX79">
        <v>8.8217117194031598</v>
      </c>
      <c r="BY79">
        <v>6679.8001139320722</v>
      </c>
      <c r="BZ79">
        <v>7</v>
      </c>
      <c r="CA79">
        <v>5300.4</v>
      </c>
      <c r="CB79">
        <v>6.1338790052328847</v>
      </c>
      <c r="CC79">
        <v>4644.5731827623395</v>
      </c>
      <c r="CD79">
        <v>4.0611415749688522</v>
      </c>
      <c r="CE79">
        <v>3075.0964005664146</v>
      </c>
      <c r="CF79">
        <v>9</v>
      </c>
      <c r="CG79">
        <v>6814.7999999999993</v>
      </c>
      <c r="CH79">
        <v>5</v>
      </c>
      <c r="CI79">
        <v>3785.9999999999995</v>
      </c>
      <c r="CJ79">
        <v>3.9694653258650754</v>
      </c>
      <c r="CK79">
        <v>3005.6791447450346</v>
      </c>
      <c r="CL79">
        <v>5.6245678000728319</v>
      </c>
      <c r="CM79">
        <v>4258.9227382151475</v>
      </c>
      <c r="CN79">
        <v>6.8128314400998145</v>
      </c>
      <c r="CO79">
        <v>5158.6759664435795</v>
      </c>
      <c r="CP79">
        <v>6.2535404869201079</v>
      </c>
      <c r="CQ79">
        <v>4735.1808566959053</v>
      </c>
      <c r="CR79">
        <v>1.2879856549786857</v>
      </c>
      <c r="CS79">
        <v>975.26273794986071</v>
      </c>
      <c r="CT79">
        <v>7.4325920102299836</v>
      </c>
      <c r="CU79">
        <v>5627.958670146143</v>
      </c>
    </row>
    <row r="80" spans="2:99">
      <c r="C80" s="99" t="s">
        <v>247</v>
      </c>
      <c r="D80">
        <v>7.3684702117218359</v>
      </c>
      <c r="E80">
        <v>5933.0922144784217</v>
      </c>
      <c r="F80">
        <v>4</v>
      </c>
      <c r="G80">
        <v>3220.7999999999997</v>
      </c>
      <c r="H80">
        <v>5</v>
      </c>
      <c r="I80">
        <v>4025.9999999999995</v>
      </c>
      <c r="J80">
        <v>8</v>
      </c>
      <c r="K80">
        <v>6441.5999999999995</v>
      </c>
      <c r="L80">
        <v>5</v>
      </c>
      <c r="M80">
        <v>4025.9999999999995</v>
      </c>
      <c r="N80">
        <v>4.4652647528714882</v>
      </c>
      <c r="O80">
        <v>3595.4311790121219</v>
      </c>
      <c r="P80">
        <v>1.1820649446121736</v>
      </c>
      <c r="Q80">
        <v>951.79869340172206</v>
      </c>
      <c r="R80">
        <v>4.5343215320519494</v>
      </c>
      <c r="S80">
        <v>3651.0356976082294</v>
      </c>
      <c r="T80">
        <v>4.0299362749571044</v>
      </c>
      <c r="U80">
        <v>3244.9046885954604</v>
      </c>
      <c r="V80">
        <v>2.2411017108939366</v>
      </c>
      <c r="W80">
        <v>1804.5350976117977</v>
      </c>
      <c r="X80">
        <v>6.3073052550898581</v>
      </c>
      <c r="Y80">
        <v>5078.6421913983531</v>
      </c>
      <c r="Z80">
        <v>6.7856068000475505</v>
      </c>
      <c r="AA80">
        <v>5463.7705953982868</v>
      </c>
      <c r="AB80">
        <v>5</v>
      </c>
      <c r="AC80">
        <v>4025.9999999999995</v>
      </c>
      <c r="AD80">
        <v>5</v>
      </c>
      <c r="AE80">
        <v>4025.9999999999995</v>
      </c>
      <c r="AF80">
        <v>7.0122431129932306</v>
      </c>
      <c r="AG80">
        <v>5646.2581545821486</v>
      </c>
      <c r="AH80">
        <v>6.0709553632144138</v>
      </c>
      <c r="AI80">
        <v>4888.3332584602458</v>
      </c>
      <c r="AJ80">
        <v>6</v>
      </c>
      <c r="AK80">
        <v>4831.2</v>
      </c>
      <c r="AL80">
        <v>5</v>
      </c>
      <c r="AM80">
        <v>4025.9999999999995</v>
      </c>
      <c r="AN80">
        <v>7</v>
      </c>
      <c r="AO80">
        <v>5636.4</v>
      </c>
      <c r="AP80">
        <v>2.8413492703596601</v>
      </c>
      <c r="AQ80">
        <v>2287.8544324935983</v>
      </c>
      <c r="AR80">
        <v>8</v>
      </c>
      <c r="AS80">
        <v>6441.5999999999995</v>
      </c>
      <c r="AT80">
        <v>6</v>
      </c>
      <c r="AU80">
        <v>4831.2</v>
      </c>
      <c r="AV80">
        <v>7</v>
      </c>
      <c r="AW80">
        <v>5636.4</v>
      </c>
      <c r="AX80">
        <v>7</v>
      </c>
      <c r="AY80">
        <v>5636.4</v>
      </c>
      <c r="AZ80">
        <v>6.4441949338886477</v>
      </c>
      <c r="BA80">
        <v>5188.8657607671385</v>
      </c>
      <c r="BB80">
        <v>2.3160031535537255</v>
      </c>
      <c r="BC80">
        <v>1864.8457392414596</v>
      </c>
      <c r="BD80">
        <v>9.6444033838693972</v>
      </c>
      <c r="BE80">
        <v>7765.6736046916376</v>
      </c>
      <c r="BF80">
        <v>6.3662026982129216</v>
      </c>
      <c r="BG80">
        <v>5126.0664126010442</v>
      </c>
      <c r="BH80">
        <v>5.4838739654530189</v>
      </c>
      <c r="BI80">
        <v>4415.6153169827703</v>
      </c>
      <c r="BJ80">
        <v>6.7674470521189036</v>
      </c>
      <c r="BK80">
        <v>5449.1483663661411</v>
      </c>
      <c r="BL80">
        <v>6.4527084344967598</v>
      </c>
      <c r="BM80">
        <v>5195.7208314567906</v>
      </c>
      <c r="BN80">
        <v>3.6566896198350292</v>
      </c>
      <c r="BO80">
        <v>2944.3664818911652</v>
      </c>
      <c r="BP80">
        <v>6.1498426113886779</v>
      </c>
      <c r="BQ80">
        <v>4951.8532706901633</v>
      </c>
      <c r="BR80">
        <v>2.5001970238501734</v>
      </c>
      <c r="BS80">
        <v>2013.1586436041594</v>
      </c>
      <c r="BT80">
        <v>8.590735724806855</v>
      </c>
      <c r="BU80">
        <v>6917.2604056144792</v>
      </c>
      <c r="BV80">
        <v>1.4653474138955651</v>
      </c>
      <c r="BW80">
        <v>1179.8977376687089</v>
      </c>
      <c r="BX80">
        <v>8.8217117194031598</v>
      </c>
      <c r="BY80">
        <v>7103.2422764634239</v>
      </c>
      <c r="BZ80">
        <v>7</v>
      </c>
      <c r="CA80">
        <v>5636.4</v>
      </c>
      <c r="CB80">
        <v>6.9006138808869952</v>
      </c>
      <c r="CC80">
        <v>5556.3742968902079</v>
      </c>
      <c r="CD80">
        <v>3.4049877495516983</v>
      </c>
      <c r="CE80">
        <v>2741.696135939027</v>
      </c>
      <c r="CF80">
        <v>8</v>
      </c>
      <c r="CG80">
        <v>6441.5999999999995</v>
      </c>
      <c r="CH80">
        <v>5</v>
      </c>
      <c r="CI80">
        <v>4025.9999999999995</v>
      </c>
      <c r="CJ80">
        <v>3.4799401604344253</v>
      </c>
      <c r="CK80">
        <v>2802.047817181799</v>
      </c>
      <c r="CL80">
        <v>6.5766381491410622</v>
      </c>
      <c r="CM80">
        <v>5295.5090376883827</v>
      </c>
      <c r="CN80">
        <v>5.9612275100873378</v>
      </c>
      <c r="CO80">
        <v>4799.9803911223244</v>
      </c>
      <c r="CP80">
        <v>6.2535404869201079</v>
      </c>
      <c r="CQ80">
        <v>5035.3508000680704</v>
      </c>
      <c r="CR80">
        <v>1.1089081791446682</v>
      </c>
      <c r="CS80">
        <v>892.89286584728677</v>
      </c>
      <c r="CT80">
        <v>7.4325920102299836</v>
      </c>
      <c r="CU80">
        <v>5984.723086637182</v>
      </c>
    </row>
    <row r="81" spans="2:99">
      <c r="C81" s="99" t="s">
        <v>248</v>
      </c>
      <c r="D81">
        <v>7.3684702117218359</v>
      </c>
      <c r="E81">
        <v>5552.8791515535759</v>
      </c>
      <c r="F81">
        <v>5</v>
      </c>
      <c r="G81">
        <v>3768</v>
      </c>
      <c r="H81">
        <v>6</v>
      </c>
      <c r="I81">
        <v>4521.6000000000004</v>
      </c>
      <c r="J81">
        <v>8</v>
      </c>
      <c r="K81">
        <v>6028.8</v>
      </c>
      <c r="L81">
        <v>5</v>
      </c>
      <c r="M81">
        <v>3768</v>
      </c>
      <c r="N81">
        <v>4.4652647528714882</v>
      </c>
      <c r="O81">
        <v>3365.0235177639538</v>
      </c>
      <c r="P81">
        <v>1.3298230626886953</v>
      </c>
      <c r="Q81">
        <v>1002.1546600422008</v>
      </c>
      <c r="R81">
        <v>4.3359599289826516</v>
      </c>
      <c r="S81">
        <v>3267.5794024813263</v>
      </c>
      <c r="T81">
        <v>4.0233325127647577</v>
      </c>
      <c r="U81">
        <v>3031.9833816195214</v>
      </c>
      <c r="V81">
        <v>2.2325508861797676</v>
      </c>
      <c r="W81">
        <v>1682.4503478250729</v>
      </c>
      <c r="X81">
        <v>5.2560877125748817</v>
      </c>
      <c r="Y81">
        <v>3960.987700196431</v>
      </c>
      <c r="Z81">
        <v>6.7856068000475505</v>
      </c>
      <c r="AA81">
        <v>5113.633284515834</v>
      </c>
      <c r="AB81">
        <v>5</v>
      </c>
      <c r="AC81">
        <v>3768</v>
      </c>
      <c r="AD81">
        <v>5</v>
      </c>
      <c r="AE81">
        <v>3768</v>
      </c>
      <c r="AF81">
        <v>7.0122431129932306</v>
      </c>
      <c r="AG81">
        <v>5284.4264099516986</v>
      </c>
      <c r="AH81">
        <v>6.9382347008164729</v>
      </c>
      <c r="AI81">
        <v>5228.6536705352937</v>
      </c>
      <c r="AJ81">
        <v>6</v>
      </c>
      <c r="AK81">
        <v>4521.6000000000004</v>
      </c>
      <c r="AL81">
        <v>5</v>
      </c>
      <c r="AM81">
        <v>3768</v>
      </c>
      <c r="AN81">
        <v>8</v>
      </c>
      <c r="AO81">
        <v>6028.8</v>
      </c>
      <c r="AP81">
        <v>2.8413492703596601</v>
      </c>
      <c r="AQ81">
        <v>2141.2408101430401</v>
      </c>
      <c r="AR81">
        <v>8</v>
      </c>
      <c r="AS81">
        <v>6028.8</v>
      </c>
      <c r="AT81">
        <v>6</v>
      </c>
      <c r="AU81">
        <v>4521.6000000000004</v>
      </c>
      <c r="AV81">
        <v>6</v>
      </c>
      <c r="AW81">
        <v>4521.6000000000004</v>
      </c>
      <c r="AX81">
        <v>7</v>
      </c>
      <c r="AY81">
        <v>5275.2</v>
      </c>
      <c r="AZ81">
        <v>6.4441949338886477</v>
      </c>
      <c r="BA81">
        <v>4856.3453021784853</v>
      </c>
      <c r="BB81">
        <v>2.3008233459444791</v>
      </c>
      <c r="BC81">
        <v>1733.9004735037595</v>
      </c>
      <c r="BD81">
        <v>8.6444033838693972</v>
      </c>
      <c r="BE81">
        <v>6514.4223900839779</v>
      </c>
      <c r="BF81">
        <v>6.3662026982129216</v>
      </c>
      <c r="BG81">
        <v>4797.5703533732576</v>
      </c>
      <c r="BH81">
        <v>6.3978529596951885</v>
      </c>
      <c r="BI81">
        <v>4821.4219904262945</v>
      </c>
      <c r="BJ81">
        <v>6.7674470521189036</v>
      </c>
      <c r="BK81">
        <v>5099.9480984768061</v>
      </c>
      <c r="BL81">
        <v>7.2465147453793488</v>
      </c>
      <c r="BM81">
        <v>5460.9735121178774</v>
      </c>
      <c r="BN81">
        <v>3.6314765081604605</v>
      </c>
      <c r="BO81">
        <v>2736.6806965497231</v>
      </c>
      <c r="BP81">
        <v>6.1498426113886779</v>
      </c>
      <c r="BQ81">
        <v>4634.5213919425078</v>
      </c>
      <c r="BR81">
        <v>2.8880271241577096</v>
      </c>
      <c r="BS81">
        <v>2176.41724076525</v>
      </c>
      <c r="BT81">
        <v>10.568095634420153</v>
      </c>
      <c r="BU81">
        <v>7964.1168700990274</v>
      </c>
      <c r="BV81">
        <v>1.172277931116452</v>
      </c>
      <c r="BW81">
        <v>883.42864888935821</v>
      </c>
      <c r="BX81">
        <v>8.8217117194031598</v>
      </c>
      <c r="BY81">
        <v>6648.0419517422215</v>
      </c>
      <c r="BZ81">
        <v>7</v>
      </c>
      <c r="CA81">
        <v>5275.2</v>
      </c>
      <c r="CB81">
        <v>6.9006138808869952</v>
      </c>
      <c r="CC81">
        <v>5200.3026206364393</v>
      </c>
      <c r="CD81">
        <v>3.4049877495516983</v>
      </c>
      <c r="CE81">
        <v>2565.9987680621598</v>
      </c>
      <c r="CF81">
        <v>8</v>
      </c>
      <c r="CG81">
        <v>6028.8</v>
      </c>
      <c r="CH81">
        <v>5</v>
      </c>
      <c r="CI81">
        <v>3768</v>
      </c>
      <c r="CJ81">
        <v>3.4799401604344253</v>
      </c>
      <c r="CK81">
        <v>2622.4829049033829</v>
      </c>
      <c r="CL81">
        <v>6.4887838548045176</v>
      </c>
      <c r="CM81">
        <v>4889.9475129806842</v>
      </c>
      <c r="CN81">
        <v>5.9612275100873378</v>
      </c>
      <c r="CO81">
        <v>4492.3810516018175</v>
      </c>
      <c r="CP81">
        <v>6.2535404869201079</v>
      </c>
      <c r="CQ81">
        <v>4712.6681109429937</v>
      </c>
      <c r="CR81">
        <v>1.1054638467306117</v>
      </c>
      <c r="CS81">
        <v>833.07755489618899</v>
      </c>
      <c r="CT81">
        <v>7.4325920102299836</v>
      </c>
      <c r="CU81">
        <v>5601.2013389093154</v>
      </c>
    </row>
    <row r="82" spans="2:99">
      <c r="C82" s="99" t="s">
        <v>249</v>
      </c>
      <c r="D82">
        <v>6.5497512993082987</v>
      </c>
      <c r="E82">
        <v>3332.5134610880618</v>
      </c>
      <c r="F82">
        <v>4</v>
      </c>
      <c r="G82">
        <v>2035.1999999999996</v>
      </c>
      <c r="H82">
        <v>6</v>
      </c>
      <c r="I82">
        <v>3052.7999999999993</v>
      </c>
      <c r="J82">
        <v>8</v>
      </c>
      <c r="K82">
        <v>4070.3999999999992</v>
      </c>
      <c r="L82">
        <v>5</v>
      </c>
      <c r="M82">
        <v>2543.9999999999995</v>
      </c>
      <c r="N82">
        <v>4.4652647528714882</v>
      </c>
      <c r="O82">
        <v>2271.9267062610129</v>
      </c>
      <c r="P82">
        <v>1.1820649446121736</v>
      </c>
      <c r="Q82">
        <v>601.43464381867375</v>
      </c>
      <c r="R82">
        <v>3.7591033313152784</v>
      </c>
      <c r="S82">
        <v>1912.6317749732132</v>
      </c>
      <c r="T82">
        <v>4.0167287505724127</v>
      </c>
      <c r="U82">
        <v>2043.7115882912433</v>
      </c>
      <c r="V82">
        <v>2.2411017108939366</v>
      </c>
      <c r="W82">
        <v>1140.2725505028347</v>
      </c>
      <c r="X82">
        <v>6.3073052550898581</v>
      </c>
      <c r="Y82">
        <v>3209.1569137897191</v>
      </c>
      <c r="Z82">
        <v>6.0857083590809102</v>
      </c>
      <c r="AA82">
        <v>3096.4084131003665</v>
      </c>
      <c r="AB82">
        <v>6</v>
      </c>
      <c r="AC82">
        <v>3052.7999999999993</v>
      </c>
      <c r="AD82">
        <v>5</v>
      </c>
      <c r="AE82">
        <v>2543.9999999999995</v>
      </c>
      <c r="AF82">
        <v>6.1357127238690765</v>
      </c>
      <c r="AG82">
        <v>3121.8506339045857</v>
      </c>
      <c r="AH82">
        <v>6.9382347008164729</v>
      </c>
      <c r="AI82">
        <v>3530.1738157754207</v>
      </c>
      <c r="AJ82">
        <v>7</v>
      </c>
      <c r="AK82">
        <v>3561.5999999999995</v>
      </c>
      <c r="AL82">
        <v>6</v>
      </c>
      <c r="AM82">
        <v>3052.7999999999993</v>
      </c>
      <c r="AN82">
        <v>7</v>
      </c>
      <c r="AO82">
        <v>3561.5999999999995</v>
      </c>
      <c r="AP82">
        <v>2.8413492703596601</v>
      </c>
      <c r="AQ82">
        <v>1445.6785087589947</v>
      </c>
      <c r="AR82">
        <v>9</v>
      </c>
      <c r="AS82">
        <v>4579.1999999999989</v>
      </c>
      <c r="AT82">
        <v>7</v>
      </c>
      <c r="AU82">
        <v>3561.5999999999995</v>
      </c>
      <c r="AV82">
        <v>6</v>
      </c>
      <c r="AW82">
        <v>3052.7999999999993</v>
      </c>
      <c r="AX82">
        <v>7</v>
      </c>
      <c r="AY82">
        <v>3561.5999999999995</v>
      </c>
      <c r="AZ82">
        <v>6.4441949338886477</v>
      </c>
      <c r="BA82">
        <v>3278.8063823625434</v>
      </c>
      <c r="BB82">
        <v>2.3160031535537255</v>
      </c>
      <c r="BC82">
        <v>1178.3824045281353</v>
      </c>
      <c r="BD82">
        <v>9.6444033838693972</v>
      </c>
      <c r="BE82">
        <v>4907.0724417127485</v>
      </c>
      <c r="BF82">
        <v>7.2756602265290535</v>
      </c>
      <c r="BG82">
        <v>3701.8559232579819</v>
      </c>
      <c r="BH82">
        <v>6.3978529596951885</v>
      </c>
      <c r="BI82">
        <v>3255.2275858929111</v>
      </c>
      <c r="BJ82">
        <v>6.7674470521189036</v>
      </c>
      <c r="BK82">
        <v>3443.2770601180973</v>
      </c>
      <c r="BL82">
        <v>7.2465147453793488</v>
      </c>
      <c r="BM82">
        <v>3687.0267024490117</v>
      </c>
      <c r="BN82">
        <v>4.3628746307820849</v>
      </c>
      <c r="BO82">
        <v>2219.8306121419246</v>
      </c>
      <c r="BP82">
        <v>7.2217615517173535</v>
      </c>
      <c r="BQ82">
        <v>3674.4322775137889</v>
      </c>
      <c r="BR82">
        <v>2.5001970238501734</v>
      </c>
      <c r="BS82">
        <v>1272.100245734968</v>
      </c>
      <c r="BT82">
        <v>9.5794156796135042</v>
      </c>
      <c r="BU82">
        <v>4874.0066977873503</v>
      </c>
      <c r="BV82">
        <v>1.4653474138955651</v>
      </c>
      <c r="BW82">
        <v>745.56876419006335</v>
      </c>
      <c r="BX82">
        <v>9.8217117194031598</v>
      </c>
      <c r="BY82">
        <v>4997.286922832327</v>
      </c>
      <c r="BZ82">
        <v>7</v>
      </c>
      <c r="CA82">
        <v>3561.5999999999995</v>
      </c>
      <c r="CB82">
        <v>6.9006138808869952</v>
      </c>
      <c r="CC82">
        <v>3511.0323425953025</v>
      </c>
      <c r="CD82">
        <v>3.4670970607846638</v>
      </c>
      <c r="CE82">
        <v>1764.0589845272366</v>
      </c>
      <c r="CF82">
        <v>9</v>
      </c>
      <c r="CG82">
        <v>4579.1999999999989</v>
      </c>
      <c r="CH82">
        <v>5</v>
      </c>
      <c r="CI82">
        <v>2543.9999999999995</v>
      </c>
      <c r="CJ82">
        <v>4.0112183387766542</v>
      </c>
      <c r="CK82">
        <v>2040.9078907695612</v>
      </c>
      <c r="CL82">
        <v>6.4887838548045176</v>
      </c>
      <c r="CM82">
        <v>3301.4932253245379</v>
      </c>
      <c r="CN82">
        <v>5.9612275100873378</v>
      </c>
      <c r="CO82">
        <v>3033.0725571324369</v>
      </c>
      <c r="CP82">
        <v>6.2535404869201079</v>
      </c>
      <c r="CQ82">
        <v>3181.8013997449502</v>
      </c>
      <c r="CR82">
        <v>1.2879856549786857</v>
      </c>
      <c r="CS82">
        <v>655.32710125315509</v>
      </c>
      <c r="CT82">
        <v>6.4325920102299836</v>
      </c>
      <c r="CU82">
        <v>3272.9028148050152</v>
      </c>
    </row>
    <row r="83" spans="2:99">
      <c r="C83" s="99" t="s">
        <v>250</v>
      </c>
      <c r="D83">
        <v>6.5497512993082987</v>
      </c>
      <c r="E83">
        <v>5635.40601792486</v>
      </c>
      <c r="F83">
        <v>5</v>
      </c>
      <c r="G83">
        <v>4302</v>
      </c>
      <c r="H83">
        <v>5</v>
      </c>
      <c r="I83">
        <v>4302</v>
      </c>
      <c r="J83">
        <v>8</v>
      </c>
      <c r="K83">
        <v>6883.2</v>
      </c>
      <c r="L83">
        <v>5</v>
      </c>
      <c r="M83">
        <v>4302</v>
      </c>
      <c r="N83">
        <v>5.0234228469804236</v>
      </c>
      <c r="O83">
        <v>4322.1530175419566</v>
      </c>
      <c r="P83">
        <v>1.1820649446121736</v>
      </c>
      <c r="Q83">
        <v>1017.0486783443141</v>
      </c>
      <c r="R83">
        <v>4.5343215320519494</v>
      </c>
      <c r="S83">
        <v>3901.330246177497</v>
      </c>
      <c r="T83">
        <v>3.9308798420719131</v>
      </c>
      <c r="U83">
        <v>3382.1290161186739</v>
      </c>
      <c r="V83">
        <v>2.2411017108939366</v>
      </c>
      <c r="W83">
        <v>1928.243912053143</v>
      </c>
      <c r="X83">
        <v>6.3073052550898581</v>
      </c>
      <c r="Y83">
        <v>5426.8054414793141</v>
      </c>
      <c r="Z83">
        <v>6.1830125253504704</v>
      </c>
      <c r="AA83">
        <v>5319.8639768115445</v>
      </c>
      <c r="AB83">
        <v>5</v>
      </c>
      <c r="AC83">
        <v>4302</v>
      </c>
      <c r="AD83">
        <v>5</v>
      </c>
      <c r="AE83">
        <v>4302</v>
      </c>
      <c r="AF83">
        <v>6.1357127238690765</v>
      </c>
      <c r="AG83">
        <v>5279.1672276169529</v>
      </c>
      <c r="AH83">
        <v>6.9382347008164729</v>
      </c>
      <c r="AI83">
        <v>5969.657136582493</v>
      </c>
      <c r="AJ83">
        <v>6</v>
      </c>
      <c r="AK83">
        <v>5162.3999999999996</v>
      </c>
      <c r="AL83">
        <v>5</v>
      </c>
      <c r="AM83">
        <v>4302</v>
      </c>
      <c r="AN83">
        <v>7</v>
      </c>
      <c r="AO83">
        <v>6022.8</v>
      </c>
      <c r="AP83">
        <v>2.4354422317368511</v>
      </c>
      <c r="AQ83">
        <v>2095.4544961863867</v>
      </c>
      <c r="AR83">
        <v>7</v>
      </c>
      <c r="AS83">
        <v>6022.8</v>
      </c>
      <c r="AT83">
        <v>7</v>
      </c>
      <c r="AU83">
        <v>6022.8</v>
      </c>
      <c r="AV83">
        <v>6</v>
      </c>
      <c r="AW83">
        <v>5162.3999999999996</v>
      </c>
      <c r="AX83">
        <v>7</v>
      </c>
      <c r="AY83">
        <v>6022.8</v>
      </c>
      <c r="AZ83">
        <v>6.4441949338886477</v>
      </c>
      <c r="BA83">
        <v>5544.5853211177928</v>
      </c>
      <c r="BB83">
        <v>2.3311829611629724</v>
      </c>
      <c r="BC83">
        <v>2005.7498197846214</v>
      </c>
      <c r="BD83">
        <v>9.6444033838693972</v>
      </c>
      <c r="BE83">
        <v>8298.0446714812297</v>
      </c>
      <c r="BF83">
        <v>6.3662026982129216</v>
      </c>
      <c r="BG83">
        <v>5477.4808015423978</v>
      </c>
      <c r="BH83">
        <v>6.3978529596951885</v>
      </c>
      <c r="BI83">
        <v>5504.7126865217397</v>
      </c>
      <c r="BJ83">
        <v>6.0155084907723584</v>
      </c>
      <c r="BK83">
        <v>5175.7435054605367</v>
      </c>
      <c r="BL83">
        <v>7.2465147453793488</v>
      </c>
      <c r="BM83">
        <v>6234.9012869243916</v>
      </c>
      <c r="BN83">
        <v>3.655503328482578</v>
      </c>
      <c r="BO83">
        <v>3145.1950638264102</v>
      </c>
      <c r="BP83">
        <v>6.1498426113886779</v>
      </c>
      <c r="BQ83">
        <v>5291.3245828388181</v>
      </c>
      <c r="BR83">
        <v>2.8880271241577096</v>
      </c>
      <c r="BS83">
        <v>2484.8585376252931</v>
      </c>
      <c r="BT83">
        <v>9.5794156796135042</v>
      </c>
      <c r="BU83">
        <v>8242.1292507394592</v>
      </c>
      <c r="BV83">
        <v>1.4653474138955651</v>
      </c>
      <c r="BW83">
        <v>1260.7849149157441</v>
      </c>
      <c r="BX83">
        <v>8.8217117194031598</v>
      </c>
      <c r="BY83">
        <v>7590.2007633744788</v>
      </c>
      <c r="BZ83">
        <v>6</v>
      </c>
      <c r="CA83">
        <v>5162.3999999999996</v>
      </c>
      <c r="CB83">
        <v>5.3671441295787741</v>
      </c>
      <c r="CC83">
        <v>4617.8908090895775</v>
      </c>
      <c r="CD83">
        <v>3.4360424051681808</v>
      </c>
      <c r="CE83">
        <v>2956.3708854067027</v>
      </c>
      <c r="CF83">
        <v>8</v>
      </c>
      <c r="CG83">
        <v>6883.2</v>
      </c>
      <c r="CH83">
        <v>5</v>
      </c>
      <c r="CI83">
        <v>4302</v>
      </c>
      <c r="CJ83">
        <v>3.990341832320865</v>
      </c>
      <c r="CK83">
        <v>3433.2901125288722</v>
      </c>
      <c r="CL83">
        <v>7.3529999095362024</v>
      </c>
      <c r="CM83">
        <v>6326.5211221649488</v>
      </c>
      <c r="CN83">
        <v>6.8128314400998145</v>
      </c>
      <c r="CO83">
        <v>5861.7601710618801</v>
      </c>
      <c r="CP83">
        <v>6.2535404869201079</v>
      </c>
      <c r="CQ83">
        <v>5380.5462349460604</v>
      </c>
      <c r="CR83">
        <v>1.2879856549786857</v>
      </c>
      <c r="CS83">
        <v>1108.1828575436612</v>
      </c>
      <c r="CT83">
        <v>6.4325920102299836</v>
      </c>
      <c r="CU83">
        <v>5534.6021656018775</v>
      </c>
    </row>
    <row r="84" spans="2:99">
      <c r="C84" s="99" t="s">
        <v>251</v>
      </c>
      <c r="D84">
        <v>6.5497512993082987</v>
      </c>
      <c r="E84">
        <v>5116.6657150196424</v>
      </c>
      <c r="F84">
        <v>5</v>
      </c>
      <c r="G84">
        <v>3905.9999999999995</v>
      </c>
      <c r="H84">
        <v>6</v>
      </c>
      <c r="I84">
        <v>4687.2</v>
      </c>
      <c r="J84">
        <v>9</v>
      </c>
      <c r="K84">
        <v>7030.7999999999993</v>
      </c>
      <c r="L84">
        <v>5</v>
      </c>
      <c r="M84">
        <v>3905.9999999999995</v>
      </c>
      <c r="N84">
        <v>5.0234228469804236</v>
      </c>
      <c r="O84">
        <v>3924.2979280611066</v>
      </c>
      <c r="P84">
        <v>1.1820649446121736</v>
      </c>
      <c r="Q84">
        <v>923.42913473102988</v>
      </c>
      <c r="R84">
        <v>4.4896948450119769</v>
      </c>
      <c r="S84">
        <v>3507.3496129233558</v>
      </c>
      <c r="T84">
        <v>3.2505211429731693</v>
      </c>
      <c r="U84">
        <v>2539.3071168906395</v>
      </c>
      <c r="V84">
        <v>2.2325508861797676</v>
      </c>
      <c r="W84">
        <v>1744.0687522836342</v>
      </c>
      <c r="X84">
        <v>6.3073052550898581</v>
      </c>
      <c r="Y84">
        <v>4927.2668652761968</v>
      </c>
      <c r="Z84">
        <v>6.8829109663171097</v>
      </c>
      <c r="AA84">
        <v>5376.930046886926</v>
      </c>
      <c r="AB84">
        <v>6</v>
      </c>
      <c r="AC84">
        <v>4687.2</v>
      </c>
      <c r="AD84">
        <v>5</v>
      </c>
      <c r="AE84">
        <v>3905.9999999999995</v>
      </c>
      <c r="AF84">
        <v>7.0122431129932306</v>
      </c>
      <c r="AG84">
        <v>5477.9643198703116</v>
      </c>
      <c r="AH84">
        <v>6.0709553632144138</v>
      </c>
      <c r="AI84">
        <v>4742.6303297430995</v>
      </c>
      <c r="AJ84">
        <v>6</v>
      </c>
      <c r="AK84">
        <v>4687.2</v>
      </c>
      <c r="AL84">
        <v>5</v>
      </c>
      <c r="AM84">
        <v>3905.9999999999995</v>
      </c>
      <c r="AN84">
        <v>8</v>
      </c>
      <c r="AO84">
        <v>6249.5999999999995</v>
      </c>
      <c r="AP84">
        <v>2.8413492703596601</v>
      </c>
      <c r="AQ84">
        <v>2219.6620500049662</v>
      </c>
      <c r="AR84">
        <v>8</v>
      </c>
      <c r="AS84">
        <v>6249.5999999999995</v>
      </c>
      <c r="AT84">
        <v>6</v>
      </c>
      <c r="AU84">
        <v>4687.2</v>
      </c>
      <c r="AV84">
        <v>6</v>
      </c>
      <c r="AW84">
        <v>4687.2</v>
      </c>
      <c r="AX84">
        <v>7</v>
      </c>
      <c r="AY84">
        <v>5468.4</v>
      </c>
      <c r="AZ84">
        <v>6.4441949338886477</v>
      </c>
      <c r="BA84">
        <v>5034.2050823538111</v>
      </c>
      <c r="BB84">
        <v>2.3311829611629724</v>
      </c>
      <c r="BC84">
        <v>1821.120129260514</v>
      </c>
      <c r="BD84">
        <v>9.6444033838693972</v>
      </c>
      <c r="BE84">
        <v>7534.2079234787725</v>
      </c>
      <c r="BF84">
        <v>6.3662026982129216</v>
      </c>
      <c r="BG84">
        <v>4973.2775478439344</v>
      </c>
      <c r="BH84">
        <v>7.3118319539373591</v>
      </c>
      <c r="BI84">
        <v>5712.0031224158647</v>
      </c>
      <c r="BJ84">
        <v>6.7674470521189036</v>
      </c>
      <c r="BK84">
        <v>5286.729637115287</v>
      </c>
      <c r="BL84">
        <v>6.4527084344967598</v>
      </c>
      <c r="BM84">
        <v>5040.8558290288684</v>
      </c>
      <c r="BN84">
        <v>3.6302902168080093</v>
      </c>
      <c r="BO84">
        <v>2835.9827173704166</v>
      </c>
      <c r="BP84">
        <v>6.1498426113886779</v>
      </c>
      <c r="BQ84">
        <v>4804.2570480168351</v>
      </c>
      <c r="BR84">
        <v>2.9072733932693717</v>
      </c>
      <c r="BS84">
        <v>2271.1619748220328</v>
      </c>
      <c r="BT84">
        <v>9.5794156796135042</v>
      </c>
      <c r="BU84">
        <v>7483.4395289140684</v>
      </c>
      <c r="BV84">
        <v>1.4653474138955651</v>
      </c>
      <c r="BW84">
        <v>1144.7293997352153</v>
      </c>
      <c r="BX84">
        <v>8.8217117194031598</v>
      </c>
      <c r="BY84">
        <v>6891.5211951977481</v>
      </c>
      <c r="BZ84">
        <v>7</v>
      </c>
      <c r="CA84">
        <v>5468.4</v>
      </c>
      <c r="CB84">
        <v>6.1338790052328847</v>
      </c>
      <c r="CC84">
        <v>4791.7862788879293</v>
      </c>
      <c r="CD84">
        <v>4.0611415749688522</v>
      </c>
      <c r="CE84">
        <v>3172.563798365667</v>
      </c>
      <c r="CF84">
        <v>9</v>
      </c>
      <c r="CG84">
        <v>7030.7999999999993</v>
      </c>
      <c r="CH84">
        <v>5</v>
      </c>
      <c r="CI84">
        <v>3905.9999999999995</v>
      </c>
      <c r="CJ84">
        <v>4.0112183387766542</v>
      </c>
      <c r="CK84">
        <v>3133.5637662523222</v>
      </c>
      <c r="CL84">
        <v>5.7124220944093773</v>
      </c>
      <c r="CM84">
        <v>4462.544140152605</v>
      </c>
      <c r="CN84">
        <v>5.9612275100873378</v>
      </c>
      <c r="CO84">
        <v>4656.9109308802281</v>
      </c>
      <c r="CP84">
        <v>5.3601775602172355</v>
      </c>
      <c r="CQ84">
        <v>4187.3707100417041</v>
      </c>
      <c r="CR84">
        <v>1.2810969901505727</v>
      </c>
      <c r="CS84">
        <v>1000.7929687056272</v>
      </c>
      <c r="CT84">
        <v>6.4325920102299836</v>
      </c>
      <c r="CU84">
        <v>5025.1408783916631</v>
      </c>
    </row>
    <row r="85" spans="2:99">
      <c r="C85" s="99" t="s">
        <v>252</v>
      </c>
      <c r="D85">
        <v>6.5497512993082987</v>
      </c>
      <c r="E85">
        <v>982.46269489624478</v>
      </c>
      <c r="F85">
        <v>5</v>
      </c>
      <c r="G85">
        <v>750</v>
      </c>
      <c r="H85">
        <v>6</v>
      </c>
      <c r="I85">
        <v>900</v>
      </c>
      <c r="J85">
        <v>8</v>
      </c>
      <c r="K85">
        <v>1200</v>
      </c>
      <c r="L85">
        <v>6</v>
      </c>
      <c r="M85">
        <v>900</v>
      </c>
      <c r="N85">
        <v>4.4652647528714882</v>
      </c>
      <c r="O85">
        <v>669.78971293072323</v>
      </c>
      <c r="P85">
        <v>1.1820649446121736</v>
      </c>
      <c r="Q85">
        <v>177.30974169182605</v>
      </c>
      <c r="R85">
        <v>4.4246164439905176</v>
      </c>
      <c r="S85">
        <v>663.69246659857765</v>
      </c>
      <c r="T85">
        <v>4.0233325127647577</v>
      </c>
      <c r="U85">
        <v>603.4998769147137</v>
      </c>
      <c r="V85">
        <v>2.224000061465599</v>
      </c>
      <c r="W85">
        <v>333.60000921983988</v>
      </c>
      <c r="X85">
        <v>6.1819678429837364</v>
      </c>
      <c r="Y85">
        <v>927.29517644756049</v>
      </c>
      <c r="Z85">
        <v>6.8829109663171097</v>
      </c>
      <c r="AA85">
        <v>1032.4366449475665</v>
      </c>
      <c r="AB85">
        <v>5</v>
      </c>
      <c r="AC85">
        <v>750</v>
      </c>
      <c r="AD85">
        <v>5</v>
      </c>
      <c r="AE85">
        <v>750</v>
      </c>
      <c r="AF85">
        <v>7.0122431129932306</v>
      </c>
      <c r="AG85">
        <v>1051.8364669489845</v>
      </c>
      <c r="AH85">
        <v>6.9382347008164729</v>
      </c>
      <c r="AI85">
        <v>1040.7352051224709</v>
      </c>
      <c r="AJ85">
        <v>6</v>
      </c>
      <c r="AK85">
        <v>900</v>
      </c>
      <c r="AL85">
        <v>6</v>
      </c>
      <c r="AM85">
        <v>900</v>
      </c>
      <c r="AN85">
        <v>8</v>
      </c>
      <c r="AO85">
        <v>1200</v>
      </c>
      <c r="AP85">
        <v>3.2472563089824686</v>
      </c>
      <c r="AQ85">
        <v>487.08844634737028</v>
      </c>
      <c r="AR85">
        <v>9</v>
      </c>
      <c r="AS85">
        <v>1350</v>
      </c>
      <c r="AT85">
        <v>6</v>
      </c>
      <c r="AU85">
        <v>900</v>
      </c>
      <c r="AV85">
        <v>7</v>
      </c>
      <c r="AW85">
        <v>1050</v>
      </c>
      <c r="AX85">
        <v>7</v>
      </c>
      <c r="AY85">
        <v>1050</v>
      </c>
      <c r="AZ85">
        <v>6.4441949338886477</v>
      </c>
      <c r="BA85">
        <v>966.62924008329719</v>
      </c>
      <c r="BB85">
        <v>2.6425236590301875</v>
      </c>
      <c r="BC85">
        <v>396.37854885452811</v>
      </c>
      <c r="BD85">
        <v>9.6444033838693972</v>
      </c>
      <c r="BE85">
        <v>1446.6605075804096</v>
      </c>
      <c r="BF85">
        <v>6.3662026982129216</v>
      </c>
      <c r="BG85">
        <v>954.93040473193821</v>
      </c>
      <c r="BH85">
        <v>6.3978529596951885</v>
      </c>
      <c r="BI85">
        <v>959.67794395427825</v>
      </c>
      <c r="BJ85">
        <v>6.0155084907723584</v>
      </c>
      <c r="BK85">
        <v>902.32627361585378</v>
      </c>
      <c r="BL85">
        <v>7.2465147453793488</v>
      </c>
      <c r="BM85">
        <v>1086.9772118069022</v>
      </c>
      <c r="BN85">
        <v>3.6566896198350292</v>
      </c>
      <c r="BO85">
        <v>548.50344297525442</v>
      </c>
      <c r="BP85">
        <v>6.1498426113886779</v>
      </c>
      <c r="BQ85">
        <v>922.47639170830166</v>
      </c>
      <c r="BR85">
        <v>2.9072733932693717</v>
      </c>
      <c r="BS85">
        <v>436.09100899040578</v>
      </c>
      <c r="BT85">
        <v>9.5794156796135042</v>
      </c>
      <c r="BU85">
        <v>1436.9123519420257</v>
      </c>
      <c r="BV85">
        <v>1.4653474138955651</v>
      </c>
      <c r="BW85">
        <v>219.80211208433477</v>
      </c>
      <c r="BX85">
        <v>8.8217117194031598</v>
      </c>
      <c r="BY85">
        <v>1323.2567579104739</v>
      </c>
      <c r="BZ85">
        <v>7</v>
      </c>
      <c r="CA85">
        <v>1050</v>
      </c>
      <c r="CB85">
        <v>6.1338790052328847</v>
      </c>
      <c r="CC85">
        <v>920.08185078493273</v>
      </c>
      <c r="CD85">
        <v>3.4360424051681808</v>
      </c>
      <c r="CE85">
        <v>515.40636077522709</v>
      </c>
      <c r="CF85">
        <v>10</v>
      </c>
      <c r="CG85">
        <v>1500</v>
      </c>
      <c r="CH85">
        <v>6</v>
      </c>
      <c r="CI85">
        <v>900</v>
      </c>
      <c r="CJ85">
        <v>3.4799401604344253</v>
      </c>
      <c r="CK85">
        <v>521.99102406516386</v>
      </c>
      <c r="CL85">
        <v>7.3529999095362024</v>
      </c>
      <c r="CM85">
        <v>1102.9499864304303</v>
      </c>
      <c r="CN85">
        <v>6.8128314400998145</v>
      </c>
      <c r="CO85">
        <v>1021.9247160149722</v>
      </c>
      <c r="CP85">
        <v>6.2535404869201079</v>
      </c>
      <c r="CQ85">
        <v>938.03107303801619</v>
      </c>
      <c r="CR85">
        <v>1.1089081791446682</v>
      </c>
      <c r="CS85">
        <v>166.33622687170023</v>
      </c>
      <c r="CT85">
        <v>7.4325920102299836</v>
      </c>
      <c r="CU85">
        <v>1114.8888015344976</v>
      </c>
    </row>
    <row r="86" spans="2:99">
      <c r="C86" s="99" t="s">
        <v>253</v>
      </c>
      <c r="D86">
        <v>6.5497512993082987</v>
      </c>
      <c r="E86">
        <v>3536.8657016264815</v>
      </c>
      <c r="F86">
        <v>4</v>
      </c>
      <c r="G86">
        <v>2160</v>
      </c>
      <c r="H86">
        <v>6</v>
      </c>
      <c r="I86">
        <v>3240</v>
      </c>
      <c r="J86">
        <v>8</v>
      </c>
      <c r="K86">
        <v>4320</v>
      </c>
      <c r="L86">
        <v>6</v>
      </c>
      <c r="M86">
        <v>3240</v>
      </c>
      <c r="N86">
        <v>4.4652647528714882</v>
      </c>
      <c r="O86">
        <v>2411.2429665506038</v>
      </c>
      <c r="P86">
        <v>1.3298230626886953</v>
      </c>
      <c r="Q86">
        <v>718.10445385189553</v>
      </c>
      <c r="R86">
        <v>3.7591033313152784</v>
      </c>
      <c r="S86">
        <v>2029.9157989102503</v>
      </c>
      <c r="T86">
        <v>4.0233325127647577</v>
      </c>
      <c r="U86">
        <v>2172.5995568929693</v>
      </c>
      <c r="V86">
        <v>2.5084131876844253</v>
      </c>
      <c r="W86">
        <v>1354.5431213495897</v>
      </c>
      <c r="X86">
        <v>5.3814251246810043</v>
      </c>
      <c r="Y86">
        <v>2905.9695673277424</v>
      </c>
      <c r="Z86">
        <v>6.7856068000475505</v>
      </c>
      <c r="AA86">
        <v>3664.2276720256773</v>
      </c>
      <c r="AB86">
        <v>5</v>
      </c>
      <c r="AC86">
        <v>2700</v>
      </c>
      <c r="AD86">
        <v>5</v>
      </c>
      <c r="AE86">
        <v>2700</v>
      </c>
      <c r="AF86">
        <v>7.0122431129932306</v>
      </c>
      <c r="AG86">
        <v>3786.6112810163445</v>
      </c>
      <c r="AH86">
        <v>6.9382347008164729</v>
      </c>
      <c r="AI86">
        <v>3746.6467384408952</v>
      </c>
      <c r="AJ86">
        <v>6</v>
      </c>
      <c r="AK86">
        <v>3240</v>
      </c>
      <c r="AL86">
        <v>5</v>
      </c>
      <c r="AM86">
        <v>2700</v>
      </c>
      <c r="AN86">
        <v>7</v>
      </c>
      <c r="AO86">
        <v>3780</v>
      </c>
      <c r="AP86">
        <v>2.8413492703596601</v>
      </c>
      <c r="AQ86">
        <v>1534.3286059942166</v>
      </c>
      <c r="AR86">
        <v>8</v>
      </c>
      <c r="AS86">
        <v>4320</v>
      </c>
      <c r="AT86">
        <v>6</v>
      </c>
      <c r="AU86">
        <v>3240</v>
      </c>
      <c r="AV86">
        <v>6</v>
      </c>
      <c r="AW86">
        <v>3240</v>
      </c>
      <c r="AX86">
        <v>7</v>
      </c>
      <c r="AY86">
        <v>3780</v>
      </c>
      <c r="AZ86">
        <v>6.4441949338886477</v>
      </c>
      <c r="BA86">
        <v>3479.86526429987</v>
      </c>
      <c r="BB86">
        <v>2.00466245568651</v>
      </c>
      <c r="BC86">
        <v>1082.5177260707155</v>
      </c>
      <c r="BD86">
        <v>9.6444033838693972</v>
      </c>
      <c r="BE86">
        <v>5207.9778272894746</v>
      </c>
      <c r="BF86">
        <v>6.3662026982129216</v>
      </c>
      <c r="BG86">
        <v>3437.7494570349777</v>
      </c>
      <c r="BH86">
        <v>6.3978529596951885</v>
      </c>
      <c r="BI86">
        <v>3454.840598235402</v>
      </c>
      <c r="BJ86">
        <v>6.0155084907723584</v>
      </c>
      <c r="BK86">
        <v>3248.3745850170735</v>
      </c>
      <c r="BL86">
        <v>6.4527084344967598</v>
      </c>
      <c r="BM86">
        <v>3484.4625546282505</v>
      </c>
      <c r="BN86">
        <v>3.655503328482578</v>
      </c>
      <c r="BO86">
        <v>1973.9717973805921</v>
      </c>
      <c r="BP86">
        <v>7.0809260364256659</v>
      </c>
      <c r="BQ86">
        <v>3823.7000596698595</v>
      </c>
      <c r="BR86">
        <v>2.5194432929618356</v>
      </c>
      <c r="BS86">
        <v>1360.4993781993912</v>
      </c>
      <c r="BT86">
        <v>10.568095634420153</v>
      </c>
      <c r="BU86">
        <v>5706.771642586883</v>
      </c>
      <c r="BV86">
        <v>1.4653474138955651</v>
      </c>
      <c r="BW86">
        <v>791.28760350360517</v>
      </c>
      <c r="BX86">
        <v>9.8217117194031598</v>
      </c>
      <c r="BY86">
        <v>5303.724328477706</v>
      </c>
      <c r="BZ86">
        <v>7</v>
      </c>
      <c r="CA86">
        <v>3780</v>
      </c>
      <c r="CB86">
        <v>6.9006138808869952</v>
      </c>
      <c r="CC86">
        <v>3726.3314956789773</v>
      </c>
      <c r="CD86">
        <v>3.4360424051681808</v>
      </c>
      <c r="CE86">
        <v>1855.4628987908177</v>
      </c>
      <c r="CF86">
        <v>9</v>
      </c>
      <c r="CG86">
        <v>4860</v>
      </c>
      <c r="CH86">
        <v>5</v>
      </c>
      <c r="CI86">
        <v>2700</v>
      </c>
      <c r="CJ86">
        <v>3.4381871475228465</v>
      </c>
      <c r="CK86">
        <v>1856.6210596623371</v>
      </c>
      <c r="CL86">
        <v>5.6245678000728319</v>
      </c>
      <c r="CM86">
        <v>3037.2666120393292</v>
      </c>
      <c r="CN86">
        <v>5.9612275100873378</v>
      </c>
      <c r="CO86">
        <v>3219.0628554471623</v>
      </c>
      <c r="CP86">
        <v>7.1469034136229803</v>
      </c>
      <c r="CQ86">
        <v>3859.3278433564092</v>
      </c>
      <c r="CR86">
        <v>1.1020195143165554</v>
      </c>
      <c r="CS86">
        <v>595.0905377309399</v>
      </c>
      <c r="CT86">
        <v>6.4325920102299836</v>
      </c>
      <c r="CU86">
        <v>3473.599685524191</v>
      </c>
    </row>
    <row r="87" spans="2:99">
      <c r="B87" s="99" t="s">
        <v>131</v>
      </c>
      <c r="C87" s="99" t="s">
        <v>254</v>
      </c>
      <c r="D87">
        <v>7.0463466835191113</v>
      </c>
      <c r="E87">
        <v>7567.7763380995257</v>
      </c>
      <c r="F87">
        <v>3.6531646668857753</v>
      </c>
      <c r="G87">
        <v>3923.4988522353228</v>
      </c>
      <c r="H87">
        <v>3.9954693386941633</v>
      </c>
      <c r="I87">
        <v>4291.1340697575315</v>
      </c>
      <c r="J87">
        <v>2.736995430830671</v>
      </c>
      <c r="K87">
        <v>2939.5330927121408</v>
      </c>
      <c r="L87">
        <v>7.0133454176130972</v>
      </c>
      <c r="M87">
        <v>7532.332978516466</v>
      </c>
      <c r="N87">
        <v>3.2767567305089225</v>
      </c>
      <c r="O87">
        <v>3519.2367285665828</v>
      </c>
      <c r="P87">
        <v>3.763483222067765</v>
      </c>
      <c r="Q87">
        <v>4041.9809805007794</v>
      </c>
      <c r="R87">
        <v>0.94845096989110111</v>
      </c>
      <c r="S87">
        <v>1018.6363416630426</v>
      </c>
      <c r="T87">
        <v>1.2270993238039347</v>
      </c>
      <c r="U87">
        <v>1317.904673765426</v>
      </c>
      <c r="V87">
        <v>0.78210726132558472</v>
      </c>
      <c r="W87">
        <v>839.98319866367797</v>
      </c>
      <c r="X87">
        <v>5.2062826061742733</v>
      </c>
      <c r="Y87">
        <v>5591.5475190311699</v>
      </c>
      <c r="Z87">
        <v>3.7894641462159022</v>
      </c>
      <c r="AA87">
        <v>4069.8844930358791</v>
      </c>
      <c r="AB87">
        <v>3.846524667795495</v>
      </c>
      <c r="AC87">
        <v>4131.1674932123615</v>
      </c>
      <c r="AD87">
        <v>3.8217183673331037</v>
      </c>
      <c r="AE87">
        <v>4104.525526515753</v>
      </c>
      <c r="AF87">
        <v>5.84505451547804</v>
      </c>
      <c r="AG87">
        <v>6277.588549623415</v>
      </c>
      <c r="AH87">
        <v>2.0956054936575792</v>
      </c>
      <c r="AI87">
        <v>2250.6803001882399</v>
      </c>
      <c r="AJ87">
        <v>5.2608441909702757</v>
      </c>
      <c r="AK87">
        <v>5650.146661102076</v>
      </c>
      <c r="AL87">
        <v>5.1639719203306447</v>
      </c>
      <c r="AM87">
        <v>5546.1058424351122</v>
      </c>
      <c r="AN87">
        <v>5.9836692988293176</v>
      </c>
      <c r="AO87">
        <v>6426.4608269426872</v>
      </c>
      <c r="AP87">
        <v>5.5435837931333403</v>
      </c>
      <c r="AQ87">
        <v>5953.8089938252078</v>
      </c>
      <c r="AR87">
        <v>7.2000463861770534</v>
      </c>
      <c r="AS87">
        <v>7732.8498187541554</v>
      </c>
      <c r="AT87">
        <v>2.3894482109120303</v>
      </c>
      <c r="AU87">
        <v>2566.2673785195207</v>
      </c>
      <c r="AV87">
        <v>3.9383783850174101</v>
      </c>
      <c r="AW87">
        <v>4229.8183855086982</v>
      </c>
      <c r="AX87">
        <v>6.7580768429905502</v>
      </c>
      <c r="AY87">
        <v>7258.1745293718513</v>
      </c>
      <c r="AZ87">
        <v>5.0727746895693766</v>
      </c>
      <c r="BA87">
        <v>5448.1600165975105</v>
      </c>
      <c r="BB87">
        <v>6.0471953288009113</v>
      </c>
      <c r="BC87">
        <v>6494.687783132179</v>
      </c>
      <c r="BD87">
        <v>7.6562210871935967</v>
      </c>
      <c r="BE87">
        <v>8222.7814476459225</v>
      </c>
      <c r="BF87">
        <v>3.8233183263518633</v>
      </c>
      <c r="BG87">
        <v>4106.2438825019008</v>
      </c>
      <c r="BH87">
        <v>6.594286898885815</v>
      </c>
      <c r="BI87">
        <v>7082.2641294033656</v>
      </c>
      <c r="BJ87">
        <v>4.0090899679288672</v>
      </c>
      <c r="BK87">
        <v>4305.7626255556033</v>
      </c>
      <c r="BL87">
        <v>4.0970516478438821</v>
      </c>
      <c r="BM87">
        <v>4400.2334697843289</v>
      </c>
      <c r="BN87">
        <v>4.2066987728907215</v>
      </c>
      <c r="BO87">
        <v>4517.9944820846349</v>
      </c>
      <c r="BP87">
        <v>3.2154724441857643</v>
      </c>
      <c r="BQ87">
        <v>3453.4174050555107</v>
      </c>
      <c r="BR87">
        <v>3.5761999686546417</v>
      </c>
      <c r="BS87">
        <v>3840.8387663350854</v>
      </c>
      <c r="BT87">
        <v>4.1167103420533495</v>
      </c>
      <c r="BU87">
        <v>4421.3469073652977</v>
      </c>
      <c r="BV87">
        <v>3.4998622402100565</v>
      </c>
      <c r="BW87">
        <v>3758.8520459856009</v>
      </c>
      <c r="BX87">
        <v>5.9034973296475561</v>
      </c>
      <c r="BY87">
        <v>6340.3561320414756</v>
      </c>
      <c r="BZ87">
        <v>5</v>
      </c>
      <c r="CA87">
        <v>5370</v>
      </c>
      <c r="CB87">
        <v>5.2248684888123069</v>
      </c>
      <c r="CC87">
        <v>5611.5087569844172</v>
      </c>
      <c r="CD87">
        <v>1.8251659651352965</v>
      </c>
      <c r="CE87">
        <v>1960.2282465553085</v>
      </c>
      <c r="CF87">
        <v>10.465162020742008</v>
      </c>
      <c r="CG87">
        <v>11239.584010276916</v>
      </c>
      <c r="CH87">
        <v>5.5242862063673019</v>
      </c>
      <c r="CI87">
        <v>5933.0833856384825</v>
      </c>
      <c r="CJ87">
        <v>0.8318514029164592</v>
      </c>
      <c r="CK87">
        <v>893.40840673227717</v>
      </c>
      <c r="CL87">
        <v>7.2133154869361338</v>
      </c>
      <c r="CM87">
        <v>7747.1008329694077</v>
      </c>
      <c r="CN87">
        <v>1.6828837071943412</v>
      </c>
      <c r="CO87">
        <v>1807.4171015267225</v>
      </c>
      <c r="CP87">
        <v>9.5323358948074439</v>
      </c>
      <c r="CQ87">
        <v>10237.728751023194</v>
      </c>
      <c r="CR87">
        <v>5.5187727497861676</v>
      </c>
      <c r="CS87">
        <v>5927.161933270344</v>
      </c>
      <c r="CT87">
        <v>6.1976505561436817</v>
      </c>
      <c r="CU87">
        <v>6656.2766972983145</v>
      </c>
    </row>
    <row r="88" spans="2:99">
      <c r="C88" s="99" t="s">
        <v>255</v>
      </c>
      <c r="D88">
        <v>6.2591938763827741</v>
      </c>
      <c r="E88">
        <v>6211.6240029222645</v>
      </c>
      <c r="F88">
        <v>3.6531646668857753</v>
      </c>
      <c r="G88">
        <v>3625.4006154174435</v>
      </c>
      <c r="H88">
        <v>3.9659202382263272</v>
      </c>
      <c r="I88">
        <v>3935.7792444158072</v>
      </c>
      <c r="J88">
        <v>2.7317795614341311</v>
      </c>
      <c r="K88">
        <v>2711.0180367672315</v>
      </c>
      <c r="L88">
        <v>7.0133454176130972</v>
      </c>
      <c r="M88">
        <v>6960.0439924392376</v>
      </c>
      <c r="N88">
        <v>3.2816368689583872</v>
      </c>
      <c r="O88">
        <v>3256.6964287543033</v>
      </c>
      <c r="P88">
        <v>4.2790346603105132</v>
      </c>
      <c r="Q88">
        <v>4246.513996892153</v>
      </c>
      <c r="R88">
        <v>0.94845096989110111</v>
      </c>
      <c r="S88">
        <v>941.2427425199287</v>
      </c>
      <c r="T88">
        <v>1.4023992272044967</v>
      </c>
      <c r="U88">
        <v>1391.7409930777426</v>
      </c>
      <c r="V88">
        <v>0.78210726132558472</v>
      </c>
      <c r="W88">
        <v>776.16324613951031</v>
      </c>
      <c r="X88">
        <v>5.2700650686260619</v>
      </c>
      <c r="Y88">
        <v>5230.012574104504</v>
      </c>
      <c r="Z88">
        <v>3.7918327954167408</v>
      </c>
      <c r="AA88">
        <v>3763.0148661715734</v>
      </c>
      <c r="AB88">
        <v>3.846524667795495</v>
      </c>
      <c r="AC88">
        <v>3817.291080320249</v>
      </c>
      <c r="AD88">
        <v>3.8217183673331037</v>
      </c>
      <c r="AE88">
        <v>3792.6733077413719</v>
      </c>
      <c r="AF88">
        <v>5.0936640397646373</v>
      </c>
      <c r="AG88">
        <v>5054.952193062426</v>
      </c>
      <c r="AH88">
        <v>2.1049968474525773</v>
      </c>
      <c r="AI88">
        <v>2088.9988714119377</v>
      </c>
      <c r="AJ88">
        <v>5.3661322291368627</v>
      </c>
      <c r="AK88">
        <v>5325.3496241954226</v>
      </c>
      <c r="AL88">
        <v>6.1229789402479833</v>
      </c>
      <c r="AM88">
        <v>6076.4443003020988</v>
      </c>
      <c r="AN88">
        <v>5.128859398996557</v>
      </c>
      <c r="AO88">
        <v>5089.8800675641833</v>
      </c>
      <c r="AP88">
        <v>4.8323489226270286</v>
      </c>
      <c r="AQ88">
        <v>4795.6230708150633</v>
      </c>
      <c r="AR88">
        <v>7.2000463861770534</v>
      </c>
      <c r="AS88">
        <v>7145.3260336421072</v>
      </c>
      <c r="AT88">
        <v>2.3894482109120303</v>
      </c>
      <c r="AU88">
        <v>2371.2884045090987</v>
      </c>
      <c r="AV88">
        <v>3.8172217486295148</v>
      </c>
      <c r="AW88">
        <v>3788.2108633399303</v>
      </c>
      <c r="AX88">
        <v>7.7580768429905502</v>
      </c>
      <c r="AY88">
        <v>7699.1154589838216</v>
      </c>
      <c r="AZ88">
        <v>5.0727746895693766</v>
      </c>
      <c r="BA88">
        <v>5034.2216019286489</v>
      </c>
      <c r="BB88">
        <v>6.0471953288009113</v>
      </c>
      <c r="BC88">
        <v>6001.2366443020246</v>
      </c>
      <c r="BD88">
        <v>7.6608327491304058</v>
      </c>
      <c r="BE88">
        <v>7602.6104202370143</v>
      </c>
      <c r="BF88">
        <v>3.8898631706965907</v>
      </c>
      <c r="BG88">
        <v>3860.3002105992964</v>
      </c>
      <c r="BH88">
        <v>5.8770547434311089</v>
      </c>
      <c r="BI88">
        <v>5832.3891273810323</v>
      </c>
      <c r="BJ88">
        <v>4.1233245262202018</v>
      </c>
      <c r="BK88">
        <v>4091.9872598209281</v>
      </c>
      <c r="BL88">
        <v>4.1924245254884669</v>
      </c>
      <c r="BM88">
        <v>4160.5620990947546</v>
      </c>
      <c r="BN88">
        <v>4.1835427489230392</v>
      </c>
      <c r="BO88">
        <v>4151.7478240312239</v>
      </c>
      <c r="BP88">
        <v>3.2111043482785435</v>
      </c>
      <c r="BQ88">
        <v>3186.6999552316265</v>
      </c>
      <c r="BR88">
        <v>3.5761999686546417</v>
      </c>
      <c r="BS88">
        <v>3549.0208488928665</v>
      </c>
      <c r="BT88">
        <v>4.0133882444868982</v>
      </c>
      <c r="BU88">
        <v>3982.8864938287979</v>
      </c>
      <c r="BV88">
        <v>3.3157601661396461</v>
      </c>
      <c r="BW88">
        <v>3290.5603888769847</v>
      </c>
      <c r="BX88">
        <v>5.9034973296475561</v>
      </c>
      <c r="BY88">
        <v>5858.6307499422346</v>
      </c>
      <c r="BZ88">
        <v>5</v>
      </c>
      <c r="CA88">
        <v>4962</v>
      </c>
      <c r="CB88">
        <v>5.884475506124466</v>
      </c>
      <c r="CC88">
        <v>5839.7534922779196</v>
      </c>
      <c r="CD88">
        <v>1.9772534436910916</v>
      </c>
      <c r="CE88">
        <v>1962.2263175190392</v>
      </c>
      <c r="CF88">
        <v>9.5048727378121765</v>
      </c>
      <c r="CG88">
        <v>9432.6357050048045</v>
      </c>
      <c r="CH88">
        <v>6.3134699501340599</v>
      </c>
      <c r="CI88">
        <v>6265.4875785130407</v>
      </c>
      <c r="CJ88">
        <v>0.96426990889327524</v>
      </c>
      <c r="CK88">
        <v>956.94145758568629</v>
      </c>
      <c r="CL88">
        <v>6.4190356835142346</v>
      </c>
      <c r="CM88">
        <v>6370.2510123195261</v>
      </c>
      <c r="CN88">
        <v>1.4981471315858768</v>
      </c>
      <c r="CO88">
        <v>1486.761213385824</v>
      </c>
      <c r="CP88">
        <v>9.5323358948074439</v>
      </c>
      <c r="CQ88">
        <v>9459.8901420069069</v>
      </c>
      <c r="CR88">
        <v>5.3352936022773205</v>
      </c>
      <c r="CS88">
        <v>5294.7453709000129</v>
      </c>
      <c r="CT88">
        <v>5.5173135000712712</v>
      </c>
      <c r="CU88">
        <v>5475.3819174707296</v>
      </c>
    </row>
    <row r="89" spans="2:99">
      <c r="C89" s="99" t="s">
        <v>256</v>
      </c>
      <c r="D89">
        <v>6.2636336159455155</v>
      </c>
      <c r="E89">
        <v>6651.9789001341378</v>
      </c>
      <c r="F89">
        <v>3.6531646668857753</v>
      </c>
      <c r="G89">
        <v>3879.6608762326932</v>
      </c>
      <c r="H89">
        <v>3.8656659475112751</v>
      </c>
      <c r="I89">
        <v>4105.3372362569744</v>
      </c>
      <c r="J89">
        <v>2.736995430830671</v>
      </c>
      <c r="K89">
        <v>2906.6891475421726</v>
      </c>
      <c r="L89">
        <v>6.0133454176130972</v>
      </c>
      <c r="M89">
        <v>6386.1728335051093</v>
      </c>
      <c r="N89">
        <v>2.7395775292481215</v>
      </c>
      <c r="O89">
        <v>2909.4313360615051</v>
      </c>
      <c r="P89">
        <v>4.2790346603105132</v>
      </c>
      <c r="Q89">
        <v>4544.3348092497654</v>
      </c>
      <c r="R89">
        <v>0.94845096989110111</v>
      </c>
      <c r="S89">
        <v>1007.2549300243494</v>
      </c>
      <c r="T89">
        <v>1.2270993238039347</v>
      </c>
      <c r="U89">
        <v>1303.1794818797787</v>
      </c>
      <c r="V89">
        <v>0.78210726132558472</v>
      </c>
      <c r="W89">
        <v>830.59791152777098</v>
      </c>
      <c r="X89">
        <v>5.2700650686260619</v>
      </c>
      <c r="Y89">
        <v>5596.8091028808776</v>
      </c>
      <c r="Z89">
        <v>3.7918327954167408</v>
      </c>
      <c r="AA89">
        <v>4026.9264287325786</v>
      </c>
      <c r="AB89">
        <v>4.4890133291663377</v>
      </c>
      <c r="AC89">
        <v>4767.3321555746506</v>
      </c>
      <c r="AD89">
        <v>4.4648272985516959</v>
      </c>
      <c r="AE89">
        <v>4741.6465910619008</v>
      </c>
      <c r="AF89">
        <v>5.182702414832506</v>
      </c>
      <c r="AG89">
        <v>5504.0299645521218</v>
      </c>
      <c r="AH89">
        <v>2.0956054936575792</v>
      </c>
      <c r="AI89">
        <v>2225.5330342643492</v>
      </c>
      <c r="AJ89">
        <v>5.3661322291368627</v>
      </c>
      <c r="AK89">
        <v>5698.8324273433482</v>
      </c>
      <c r="AL89">
        <v>6.1639719203306447</v>
      </c>
      <c r="AM89">
        <v>6546.1381793911451</v>
      </c>
      <c r="AN89">
        <v>5.9836692988293176</v>
      </c>
      <c r="AO89">
        <v>6354.6567953567355</v>
      </c>
      <c r="AP89">
        <v>5.5435837931333403</v>
      </c>
      <c r="AQ89">
        <v>5887.2859883076071</v>
      </c>
      <c r="AR89">
        <v>6.3584077736216056</v>
      </c>
      <c r="AS89">
        <v>6752.6290555861451</v>
      </c>
      <c r="AT89">
        <v>2.3894482109120303</v>
      </c>
      <c r="AU89">
        <v>2537.5939999885763</v>
      </c>
      <c r="AV89">
        <v>3.9334949968328465</v>
      </c>
      <c r="AW89">
        <v>4177.371686636483</v>
      </c>
      <c r="AX89">
        <v>6.8844229834889754</v>
      </c>
      <c r="AY89">
        <v>7311.257208465292</v>
      </c>
      <c r="AZ89">
        <v>5.0873296274832516</v>
      </c>
      <c r="BA89">
        <v>5402.7440643872133</v>
      </c>
      <c r="BB89">
        <v>6.0393294406674256</v>
      </c>
      <c r="BC89">
        <v>6413.7678659888061</v>
      </c>
      <c r="BD89">
        <v>7.5266204592314363</v>
      </c>
      <c r="BE89">
        <v>7993.2709277037857</v>
      </c>
      <c r="BF89">
        <v>3.7968334312066419</v>
      </c>
      <c r="BG89">
        <v>4032.2371039414538</v>
      </c>
      <c r="BH89">
        <v>5.8770547434311089</v>
      </c>
      <c r="BI89">
        <v>6241.4321375238378</v>
      </c>
      <c r="BJ89">
        <v>4.1079191813048119</v>
      </c>
      <c r="BK89">
        <v>4362.6101705457104</v>
      </c>
      <c r="BL89">
        <v>4.0931871011741219</v>
      </c>
      <c r="BM89">
        <v>4346.9647014469174</v>
      </c>
      <c r="BN89">
        <v>3.6533143683976048</v>
      </c>
      <c r="BO89">
        <v>3879.8198592382564</v>
      </c>
      <c r="BP89">
        <v>3.2111043482785435</v>
      </c>
      <c r="BQ89">
        <v>3410.1928178718131</v>
      </c>
      <c r="BR89">
        <v>3.5714070923544474</v>
      </c>
      <c r="BS89">
        <v>3792.8343320804233</v>
      </c>
      <c r="BT89">
        <v>4.1167103420533495</v>
      </c>
      <c r="BU89">
        <v>4371.9463832606571</v>
      </c>
      <c r="BV89">
        <v>2.9814361724438356</v>
      </c>
      <c r="BW89">
        <v>3166.2852151353536</v>
      </c>
      <c r="BX89">
        <v>5.7529144413729636</v>
      </c>
      <c r="BY89">
        <v>6109.5951367380876</v>
      </c>
      <c r="BZ89">
        <v>5</v>
      </c>
      <c r="CA89">
        <v>5310</v>
      </c>
      <c r="CB89">
        <v>5.219334442324528</v>
      </c>
      <c r="CC89">
        <v>5542.9331777486486</v>
      </c>
      <c r="CD89">
        <v>1.627291937394477</v>
      </c>
      <c r="CE89">
        <v>1728.1840375129345</v>
      </c>
      <c r="CF89">
        <v>8.4214021418189589</v>
      </c>
      <c r="CG89">
        <v>8943.5290746117334</v>
      </c>
      <c r="CH89">
        <v>6.3134699501340599</v>
      </c>
      <c r="CI89">
        <v>6704.9050870423716</v>
      </c>
      <c r="CJ89">
        <v>0.8277024732436189</v>
      </c>
      <c r="CK89">
        <v>879.02002658472327</v>
      </c>
      <c r="CL89">
        <v>6.4367988460489736</v>
      </c>
      <c r="CM89">
        <v>6835.8803745040095</v>
      </c>
      <c r="CN89">
        <v>1.3163040597942919</v>
      </c>
      <c r="CO89">
        <v>1397.914911501538</v>
      </c>
      <c r="CP89">
        <v>8.6210585439420182</v>
      </c>
      <c r="CQ89">
        <v>9155.5641736664238</v>
      </c>
      <c r="CR89">
        <v>5.549352607704308</v>
      </c>
      <c r="CS89">
        <v>5893.4124693819749</v>
      </c>
      <c r="CT89">
        <v>5.5173135000712712</v>
      </c>
      <c r="CU89">
        <v>5859.3869370756902</v>
      </c>
    </row>
    <row r="90" spans="2:99">
      <c r="C90" s="99" t="s">
        <v>257</v>
      </c>
      <c r="D90">
        <v>5.472041069246437</v>
      </c>
      <c r="E90">
        <v>6067.399137580449</v>
      </c>
      <c r="F90">
        <v>3.7185961268227623</v>
      </c>
      <c r="G90">
        <v>4123.1793854210782</v>
      </c>
      <c r="H90">
        <v>3.8952150479791117</v>
      </c>
      <c r="I90">
        <v>4319.0144451992392</v>
      </c>
      <c r="J90">
        <v>2.6318146750048199</v>
      </c>
      <c r="K90">
        <v>2918.156111645344</v>
      </c>
      <c r="L90">
        <v>6.0133454176130972</v>
      </c>
      <c r="M90">
        <v>6667.5973990494022</v>
      </c>
      <c r="N90">
        <v>3.2816368689583872</v>
      </c>
      <c r="O90">
        <v>3638.6789603010598</v>
      </c>
      <c r="P90">
        <v>4.2790346603105132</v>
      </c>
      <c r="Q90">
        <v>4744.5936313522971</v>
      </c>
      <c r="R90">
        <v>1.1381411638693213</v>
      </c>
      <c r="S90">
        <v>1261.9709224983035</v>
      </c>
      <c r="T90">
        <v>1.0517994204033725</v>
      </c>
      <c r="U90">
        <v>1166.2351973432594</v>
      </c>
      <c r="V90">
        <v>0.78210726132558472</v>
      </c>
      <c r="W90">
        <v>867.20053135780836</v>
      </c>
      <c r="X90">
        <v>6.1706363325654898</v>
      </c>
      <c r="Y90">
        <v>6842.001565548615</v>
      </c>
      <c r="Z90">
        <v>3.7894641462159022</v>
      </c>
      <c r="AA90">
        <v>4201.7578453241922</v>
      </c>
      <c r="AB90">
        <v>3.846524667795495</v>
      </c>
      <c r="AC90">
        <v>4265.0265516516447</v>
      </c>
      <c r="AD90">
        <v>3.7300112820578408</v>
      </c>
      <c r="AE90">
        <v>4135.8365095457339</v>
      </c>
      <c r="AF90">
        <v>5.182702414832506</v>
      </c>
      <c r="AG90">
        <v>5746.5804375662829</v>
      </c>
      <c r="AH90">
        <v>2.0956054936575792</v>
      </c>
      <c r="AI90">
        <v>2323.6073713675237</v>
      </c>
      <c r="AJ90">
        <v>4.4403090367427103</v>
      </c>
      <c r="AK90">
        <v>4923.4146599403166</v>
      </c>
      <c r="AL90">
        <v>5.1639719203306447</v>
      </c>
      <c r="AM90">
        <v>5725.8120652626185</v>
      </c>
      <c r="AN90">
        <v>5.128859398996557</v>
      </c>
      <c r="AO90">
        <v>5686.8793016073823</v>
      </c>
      <c r="AP90">
        <v>4.7381923060288358</v>
      </c>
      <c r="AQ90">
        <v>5253.7076289247725</v>
      </c>
      <c r="AR90">
        <v>7.2000463861770534</v>
      </c>
      <c r="AS90">
        <v>7983.4114329931163</v>
      </c>
      <c r="AT90">
        <v>2.3894482109120303</v>
      </c>
      <c r="AU90">
        <v>2649.4201762592593</v>
      </c>
      <c r="AV90">
        <v>3.8172217486295148</v>
      </c>
      <c r="AW90">
        <v>4232.5354748804057</v>
      </c>
      <c r="AX90">
        <v>6.7580768429905502</v>
      </c>
      <c r="AY90">
        <v>7493.3556035079218</v>
      </c>
      <c r="AZ90">
        <v>5.0727746895693766</v>
      </c>
      <c r="BA90">
        <v>5624.6925757945246</v>
      </c>
      <c r="BB90">
        <v>6.0393294406674256</v>
      </c>
      <c r="BC90">
        <v>6696.4084838120416</v>
      </c>
      <c r="BD90">
        <v>6.165662924076444</v>
      </c>
      <c r="BE90">
        <v>6836.4870502159611</v>
      </c>
      <c r="BF90">
        <v>3.8633782755513684</v>
      </c>
      <c r="BG90">
        <v>4283.7138319313572</v>
      </c>
      <c r="BH90">
        <v>5.8770547434311089</v>
      </c>
      <c r="BI90">
        <v>6516.4782995164132</v>
      </c>
      <c r="BJ90">
        <v>4.1211237626608597</v>
      </c>
      <c r="BK90">
        <v>4569.5020280383615</v>
      </c>
      <c r="BL90">
        <v>4.1924245254884669</v>
      </c>
      <c r="BM90">
        <v>4648.5603138616116</v>
      </c>
      <c r="BN90">
        <v>3.6764703923652866</v>
      </c>
      <c r="BO90">
        <v>4076.4703710546296</v>
      </c>
      <c r="BP90">
        <v>3.300654278432444</v>
      </c>
      <c r="BQ90">
        <v>3659.7654639258935</v>
      </c>
      <c r="BR90">
        <v>4.1371002963745847</v>
      </c>
      <c r="BS90">
        <v>4587.2168086201391</v>
      </c>
      <c r="BT90">
        <v>4.1120327618282015</v>
      </c>
      <c r="BU90">
        <v>4559.4219263151099</v>
      </c>
      <c r="BV90">
        <v>3.6841779623773849</v>
      </c>
      <c r="BW90">
        <v>4085.0165246840443</v>
      </c>
      <c r="BX90">
        <v>6.0540802179221487</v>
      </c>
      <c r="BY90">
        <v>6712.764145632078</v>
      </c>
      <c r="BZ90">
        <v>5</v>
      </c>
      <c r="CA90">
        <v>5544</v>
      </c>
      <c r="CB90">
        <v>5.8051832309825695</v>
      </c>
      <c r="CC90">
        <v>6436.7871665134726</v>
      </c>
      <c r="CD90">
        <v>2.1902905322457791</v>
      </c>
      <c r="CE90">
        <v>2428.5941421541197</v>
      </c>
      <c r="CF90">
        <v>9.3816914247487926</v>
      </c>
      <c r="CG90">
        <v>10402.419451761461</v>
      </c>
      <c r="CH90">
        <v>6.3134699501340599</v>
      </c>
      <c r="CI90">
        <v>7000.3754807086452</v>
      </c>
      <c r="CJ90">
        <v>0.96841883856611566</v>
      </c>
      <c r="CK90">
        <v>1073.782808202109</v>
      </c>
      <c r="CL90">
        <v>6.4190356835142346</v>
      </c>
      <c r="CM90">
        <v>7117.4267658805829</v>
      </c>
      <c r="CN90">
        <v>1.4981471315858768</v>
      </c>
      <c r="CO90">
        <v>1661.14553950242</v>
      </c>
      <c r="CP90">
        <v>9.5323358948074439</v>
      </c>
      <c r="CQ90">
        <v>10569.454040162493</v>
      </c>
      <c r="CR90">
        <v>5.5187727497861676</v>
      </c>
      <c r="CS90">
        <v>6119.2152249629025</v>
      </c>
      <c r="CT90">
        <v>6.1976505561436817</v>
      </c>
      <c r="CU90">
        <v>6871.9549366521142</v>
      </c>
    </row>
    <row r="91" spans="2:99">
      <c r="C91" s="99" t="s">
        <v>258</v>
      </c>
      <c r="D91">
        <v>6.2591938763827741</v>
      </c>
      <c r="E91">
        <v>7112.9479211213838</v>
      </c>
      <c r="F91">
        <v>3.6499008677180949</v>
      </c>
      <c r="G91">
        <v>4147.7473460748424</v>
      </c>
      <c r="H91">
        <v>3.4051878225703245</v>
      </c>
      <c r="I91">
        <v>3869.6554415689161</v>
      </c>
      <c r="J91">
        <v>2.6265988056082796</v>
      </c>
      <c r="K91">
        <v>2984.8668826932485</v>
      </c>
      <c r="L91">
        <v>6.0133454176130972</v>
      </c>
      <c r="M91">
        <v>6833.5657325755228</v>
      </c>
      <c r="N91">
        <v>3.2816368689583872</v>
      </c>
      <c r="O91">
        <v>3729.2521378843107</v>
      </c>
      <c r="P91">
        <v>4.2790346603105132</v>
      </c>
      <c r="Q91">
        <v>4862.6949879768663</v>
      </c>
      <c r="R91">
        <v>1.1381411638693213</v>
      </c>
      <c r="S91">
        <v>1293.3836186210965</v>
      </c>
      <c r="T91">
        <v>1.2270993238039347</v>
      </c>
      <c r="U91">
        <v>1394.4756715707913</v>
      </c>
      <c r="V91">
        <v>0.78210726132558472</v>
      </c>
      <c r="W91">
        <v>888.78669177039433</v>
      </c>
      <c r="X91">
        <v>5.2062826061742733</v>
      </c>
      <c r="Y91">
        <v>5916.4195536564439</v>
      </c>
      <c r="Z91">
        <v>3.7922275702835475</v>
      </c>
      <c r="AA91">
        <v>4309.4874108702224</v>
      </c>
      <c r="AB91">
        <v>4.5946935559898847</v>
      </c>
      <c r="AC91">
        <v>5221.4097570269041</v>
      </c>
      <c r="AD91">
        <v>3.7260161963729432</v>
      </c>
      <c r="AE91">
        <v>4234.2448055582117</v>
      </c>
      <c r="AF91">
        <v>5.182702414832506</v>
      </c>
      <c r="AG91">
        <v>5889.6230242156589</v>
      </c>
      <c r="AH91">
        <v>2.0956054936575792</v>
      </c>
      <c r="AI91">
        <v>2381.4460829924728</v>
      </c>
      <c r="AJ91">
        <v>5.2608441909702757</v>
      </c>
      <c r="AK91">
        <v>5978.4233386186206</v>
      </c>
      <c r="AL91">
        <v>5.1229789402479833</v>
      </c>
      <c r="AM91">
        <v>5821.7532676978071</v>
      </c>
      <c r="AN91">
        <v>5.128859398996557</v>
      </c>
      <c r="AO91">
        <v>5828.435821019687</v>
      </c>
      <c r="AP91">
        <v>4.8323489226270286</v>
      </c>
      <c r="AQ91">
        <v>5491.4813156733544</v>
      </c>
      <c r="AR91">
        <v>7.2000463861770534</v>
      </c>
      <c r="AS91">
        <v>8182.1327132516026</v>
      </c>
      <c r="AT91">
        <v>2.3395492437746865</v>
      </c>
      <c r="AU91">
        <v>2658.6637606255536</v>
      </c>
      <c r="AV91">
        <v>3.8172217486295148</v>
      </c>
      <c r="AW91">
        <v>4337.8907951425799</v>
      </c>
      <c r="AX91">
        <v>6.8844229834889754</v>
      </c>
      <c r="AY91">
        <v>7823.4582784368704</v>
      </c>
      <c r="AZ91">
        <v>5.0727746895693766</v>
      </c>
      <c r="BA91">
        <v>5764.7011572266392</v>
      </c>
      <c r="BB91">
        <v>5.0471953288009113</v>
      </c>
      <c r="BC91">
        <v>5735.6327716493552</v>
      </c>
      <c r="BD91">
        <v>6.9109420056350199</v>
      </c>
      <c r="BE91">
        <v>7853.5944952036361</v>
      </c>
      <c r="BF91">
        <v>3.7968334312066419</v>
      </c>
      <c r="BG91">
        <v>4314.721511223227</v>
      </c>
      <c r="BH91">
        <v>5.8770547434311089</v>
      </c>
      <c r="BI91">
        <v>6678.6850104351115</v>
      </c>
      <c r="BJ91">
        <v>3.4462637266517167</v>
      </c>
      <c r="BK91">
        <v>3916.3340989670105</v>
      </c>
      <c r="BL91">
        <v>4.0931871011741219</v>
      </c>
      <c r="BM91">
        <v>4651.4978217742719</v>
      </c>
      <c r="BN91">
        <v>3.6533143683976048</v>
      </c>
      <c r="BO91">
        <v>4151.6264482470378</v>
      </c>
      <c r="BP91">
        <v>3.300654278432444</v>
      </c>
      <c r="BQ91">
        <v>3750.8635220106289</v>
      </c>
      <c r="BR91">
        <v>4.0364434303956971</v>
      </c>
      <c r="BS91">
        <v>4587.0143143016694</v>
      </c>
      <c r="BT91">
        <v>4.6713719313760365</v>
      </c>
      <c r="BU91">
        <v>5308.5470628157273</v>
      </c>
      <c r="BV91">
        <v>3.1484913452432819</v>
      </c>
      <c r="BW91">
        <v>3577.9455647344653</v>
      </c>
      <c r="BX91">
        <v>5.9034973296475561</v>
      </c>
      <c r="BY91">
        <v>6708.734365411482</v>
      </c>
      <c r="BZ91">
        <v>5</v>
      </c>
      <c r="CA91">
        <v>5681.9999999999991</v>
      </c>
      <c r="CB91">
        <v>5.8872425293683568</v>
      </c>
      <c r="CC91">
        <v>6690.2624103742</v>
      </c>
      <c r="CD91">
        <v>1.9772534436910916</v>
      </c>
      <c r="CE91">
        <v>2246.9508134105563</v>
      </c>
      <c r="CF91">
        <v>9.3816914247487926</v>
      </c>
      <c r="CG91">
        <v>10661.354135084526</v>
      </c>
      <c r="CH91">
        <v>5.5242862063673019</v>
      </c>
      <c r="CI91">
        <v>6277.7988449158011</v>
      </c>
      <c r="CJ91">
        <v>0.96426990889327524</v>
      </c>
      <c r="CK91">
        <v>1095.7963244663179</v>
      </c>
      <c r="CL91">
        <v>7.2133154869361338</v>
      </c>
      <c r="CM91">
        <v>8197.2117193542217</v>
      </c>
      <c r="CN91">
        <v>1.6857772110112212</v>
      </c>
      <c r="CO91">
        <v>1915.7172225931515</v>
      </c>
      <c r="CP91">
        <v>9.5323358948074439</v>
      </c>
      <c r="CQ91">
        <v>10832.546510859178</v>
      </c>
      <c r="CR91">
        <v>5.5187727497861676</v>
      </c>
      <c r="CS91">
        <v>6271.533352857</v>
      </c>
      <c r="CT91">
        <v>6.1976505561436817</v>
      </c>
      <c r="CU91">
        <v>7043.0100920016794</v>
      </c>
    </row>
    <row r="92" spans="2:99">
      <c r="C92" s="99" t="s">
        <v>259</v>
      </c>
      <c r="D92">
        <v>6.4054669300182638</v>
      </c>
      <c r="E92">
        <v>5027.0104466783332</v>
      </c>
      <c r="F92">
        <v>3.7185961268227623</v>
      </c>
      <c r="G92">
        <v>2918.3542403305037</v>
      </c>
      <c r="H92">
        <v>4.4263983631672774</v>
      </c>
      <c r="I92">
        <v>3473.837435413679</v>
      </c>
      <c r="J92">
        <v>3.3069357612685426</v>
      </c>
      <c r="K92">
        <v>2595.2831854435522</v>
      </c>
      <c r="L92">
        <v>6.0133454176130972</v>
      </c>
      <c r="M92">
        <v>4719.2734837427588</v>
      </c>
      <c r="N92">
        <v>3.8236962086686535</v>
      </c>
      <c r="O92">
        <v>3000.8367845631592</v>
      </c>
      <c r="P92">
        <v>4.2790346603105132</v>
      </c>
      <c r="Q92">
        <v>3358.1864014116904</v>
      </c>
      <c r="R92">
        <v>1.1381411638693213</v>
      </c>
      <c r="S92">
        <v>893.21318540464335</v>
      </c>
      <c r="T92">
        <v>1.2270993238039347</v>
      </c>
      <c r="U92">
        <v>963.02754932132791</v>
      </c>
      <c r="V92">
        <v>0.65175605110465396</v>
      </c>
      <c r="W92">
        <v>511.49814890693239</v>
      </c>
      <c r="X92">
        <v>6.1703331326475803</v>
      </c>
      <c r="Y92">
        <v>4842.4774425018204</v>
      </c>
      <c r="Z92">
        <v>3.7894641462159022</v>
      </c>
      <c r="AA92">
        <v>2973.9714619502397</v>
      </c>
      <c r="AB92">
        <v>4.4890133291663377</v>
      </c>
      <c r="AC92">
        <v>3522.9776607297417</v>
      </c>
      <c r="AD92">
        <v>4.4688223842365931</v>
      </c>
      <c r="AE92">
        <v>3507.1318071488781</v>
      </c>
      <c r="AF92">
        <v>5.84505451547804</v>
      </c>
      <c r="AG92">
        <v>4587.1987837471652</v>
      </c>
      <c r="AH92">
        <v>2.0956054936575792</v>
      </c>
      <c r="AI92">
        <v>1644.631191422468</v>
      </c>
      <c r="AJ92">
        <v>5.3661322291368627</v>
      </c>
      <c r="AK92">
        <v>4211.3405734266098</v>
      </c>
      <c r="AL92">
        <v>6.1229789402479833</v>
      </c>
      <c r="AM92">
        <v>4805.3138723066168</v>
      </c>
      <c r="AN92">
        <v>5.128859398996557</v>
      </c>
      <c r="AO92">
        <v>4025.1288563324979</v>
      </c>
      <c r="AP92">
        <v>4.7381923060288358</v>
      </c>
      <c r="AQ92">
        <v>3718.5333217714301</v>
      </c>
      <c r="AR92">
        <v>7.2000463861770534</v>
      </c>
      <c r="AS92">
        <v>5650.5964038717511</v>
      </c>
      <c r="AT92">
        <v>1.8909460389512953</v>
      </c>
      <c r="AU92">
        <v>1484.0144513689766</v>
      </c>
      <c r="AV92">
        <v>3.9383783850174101</v>
      </c>
      <c r="AW92">
        <v>3090.8393565616634</v>
      </c>
      <c r="AX92">
        <v>6.7580768429905502</v>
      </c>
      <c r="AY92">
        <v>5303.7387063789838</v>
      </c>
      <c r="AZ92">
        <v>6.0727746895693766</v>
      </c>
      <c r="BA92">
        <v>4765.9135763740469</v>
      </c>
      <c r="BB92">
        <v>6.0393294406674256</v>
      </c>
      <c r="BC92">
        <v>4739.6657450357952</v>
      </c>
      <c r="BD92">
        <v>6.9155536675718299</v>
      </c>
      <c r="BE92">
        <v>5427.3265183103722</v>
      </c>
      <c r="BF92">
        <v>3.8633782755513684</v>
      </c>
      <c r="BG92">
        <v>3031.9792706527137</v>
      </c>
      <c r="BH92">
        <v>5.8770547434311089</v>
      </c>
      <c r="BI92">
        <v>4612.3125626447336</v>
      </c>
      <c r="BJ92">
        <v>4.0090899679288672</v>
      </c>
      <c r="BK92">
        <v>3146.3338068305748</v>
      </c>
      <c r="BL92">
        <v>4.0970516478438821</v>
      </c>
      <c r="BM92">
        <v>3215.3661332278784</v>
      </c>
      <c r="BN92">
        <v>3.6764703923652866</v>
      </c>
      <c r="BO92">
        <v>2885.2939639282768</v>
      </c>
      <c r="BP92">
        <v>3.3050223743396652</v>
      </c>
      <c r="BQ92">
        <v>2593.7815593817691</v>
      </c>
      <c r="BR92">
        <v>3.5761999686546417</v>
      </c>
      <c r="BS92">
        <v>2806.6017354001629</v>
      </c>
      <c r="BT92">
        <v>4.0087106642617503</v>
      </c>
      <c r="BU92">
        <v>3146.0361293126216</v>
      </c>
      <c r="BV92">
        <v>3.6841779623773849</v>
      </c>
      <c r="BW92">
        <v>2891.3428648737713</v>
      </c>
      <c r="BX92">
        <v>5.9034973296475561</v>
      </c>
      <c r="BY92">
        <v>4633.0647043074014</v>
      </c>
      <c r="BZ92">
        <v>5</v>
      </c>
      <c r="CA92">
        <v>3924</v>
      </c>
      <c r="CB92">
        <v>5.884475506124466</v>
      </c>
      <c r="CC92">
        <v>4618.1363772064806</v>
      </c>
      <c r="CD92">
        <v>1.9924165045049596</v>
      </c>
      <c r="CE92">
        <v>1563.6484727354921</v>
      </c>
      <c r="CF92">
        <v>9.3816914247487926</v>
      </c>
      <c r="CG92">
        <v>7362.7514301428519</v>
      </c>
      <c r="CH92">
        <v>6.3134699501340599</v>
      </c>
      <c r="CI92">
        <v>4954.8112168652096</v>
      </c>
      <c r="CJ92">
        <v>0.96012097922043493</v>
      </c>
      <c r="CK92">
        <v>753.50294449219734</v>
      </c>
      <c r="CL92">
        <v>7.2472779635056339</v>
      </c>
      <c r="CM92">
        <v>5687.6637457592215</v>
      </c>
      <c r="CN92">
        <v>1.5039341392196364</v>
      </c>
      <c r="CO92">
        <v>1180.2875124595705</v>
      </c>
      <c r="CP92">
        <v>9.5323358948074439</v>
      </c>
      <c r="CQ92">
        <v>7480.9772102448815</v>
      </c>
      <c r="CR92">
        <v>5.3352936022773205</v>
      </c>
      <c r="CS92">
        <v>4187.1384190672406</v>
      </c>
      <c r="CT92">
        <v>5.5173135000712712</v>
      </c>
      <c r="CU92">
        <v>4329.9876348559337</v>
      </c>
    </row>
    <row r="93" spans="2:99">
      <c r="C93" s="99" t="s">
        <v>260</v>
      </c>
      <c r="D93">
        <v>6.4010271904555234</v>
      </c>
      <c r="E93">
        <v>4439.7524592999507</v>
      </c>
      <c r="F93">
        <v>4.3865434546683177</v>
      </c>
      <c r="G93">
        <v>3042.5065401579454</v>
      </c>
      <c r="H93">
        <v>3.9659202382263272</v>
      </c>
      <c r="I93">
        <v>2750.7622772337809</v>
      </c>
      <c r="J93">
        <v>2.736995430830671</v>
      </c>
      <c r="K93">
        <v>1898.3800308241534</v>
      </c>
      <c r="L93">
        <v>7.1822363205486139</v>
      </c>
      <c r="M93">
        <v>4981.599111932519</v>
      </c>
      <c r="N93">
        <v>3.2816368689583872</v>
      </c>
      <c r="O93">
        <v>2276.1433323095375</v>
      </c>
      <c r="P93">
        <v>3.763483222067765</v>
      </c>
      <c r="Q93">
        <v>2610.351962826202</v>
      </c>
      <c r="R93">
        <v>0.94845096989110111</v>
      </c>
      <c r="S93">
        <v>657.84559271646776</v>
      </c>
      <c r="T93">
        <v>1.2270993238039347</v>
      </c>
      <c r="U93">
        <v>851.11609099040913</v>
      </c>
      <c r="V93">
        <v>0.78210726132558472</v>
      </c>
      <c r="W93">
        <v>542.46959645542563</v>
      </c>
      <c r="X93">
        <v>5.2700650686260619</v>
      </c>
      <c r="Y93">
        <v>3655.3171315990367</v>
      </c>
      <c r="Z93">
        <v>4.5942453126148113</v>
      </c>
      <c r="AA93">
        <v>3186.5685488296331</v>
      </c>
      <c r="AB93">
        <v>4.4890133291663377</v>
      </c>
      <c r="AC93">
        <v>3113.5796451097717</v>
      </c>
      <c r="AD93">
        <v>3.8297085387028993</v>
      </c>
      <c r="AE93">
        <v>2656.2858424443311</v>
      </c>
      <c r="AF93">
        <v>5.84505451547804</v>
      </c>
      <c r="AG93">
        <v>4054.1298119355688</v>
      </c>
      <c r="AH93">
        <v>2.3869279752129491</v>
      </c>
      <c r="AI93">
        <v>1655.5732436077014</v>
      </c>
      <c r="AJ93">
        <v>5.3661322291368627</v>
      </c>
      <c r="AK93">
        <v>3721.9493141293283</v>
      </c>
      <c r="AL93">
        <v>6.1639719203306447</v>
      </c>
      <c r="AM93">
        <v>4275.3309239413356</v>
      </c>
      <c r="AN93">
        <v>5.9836692988293176</v>
      </c>
      <c r="AO93">
        <v>4150.2730256680152</v>
      </c>
      <c r="AP93">
        <v>5.4494271765351483</v>
      </c>
      <c r="AQ93">
        <v>3779.7226896447792</v>
      </c>
      <c r="AR93">
        <v>7.2000463861770534</v>
      </c>
      <c r="AS93">
        <v>4993.9521734524042</v>
      </c>
      <c r="AT93">
        <v>2.6030722454953743</v>
      </c>
      <c r="AU93">
        <v>1805.4909094755917</v>
      </c>
      <c r="AV93">
        <v>3.9334949968328465</v>
      </c>
      <c r="AW93">
        <v>2728.2721298032625</v>
      </c>
      <c r="AX93">
        <v>6.7580768429905502</v>
      </c>
      <c r="AY93">
        <v>4687.4020982982456</v>
      </c>
      <c r="AZ93">
        <v>5.0727746895693766</v>
      </c>
      <c r="BA93">
        <v>3518.4765246853199</v>
      </c>
      <c r="BB93">
        <v>6.0393294406674256</v>
      </c>
      <c r="BC93">
        <v>4188.8789000469269</v>
      </c>
      <c r="BD93">
        <v>6.9155536675718299</v>
      </c>
      <c r="BE93">
        <v>4796.6280238278214</v>
      </c>
      <c r="BF93">
        <v>3.8633782755513684</v>
      </c>
      <c r="BG93">
        <v>2679.6391719224293</v>
      </c>
      <c r="BH93">
        <v>6.594286898885815</v>
      </c>
      <c r="BI93">
        <v>4573.7973930672015</v>
      </c>
      <c r="BJ93">
        <v>4.1233245262202018</v>
      </c>
      <c r="BK93">
        <v>2859.937891386332</v>
      </c>
      <c r="BL93">
        <v>4.7199063622380351</v>
      </c>
      <c r="BM93">
        <v>3273.7270528483014</v>
      </c>
      <c r="BN93">
        <v>3.6533143683976048</v>
      </c>
      <c r="BO93">
        <v>2533.9388459205788</v>
      </c>
      <c r="BP93">
        <v>2.9366405661084962</v>
      </c>
      <c r="BQ93">
        <v>2036.8538966528531</v>
      </c>
      <c r="BR93">
        <v>3.4755431026757551</v>
      </c>
      <c r="BS93">
        <v>2410.6366960159039</v>
      </c>
      <c r="BT93">
        <v>4.5727274140347323</v>
      </c>
      <c r="BU93">
        <v>3171.6437343744906</v>
      </c>
      <c r="BV93">
        <v>3.7012248636483491</v>
      </c>
      <c r="BW93">
        <v>2567.169565426495</v>
      </c>
      <c r="BX93">
        <v>6.9034973296475561</v>
      </c>
      <c r="BY93">
        <v>4788.2657478435449</v>
      </c>
      <c r="BZ93">
        <v>5</v>
      </c>
      <c r="CA93">
        <v>3468</v>
      </c>
      <c r="CB93">
        <v>6.4675572715386194</v>
      </c>
      <c r="CC93">
        <v>4485.8977235391867</v>
      </c>
      <c r="CD93">
        <v>1.6424549982083452</v>
      </c>
      <c r="CE93">
        <v>1139.2067867573082</v>
      </c>
      <c r="CF93">
        <v>8.5445834548823409</v>
      </c>
      <c r="CG93">
        <v>5926.5230843063919</v>
      </c>
      <c r="CH93">
        <v>6.3134699501340599</v>
      </c>
      <c r="CI93">
        <v>4379.022757412984</v>
      </c>
      <c r="CJ93">
        <v>0.8318514029164592</v>
      </c>
      <c r="CK93">
        <v>576.97213306285607</v>
      </c>
      <c r="CL93">
        <v>6.4367988460489736</v>
      </c>
      <c r="CM93">
        <v>4464.5636796195686</v>
      </c>
      <c r="CN93">
        <v>1.5010406354027566</v>
      </c>
      <c r="CO93">
        <v>1041.1217847153521</v>
      </c>
      <c r="CP93">
        <v>8.5323358948074439</v>
      </c>
      <c r="CQ93">
        <v>5918.0281766384433</v>
      </c>
      <c r="CR93">
        <v>5.549352607704308</v>
      </c>
      <c r="CS93">
        <v>3849.0309687037084</v>
      </c>
      <c r="CT93">
        <v>6.1976505561436817</v>
      </c>
      <c r="CU93">
        <v>4298.690425741258</v>
      </c>
    </row>
    <row r="94" spans="2:99">
      <c r="C94" s="99" t="s">
        <v>261</v>
      </c>
      <c r="D94">
        <v>5.4764808088091774</v>
      </c>
      <c r="E94">
        <v>6532.3463087475866</v>
      </c>
      <c r="F94">
        <v>3.6564284660534567</v>
      </c>
      <c r="G94">
        <v>4361.3878743085634</v>
      </c>
      <c r="H94">
        <v>3.3307889947646294</v>
      </c>
      <c r="I94">
        <v>3972.9651129552499</v>
      </c>
      <c r="J94">
        <v>2.6318146750048199</v>
      </c>
      <c r="K94">
        <v>3139.228544345749</v>
      </c>
      <c r="L94">
        <v>6.0133454176130972</v>
      </c>
      <c r="M94">
        <v>7172.7184141289017</v>
      </c>
      <c r="N94">
        <v>3.2816368689583872</v>
      </c>
      <c r="O94">
        <v>3914.3364572935643</v>
      </c>
      <c r="P94">
        <v>4.2790346603105132</v>
      </c>
      <c r="Q94">
        <v>5104.0325428183796</v>
      </c>
      <c r="R94">
        <v>1.1381411638693213</v>
      </c>
      <c r="S94">
        <v>1357.5747802633264</v>
      </c>
      <c r="T94">
        <v>1.2270993238039347</v>
      </c>
      <c r="U94">
        <v>1463.6840734333332</v>
      </c>
      <c r="V94">
        <v>0.78210726132558472</v>
      </c>
      <c r="W94">
        <v>932.89754130915742</v>
      </c>
      <c r="X94">
        <v>6.1706363325654898</v>
      </c>
      <c r="Y94">
        <v>7360.3350174841162</v>
      </c>
      <c r="Z94">
        <v>4.4839330298946027</v>
      </c>
      <c r="AA94">
        <v>5348.4353180582821</v>
      </c>
      <c r="AB94">
        <v>3.952204894619042</v>
      </c>
      <c r="AC94">
        <v>4714.1899983015928</v>
      </c>
      <c r="AD94">
        <v>3.8217183673331037</v>
      </c>
      <c r="AE94">
        <v>4558.5456685549261</v>
      </c>
      <c r="AF94">
        <v>5.182702414832506</v>
      </c>
      <c r="AG94">
        <v>6181.9274404122134</v>
      </c>
      <c r="AH94">
        <v>2.1049968474525773</v>
      </c>
      <c r="AI94">
        <v>2510.840239641434</v>
      </c>
      <c r="AJ94">
        <v>5.2608441909702757</v>
      </c>
      <c r="AK94">
        <v>6275.1349509893444</v>
      </c>
      <c r="AL94">
        <v>6.1639719203306447</v>
      </c>
      <c r="AM94">
        <v>7352.3857065703924</v>
      </c>
      <c r="AN94">
        <v>5.9836692988293176</v>
      </c>
      <c r="AO94">
        <v>7137.3207396436101</v>
      </c>
      <c r="AP94">
        <v>4.7381923060288358</v>
      </c>
      <c r="AQ94">
        <v>5651.715782631195</v>
      </c>
      <c r="AR94">
        <v>6.3584077736216056</v>
      </c>
      <c r="AS94">
        <v>7584.3087923758512</v>
      </c>
      <c r="AT94">
        <v>1.8909460389512953</v>
      </c>
      <c r="AU94">
        <v>2255.5204352611049</v>
      </c>
      <c r="AV94">
        <v>3.8172217486295148</v>
      </c>
      <c r="AW94">
        <v>4553.1821017652846</v>
      </c>
      <c r="AX94">
        <v>6.8844229834889754</v>
      </c>
      <c r="AY94">
        <v>8211.7397347056503</v>
      </c>
      <c r="AZ94">
        <v>5.0727746895693766</v>
      </c>
      <c r="BA94">
        <v>6050.8056497183525</v>
      </c>
      <c r="BB94">
        <v>6.0471953288009113</v>
      </c>
      <c r="BC94">
        <v>7213.0945881937268</v>
      </c>
      <c r="BD94">
        <v>6.7813413776728595</v>
      </c>
      <c r="BE94">
        <v>8088.7839952881868</v>
      </c>
      <c r="BF94">
        <v>3.8898631706965907</v>
      </c>
      <c r="BG94">
        <v>4639.8287900068935</v>
      </c>
      <c r="BH94">
        <v>5.8770547434311089</v>
      </c>
      <c r="BI94">
        <v>7010.150897964626</v>
      </c>
      <c r="BJ94">
        <v>3.9936846230134777</v>
      </c>
      <c r="BK94">
        <v>4763.6670183304759</v>
      </c>
      <c r="BL94">
        <v>4.7160418155682731</v>
      </c>
      <c r="BM94">
        <v>5625.2946776098361</v>
      </c>
      <c r="BN94">
        <v>3.5820815753162876</v>
      </c>
      <c r="BO94">
        <v>4272.7069030372677</v>
      </c>
      <c r="BP94">
        <v>3.4814489329773077</v>
      </c>
      <c r="BQ94">
        <v>4152.6722872553328</v>
      </c>
      <c r="BR94">
        <v>4.0412363066958923</v>
      </c>
      <c r="BS94">
        <v>4820.3866666268605</v>
      </c>
      <c r="BT94">
        <v>4.0087106642617503</v>
      </c>
      <c r="BU94">
        <v>4781.5900803314153</v>
      </c>
      <c r="BV94">
        <v>3.1484913452432819</v>
      </c>
      <c r="BW94">
        <v>3755.5204766061865</v>
      </c>
      <c r="BX94">
        <v>5.7529144413729636</v>
      </c>
      <c r="BY94">
        <v>6862.0763456696704</v>
      </c>
      <c r="BZ94">
        <v>5</v>
      </c>
      <c r="CA94">
        <v>5964</v>
      </c>
      <c r="CB94">
        <v>5.222101465568417</v>
      </c>
      <c r="CC94">
        <v>6228.922628130008</v>
      </c>
      <c r="CD94">
        <v>1.9924165045049596</v>
      </c>
      <c r="CE94">
        <v>2376.5544065735157</v>
      </c>
      <c r="CF94">
        <v>9.3816914247487926</v>
      </c>
      <c r="CG94">
        <v>11190.481531440359</v>
      </c>
      <c r="CH94">
        <v>6.3134699501340599</v>
      </c>
      <c r="CI94">
        <v>7530.7069565199063</v>
      </c>
      <c r="CJ94">
        <v>0.8277024732436189</v>
      </c>
      <c r="CK94">
        <v>987.28351008498862</v>
      </c>
      <c r="CL94">
        <v>7.2152891716622145</v>
      </c>
      <c r="CM94">
        <v>8606.3969239586895</v>
      </c>
      <c r="CN94">
        <v>1.5010406354027566</v>
      </c>
      <c r="CO94">
        <v>1790.441269908408</v>
      </c>
      <c r="CP94">
        <v>9.5323358948074439</v>
      </c>
      <c r="CQ94">
        <v>11370.170255326319</v>
      </c>
      <c r="CR94">
        <v>5.549352607704308</v>
      </c>
      <c r="CS94">
        <v>6619.2677904696984</v>
      </c>
      <c r="CT94">
        <v>5.4094629132763572</v>
      </c>
      <c r="CU94">
        <v>6452.4073629560389</v>
      </c>
    </row>
    <row r="95" spans="2:99">
      <c r="B95" s="99" t="s">
        <v>132</v>
      </c>
      <c r="C95" s="99" t="s">
        <v>262</v>
      </c>
      <c r="D95">
        <v>9.6179252358637726</v>
      </c>
      <c r="E95">
        <v>3162.3738175520084</v>
      </c>
      <c r="F95">
        <v>5.8943159630893387</v>
      </c>
      <c r="G95">
        <v>1938.0510886637746</v>
      </c>
      <c r="H95">
        <v>6.7991314169741761</v>
      </c>
      <c r="I95">
        <v>2235.554409901109</v>
      </c>
      <c r="J95">
        <v>5.9820343145900212</v>
      </c>
      <c r="K95">
        <v>1966.8928826371991</v>
      </c>
      <c r="L95">
        <v>9.5200181264196466</v>
      </c>
      <c r="M95">
        <v>3130.1819599667801</v>
      </c>
      <c r="N95">
        <v>5.4205933971026621</v>
      </c>
      <c r="O95">
        <v>1782.2911089673553</v>
      </c>
      <c r="P95">
        <v>3.8665653249801215</v>
      </c>
      <c r="Q95">
        <v>1271.326678853464</v>
      </c>
      <c r="R95">
        <v>1.3278313578475416</v>
      </c>
      <c r="S95">
        <v>436.5909504602717</v>
      </c>
      <c r="T95">
        <v>1.2270993238039347</v>
      </c>
      <c r="U95">
        <v>403.47025766673374</v>
      </c>
      <c r="V95">
        <v>1.5642145226511694</v>
      </c>
      <c r="W95">
        <v>514.31373504770454</v>
      </c>
      <c r="X95">
        <v>7.3883007092564146</v>
      </c>
      <c r="Y95">
        <v>2429.2732732035092</v>
      </c>
      <c r="Z95">
        <v>8.7150410818581481</v>
      </c>
      <c r="AA95">
        <v>2865.5055077149591</v>
      </c>
      <c r="AB95">
        <v>8.6609859778620368</v>
      </c>
      <c r="AC95">
        <v>2847.732189521038</v>
      </c>
      <c r="AD95">
        <v>8.982570159821428</v>
      </c>
      <c r="AE95">
        <v>2953.4690685492856</v>
      </c>
      <c r="AF95">
        <v>7.1731894195995523</v>
      </c>
      <c r="AG95">
        <v>2358.5446811643328</v>
      </c>
      <c r="AH95">
        <v>2.3963193290079476</v>
      </c>
      <c r="AI95">
        <v>787.90979537781323</v>
      </c>
      <c r="AJ95">
        <v>8.3541778826524897</v>
      </c>
      <c r="AK95">
        <v>2746.8536878161385</v>
      </c>
      <c r="AL95">
        <v>9.2459578804959666</v>
      </c>
      <c r="AM95">
        <v>3040.0709511070741</v>
      </c>
      <c r="AN95">
        <v>11.596421473427929</v>
      </c>
      <c r="AO95">
        <v>3812.9033804631031</v>
      </c>
      <c r="AP95">
        <v>7.8235835755694367</v>
      </c>
      <c r="AQ95">
        <v>2572.3942796472311</v>
      </c>
      <c r="AR95">
        <v>6.5451827679149979</v>
      </c>
      <c r="AS95">
        <v>2152.0560940904516</v>
      </c>
      <c r="AT95">
        <v>1.940664784450755</v>
      </c>
      <c r="AU95">
        <v>638.0905811274082</v>
      </c>
      <c r="AV95">
        <v>9.0965668632725301</v>
      </c>
      <c r="AW95">
        <v>2990.9511846440082</v>
      </c>
      <c r="AX95">
        <v>8.6317307024921259</v>
      </c>
      <c r="AY95">
        <v>2838.1130549794111</v>
      </c>
      <c r="AZ95">
        <v>8</v>
      </c>
      <c r="BA95">
        <v>2630.4</v>
      </c>
      <c r="BB95">
        <v>7.055061216934396</v>
      </c>
      <c r="BC95">
        <v>2319.7041281280294</v>
      </c>
      <c r="BD95">
        <v>7.3878395600523854</v>
      </c>
      <c r="BE95">
        <v>2429.1216473452246</v>
      </c>
      <c r="BF95">
        <v>8.8728387952549213</v>
      </c>
      <c r="BG95">
        <v>2917.389395879818</v>
      </c>
      <c r="BH95">
        <v>7.5612655200074643</v>
      </c>
      <c r="BI95">
        <v>2486.1441029784542</v>
      </c>
      <c r="BJ95">
        <v>8.4205555840973823</v>
      </c>
      <c r="BK95">
        <v>2768.6786760512196</v>
      </c>
      <c r="BL95">
        <v>6.4618029125980696</v>
      </c>
      <c r="BM95">
        <v>2124.6407976622454</v>
      </c>
      <c r="BN95">
        <v>6.6078842431434985</v>
      </c>
      <c r="BO95">
        <v>2172.6723391455826</v>
      </c>
      <c r="BP95">
        <v>7.0749999833491373</v>
      </c>
      <c r="BQ95">
        <v>2326.2599945251964</v>
      </c>
      <c r="BR95">
        <v>7.2291939040103719</v>
      </c>
      <c r="BS95">
        <v>2376.9589556386104</v>
      </c>
      <c r="BT95">
        <v>8.1541169473552273</v>
      </c>
      <c r="BU95">
        <v>2681.073652290399</v>
      </c>
      <c r="BV95">
        <v>4.7041968447357805</v>
      </c>
      <c r="BW95">
        <v>1546.7399225491247</v>
      </c>
      <c r="BX95">
        <v>11.806994659295112</v>
      </c>
      <c r="BY95">
        <v>3882.1398439762329</v>
      </c>
      <c r="BZ95">
        <v>8</v>
      </c>
      <c r="CA95">
        <v>2630.4</v>
      </c>
      <c r="CB95">
        <v>8.503534412665875</v>
      </c>
      <c r="CC95">
        <v>2795.9621148845399</v>
      </c>
      <c r="CD95">
        <v>4.1225116639123822</v>
      </c>
      <c r="CE95">
        <v>1355.4818350943913</v>
      </c>
      <c r="CF95">
        <v>11.081068586058917</v>
      </c>
      <c r="CG95">
        <v>3643.4553510961719</v>
      </c>
      <c r="CH95">
        <v>7.1026536939008169</v>
      </c>
      <c r="CI95">
        <v>2335.3525345545886</v>
      </c>
      <c r="CJ95">
        <v>1.2457026395382687</v>
      </c>
      <c r="CK95">
        <v>409.58702788018275</v>
      </c>
      <c r="CL95">
        <v>6.7491263654004934</v>
      </c>
      <c r="CM95">
        <v>2219.1127489436822</v>
      </c>
      <c r="CN95">
        <v>1.8705137866196861</v>
      </c>
      <c r="CO95">
        <v>615.02493304055281</v>
      </c>
      <c r="CP95">
        <v>9.8872264913457411</v>
      </c>
      <c r="CQ95">
        <v>3250.9200703544798</v>
      </c>
      <c r="CR95">
        <v>9.452016183085389</v>
      </c>
      <c r="CS95">
        <v>3107.8229209984761</v>
      </c>
      <c r="CT95">
        <v>7.7740258418783315</v>
      </c>
      <c r="CU95">
        <v>2556.0996968095956</v>
      </c>
    </row>
    <row r="96" spans="2:99">
      <c r="C96" s="99" t="s">
        <v>263</v>
      </c>
      <c r="D96">
        <v>11.192230850136447</v>
      </c>
      <c r="E96">
        <v>7776.3619946748031</v>
      </c>
      <c r="F96">
        <v>5.2088167441762012</v>
      </c>
      <c r="G96">
        <v>3619.0858738536244</v>
      </c>
      <c r="H96">
        <v>7.2559159043566472</v>
      </c>
      <c r="I96">
        <v>5041.4103703469982</v>
      </c>
      <c r="J96">
        <v>6.2386450955612949</v>
      </c>
      <c r="K96">
        <v>4334.6106123959871</v>
      </c>
      <c r="L96">
        <v>8.8577999322906784</v>
      </c>
      <c r="M96">
        <v>6154.3993929555627</v>
      </c>
      <c r="N96">
        <v>5.9626527368129283</v>
      </c>
      <c r="O96">
        <v>4142.851121537622</v>
      </c>
      <c r="P96">
        <v>4.5055400454597265</v>
      </c>
      <c r="Q96">
        <v>3130.4492235854177</v>
      </c>
      <c r="R96">
        <v>1.3278313578475416</v>
      </c>
      <c r="S96">
        <v>922.57722743247189</v>
      </c>
      <c r="T96">
        <v>1.0517994204033725</v>
      </c>
      <c r="U96">
        <v>730.79023729626317</v>
      </c>
      <c r="V96">
        <v>1.4338633124302387</v>
      </c>
      <c r="W96">
        <v>996.24822947652979</v>
      </c>
      <c r="X96">
        <v>7.3245182468046233</v>
      </c>
      <c r="Y96">
        <v>5089.0752778798524</v>
      </c>
      <c r="Z96">
        <v>9.406746541469202</v>
      </c>
      <c r="AA96">
        <v>6535.8074970128009</v>
      </c>
      <c r="AB96">
        <v>7.9128170896676489</v>
      </c>
      <c r="AC96">
        <v>5497.8253139010822</v>
      </c>
      <c r="AD96">
        <v>8.3434563142877334</v>
      </c>
      <c r="AE96">
        <v>5797.0334471671167</v>
      </c>
      <c r="AF96">
        <v>7.8201033575080858</v>
      </c>
      <c r="AG96">
        <v>5433.4078127966177</v>
      </c>
      <c r="AH96">
        <v>2.0956054936575792</v>
      </c>
      <c r="AI96">
        <v>1456.0266969932859</v>
      </c>
      <c r="AJ96">
        <v>7.3230666520917511</v>
      </c>
      <c r="AK96">
        <v>5088.0667098733484</v>
      </c>
      <c r="AL96">
        <v>10.245957880495967</v>
      </c>
      <c r="AM96">
        <v>7118.891535368597</v>
      </c>
      <c r="AN96">
        <v>10.74161157359517</v>
      </c>
      <c r="AO96">
        <v>7463.2717213339238</v>
      </c>
      <c r="AP96">
        <v>8.6709931249531671</v>
      </c>
      <c r="AQ96">
        <v>6024.6060232174605</v>
      </c>
      <c r="AR96">
        <v>6.5451827679149979</v>
      </c>
      <c r="AS96">
        <v>4547.59298714734</v>
      </c>
      <c r="AT96">
        <v>1.6794079834397588</v>
      </c>
      <c r="AU96">
        <v>1166.8526668939444</v>
      </c>
      <c r="AV96">
        <v>8.1520282024842778</v>
      </c>
      <c r="AW96">
        <v>5664.0291950860756</v>
      </c>
      <c r="AX96">
        <v>7.7580768429905502</v>
      </c>
      <c r="AY96">
        <v>5390.3117905098343</v>
      </c>
      <c r="AZ96">
        <v>8</v>
      </c>
      <c r="BA96">
        <v>5558.4</v>
      </c>
      <c r="BB96">
        <v>7.0471953288009113</v>
      </c>
      <c r="BC96">
        <v>4896.3913144508724</v>
      </c>
      <c r="BD96">
        <v>8.1331186416109613</v>
      </c>
      <c r="BE96">
        <v>5650.8908321912959</v>
      </c>
      <c r="BF96">
        <v>8.8728387952549213</v>
      </c>
      <c r="BG96">
        <v>6164.8483949431193</v>
      </c>
      <c r="BH96">
        <v>6.9663804581596365</v>
      </c>
      <c r="BI96">
        <v>4840.2411423293152</v>
      </c>
      <c r="BJ96">
        <v>8.4205555840973823</v>
      </c>
      <c r="BK96">
        <v>5850.6020198308606</v>
      </c>
      <c r="BL96">
        <v>6.4618029125980696</v>
      </c>
      <c r="BM96">
        <v>4489.6606636731385</v>
      </c>
      <c r="BN96">
        <v>6.7022730601924971</v>
      </c>
      <c r="BO96">
        <v>4656.739322221747</v>
      </c>
      <c r="BP96">
        <v>6.4406416863264253</v>
      </c>
      <c r="BQ96">
        <v>4474.9578436596003</v>
      </c>
      <c r="BR96">
        <v>6.6635006999902355</v>
      </c>
      <c r="BS96">
        <v>4629.8002863532156</v>
      </c>
      <c r="BT96">
        <v>6.9274389304679618</v>
      </c>
      <c r="BU96">
        <v>4813.1845688891399</v>
      </c>
      <c r="BV96">
        <v>3.650084159835457</v>
      </c>
      <c r="BW96">
        <v>2536.0784742536753</v>
      </c>
      <c r="BX96">
        <v>11.505828882745927</v>
      </c>
      <c r="BY96">
        <v>7994.2499077318698</v>
      </c>
      <c r="BZ96">
        <v>8</v>
      </c>
      <c r="CA96">
        <v>5558.4</v>
      </c>
      <c r="CB96">
        <v>7.8411603721098251</v>
      </c>
      <c r="CC96">
        <v>5448.0382265419057</v>
      </c>
      <c r="CD96">
        <v>3.7573870968019003</v>
      </c>
      <c r="CE96">
        <v>2610.6325548579603</v>
      </c>
      <c r="CF96">
        <v>11.794995242861987</v>
      </c>
      <c r="CG96">
        <v>8195.1626947405075</v>
      </c>
      <c r="CH96">
        <v>7.1026536939008169</v>
      </c>
      <c r="CI96">
        <v>4934.9237865222876</v>
      </c>
      <c r="CJ96">
        <v>1.5063907218190604</v>
      </c>
      <c r="CK96">
        <v>1046.6402735198831</v>
      </c>
      <c r="CL96">
        <v>6.0045985163567526</v>
      </c>
      <c r="CM96">
        <v>4171.9950491646714</v>
      </c>
      <c r="CN96">
        <v>1.8676202828028059</v>
      </c>
      <c r="CO96">
        <v>1297.6225724913895</v>
      </c>
      <c r="CP96">
        <v>10.798503842211167</v>
      </c>
      <c r="CQ96">
        <v>7502.8004695683185</v>
      </c>
      <c r="CR96">
        <v>10.244780841328861</v>
      </c>
      <c r="CS96">
        <v>7118.0737285552923</v>
      </c>
      <c r="CT96">
        <v>7.7740258418783315</v>
      </c>
      <c r="CU96">
        <v>5401.3931549370645</v>
      </c>
    </row>
    <row r="97" spans="2:99">
      <c r="C97" s="99" t="s">
        <v>264</v>
      </c>
      <c r="D97">
        <v>10.263244728927361</v>
      </c>
      <c r="E97">
        <v>4027.2972316310966</v>
      </c>
      <c r="F97">
        <v>5.8943159630893387</v>
      </c>
      <c r="G97">
        <v>2312.9295839162564</v>
      </c>
      <c r="H97">
        <v>6.2347053637596943</v>
      </c>
      <c r="I97">
        <v>2446.4983847393041</v>
      </c>
      <c r="J97">
        <v>6.0102974156111522</v>
      </c>
      <c r="K97">
        <v>2358.440705885816</v>
      </c>
      <c r="L97">
        <v>8.5200181264196466</v>
      </c>
      <c r="M97">
        <v>3343.2551128070691</v>
      </c>
      <c r="N97">
        <v>5.4205933971026621</v>
      </c>
      <c r="O97">
        <v>2127.0408490230843</v>
      </c>
      <c r="P97">
        <v>3.8407947992520319</v>
      </c>
      <c r="Q97">
        <v>1507.1278792264973</v>
      </c>
      <c r="R97">
        <v>1.3278313578475416</v>
      </c>
      <c r="S97">
        <v>521.04102481937525</v>
      </c>
      <c r="T97">
        <v>1.2270993238039347</v>
      </c>
      <c r="U97">
        <v>481.51377466066396</v>
      </c>
      <c r="V97">
        <v>1.6945657328721002</v>
      </c>
      <c r="W97">
        <v>664.94759357901205</v>
      </c>
      <c r="X97">
        <v>7.3245182468046233</v>
      </c>
      <c r="Y97">
        <v>2874.1409600461338</v>
      </c>
      <c r="Z97">
        <v>8.7150410818581481</v>
      </c>
      <c r="AA97">
        <v>3419.7821205211371</v>
      </c>
      <c r="AB97">
        <v>7.9128170896676489</v>
      </c>
      <c r="AC97">
        <v>3104.9894259855851</v>
      </c>
      <c r="AD97">
        <v>8.2915202003840616</v>
      </c>
      <c r="AE97">
        <v>3253.5925266307054</v>
      </c>
      <c r="AF97">
        <v>7.1749047710147744</v>
      </c>
      <c r="AG97">
        <v>2815.4326321461972</v>
      </c>
      <c r="AH97">
        <v>2.3963193290079476</v>
      </c>
      <c r="AI97">
        <v>940.31570470271856</v>
      </c>
      <c r="AJ97">
        <v>7.4283546902583391</v>
      </c>
      <c r="AK97">
        <v>2914.8863804573721</v>
      </c>
      <c r="AL97">
        <v>10.245957880495967</v>
      </c>
      <c r="AM97">
        <v>4020.513872306617</v>
      </c>
      <c r="AN97">
        <v>11.596421473427929</v>
      </c>
      <c r="AO97">
        <v>4550.4357861731196</v>
      </c>
      <c r="AP97">
        <v>7.8235835755694367</v>
      </c>
      <c r="AQ97">
        <v>3069.9741950534467</v>
      </c>
      <c r="AR97">
        <v>6.5451827679149979</v>
      </c>
      <c r="AS97">
        <v>2568.3297181298449</v>
      </c>
      <c r="AT97">
        <v>2.3277872784504101</v>
      </c>
      <c r="AU97">
        <v>913.42372806394087</v>
      </c>
      <c r="AV97">
        <v>9.0965668632725301</v>
      </c>
      <c r="AW97">
        <v>3569.4928371481406</v>
      </c>
      <c r="AX97">
        <v>7.7580768429905502</v>
      </c>
      <c r="AY97">
        <v>3044.2693531894915</v>
      </c>
      <c r="AZ97">
        <v>7</v>
      </c>
      <c r="BA97">
        <v>2746.7999999999997</v>
      </c>
      <c r="BB97">
        <v>7.055061216934396</v>
      </c>
      <c r="BC97">
        <v>2768.406021525057</v>
      </c>
      <c r="BD97">
        <v>7.3878395600523854</v>
      </c>
      <c r="BE97">
        <v>2898.9882433645557</v>
      </c>
      <c r="BF97">
        <v>8.233252828834102</v>
      </c>
      <c r="BG97">
        <v>3230.7284100345014</v>
      </c>
      <c r="BH97">
        <v>7.6785603351611629</v>
      </c>
      <c r="BI97">
        <v>3013.06707551724</v>
      </c>
      <c r="BJ97">
        <v>9.0822110387504775</v>
      </c>
      <c r="BK97">
        <v>3563.859611605687</v>
      </c>
      <c r="BL97">
        <v>6.4618029125980696</v>
      </c>
      <c r="BM97">
        <v>2535.6114629034823</v>
      </c>
      <c r="BN97">
        <v>7.138112623668933</v>
      </c>
      <c r="BO97">
        <v>2800.995393527689</v>
      </c>
      <c r="BP97">
        <v>7.6198083502179488</v>
      </c>
      <c r="BQ97">
        <v>2990.0127966255232</v>
      </c>
      <c r="BR97">
        <v>6.6635006999902355</v>
      </c>
      <c r="BS97">
        <v>2614.7576746761683</v>
      </c>
      <c r="BT97">
        <v>7.0354386082595619</v>
      </c>
      <c r="BU97">
        <v>2760.7061098810518</v>
      </c>
      <c r="BV97">
        <v>4.0014550548022312</v>
      </c>
      <c r="BW97">
        <v>1570.1709635043953</v>
      </c>
      <c r="BX97">
        <v>11.505828882745927</v>
      </c>
      <c r="BY97">
        <v>4514.8872535895016</v>
      </c>
      <c r="BZ97">
        <v>8</v>
      </c>
      <c r="CA97">
        <v>3139.2</v>
      </c>
      <c r="CB97">
        <v>7.1787863315537752</v>
      </c>
      <c r="CC97">
        <v>2816.9557565017012</v>
      </c>
      <c r="CD97">
        <v>4.1225116639123822</v>
      </c>
      <c r="CE97">
        <v>1617.6735769192187</v>
      </c>
      <c r="CF97">
        <v>11.081068586058917</v>
      </c>
      <c r="CG97">
        <v>4348.2113131695187</v>
      </c>
      <c r="CH97">
        <v>7.1026536939008169</v>
      </c>
      <c r="CI97">
        <v>2787.0813094866803</v>
      </c>
      <c r="CJ97">
        <v>1.5105396514919007</v>
      </c>
      <c r="CK97">
        <v>592.73575924542183</v>
      </c>
      <c r="CL97">
        <v>6.832840796348151</v>
      </c>
      <c r="CM97">
        <v>2681.2067284870145</v>
      </c>
      <c r="CN97">
        <v>2.0552503622281506</v>
      </c>
      <c r="CO97">
        <v>806.48024213832628</v>
      </c>
      <c r="CP97">
        <v>11.798503842211167</v>
      </c>
      <c r="CQ97">
        <v>4629.7329076836613</v>
      </c>
      <c r="CR97">
        <v>9.4825960410035304</v>
      </c>
      <c r="CS97">
        <v>3720.9706864897853</v>
      </c>
      <c r="CT97">
        <v>7.7740258418783315</v>
      </c>
      <c r="CU97">
        <v>3050.5277403530572</v>
      </c>
    </row>
    <row r="98" spans="2:99">
      <c r="C98" s="99" t="s">
        <v>265</v>
      </c>
      <c r="D98">
        <v>9.613485496301033</v>
      </c>
      <c r="E98">
        <v>5052.8479768558227</v>
      </c>
      <c r="F98">
        <v>5.2088167441762012</v>
      </c>
      <c r="G98">
        <v>2737.7540807390114</v>
      </c>
      <c r="H98">
        <v>6.1344510730446427</v>
      </c>
      <c r="I98">
        <v>3224.2674839922643</v>
      </c>
      <c r="J98">
        <v>4.8986798557565416</v>
      </c>
      <c r="K98">
        <v>2574.7461321856385</v>
      </c>
      <c r="L98">
        <v>9.6889090293551625</v>
      </c>
      <c r="M98">
        <v>5092.490585829074</v>
      </c>
      <c r="N98">
        <v>4.8785340573923959</v>
      </c>
      <c r="O98">
        <v>2564.1575005654436</v>
      </c>
      <c r="P98">
        <v>4.3563462374947797</v>
      </c>
      <c r="Q98">
        <v>2289.6955824272563</v>
      </c>
      <c r="R98">
        <v>1.3278313578475416</v>
      </c>
      <c r="S98">
        <v>697.9081616846679</v>
      </c>
      <c r="T98">
        <v>1.0517994204033725</v>
      </c>
      <c r="U98">
        <v>552.82577536401266</v>
      </c>
      <c r="V98">
        <v>1.5642145226511694</v>
      </c>
      <c r="W98">
        <v>822.15115310545468</v>
      </c>
      <c r="X98">
        <v>6.4239469828651981</v>
      </c>
      <c r="Y98">
        <v>3376.4265341939481</v>
      </c>
      <c r="Z98">
        <v>8.7150410818581481</v>
      </c>
      <c r="AA98">
        <v>4580.6255926246431</v>
      </c>
      <c r="AB98">
        <v>8.6609859778620368</v>
      </c>
      <c r="AC98">
        <v>4552.2142299642865</v>
      </c>
      <c r="AD98">
        <v>7.6484112691654706</v>
      </c>
      <c r="AE98">
        <v>4020.0049630733715</v>
      </c>
      <c r="AF98">
        <v>7.8355415202450862</v>
      </c>
      <c r="AG98">
        <v>4118.3606230408177</v>
      </c>
      <c r="AH98">
        <v>2.3963193290079476</v>
      </c>
      <c r="AI98">
        <v>1259.5054393265773</v>
      </c>
      <c r="AJ98">
        <v>8.2488898444859036</v>
      </c>
      <c r="AK98">
        <v>4335.6165022617915</v>
      </c>
      <c r="AL98">
        <v>10.204964900413305</v>
      </c>
      <c r="AM98">
        <v>5363.7295516572331</v>
      </c>
      <c r="AN98">
        <v>9.9351909513226175</v>
      </c>
      <c r="AO98">
        <v>5221.9363640151678</v>
      </c>
      <c r="AP98">
        <v>8.5348184460757484</v>
      </c>
      <c r="AQ98">
        <v>4485.9005752574139</v>
      </c>
      <c r="AR98">
        <v>6.5451827679149979</v>
      </c>
      <c r="AS98">
        <v>3440.148062816123</v>
      </c>
      <c r="AT98">
        <v>1.940664784450755</v>
      </c>
      <c r="AU98">
        <v>1020.0134107073169</v>
      </c>
      <c r="AV98">
        <v>9.0965668632725301</v>
      </c>
      <c r="AW98">
        <v>4781.1555433360418</v>
      </c>
      <c r="AX98">
        <v>8.7580768429905511</v>
      </c>
      <c r="AY98">
        <v>4603.2451886758336</v>
      </c>
      <c r="AZ98">
        <v>7</v>
      </c>
      <c r="BA98">
        <v>3679.2000000000003</v>
      </c>
      <c r="BB98">
        <v>6.0471953288009113</v>
      </c>
      <c r="BC98">
        <v>3178.4058648177593</v>
      </c>
      <c r="BD98">
        <v>7.3878395600523854</v>
      </c>
      <c r="BE98">
        <v>3883.0484727635339</v>
      </c>
      <c r="BF98">
        <v>8.233252828834102</v>
      </c>
      <c r="BG98">
        <v>4327.3976868352038</v>
      </c>
      <c r="BH98">
        <v>7.556213241554282</v>
      </c>
      <c r="BI98">
        <v>3971.5456797609309</v>
      </c>
      <c r="BJ98">
        <v>8.4205555840973823</v>
      </c>
      <c r="BK98">
        <v>4425.844015001584</v>
      </c>
      <c r="BL98">
        <v>6.2671926106391389</v>
      </c>
      <c r="BM98">
        <v>3294.0364361519314</v>
      </c>
      <c r="BN98">
        <v>7.138112623668933</v>
      </c>
      <c r="BO98">
        <v>3751.7919950003911</v>
      </c>
      <c r="BP98">
        <v>7.6198083502179488</v>
      </c>
      <c r="BQ98">
        <v>4004.971268874554</v>
      </c>
      <c r="BR98">
        <v>6.5628438340113497</v>
      </c>
      <c r="BS98">
        <v>3449.4307191563657</v>
      </c>
      <c r="BT98">
        <v>7.4914556802409429</v>
      </c>
      <c r="BU98">
        <v>3937.5091055346397</v>
      </c>
      <c r="BV98">
        <v>4.3698728510399691</v>
      </c>
      <c r="BW98">
        <v>2296.8051705066077</v>
      </c>
      <c r="BX98">
        <v>11.505828882745927</v>
      </c>
      <c r="BY98">
        <v>6047.46366077126</v>
      </c>
      <c r="BZ98">
        <v>7</v>
      </c>
      <c r="CA98">
        <v>3679.2000000000003</v>
      </c>
      <c r="CB98">
        <v>7.8411603721098251</v>
      </c>
      <c r="CC98">
        <v>4121.3138915809241</v>
      </c>
      <c r="CD98">
        <v>3.7725501576157683</v>
      </c>
      <c r="CE98">
        <v>1982.8523628428479</v>
      </c>
      <c r="CF98">
        <v>12.041357868988751</v>
      </c>
      <c r="CG98">
        <v>6328.9376959404881</v>
      </c>
      <c r="CH98">
        <v>6.3134699501340599</v>
      </c>
      <c r="CI98">
        <v>3318.3598057904619</v>
      </c>
      <c r="CJ98">
        <v>1.5063907218190604</v>
      </c>
      <c r="CK98">
        <v>791.75896338809821</v>
      </c>
      <c r="CL98">
        <v>5.9528728772525135</v>
      </c>
      <c r="CM98">
        <v>3128.829984283921</v>
      </c>
      <c r="CN98">
        <v>1.6857772110112212</v>
      </c>
      <c r="CO98">
        <v>886.04450210749792</v>
      </c>
      <c r="CP98">
        <v>10.887226491345741</v>
      </c>
      <c r="CQ98">
        <v>5722.326243851322</v>
      </c>
      <c r="CR98">
        <v>8.3840328035786449</v>
      </c>
      <c r="CS98">
        <v>4406.6476415609359</v>
      </c>
      <c r="CT98">
        <v>7.7740258418783315</v>
      </c>
      <c r="CU98">
        <v>4086.0279824912514</v>
      </c>
    </row>
    <row r="99" spans="2:99">
      <c r="C99" s="99" t="s">
        <v>266</v>
      </c>
      <c r="D99">
        <v>8.2501199537482162</v>
      </c>
      <c r="E99">
        <v>34719.804813353992</v>
      </c>
      <c r="F99">
        <v>3.7694312710525537</v>
      </c>
      <c r="G99">
        <v>15863.274561097565</v>
      </c>
      <c r="H99">
        <v>5.0092926041741572</v>
      </c>
      <c r="I99">
        <v>21081.106995406521</v>
      </c>
      <c r="J99">
        <v>4.9831519400666213</v>
      </c>
      <c r="K99">
        <v>20971.096624576367</v>
      </c>
      <c r="L99">
        <v>7.5200181264196466</v>
      </c>
      <c r="M99">
        <v>31647.244283224438</v>
      </c>
      <c r="N99">
        <v>3.794415377971863</v>
      </c>
      <c r="O99">
        <v>15968.417676656787</v>
      </c>
      <c r="P99">
        <v>3.2994728352811955</v>
      </c>
      <c r="Q99">
        <v>13885.501479997381</v>
      </c>
      <c r="R99">
        <v>0.94845096989110111</v>
      </c>
      <c r="S99">
        <v>3991.4610616897094</v>
      </c>
      <c r="T99">
        <v>0.87649951700281048</v>
      </c>
      <c r="U99">
        <v>3688.6605673546273</v>
      </c>
      <c r="V99">
        <v>1.1731608919883771</v>
      </c>
      <c r="W99">
        <v>4937.1302978438862</v>
      </c>
      <c r="X99">
        <v>5.3320283315704007</v>
      </c>
      <c r="Y99">
        <v>22439.308030580873</v>
      </c>
      <c r="Z99">
        <v>5.5484961261689909</v>
      </c>
      <c r="AA99">
        <v>23350.29109736958</v>
      </c>
      <c r="AB99">
        <v>6.5221595401024155</v>
      </c>
      <c r="AC99">
        <v>27447.856208567002</v>
      </c>
      <c r="AD99">
        <v>5.6233823045495352</v>
      </c>
      <c r="AE99">
        <v>23665.442090466262</v>
      </c>
      <c r="AF99">
        <v>5.1706949549259509</v>
      </c>
      <c r="AG99">
        <v>21760.352648310371</v>
      </c>
      <c r="AH99">
        <v>1.7948916583072108</v>
      </c>
      <c r="AI99">
        <v>7553.6220548200654</v>
      </c>
      <c r="AJ99">
        <v>6.2919554215310134</v>
      </c>
      <c r="AK99">
        <v>26479.065195971114</v>
      </c>
      <c r="AL99">
        <v>6.2049649004133061</v>
      </c>
      <c r="AM99">
        <v>26112.974286899356</v>
      </c>
      <c r="AN99">
        <v>8.0804033189764812</v>
      </c>
      <c r="AO99">
        <v>34005.569327580619</v>
      </c>
      <c r="AP99">
        <v>5.6898789640504983</v>
      </c>
      <c r="AQ99">
        <v>23945.286632310115</v>
      </c>
      <c r="AR99">
        <v>4.7685180456574088</v>
      </c>
      <c r="AS99">
        <v>20067.831343344638</v>
      </c>
      <c r="AT99">
        <v>1.3932918096790332</v>
      </c>
      <c r="AU99">
        <v>5863.5292518532433</v>
      </c>
      <c r="AV99">
        <v>6.3792241291111056</v>
      </c>
      <c r="AW99">
        <v>26846.326824951175</v>
      </c>
      <c r="AX99">
        <v>5.631730702492125</v>
      </c>
      <c r="AY99">
        <v>23700.575488367856</v>
      </c>
      <c r="AZ99">
        <v>6</v>
      </c>
      <c r="BA99">
        <v>25250.399999999998</v>
      </c>
      <c r="BB99">
        <v>5.0393294406674256</v>
      </c>
      <c r="BC99">
        <v>21207.514018104794</v>
      </c>
      <c r="BD99">
        <v>5.63808014101091</v>
      </c>
      <c r="BE99">
        <v>23727.29646543031</v>
      </c>
      <c r="BF99">
        <v>6.0483155521927356</v>
      </c>
      <c r="BG99">
        <v>25453.731169847906</v>
      </c>
      <c r="BH99">
        <v>5.1598225879764019</v>
      </c>
      <c r="BI99">
        <v>21714.597379239887</v>
      </c>
      <c r="BJ99">
        <v>6.092885545264096</v>
      </c>
      <c r="BK99">
        <v>25641.299528689418</v>
      </c>
      <c r="BL99">
        <v>4.5855096760760876</v>
      </c>
      <c r="BM99">
        <v>19297.658920798607</v>
      </c>
      <c r="BN99">
        <v>4.3231262745549577</v>
      </c>
      <c r="BO99">
        <v>18193.444613837084</v>
      </c>
      <c r="BP99">
        <v>5.8062833893037142</v>
      </c>
      <c r="BQ99">
        <v>24435.16301554575</v>
      </c>
      <c r="BR99">
        <v>4.7651073559720523</v>
      </c>
      <c r="BS99">
        <v>20053.477796872783</v>
      </c>
      <c r="BT99">
        <v>5.0946459417813799</v>
      </c>
      <c r="BU99">
        <v>21440.307981392758</v>
      </c>
      <c r="BV99">
        <v>2.9132485673599797</v>
      </c>
      <c r="BW99">
        <v>12260.115270877737</v>
      </c>
      <c r="BX99">
        <v>7.5058288827459272</v>
      </c>
      <c r="BY99">
        <v>31587.530270147956</v>
      </c>
      <c r="BZ99">
        <v>5</v>
      </c>
      <c r="CA99">
        <v>21042</v>
      </c>
      <c r="CB99">
        <v>5.774745975299779</v>
      </c>
      <c r="CC99">
        <v>24302.440962451587</v>
      </c>
      <c r="CD99">
        <v>2.6620133954704523</v>
      </c>
      <c r="CE99">
        <v>11202.817173497851</v>
      </c>
      <c r="CF99">
        <v>7.8306567980792696</v>
      </c>
      <c r="CG99">
        <v>32954.536069036796</v>
      </c>
      <c r="CH99">
        <v>4.7351024626005449</v>
      </c>
      <c r="CI99">
        <v>19927.205203608133</v>
      </c>
      <c r="CJ99">
        <v>1.1008373445429316</v>
      </c>
      <c r="CK99">
        <v>4632.7638807744725</v>
      </c>
      <c r="CL99">
        <v>4.3481139563739548</v>
      </c>
      <c r="CM99">
        <v>18298.60277400415</v>
      </c>
      <c r="CN99">
        <v>1.4952536277689967</v>
      </c>
      <c r="CO99">
        <v>6292.6253671030454</v>
      </c>
      <c r="CP99">
        <v>7.7097811930765925</v>
      </c>
      <c r="CQ99">
        <v>32445.843172943529</v>
      </c>
      <c r="CR99">
        <v>6.3421172659477794</v>
      </c>
      <c r="CS99">
        <v>26690.166302014633</v>
      </c>
      <c r="CT99">
        <v>5.6251640868661852</v>
      </c>
      <c r="CU99">
        <v>23672.940543167653</v>
      </c>
    </row>
    <row r="100" spans="2:99">
      <c r="C100" s="99" t="s">
        <v>267</v>
      </c>
      <c r="D100">
        <v>10.40507804300011</v>
      </c>
      <c r="E100">
        <v>3371.2452859320356</v>
      </c>
      <c r="F100">
        <v>5.1746232265275154</v>
      </c>
      <c r="G100">
        <v>1676.5779253949149</v>
      </c>
      <c r="H100">
        <v>6.7991314169741761</v>
      </c>
      <c r="I100">
        <v>2202.918579099633</v>
      </c>
      <c r="J100">
        <v>5.4403570851732814</v>
      </c>
      <c r="K100">
        <v>1762.6756955961432</v>
      </c>
      <c r="L100">
        <v>10.857799932290678</v>
      </c>
      <c r="M100">
        <v>3517.9271780621798</v>
      </c>
      <c r="N100">
        <v>4.8785340573923959</v>
      </c>
      <c r="O100">
        <v>1580.6450345951362</v>
      </c>
      <c r="P100">
        <v>4.3821167632228688</v>
      </c>
      <c r="Q100">
        <v>1419.8058312842095</v>
      </c>
      <c r="R100">
        <v>1.3278313578475416</v>
      </c>
      <c r="S100">
        <v>430.21735994260348</v>
      </c>
      <c r="T100">
        <v>1.2270993238039347</v>
      </c>
      <c r="U100">
        <v>397.58018091247487</v>
      </c>
      <c r="V100">
        <v>1.4338633124302387</v>
      </c>
      <c r="W100">
        <v>464.57171322739731</v>
      </c>
      <c r="X100">
        <v>6.4239469828651981</v>
      </c>
      <c r="Y100">
        <v>2081.3588224483242</v>
      </c>
      <c r="Z100">
        <v>8.3202687810400597</v>
      </c>
      <c r="AA100">
        <v>2695.7670850569793</v>
      </c>
      <c r="AB100">
        <v>9.1977944124093369</v>
      </c>
      <c r="AC100">
        <v>2980.0853896206254</v>
      </c>
      <c r="AD100">
        <v>9.0782723307815871</v>
      </c>
      <c r="AE100">
        <v>2941.3602351732343</v>
      </c>
      <c r="AF100">
        <v>8.4824554581536198</v>
      </c>
      <c r="AG100">
        <v>2748.3155684417729</v>
      </c>
      <c r="AH100">
        <v>2.3963193290079476</v>
      </c>
      <c r="AI100">
        <v>776.40746259857508</v>
      </c>
      <c r="AJ100">
        <v>8.2488898444859036</v>
      </c>
      <c r="AK100">
        <v>2672.6403096134327</v>
      </c>
      <c r="AL100">
        <v>9.2459578804959666</v>
      </c>
      <c r="AM100">
        <v>2995.6903532806932</v>
      </c>
      <c r="AN100">
        <v>10.790000851155376</v>
      </c>
      <c r="AO100">
        <v>3495.9602757743419</v>
      </c>
      <c r="AP100">
        <v>7.1123487050631242</v>
      </c>
      <c r="AQ100">
        <v>2304.4009804404523</v>
      </c>
      <c r="AR100">
        <v>6.5451827679149979</v>
      </c>
      <c r="AS100">
        <v>2120.6392168044595</v>
      </c>
      <c r="AT100">
        <v>1.9530944708256199</v>
      </c>
      <c r="AU100">
        <v>632.80260854750088</v>
      </c>
      <c r="AV100">
        <v>8.2683014506876109</v>
      </c>
      <c r="AW100">
        <v>2678.929670022786</v>
      </c>
      <c r="AX100">
        <v>8.7580768429905511</v>
      </c>
      <c r="AY100">
        <v>2837.6168971289385</v>
      </c>
      <c r="AZ100">
        <v>8</v>
      </c>
      <c r="BA100">
        <v>2592</v>
      </c>
      <c r="BB100">
        <v>8.0471953288009104</v>
      </c>
      <c r="BC100">
        <v>2607.2912865314947</v>
      </c>
      <c r="BD100">
        <v>7.258238932090225</v>
      </c>
      <c r="BE100">
        <v>2351.6694139972328</v>
      </c>
      <c r="BF100">
        <v>8.9393836395996491</v>
      </c>
      <c r="BG100">
        <v>2896.3602992302863</v>
      </c>
      <c r="BH100">
        <v>6.8440333645527565</v>
      </c>
      <c r="BI100">
        <v>2217.4668101150933</v>
      </c>
      <c r="BJ100">
        <v>8.3063210258060476</v>
      </c>
      <c r="BK100">
        <v>2691.2480123611595</v>
      </c>
      <c r="BL100">
        <v>6.0160379277903422</v>
      </c>
      <c r="BM100">
        <v>1949.1962886040708</v>
      </c>
      <c r="BN100">
        <v>6.6078842431434985</v>
      </c>
      <c r="BO100">
        <v>2140.9544947784934</v>
      </c>
      <c r="BP100">
        <v>6.4406416863264253</v>
      </c>
      <c r="BQ100">
        <v>2086.7679063697619</v>
      </c>
      <c r="BR100">
        <v>6.198464361948985</v>
      </c>
      <c r="BS100">
        <v>2008.3024532714712</v>
      </c>
      <c r="BT100">
        <v>8.0554724300139249</v>
      </c>
      <c r="BU100">
        <v>2609.9730673245117</v>
      </c>
      <c r="BV100">
        <v>4.3528259497690058</v>
      </c>
      <c r="BW100">
        <v>1410.3156077251579</v>
      </c>
      <c r="BX100">
        <v>10.505828882745927</v>
      </c>
      <c r="BY100">
        <v>3403.8885580096803</v>
      </c>
      <c r="BZ100">
        <v>8</v>
      </c>
      <c r="CA100">
        <v>2592</v>
      </c>
      <c r="CB100">
        <v>7.9204526472517216</v>
      </c>
      <c r="CC100">
        <v>2566.2266577095579</v>
      </c>
      <c r="CD100">
        <v>3.7573870968019003</v>
      </c>
      <c r="CE100">
        <v>1217.3934193638156</v>
      </c>
      <c r="CF100">
        <v>11.081068586058917</v>
      </c>
      <c r="CG100">
        <v>3590.2662218830892</v>
      </c>
      <c r="CH100">
        <v>6.3134699501340599</v>
      </c>
      <c r="CI100">
        <v>2045.5642638434354</v>
      </c>
      <c r="CJ100">
        <v>1.5105396514919007</v>
      </c>
      <c r="CK100">
        <v>489.41484708337583</v>
      </c>
      <c r="CL100">
        <v>6.7811151572439119</v>
      </c>
      <c r="CM100">
        <v>2197.0813109470273</v>
      </c>
      <c r="CN100">
        <v>1.8705137866196861</v>
      </c>
      <c r="CO100">
        <v>606.04646686477827</v>
      </c>
      <c r="CP100">
        <v>10.798503842211167</v>
      </c>
      <c r="CQ100">
        <v>3498.7152448764182</v>
      </c>
      <c r="CR100">
        <v>10.275360699247003</v>
      </c>
      <c r="CS100">
        <v>3329.2168665560289</v>
      </c>
      <c r="CT100">
        <v>7.7740258418783315</v>
      </c>
      <c r="CU100">
        <v>2518.7843727685795</v>
      </c>
    </row>
    <row r="101" spans="2:99">
      <c r="C101" s="99" t="s">
        <v>268</v>
      </c>
      <c r="D101">
        <v>10.263244728927361</v>
      </c>
      <c r="E101">
        <v>7426.4838858518387</v>
      </c>
      <c r="F101">
        <v>5.2088167441762012</v>
      </c>
      <c r="G101">
        <v>3769.0997960858995</v>
      </c>
      <c r="H101">
        <v>6.1344510730446427</v>
      </c>
      <c r="I101">
        <v>4438.8887964551031</v>
      </c>
      <c r="J101">
        <v>5.4120939841521505</v>
      </c>
      <c r="K101">
        <v>3916.1912069324962</v>
      </c>
      <c r="L101">
        <v>8.5200181264196466</v>
      </c>
      <c r="M101">
        <v>6165.0851162772569</v>
      </c>
      <c r="N101">
        <v>5.4205933971026621</v>
      </c>
      <c r="O101">
        <v>3922.3413821434865</v>
      </c>
      <c r="P101">
        <v>4.5102581916236142</v>
      </c>
      <c r="Q101">
        <v>3263.6228274588475</v>
      </c>
      <c r="R101">
        <v>1.3278313578475416</v>
      </c>
      <c r="S101">
        <v>960.81877053848109</v>
      </c>
      <c r="T101">
        <v>1.2270993238039347</v>
      </c>
      <c r="U101">
        <v>887.92907070452713</v>
      </c>
      <c r="V101">
        <v>1.5642145226511694</v>
      </c>
      <c r="W101">
        <v>1131.8656285903862</v>
      </c>
      <c r="X101">
        <v>7.3245182468046233</v>
      </c>
      <c r="Y101">
        <v>5300.0214033878256</v>
      </c>
      <c r="Z101">
        <v>9.406746541469202</v>
      </c>
      <c r="AA101">
        <v>6806.7217974071145</v>
      </c>
      <c r="AB101">
        <v>8.0184973164911941</v>
      </c>
      <c r="AC101">
        <v>5802.1846582130283</v>
      </c>
      <c r="AD101">
        <v>7.6923572116993455</v>
      </c>
      <c r="AE101">
        <v>5566.1896783856464</v>
      </c>
      <c r="AF101">
        <v>7.2467896319304206</v>
      </c>
      <c r="AG101">
        <v>5243.7769776648529</v>
      </c>
      <c r="AH101">
        <v>2.1049968474525773</v>
      </c>
      <c r="AI101">
        <v>1523.175718816685</v>
      </c>
      <c r="AJ101">
        <v>8.2488898444859036</v>
      </c>
      <c r="AK101">
        <v>5968.8966914700004</v>
      </c>
      <c r="AL101">
        <v>10.204964900413305</v>
      </c>
      <c r="AM101">
        <v>7384.3126019390675</v>
      </c>
      <c r="AN101">
        <v>11.596421473427929</v>
      </c>
      <c r="AO101">
        <v>8391.1705781724504</v>
      </c>
      <c r="AP101">
        <v>8.76514974155136</v>
      </c>
      <c r="AQ101">
        <v>6342.4623529865639</v>
      </c>
      <c r="AR101">
        <v>6.4517952707683017</v>
      </c>
      <c r="AS101">
        <v>4668.5190579279433</v>
      </c>
      <c r="AT101">
        <v>1.92823509807589</v>
      </c>
      <c r="AU101">
        <v>1395.2709169677141</v>
      </c>
      <c r="AV101">
        <v>7.3237627898993569</v>
      </c>
      <c r="AW101">
        <v>5299.474754771175</v>
      </c>
      <c r="AX101">
        <v>8.6317307024921259</v>
      </c>
      <c r="AY101">
        <v>6245.9203363233028</v>
      </c>
      <c r="AZ101">
        <v>7</v>
      </c>
      <c r="BA101">
        <v>5065.2</v>
      </c>
      <c r="BB101">
        <v>7.0471953288009113</v>
      </c>
      <c r="BC101">
        <v>5099.3505399203395</v>
      </c>
      <c r="BD101">
        <v>6.6425604784938086</v>
      </c>
      <c r="BE101">
        <v>4806.5567622381204</v>
      </c>
      <c r="BF101">
        <v>8.8728387952549213</v>
      </c>
      <c r="BG101">
        <v>6420.3861522464613</v>
      </c>
      <c r="BH101">
        <v>7.4389184264005834</v>
      </c>
      <c r="BI101">
        <v>5382.8013733434627</v>
      </c>
      <c r="BJ101">
        <v>7.7787070014783595</v>
      </c>
      <c r="BK101">
        <v>5628.6723862697409</v>
      </c>
      <c r="BL101">
        <v>6.3664300349534848</v>
      </c>
      <c r="BM101">
        <v>4606.7487732923419</v>
      </c>
      <c r="BN101">
        <v>5.9300712622015572</v>
      </c>
      <c r="BO101">
        <v>4290.9995653290471</v>
      </c>
      <c r="BP101">
        <v>7.6198083502179488</v>
      </c>
      <c r="BQ101">
        <v>5513.6933222177076</v>
      </c>
      <c r="BR101">
        <v>7.2291939040103719</v>
      </c>
      <c r="BS101">
        <v>5231.0447089419049</v>
      </c>
      <c r="BT101">
        <v>6.4714218584865808</v>
      </c>
      <c r="BU101">
        <v>4682.72085680089</v>
      </c>
      <c r="BV101">
        <v>4.0014550548022312</v>
      </c>
      <c r="BW101">
        <v>2895.4528776548946</v>
      </c>
      <c r="BX101">
        <v>11.505828882745927</v>
      </c>
      <c r="BY101">
        <v>8325.6177795549538</v>
      </c>
      <c r="BZ101">
        <v>8</v>
      </c>
      <c r="CA101">
        <v>5788.8</v>
      </c>
      <c r="CB101">
        <v>7.8411603721098251</v>
      </c>
      <c r="CC101">
        <v>5673.8636452586697</v>
      </c>
      <c r="CD101">
        <v>3.7573870968019003</v>
      </c>
      <c r="CE101">
        <v>2718.8453032458551</v>
      </c>
      <c r="CF101">
        <v>12.041357868988751</v>
      </c>
      <c r="CG101">
        <v>8713.1265540002605</v>
      </c>
      <c r="CH101">
        <v>7.1026536939008169</v>
      </c>
      <c r="CI101">
        <v>5139.4802129066311</v>
      </c>
      <c r="CJ101">
        <v>1.514688581164741</v>
      </c>
      <c r="CK101">
        <v>1096.0286573308067</v>
      </c>
      <c r="CL101">
        <v>6.0563241554609917</v>
      </c>
      <c r="CM101">
        <v>4382.3561588915736</v>
      </c>
      <c r="CN101">
        <v>1.8705137866196861</v>
      </c>
      <c r="CO101">
        <v>1353.503775998005</v>
      </c>
      <c r="CP101">
        <v>10.798503842211167</v>
      </c>
      <c r="CQ101">
        <v>7813.7973802240003</v>
      </c>
      <c r="CR101">
        <v>9.452016183085389</v>
      </c>
      <c r="CS101">
        <v>6839.4789100805874</v>
      </c>
      <c r="CT101">
        <v>7.7740258418783315</v>
      </c>
      <c r="CU101">
        <v>5625.285099183161</v>
      </c>
    </row>
    <row r="102" spans="2:99">
      <c r="C102" s="99" t="s">
        <v>269</v>
      </c>
      <c r="D102">
        <v>9.4760919217910242</v>
      </c>
      <c r="E102">
        <v>5037.4904656241088</v>
      </c>
      <c r="F102">
        <v>5.1746232265275154</v>
      </c>
      <c r="G102">
        <v>2750.8297072220271</v>
      </c>
      <c r="H102">
        <v>6.1344510730446427</v>
      </c>
      <c r="I102">
        <v>3261.0741904305323</v>
      </c>
      <c r="J102">
        <v>6.8085854259991656</v>
      </c>
      <c r="K102">
        <v>3619.4440124611565</v>
      </c>
      <c r="L102">
        <v>9.5200181264196466</v>
      </c>
      <c r="M102">
        <v>5060.841636004684</v>
      </c>
      <c r="N102">
        <v>5.4205933971026621</v>
      </c>
      <c r="O102">
        <v>2881.5874498997755</v>
      </c>
      <c r="P102">
        <v>4.5102581916236142</v>
      </c>
      <c r="Q102">
        <v>2397.6532546671133</v>
      </c>
      <c r="R102">
        <v>1.3278313578475416</v>
      </c>
      <c r="S102">
        <v>705.87514983175311</v>
      </c>
      <c r="T102">
        <v>1.2270993238039347</v>
      </c>
      <c r="U102">
        <v>652.32600053417173</v>
      </c>
      <c r="V102">
        <v>1.5642145226511694</v>
      </c>
      <c r="W102">
        <v>831.53644024136167</v>
      </c>
      <c r="X102">
        <v>7.3883007092564146</v>
      </c>
      <c r="Y102">
        <v>3927.6206570407103</v>
      </c>
      <c r="Z102">
        <v>8.3202687810400597</v>
      </c>
      <c r="AA102">
        <v>4423.054884000896</v>
      </c>
      <c r="AB102">
        <v>8.6609859778620368</v>
      </c>
      <c r="AC102">
        <v>4604.1801458314594</v>
      </c>
      <c r="AD102">
        <v>7.6963522973842444</v>
      </c>
      <c r="AE102">
        <v>4091.3808812894645</v>
      </c>
      <c r="AF102">
        <v>7.9245798953129549</v>
      </c>
      <c r="AG102">
        <v>4212.7066723483667</v>
      </c>
      <c r="AH102">
        <v>2.3963193290079476</v>
      </c>
      <c r="AI102">
        <v>1273.883355300625</v>
      </c>
      <c r="AJ102">
        <v>7.3230666520917511</v>
      </c>
      <c r="AK102">
        <v>3892.9422322519749</v>
      </c>
      <c r="AL102">
        <v>9.2049649004133052</v>
      </c>
      <c r="AM102">
        <v>4893.3593410597132</v>
      </c>
      <c r="AN102">
        <v>11.596421473427929</v>
      </c>
      <c r="AO102">
        <v>6164.6576552742872</v>
      </c>
      <c r="AP102">
        <v>7.8235835755694367</v>
      </c>
      <c r="AQ102">
        <v>4159.0170287727124</v>
      </c>
      <c r="AR102">
        <v>6.4517952707683017</v>
      </c>
      <c r="AS102">
        <v>3429.7743659404296</v>
      </c>
      <c r="AT102">
        <v>2.3277872784504101</v>
      </c>
      <c r="AU102">
        <v>1237.4517172242381</v>
      </c>
      <c r="AV102">
        <v>8.1520282024842778</v>
      </c>
      <c r="AW102">
        <v>4333.6181924406419</v>
      </c>
      <c r="AX102">
        <v>7.631730702492125</v>
      </c>
      <c r="AY102">
        <v>4057.0280414448139</v>
      </c>
      <c r="AZ102">
        <v>8</v>
      </c>
      <c r="BA102">
        <v>4252.8</v>
      </c>
      <c r="BB102">
        <v>6.0471953288009113</v>
      </c>
      <c r="BC102">
        <v>3214.6890367905644</v>
      </c>
      <c r="BD102">
        <v>8.2627192695731217</v>
      </c>
      <c r="BE102">
        <v>4392.461563705072</v>
      </c>
      <c r="BF102">
        <v>9.5789696060204683</v>
      </c>
      <c r="BG102">
        <v>5092.180242560481</v>
      </c>
      <c r="BH102">
        <v>6.8440333645527565</v>
      </c>
      <c r="BI102">
        <v>3638.2881365962453</v>
      </c>
      <c r="BJ102">
        <v>9.0822110387504775</v>
      </c>
      <c r="BK102">
        <v>4828.1033881997537</v>
      </c>
      <c r="BL102">
        <v>6.8977764183728141</v>
      </c>
      <c r="BM102">
        <v>3666.857944006988</v>
      </c>
      <c r="BN102">
        <v>7.2325014407179316</v>
      </c>
      <c r="BO102">
        <v>3844.7977658856526</v>
      </c>
      <c r="BP102">
        <v>6.5301916164803266</v>
      </c>
      <c r="BQ102">
        <v>3471.4498633209419</v>
      </c>
      <c r="BR102">
        <v>6.6635006999902355</v>
      </c>
      <c r="BS102">
        <v>3542.3169721148092</v>
      </c>
      <c r="BT102">
        <v>6.9274389304679618</v>
      </c>
      <c r="BU102">
        <v>3682.6265354367688</v>
      </c>
      <c r="BV102">
        <v>4.3528259497690058</v>
      </c>
      <c r="BW102">
        <v>2313.9622748972038</v>
      </c>
      <c r="BX102">
        <v>10.505828882745927</v>
      </c>
      <c r="BY102">
        <v>5584.8986340677347</v>
      </c>
      <c r="BZ102">
        <v>8</v>
      </c>
      <c r="CA102">
        <v>4252.8</v>
      </c>
      <c r="CB102">
        <v>7.8411603721098251</v>
      </c>
      <c r="CC102">
        <v>4168.3608538135832</v>
      </c>
      <c r="CD102">
        <v>3.3922625296914175</v>
      </c>
      <c r="CE102">
        <v>1803.3267607839575</v>
      </c>
      <c r="CF102">
        <v>12.878465838855202</v>
      </c>
      <c r="CG102">
        <v>6846.1924399354257</v>
      </c>
      <c r="CH102">
        <v>7.1026536939008169</v>
      </c>
      <c r="CI102">
        <v>3775.7707036776746</v>
      </c>
      <c r="CJ102">
        <v>1.5063907218190604</v>
      </c>
      <c r="CK102">
        <v>800.79730771901257</v>
      </c>
      <c r="CL102">
        <v>6.7293895181396719</v>
      </c>
      <c r="CM102">
        <v>3577.3434678430499</v>
      </c>
      <c r="CN102">
        <v>1.6828837071943412</v>
      </c>
      <c r="CO102">
        <v>894.62097874451183</v>
      </c>
      <c r="CP102">
        <v>11.798503842211167</v>
      </c>
      <c r="CQ102">
        <v>6272.0846425194568</v>
      </c>
      <c r="CR102">
        <v>10.244780841328861</v>
      </c>
      <c r="CS102">
        <v>5446.1254952504232</v>
      </c>
      <c r="CT102">
        <v>7.6661752550834157</v>
      </c>
      <c r="CU102">
        <v>4075.3387656023438</v>
      </c>
    </row>
    <row r="103" spans="2:99">
      <c r="C103" s="99" t="s">
        <v>270</v>
      </c>
      <c r="D103">
        <v>11.050397536063699</v>
      </c>
      <c r="E103">
        <v>6510.8942282487305</v>
      </c>
      <c r="F103">
        <v>5.2430102618248888</v>
      </c>
      <c r="G103">
        <v>3089.1816462672241</v>
      </c>
      <c r="H103">
        <v>6.7991314169741761</v>
      </c>
      <c r="I103">
        <v>4006.0482308811843</v>
      </c>
      <c r="J103">
        <v>6.0102974156111522</v>
      </c>
      <c r="K103">
        <v>3541.2672372780903</v>
      </c>
      <c r="L103">
        <v>9.6889090293551625</v>
      </c>
      <c r="M103">
        <v>5708.7052000960612</v>
      </c>
      <c r="N103">
        <v>5.4205933971026621</v>
      </c>
      <c r="O103">
        <v>3193.8136295728882</v>
      </c>
      <c r="P103">
        <v>4.411151321446213</v>
      </c>
      <c r="Q103">
        <v>2599.0503585961083</v>
      </c>
      <c r="R103">
        <v>1.1381411638693213</v>
      </c>
      <c r="S103">
        <v>670.59277375180397</v>
      </c>
      <c r="T103">
        <v>1.0517994204033725</v>
      </c>
      <c r="U103">
        <v>619.72021850166698</v>
      </c>
      <c r="V103">
        <v>1.4338633124302387</v>
      </c>
      <c r="W103">
        <v>844.83226368389649</v>
      </c>
      <c r="X103">
        <v>7.3245182468046233</v>
      </c>
      <c r="Y103">
        <v>4315.6061510172831</v>
      </c>
      <c r="Z103">
        <v>8.0233356222470906</v>
      </c>
      <c r="AA103">
        <v>4727.3493486279849</v>
      </c>
      <c r="AB103">
        <v>8.5553057510384924</v>
      </c>
      <c r="AC103">
        <v>5040.7861485118792</v>
      </c>
      <c r="AD103">
        <v>8.3434563142877334</v>
      </c>
      <c r="AE103">
        <v>4915.9644603783318</v>
      </c>
      <c r="AF103">
        <v>7.8201033575080858</v>
      </c>
      <c r="AG103">
        <v>4607.6048982437633</v>
      </c>
      <c r="AH103">
        <v>2.3869279752129491</v>
      </c>
      <c r="AI103">
        <v>1406.3779629954695</v>
      </c>
      <c r="AJ103">
        <v>8.2488898444859036</v>
      </c>
      <c r="AK103">
        <v>4860.2458963710942</v>
      </c>
      <c r="AL103">
        <v>9.2459578804959666</v>
      </c>
      <c r="AM103">
        <v>5447.718383188223</v>
      </c>
      <c r="AN103">
        <v>9.8868016737624096</v>
      </c>
      <c r="AO103">
        <v>5825.3035461808113</v>
      </c>
      <c r="AP103">
        <v>8.0539148710450466</v>
      </c>
      <c r="AQ103">
        <v>4745.3666420197405</v>
      </c>
      <c r="AR103">
        <v>6.4517952707683017</v>
      </c>
      <c r="AS103">
        <v>3801.397773536683</v>
      </c>
      <c r="AT103">
        <v>1.940664784450755</v>
      </c>
      <c r="AU103">
        <v>1143.4396909983848</v>
      </c>
      <c r="AV103">
        <v>7.3237627898993569</v>
      </c>
      <c r="AW103">
        <v>4315.1610358087009</v>
      </c>
      <c r="AX103">
        <v>8.6317307024921259</v>
      </c>
      <c r="AY103">
        <v>5085.8157299083596</v>
      </c>
      <c r="AZ103">
        <v>8</v>
      </c>
      <c r="BA103">
        <v>4713.5999999999995</v>
      </c>
      <c r="BB103">
        <v>7.0471953288009113</v>
      </c>
      <c r="BC103">
        <v>4152.2074877294963</v>
      </c>
      <c r="BD103">
        <v>7.3878395600523854</v>
      </c>
      <c r="BE103">
        <v>4352.9150687828651</v>
      </c>
      <c r="BF103">
        <v>8.233252828834102</v>
      </c>
      <c r="BG103">
        <v>4851.0325667490524</v>
      </c>
      <c r="BH103">
        <v>8.1561505818552895</v>
      </c>
      <c r="BI103">
        <v>4805.6039228291356</v>
      </c>
      <c r="BJ103">
        <v>7.6446655711529541</v>
      </c>
      <c r="BK103">
        <v>4504.2369545233196</v>
      </c>
      <c r="BL103">
        <v>5.9343210758485014</v>
      </c>
      <c r="BM103">
        <v>3496.5019778899368</v>
      </c>
      <c r="BN103">
        <v>7.138112623668933</v>
      </c>
      <c r="BO103">
        <v>4205.7759578657351</v>
      </c>
      <c r="BP103">
        <v>6.5301916164803266</v>
      </c>
      <c r="BQ103">
        <v>3847.588900430208</v>
      </c>
      <c r="BR103">
        <v>6.0978074959700992</v>
      </c>
      <c r="BS103">
        <v>3592.8281766255818</v>
      </c>
      <c r="BT103">
        <v>6.8759855479913323</v>
      </c>
      <c r="BU103">
        <v>4051.3306848764923</v>
      </c>
      <c r="BV103">
        <v>4.3528259497690058</v>
      </c>
      <c r="BW103">
        <v>2564.6850496038978</v>
      </c>
      <c r="BX103">
        <v>11.656411771020521</v>
      </c>
      <c r="BY103">
        <v>6867.9578154852898</v>
      </c>
      <c r="BZ103">
        <v>7</v>
      </c>
      <c r="CA103">
        <v>4124.3999999999996</v>
      </c>
      <c r="CB103">
        <v>7.2580786066956726</v>
      </c>
      <c r="CC103">
        <v>4276.4599150650902</v>
      </c>
      <c r="CD103">
        <v>4.1225116639123822</v>
      </c>
      <c r="CE103">
        <v>2428.9838723771754</v>
      </c>
      <c r="CF103">
        <v>10.957887272995537</v>
      </c>
      <c r="CG103">
        <v>6456.3871812489697</v>
      </c>
      <c r="CH103">
        <v>6.3134699501340599</v>
      </c>
      <c r="CI103">
        <v>3719.8964946189876</v>
      </c>
      <c r="CJ103">
        <v>1.5105396514919007</v>
      </c>
      <c r="CK103">
        <v>890.00996265902779</v>
      </c>
      <c r="CL103">
        <v>6.0563241554609917</v>
      </c>
      <c r="CM103">
        <v>3568.386192397616</v>
      </c>
      <c r="CN103">
        <v>1.8676202828028059</v>
      </c>
      <c r="CO103">
        <v>1100.401870627413</v>
      </c>
      <c r="CP103">
        <v>10.887226491345741</v>
      </c>
      <c r="CQ103">
        <v>6414.7538487009097</v>
      </c>
      <c r="CR103">
        <v>8.6898313827600564</v>
      </c>
      <c r="CS103">
        <v>5120.0486507222249</v>
      </c>
      <c r="CT103">
        <v>7.093688785805921</v>
      </c>
      <c r="CU103">
        <v>4179.6014325968481</v>
      </c>
    </row>
    <row r="104" spans="2:99">
      <c r="C104" s="99" t="s">
        <v>271</v>
      </c>
      <c r="D104">
        <v>10.116971675291872</v>
      </c>
      <c r="E104">
        <v>6397.972887454579</v>
      </c>
      <c r="F104">
        <v>5.2088167441762012</v>
      </c>
      <c r="G104">
        <v>3294.0557090170296</v>
      </c>
      <c r="H104">
        <v>6.795437779415697</v>
      </c>
      <c r="I104">
        <v>4297.4348517024864</v>
      </c>
      <c r="J104">
        <v>5.9820343145900212</v>
      </c>
      <c r="K104">
        <v>3783.0385005467292</v>
      </c>
      <c r="L104">
        <v>8.8577999322906784</v>
      </c>
      <c r="M104">
        <v>5601.6726771806252</v>
      </c>
      <c r="N104">
        <v>4.8785340573923959</v>
      </c>
      <c r="O104">
        <v>3085.184937894951</v>
      </c>
      <c r="P104">
        <v>4.3563462374947797</v>
      </c>
      <c r="Q104">
        <v>2754.9533605916986</v>
      </c>
      <c r="R104">
        <v>1.3278313578475416</v>
      </c>
      <c r="S104">
        <v>839.72055070278532</v>
      </c>
      <c r="T104">
        <v>1.0517994204033725</v>
      </c>
      <c r="U104">
        <v>665.15795346309278</v>
      </c>
      <c r="V104">
        <v>1.6945657328721002</v>
      </c>
      <c r="W104">
        <v>1071.6433694683162</v>
      </c>
      <c r="X104">
        <v>7.3245182468046233</v>
      </c>
      <c r="Y104">
        <v>4632.0253392792438</v>
      </c>
      <c r="Z104">
        <v>8.7150410818581481</v>
      </c>
      <c r="AA104">
        <v>5511.3919801670927</v>
      </c>
      <c r="AB104">
        <v>8.4496255242149463</v>
      </c>
      <c r="AC104">
        <v>5343.5431815135316</v>
      </c>
      <c r="AD104">
        <v>7.6484112691654706</v>
      </c>
      <c r="AE104">
        <v>4836.8552866202435</v>
      </c>
      <c r="AF104">
        <v>7.171474068184331</v>
      </c>
      <c r="AG104">
        <v>4535.2402007197707</v>
      </c>
      <c r="AH104">
        <v>2.0956054936575792</v>
      </c>
      <c r="AI104">
        <v>1325.260914189053</v>
      </c>
      <c r="AJ104">
        <v>7.4283546902583391</v>
      </c>
      <c r="AK104">
        <v>4697.6915061193731</v>
      </c>
      <c r="AL104">
        <v>9.2459578804959666</v>
      </c>
      <c r="AM104">
        <v>5847.1437636256487</v>
      </c>
      <c r="AN104">
        <v>10.74161157359517</v>
      </c>
      <c r="AO104">
        <v>6792.9951591415856</v>
      </c>
      <c r="AP104">
        <v>7.1123487050631242</v>
      </c>
      <c r="AQ104">
        <v>4497.8493210819197</v>
      </c>
      <c r="AR104">
        <v>6.4517952707683017</v>
      </c>
      <c r="AS104">
        <v>4080.115329233874</v>
      </c>
      <c r="AT104">
        <v>1.940664784450755</v>
      </c>
      <c r="AU104">
        <v>1227.2764096866574</v>
      </c>
      <c r="AV104">
        <v>8.9802936150692005</v>
      </c>
      <c r="AW104">
        <v>5679.1376821697622</v>
      </c>
      <c r="AX104">
        <v>7.7580768429905502</v>
      </c>
      <c r="AY104">
        <v>4906.2077955072236</v>
      </c>
      <c r="AZ104">
        <v>7</v>
      </c>
      <c r="BA104">
        <v>4426.8</v>
      </c>
      <c r="BB104">
        <v>7.055061216934396</v>
      </c>
      <c r="BC104">
        <v>4461.6207135893119</v>
      </c>
      <c r="BD104">
        <v>7.5174401880145458</v>
      </c>
      <c r="BE104">
        <v>4754.0291749003982</v>
      </c>
      <c r="BF104">
        <v>9.6455144503651944</v>
      </c>
      <c r="BG104">
        <v>6099.823338410949</v>
      </c>
      <c r="BH104">
        <v>6.4804761185460391</v>
      </c>
      <c r="BI104">
        <v>4098.2530973685152</v>
      </c>
      <c r="BJ104">
        <v>9.0822110387504775</v>
      </c>
      <c r="BK104">
        <v>5743.5902609058021</v>
      </c>
      <c r="BL104">
        <v>6.2671926106391389</v>
      </c>
      <c r="BM104">
        <v>3963.3726069681911</v>
      </c>
      <c r="BN104">
        <v>5.3998428816761219</v>
      </c>
      <c r="BO104">
        <v>3414.8606383719793</v>
      </c>
      <c r="BP104">
        <v>6.5301916164803266</v>
      </c>
      <c r="BQ104">
        <v>4129.6931782621587</v>
      </c>
      <c r="BR104">
        <v>6.7114294629921805</v>
      </c>
      <c r="BS104">
        <v>4244.307992396255</v>
      </c>
      <c r="BT104">
        <v>7.0307610280344139</v>
      </c>
      <c r="BU104">
        <v>4446.2532741289633</v>
      </c>
      <c r="BV104">
        <v>4.3357790484980416</v>
      </c>
      <c r="BW104">
        <v>2741.9466702701616</v>
      </c>
      <c r="BX104">
        <v>10.505828882745927</v>
      </c>
      <c r="BY104">
        <v>6643.886185448524</v>
      </c>
      <c r="BZ104">
        <v>8</v>
      </c>
      <c r="CA104">
        <v>5059.2</v>
      </c>
      <c r="CB104">
        <v>7.7618680969679277</v>
      </c>
      <c r="CC104">
        <v>4908.6053845225169</v>
      </c>
      <c r="CD104">
        <v>3.7573870968019003</v>
      </c>
      <c r="CE104">
        <v>2376.1716000175215</v>
      </c>
      <c r="CF104">
        <v>11.081068586058917</v>
      </c>
      <c r="CG104">
        <v>7007.6677738236585</v>
      </c>
      <c r="CH104">
        <v>7.1026536939008169</v>
      </c>
      <c r="CI104">
        <v>4491.7181960228763</v>
      </c>
      <c r="CJ104">
        <v>1.2374047801925878</v>
      </c>
      <c r="CK104">
        <v>782.53478299379253</v>
      </c>
      <c r="CL104">
        <v>6.7293895181396719</v>
      </c>
      <c r="CM104">
        <v>4255.6659312715283</v>
      </c>
      <c r="CN104">
        <v>1.8705137866196861</v>
      </c>
      <c r="CO104">
        <v>1182.9129186582895</v>
      </c>
      <c r="CP104">
        <v>9.7985038422111668</v>
      </c>
      <c r="CQ104">
        <v>6196.5738298143415</v>
      </c>
      <c r="CR104">
        <v>9.452016183085389</v>
      </c>
      <c r="CS104">
        <v>5977.4550341832</v>
      </c>
      <c r="CT104">
        <v>7.6661752550834157</v>
      </c>
      <c r="CU104">
        <v>4848.0892313147515</v>
      </c>
    </row>
    <row r="105" spans="2:99">
      <c r="C105" s="99" t="s">
        <v>272</v>
      </c>
      <c r="D105">
        <v>11.045957796500957</v>
      </c>
      <c r="E105">
        <v>6150.3893010917327</v>
      </c>
      <c r="F105">
        <v>5.1746232265275154</v>
      </c>
      <c r="G105">
        <v>2881.2302125305205</v>
      </c>
      <c r="H105">
        <v>6.6951834887006445</v>
      </c>
      <c r="I105">
        <v>3727.8781665085185</v>
      </c>
      <c r="J105">
        <v>5.9820343145900212</v>
      </c>
      <c r="K105">
        <v>3330.7967063637234</v>
      </c>
      <c r="L105">
        <v>8.6889090293551625</v>
      </c>
      <c r="M105">
        <v>4837.9845475449538</v>
      </c>
      <c r="N105">
        <v>4.8785340573923959</v>
      </c>
      <c r="O105">
        <v>2716.3677631560859</v>
      </c>
      <c r="P105">
        <v>3.8407947992520319</v>
      </c>
      <c r="Q105">
        <v>2138.5545442235311</v>
      </c>
      <c r="R105">
        <v>1.3278313578475416</v>
      </c>
      <c r="S105">
        <v>739.33650004951107</v>
      </c>
      <c r="T105">
        <v>1.2270993238039347</v>
      </c>
      <c r="U105">
        <v>683.24890349403074</v>
      </c>
      <c r="V105">
        <v>1.4338633124302387</v>
      </c>
      <c r="W105">
        <v>798.37509236115682</v>
      </c>
      <c r="X105">
        <v>6.3601645204134076</v>
      </c>
      <c r="Y105">
        <v>3541.3396049661851</v>
      </c>
      <c r="Z105">
        <v>8.0233356222470906</v>
      </c>
      <c r="AA105">
        <v>4467.3932744671793</v>
      </c>
      <c r="AB105">
        <v>7.9691429347241192</v>
      </c>
      <c r="AC105">
        <v>4437.2187860543891</v>
      </c>
      <c r="AD105">
        <v>7.6923572116993455</v>
      </c>
      <c r="AE105">
        <v>4283.1044954741956</v>
      </c>
      <c r="AF105">
        <v>6.5998756940218879</v>
      </c>
      <c r="AG105">
        <v>3674.810786431387</v>
      </c>
      <c r="AH105">
        <v>2.3963193290079476</v>
      </c>
      <c r="AI105">
        <v>1334.2706023916251</v>
      </c>
      <c r="AJ105">
        <v>7.4283546902583391</v>
      </c>
      <c r="AK105">
        <v>4136.107891535843</v>
      </c>
      <c r="AL105">
        <v>9.2459578804959666</v>
      </c>
      <c r="AM105">
        <v>5148.1493478601542</v>
      </c>
      <c r="AN105">
        <v>10.74161157359517</v>
      </c>
      <c r="AO105">
        <v>5980.9293241777905</v>
      </c>
      <c r="AP105">
        <v>8.1480714876432394</v>
      </c>
      <c r="AQ105">
        <v>4536.8462043197551</v>
      </c>
      <c r="AR105">
        <v>6.5451827679149979</v>
      </c>
      <c r="AS105">
        <v>3644.3577651750707</v>
      </c>
      <c r="AT105">
        <v>1.940664784450755</v>
      </c>
      <c r="AU105">
        <v>1080.5621519821802</v>
      </c>
      <c r="AV105">
        <v>7.3237627898993569</v>
      </c>
      <c r="AW105">
        <v>4077.8711214159616</v>
      </c>
      <c r="AX105">
        <v>8.6317307024921259</v>
      </c>
      <c r="AY105">
        <v>4806.1476551476153</v>
      </c>
      <c r="AZ105">
        <v>7</v>
      </c>
      <c r="BA105">
        <v>3897.5999999999995</v>
      </c>
      <c r="BB105">
        <v>7.0471953288009113</v>
      </c>
      <c r="BC105">
        <v>3923.8783590763469</v>
      </c>
      <c r="BD105">
        <v>8.2627192695731217</v>
      </c>
      <c r="BE105">
        <v>4600.6820892983142</v>
      </c>
      <c r="BF105">
        <v>8.233252828834102</v>
      </c>
      <c r="BG105">
        <v>4584.2751750948273</v>
      </c>
      <c r="BH105">
        <v>7.4389184264005834</v>
      </c>
      <c r="BI105">
        <v>4141.9897798198444</v>
      </c>
      <c r="BJ105">
        <v>8.9679764804591446</v>
      </c>
      <c r="BK105">
        <v>4993.3693043196517</v>
      </c>
      <c r="BL105">
        <v>6.2671926106391389</v>
      </c>
      <c r="BM105">
        <v>3489.5728456038723</v>
      </c>
      <c r="BN105">
        <v>7.2325014407179316</v>
      </c>
      <c r="BO105">
        <v>4027.0568021917438</v>
      </c>
      <c r="BP105">
        <v>7.6198083502179488</v>
      </c>
      <c r="BQ105">
        <v>4242.7092894013531</v>
      </c>
      <c r="BR105">
        <v>6.7641575659691222</v>
      </c>
      <c r="BS105">
        <v>3766.2829327316072</v>
      </c>
      <c r="BT105">
        <v>6.9274389304679618</v>
      </c>
      <c r="BU105">
        <v>3857.1979964845609</v>
      </c>
      <c r="BV105">
        <v>4.7041968447357805</v>
      </c>
      <c r="BW105">
        <v>2619.2968031488822</v>
      </c>
      <c r="BX105">
        <v>11.656411771020521</v>
      </c>
      <c r="BY105">
        <v>6490.2900741042249</v>
      </c>
      <c r="BZ105">
        <v>8</v>
      </c>
      <c r="CA105">
        <v>4454.3999999999996</v>
      </c>
      <c r="CB105">
        <v>7.9204526472517216</v>
      </c>
      <c r="CC105">
        <v>4410.108033989758</v>
      </c>
      <c r="CD105">
        <v>3.7573870968019003</v>
      </c>
      <c r="CE105">
        <v>2092.1131354992981</v>
      </c>
      <c r="CF105">
        <v>10.957887272995537</v>
      </c>
      <c r="CG105">
        <v>6101.3516336039147</v>
      </c>
      <c r="CH105">
        <v>7.1026536939008169</v>
      </c>
      <c r="CI105">
        <v>3954.7575767639746</v>
      </c>
      <c r="CJ105">
        <v>1.514688581164741</v>
      </c>
      <c r="CK105">
        <v>843.37860199252771</v>
      </c>
      <c r="CL105">
        <v>6.832840796348151</v>
      </c>
      <c r="CM105">
        <v>3804.5257554066502</v>
      </c>
      <c r="CN105">
        <v>1.6857772110112212</v>
      </c>
      <c r="CO105">
        <v>938.64075109104795</v>
      </c>
      <c r="CP105">
        <v>10.798503842211167</v>
      </c>
      <c r="CQ105">
        <v>6012.6069393431771</v>
      </c>
      <c r="CR105">
        <v>9.4825960410035304</v>
      </c>
      <c r="CS105">
        <v>5279.909475630765</v>
      </c>
      <c r="CT105">
        <v>7.7740258418783315</v>
      </c>
      <c r="CU105">
        <v>4328.5775887578548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279.50785087069028</v>
      </c>
      <c r="E109">
        <f>SUM(L$6:L$19)+SUM(N$6:N$19)+SUM(P$6:P$19)+SUM(R$6:R$19)</f>
        <v>315.95975818979616</v>
      </c>
      <c r="F109">
        <f>SUM(T$6:T$19)+SUM(V$6:V$19)+SUM(X$6:X$19)+SUM(Z$6:Z$19)</f>
        <v>345.64400357843954</v>
      </c>
      <c r="G109">
        <f>SUM(AB$6:AB$19)+SUM(AD$6:AD$19)+SUM(AF$6:AF$19)+SUM(AH$6:AH$19)</f>
        <v>315.36964590500617</v>
      </c>
      <c r="H109">
        <f>SUM(AJ$6:AJ$19)+SUM(AL$6:AL$19)+SUM(AN$6:AN$19)+SUM(AP$6:AP$19)</f>
        <v>327.56765268607836</v>
      </c>
      <c r="I109">
        <f>SUM(AR$6:AR$19)+SUM(AT$6:AT$19)+SUM(AV$6:AV$19)+SUM(AX$6:AX$19)</f>
        <v>331.04025859477241</v>
      </c>
      <c r="J109">
        <f>SUM(AZ$6:AZ$19)+SUM(BB$6:BB$19)+SUM(BD$6:BD$19)+SUM(BF$6:BF$19)</f>
        <v>310.97475923387469</v>
      </c>
      <c r="K109">
        <f>SUM(BH$6:BH$19)+SUM(BJ$6:BJ$19)+SUM(BL$6:BL$19)+SUM(BN$6:BN$19)</f>
        <v>298.95192470731814</v>
      </c>
      <c r="L109">
        <f>SUM(BP$6:BP$19)+SUM(BR$6:BR$19)+SUM(BT$6:BT$19)+SUM(BV$6:BV$19)</f>
        <v>410.25913820024562</v>
      </c>
      <c r="M109">
        <f>SUM(BX$6:BX$19)+SUM(BZ$6:BZ$19)+SUM(CB$6:CB$19)+SUM(CD$6:CD$19)</f>
        <v>317.25616895900782</v>
      </c>
      <c r="N109">
        <f>SUM(CF$6:CF$19)+SUM(CH$6:CH$19)+SUM(CJ$6:CJ$19)+SUM(CL$6:CL$19)</f>
        <v>325.25450277951273</v>
      </c>
      <c r="O109">
        <f>SUM(CN$6:CN$19)+SUM(CP$6:CP$19)+SUM(CR$6:CR$19)+SUM(CT$6:CT$19)</f>
        <v>463.34335561213089</v>
      </c>
    </row>
    <row r="110" spans="2:99">
      <c r="C110" s="99" t="s">
        <v>127</v>
      </c>
      <c r="D110">
        <f>SUM(D$20:D$36)+SUM(F$20:F$36)+SUM(H$20:H$36)+SUM(J$20:J$36)</f>
        <v>414.49383871934549</v>
      </c>
      <c r="E110">
        <f>SUM(L$20:L$36)+SUM(N$20:N$36)+SUM(P$20:P$36)+SUM(R$20:R$36)</f>
        <v>407.08878269714387</v>
      </c>
      <c r="F110">
        <f>SUM(T$20:T$36)+SUM(V$20:V$36)+SUM(X$20:X$36)+SUM(Z$20:Z$36)</f>
        <v>491.39941345340935</v>
      </c>
      <c r="G110">
        <f>SUM(AB$20:AB$36)+SUM(AD$20:AD$36)+SUM(AF$20:AF$36)+SUM(AH$20:AH$36)</f>
        <v>401.67733677814817</v>
      </c>
      <c r="H110">
        <f>SUM(AJ$20:AJ$36)+SUM(AL$20:AL$36)+SUM(AN$20:AN$36)+SUM(AP$20:AP$36)</f>
        <v>476.13629099752723</v>
      </c>
      <c r="I110">
        <f>SUM(AR$20:AR$36)+SUM(AT$20:AT$36)+SUM(AV$20:AV$36)+SUM(AX$20:AX$36)</f>
        <v>469.2117888193963</v>
      </c>
      <c r="J110">
        <f>SUM(AZ$20:AZ$36)+SUM(BB$20:BB$36)+SUM(BD$20:BD$36)+SUM(BF$20:BF$36)</f>
        <v>396.67768542635281</v>
      </c>
      <c r="K110">
        <f>SUM(BH$20:BH$36)+SUM(BJ$20:BJ$36)+SUM(BL$20:BL$36)+SUM(BN$20:BN$36)</f>
        <v>433.002823204935</v>
      </c>
      <c r="L110">
        <f>SUM(BP$20:BP$36)+SUM(BR$20:BR$36)+SUM(BT$20:BT$36)+SUM(BV$20:BV$36)</f>
        <v>483.75823822989554</v>
      </c>
      <c r="M110">
        <f>SUM(BX$20:BX$36)+SUM(BZ$20:BZ$36)+SUM(CB$20:CB$36)+SUM(CD$20:CD$36)</f>
        <v>369.00075802231567</v>
      </c>
      <c r="N110">
        <f>SUM(CF$20:CF$36)+SUM(CH$20:CH$36)+SUM(CJ$20:CJ$36)+SUM(CL$20:CL$36)</f>
        <v>435.56073072319117</v>
      </c>
      <c r="O110">
        <f>SUM(CN$20:CN$36)+SUM(CP$20:CP$36)+SUM(CR$20:CR$36)+SUM(CT$20:CT$36)</f>
        <v>684.43633970566225</v>
      </c>
    </row>
    <row r="111" spans="2:99">
      <c r="C111" s="99" t="s">
        <v>128</v>
      </c>
      <c r="D111">
        <f>SUM(D$37:D$48)+SUM(F$37:F$48)+SUM(H$37:H$48)+SUM(J$37:J$48)</f>
        <v>556.10089210990725</v>
      </c>
      <c r="E111">
        <f>SUM(L$37:L$48)+SUM(N$37:N$48)+SUM(P$37:P$48)+SUM(R$37:R$48)</f>
        <v>444.84434065192988</v>
      </c>
      <c r="F111">
        <f>SUM(T$37:T$48)+SUM(V$37:V$48)+SUM(X$37:X$48)+SUM(Z$37:Z$48)</f>
        <v>656.01045473420834</v>
      </c>
      <c r="G111">
        <f>SUM(AB$37:AB$48)+SUM(AD$37:AD$48)+SUM(AF$37:AF$48)+SUM(AH$37:AH$48)</f>
        <v>488.04005843234177</v>
      </c>
      <c r="H111">
        <f>SUM(AJ$37:AJ$48)+SUM(AL$37:AL$48)+SUM(AN$37:AN$48)+SUM(AP$37:AP$48)</f>
        <v>485.36083074429473</v>
      </c>
      <c r="I111">
        <f>SUM(AR$37:AR$48)+SUM(AT$37:AT$48)+SUM(AV$37:AV$48)+SUM(AX$37:AX$48)</f>
        <v>713.32236418949196</v>
      </c>
      <c r="J111">
        <f>SUM(AZ$37:AZ$48)+SUM(BB$37:BB$48)+SUM(BD$37:BD$48)+SUM(BF$37:BF$48)</f>
        <v>617.24070719774841</v>
      </c>
      <c r="K111">
        <f>SUM(BH$37:BH$48)+SUM(BJ$37:BJ$48)+SUM(BL$37:BL$48)+SUM(BN$37:BN$48)</f>
        <v>559.85352364364417</v>
      </c>
      <c r="L111">
        <f>SUM(BP$37:BP$48)+SUM(BR$37:BR$48)+SUM(BT$37:BT$48)+SUM(BV$37:BV$48)</f>
        <v>633.60948672825816</v>
      </c>
      <c r="M111">
        <f>SUM(BX$37:BX$48)+SUM(BZ$37:BZ$48)+SUM(CB$37:CB$48)+SUM(CD$37:CD$48)</f>
        <v>429.4795091429026</v>
      </c>
      <c r="N111">
        <f>SUM(CF$37:CF$48)+SUM(CH$37:CH$48)+SUM(CJ$37:CJ$48)+SUM(CL$37:CL$48)</f>
        <v>578.56665387510111</v>
      </c>
      <c r="O111">
        <f>SUM(CN$37:CN$48)+SUM(CP$37:CP$48)+SUM(CR$37:CR$48)+SUM(CT$37:CT$48)</f>
        <v>578.30598108015226</v>
      </c>
    </row>
    <row r="112" spans="2:99">
      <c r="C112" s="99" t="s">
        <v>129</v>
      </c>
      <c r="D112">
        <f>SUM(D$49:D$70)+SUM(F$49:F$70)+SUM(H$49:H$70)+SUM(J$49:J$70)</f>
        <v>515.99438636218872</v>
      </c>
      <c r="E112">
        <f>SUM(L$49:L$70)+SUM(N$49:N$70)+SUM(P$49:P$70)+SUM(R$49:R$70)</f>
        <v>601.62281718352688</v>
      </c>
      <c r="F112">
        <f>SUM(T$49:T$70)+SUM(V$49:V$70)+SUM(X$49:X$70)+SUM(Z$49:Z$70)</f>
        <v>725.21885235308855</v>
      </c>
      <c r="G112">
        <f>SUM(AB$49:AB$70)+SUM(AD$49:AD$70)+SUM(AF$49:AF$70)+SUM(AH$49:AH$70)</f>
        <v>538.93734373423172</v>
      </c>
      <c r="H112">
        <f>SUM(AJ$49:AJ$70)+SUM(AL$49:AL$70)+SUM(AN$49:AN$70)+SUM(AP$49:AP$70)</f>
        <v>581.32588751477147</v>
      </c>
      <c r="I112">
        <f>SUM(AR$49:AR$70)+SUM(AT$49:AT$70)+SUM(AV$49:AV$70)+SUM(AX$49:AX$70)</f>
        <v>624.96240018553488</v>
      </c>
      <c r="J112">
        <f>SUM(AZ$49:AZ$70)+SUM(BB$49:BB$70)+SUM(BD$49:BD$70)+SUM(BF$49:BF$70)</f>
        <v>579.61822792686644</v>
      </c>
      <c r="K112">
        <f>SUM(BH$49:BH$70)+SUM(BJ$49:BJ$70)+SUM(BL$49:BL$70)+SUM(BN$49:BN$70)</f>
        <v>621.20830817973228</v>
      </c>
      <c r="L112">
        <f>SUM(BP$49:BP$70)+SUM(BR$49:BR$70)+SUM(BT$49:BT$70)+SUM(BV$49:BV$70)</f>
        <v>611.09110718520003</v>
      </c>
      <c r="M112">
        <f>SUM(BX$49:BX$70)+SUM(BZ$49:BZ$70)+SUM(CB$49:CB$70)+SUM(CD$49:CD$70)</f>
        <v>548.52939873457774</v>
      </c>
      <c r="N112">
        <f>SUM(CF$49:CF$70)+SUM(CH$49:CH$70)+SUM(CJ$49:CJ$70)+SUM(CL$49:CL$70)</f>
        <v>649.34952588348312</v>
      </c>
      <c r="O112">
        <f>SUM(CN$49:CN$70)+SUM(CP$49:CP$70)+SUM(CR$49:CR$70)+SUM(CT$49:CT$70)</f>
        <v>599.62029034939587</v>
      </c>
    </row>
    <row r="113" spans="2:15">
      <c r="C113" s="99" t="s">
        <v>130</v>
      </c>
      <c r="D113">
        <f>SUM(D$71:D$86)+SUM(F$71:F$86)+SUM(H$71:H$86)+SUM(J$71:J$86)</f>
        <v>409.88961535100049</v>
      </c>
      <c r="E113">
        <f>SUM(L$71:L$86)+SUM(N$71:N$86)+SUM(P$71:P$86)+SUM(R$71:R$86)</f>
        <v>249.56975024478515</v>
      </c>
      <c r="F113">
        <f>SUM(T$71:T$86)+SUM(V$71:V$86)+SUM(X$71:X$86)+SUM(Z$71:Z$86)</f>
        <v>301.66182639051544</v>
      </c>
      <c r="G113">
        <f>SUM(AB$71:AB$86)+SUM(AD$71:AD$86)+SUM(AF$71:AF$86)+SUM(AH$71:AH$86)</f>
        <v>382.09968545165248</v>
      </c>
      <c r="H113">
        <f>SUM(AJ$71:AJ$86)+SUM(AL$71:AL$86)+SUM(AN$71:AN$86)+SUM(AP$71:AP$86)</f>
        <v>352.86749536437736</v>
      </c>
      <c r="I113">
        <f>SUM(AR$71:AR$86)+SUM(AT$71:AT$86)+SUM(AV$71:AV$86)+SUM(AX$71:AX$86)</f>
        <v>447</v>
      </c>
      <c r="J113">
        <f>SUM(AZ$71:AZ$86)+SUM(BB$71:BB$86)+SUM(BD$71:BD$86)+SUM(BF$71:BF$86)</f>
        <v>397.43331755477652</v>
      </c>
      <c r="K113">
        <f>SUM(BH$71:BH$86)+SUM(BJ$71:BJ$86)+SUM(BL$71:BL$86)+SUM(BN$71:BN$86)</f>
        <v>376.01770212499741</v>
      </c>
      <c r="L113">
        <f>SUM(BP$71:BP$86)+SUM(BR$71:BR$86)+SUM(BT$71:BT$86)+SUM(BV$71:BV$86)</f>
        <v>328.93351367774392</v>
      </c>
      <c r="M113">
        <f>SUM(BX$71:BX$86)+SUM(BZ$71:BZ$86)+SUM(CB$71:CB$86)+SUM(CD$71:CD$86)</f>
        <v>411.91476438174107</v>
      </c>
      <c r="N113">
        <f>SUM(CF$71:CF$86)+SUM(CH$71:CH$86)+SUM(CJ$71:CJ$86)+SUM(CL$71:CL$86)</f>
        <v>390.22097822854232</v>
      </c>
      <c r="O113">
        <f>SUM(CN$71:CN$86)+SUM(CP$71:CP$86)+SUM(CR$71:CR$86)+SUM(CT$71:CT$86)</f>
        <v>334.66691454769716</v>
      </c>
    </row>
    <row r="114" spans="2:15">
      <c r="C114" s="99" t="s">
        <v>131</v>
      </c>
      <c r="D114">
        <f>SUM(D$87:D$94)+SUM(F$87:F$94)+SUM(H$87:H$94)+SUM(J$87:J$94)</f>
        <v>132.66343885545433</v>
      </c>
      <c r="E114">
        <f>SUM(L$87:L$94)+SUM(N$87:N$94)+SUM(P$87:P$94)+SUM(R$87:R$94)</f>
        <v>119.07141199809821</v>
      </c>
      <c r="F114">
        <f>SUM(T$87:T$94)+SUM(V$87:V$94)+SUM(X$87:X$94)+SUM(Z$87:Z$94)</f>
        <v>92.500131629094653</v>
      </c>
      <c r="G114">
        <f>SUM(AB$87:AB$94)+SUM(AD$87:AD$94)+SUM(AF$87:AF$94)+SUM(AH$87:AH$94)</f>
        <v>125.67263962735048</v>
      </c>
      <c r="H114">
        <f>SUM(AJ$87:AJ$94)+SUM(AL$87:AL$94)+SUM(AN$87:AN$94)+SUM(AP$87:AP$94)</f>
        <v>172.74215126604406</v>
      </c>
      <c r="I114">
        <f>SUM(AR$87:AR$94)+SUM(AT$87:AT$94)+SUM(AV$87:AV$94)+SUM(AX$87:AX$94)</f>
        <v>160.65568719876455</v>
      </c>
      <c r="J114">
        <f>SUM(AZ$87:AZ$94)+SUM(BB$87:BB$94)+SUM(BD$87:BD$94)+SUM(BF$87:BF$94)</f>
        <v>176.2624258272381</v>
      </c>
      <c r="K114">
        <f>SUM(BH$87:BH$94)+SUM(BJ$87:BJ$94)+SUM(BL$87:BL$94)+SUM(BN$87:BN$94)</f>
        <v>144.87120425415998</v>
      </c>
      <c r="L114">
        <f>SUM(BP$87:BP$94)+SUM(BR$87:BR$94)+SUM(BT$87:BT$94)+SUM(BV$87:BV$94)</f>
        <v>116.73641612753281</v>
      </c>
      <c r="M114">
        <f>SUM(BX$87:BX$94)+SUM(BZ$87:BZ$94)+SUM(CB$87:CB$94)+SUM(CD$87:CD$94)</f>
        <v>148.89717751912556</v>
      </c>
      <c r="N114">
        <f>SUM(CF$87:CF$94)+SUM(CH$87:CH$94)+SUM(CJ$87:CJ$94)+SUM(CL$87:CL$94)</f>
        <v>185.1692327238494</v>
      </c>
      <c r="O114">
        <f>SUM(CN$87:CN$94)+SUM(CP$87:CP$94)+SUM(CR$87:CR$94)+SUM(CT$87:CT$94)</f>
        <v>177.16165337388185</v>
      </c>
    </row>
    <row r="115" spans="2:15">
      <c r="C115" s="99" t="s">
        <v>132</v>
      </c>
      <c r="D115">
        <f>SUM(D$95:D$105)+SUM(F$95:F$105)+SUM(H$95:H$105)+SUM(J$95:J$105)</f>
        <v>302.99445185406006</v>
      </c>
      <c r="E115">
        <f>SUM(L$95:L$105)+SUM(N$95:N$105)+SUM(P$95:P$105)+SUM(R$95:R$105)</f>
        <v>216.53110794842269</v>
      </c>
      <c r="F115">
        <f>SUM(T$95:T$105)+SUM(V$95:V$105)+SUM(X$95:X$105)+SUM(Z$95:Z$105)</f>
        <v>196.84953865286255</v>
      </c>
      <c r="G115">
        <f>SUM(AB$95:AB$105)+SUM(AD$95:AD$105)+SUM(AF$95:AF$105)+SUM(AH$95:AH$105)</f>
        <v>282.83732004586818</v>
      </c>
      <c r="H115">
        <f>SUM(AJ$95:AJ$105)+SUM(AL$95:AL$105)+SUM(AN$95:AN$105)+SUM(AP$95:AP$105)</f>
        <v>389.97564700407838</v>
      </c>
      <c r="I115">
        <f>SUM(AR$95:AR$105)+SUM(AT$95:AT$105)+SUM(AV$95:AV$105)+SUM(AX$95:AX$105)</f>
        <v>268.93335656665317</v>
      </c>
      <c r="J115">
        <f>SUM(AZ$95:AZ$105)+SUM(BB$95:BB$105)+SUM(BD$95:BD$105)+SUM(BF$95:BF$105)</f>
        <v>330.56482650293242</v>
      </c>
      <c r="K115">
        <f>SUM(BH$95:BH$105)+SUM(BJ$95:BJ$105)+SUM(BL$95:BL$105)+SUM(BN$95:BN$105)</f>
        <v>308.8611123379788</v>
      </c>
      <c r="L115">
        <f>SUM(BP$95:BP$105)+SUM(BR$95:BR$105)+SUM(BT$95:BT$105)+SUM(BV$95:BV$105)</f>
        <v>270.11145608915746</v>
      </c>
      <c r="M115">
        <f>SUM(BX$95:BX$105)+SUM(BZ$95:BZ$105)+SUM(CB$95:CB$105)+SUM(CD$95:CD$105)</f>
        <v>327.83030602795361</v>
      </c>
      <c r="N115">
        <f>SUM(CF$95:CF$105)+SUM(CH$95:CH$105)+SUM(CJ$95:CJ$105)+SUM(CL$95:CL$105)</f>
        <v>280.9580195373706</v>
      </c>
      <c r="O115">
        <f>SUM(CN$95:CN$105)+SUM(CP$95:CP$105)+SUM(CR$95:CR$105)+SUM(CT$95:CT$105)</f>
        <v>319.75475413533195</v>
      </c>
    </row>
    <row r="116" spans="2:15">
      <c r="C116" s="99" t="s">
        <v>279</v>
      </c>
      <c r="D116">
        <f t="shared" ref="D116:O116" si="0">SUM(D$109:D$115)</f>
        <v>2611.6444741226469</v>
      </c>
      <c r="E116">
        <f t="shared" si="0"/>
        <v>2354.6879689137027</v>
      </c>
      <c r="F116">
        <f t="shared" si="0"/>
        <v>2809.2842207916187</v>
      </c>
      <c r="G116">
        <f t="shared" si="0"/>
        <v>2534.6340299745989</v>
      </c>
      <c r="H116">
        <f t="shared" si="0"/>
        <v>2785.9759555771716</v>
      </c>
      <c r="I116">
        <f t="shared" si="0"/>
        <v>3015.1258555546137</v>
      </c>
      <c r="J116">
        <f t="shared" si="0"/>
        <v>2808.7719496697891</v>
      </c>
      <c r="K116">
        <f t="shared" si="0"/>
        <v>2742.7665984527657</v>
      </c>
      <c r="L116">
        <f t="shared" si="0"/>
        <v>2854.4993562380337</v>
      </c>
      <c r="M116">
        <f t="shared" si="0"/>
        <v>2552.9080827876242</v>
      </c>
      <c r="N116">
        <f t="shared" si="0"/>
        <v>2845.0796437510503</v>
      </c>
      <c r="O116">
        <f t="shared" si="0"/>
        <v>3157.2892888042525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D109*pricing!D33*2000</f>
        <v>1509342.3947017277</v>
      </c>
      <c r="E120">
        <f>E109*pricing!E33*2000</f>
        <v>1706182.6942248994</v>
      </c>
      <c r="F120">
        <f>F109*pricing!F33*2000</f>
        <v>1866477.6193235738</v>
      </c>
      <c r="G120">
        <f>G109*pricing!G33*2000</f>
        <v>1702996.0878870334</v>
      </c>
      <c r="H120">
        <f>H109*pricing!H33*2000</f>
        <v>1768865.3245048234</v>
      </c>
      <c r="I120">
        <f>I109*pricing!I33*2000</f>
        <v>1787617.3964117712</v>
      </c>
      <c r="J120">
        <f>J109*pricing!J33*2000</f>
        <v>1679263.6998629235</v>
      </c>
      <c r="K120">
        <f>K109*pricing!K33*2000</f>
        <v>1614340.3934195181</v>
      </c>
      <c r="L120">
        <f>L109*pricing!L33*2000</f>
        <v>2215399.3462813264</v>
      </c>
      <c r="M120">
        <f>M109*pricing!M33*2000</f>
        <v>1713183.3123786424</v>
      </c>
      <c r="N120">
        <f>N109*pricing!N33*2000</f>
        <v>1756374.315009369</v>
      </c>
      <c r="O120">
        <f>O109*pricing!O33*2000</f>
        <v>2502054.120305507</v>
      </c>
    </row>
    <row r="121" spans="2:15">
      <c r="C121" s="99" t="s">
        <v>127</v>
      </c>
      <c r="D121">
        <f>D110*pricing!D34*2000</f>
        <v>1989570.4258528582</v>
      </c>
      <c r="E121">
        <f>E110*pricing!E34*2000</f>
        <v>1954026.1569462905</v>
      </c>
      <c r="F121">
        <f>F110*pricing!F34*2000</f>
        <v>2358717.1845763647</v>
      </c>
      <c r="G121">
        <f>G110*pricing!G34*2000</f>
        <v>1928051.216535111</v>
      </c>
      <c r="H121">
        <f>H110*pricing!H34*2000</f>
        <v>2285454.1967881303</v>
      </c>
      <c r="I121">
        <f>I110*pricing!I34*2000</f>
        <v>2252216.5863331021</v>
      </c>
      <c r="J121">
        <f>J110*pricing!J34*2000</f>
        <v>1904052.8900464934</v>
      </c>
      <c r="K121">
        <f>K110*pricing!K34*2000</f>
        <v>2078413.5513836876</v>
      </c>
      <c r="L121">
        <f>L110*pricing!L34*2000</f>
        <v>2322039.5435034982</v>
      </c>
      <c r="M121">
        <f>M110*pricing!M34*2000</f>
        <v>1771203.6385071152</v>
      </c>
      <c r="N121">
        <f>N110*pricing!N34*2000</f>
        <v>2090691.5074713174</v>
      </c>
      <c r="O121">
        <f>O110*pricing!O34*2000</f>
        <v>3285294.430587179</v>
      </c>
    </row>
    <row r="122" spans="2:15">
      <c r="C122" s="99" t="s">
        <v>128</v>
      </c>
      <c r="D122">
        <f>D111*pricing!D35*2000</f>
        <v>2558064.1037055729</v>
      </c>
      <c r="E122">
        <f>E111*pricing!E35*2000</f>
        <v>2046283.9669988772</v>
      </c>
      <c r="F122">
        <f>F111*pricing!F35*2000</f>
        <v>3017648.0917773582</v>
      </c>
      <c r="G122">
        <f>G111*pricing!G35*2000</f>
        <v>2244984.2687887722</v>
      </c>
      <c r="H122">
        <f>H111*pricing!H35*2000</f>
        <v>2232659.8214237555</v>
      </c>
      <c r="I122">
        <f>I111*pricing!I35*2000</f>
        <v>3281282.8752716626</v>
      </c>
      <c r="J122">
        <f>J111*pricing!J35*2000</f>
        <v>2839307.2531096423</v>
      </c>
      <c r="K122">
        <f>K111*pricing!K35*2000</f>
        <v>2575326.2087607631</v>
      </c>
      <c r="L122">
        <f>L111*pricing!L35*2000</f>
        <v>2914603.6389499875</v>
      </c>
      <c r="M122">
        <f>M111*pricing!M35*2000</f>
        <v>1975605.7420573519</v>
      </c>
      <c r="N122">
        <f>N111*pricing!N35*2000</f>
        <v>2661406.607825465</v>
      </c>
      <c r="O122">
        <f>O111*pricing!O35*2000</f>
        <v>2660207.5129686999</v>
      </c>
    </row>
    <row r="123" spans="2:15">
      <c r="C123" s="99" t="s">
        <v>129</v>
      </c>
      <c r="D123">
        <f>D112*pricing!D36*2000</f>
        <v>2579971.9318109439</v>
      </c>
      <c r="E123">
        <f>E112*pricing!E36*2000</f>
        <v>3008114.0859176344</v>
      </c>
      <c r="F123">
        <f>F112*pricing!F36*2000</f>
        <v>3626094.2617654428</v>
      </c>
      <c r="G123">
        <f>G112*pricing!G36*2000</f>
        <v>2694686.7186711589</v>
      </c>
      <c r="H123">
        <f>H112*pricing!H36*2000</f>
        <v>2906629.4375738571</v>
      </c>
      <c r="I123">
        <f>I112*pricing!I36*2000</f>
        <v>3124812.0009276746</v>
      </c>
      <c r="J123">
        <f>J112*pricing!J36*2000</f>
        <v>2898091.1396343322</v>
      </c>
      <c r="K123">
        <f>K112*pricing!K36*2000</f>
        <v>3106041.5408986616</v>
      </c>
      <c r="L123">
        <f>L112*pricing!L36*2000</f>
        <v>3055455.5359260002</v>
      </c>
      <c r="M123">
        <f>M112*pricing!M36*2000</f>
        <v>2742646.9936728887</v>
      </c>
      <c r="N123">
        <f>N112*pricing!N36*2000</f>
        <v>3246747.6294174157</v>
      </c>
      <c r="O123">
        <f>O112*pricing!O36*2000</f>
        <v>2998101.4517469793</v>
      </c>
    </row>
    <row r="124" spans="2:15">
      <c r="C124" s="99" t="s">
        <v>130</v>
      </c>
      <c r="D124">
        <f>D113*pricing!D37*2000</f>
        <v>2131425.9998252029</v>
      </c>
      <c r="E124">
        <f>E113*pricing!E37*2000</f>
        <v>1297762.7012728828</v>
      </c>
      <c r="F124">
        <f>F113*pricing!F37*2000</f>
        <v>1568641.4972306804</v>
      </c>
      <c r="G124">
        <f>G113*pricing!G37*2000</f>
        <v>1986918.3643485929</v>
      </c>
      <c r="H124">
        <f>H113*pricing!H37*2000</f>
        <v>1834910.9758947622</v>
      </c>
      <c r="I124">
        <f>I113*pricing!I37*2000</f>
        <v>2324400</v>
      </c>
      <c r="J124">
        <f>J113*pricing!J37*2000</f>
        <v>2066653.251284838</v>
      </c>
      <c r="K124">
        <f>K113*pricing!K37*2000</f>
        <v>1955292.0510499866</v>
      </c>
      <c r="L124">
        <f>L113*pricing!L37*2000</f>
        <v>1710454.2711242684</v>
      </c>
      <c r="M124">
        <f>M113*pricing!M37*2000</f>
        <v>2141956.7747850539</v>
      </c>
      <c r="N124">
        <f>N113*pricing!N37*2000</f>
        <v>2029149.0867884201</v>
      </c>
      <c r="O124">
        <f>O113*pricing!O37*2000</f>
        <v>1740267.9556480253</v>
      </c>
    </row>
    <row r="125" spans="2:15">
      <c r="C125" s="99" t="s">
        <v>131</v>
      </c>
      <c r="D125">
        <f>D114*pricing!D38*2000</f>
        <v>742915.25759054418</v>
      </c>
      <c r="E125">
        <f>E114*pricing!E38*2000</f>
        <v>666799.90718934999</v>
      </c>
      <c r="F125">
        <f>F114*pricing!F38*2000</f>
        <v>518000.73712293</v>
      </c>
      <c r="G125">
        <f>G114*pricing!G38*2000</f>
        <v>703766.78191316267</v>
      </c>
      <c r="H125">
        <f>H114*pricing!H38*2000</f>
        <v>967356.04708984669</v>
      </c>
      <c r="I125">
        <f>I114*pricing!I38*2000</f>
        <v>899671.84831308143</v>
      </c>
      <c r="J125">
        <f>J114*pricing!J38*2000</f>
        <v>987069.58463253325</v>
      </c>
      <c r="K125">
        <f>K114*pricing!K38*2000</f>
        <v>811278.74382329581</v>
      </c>
      <c r="L125">
        <f>L114*pricing!L38*2000</f>
        <v>653723.9303141837</v>
      </c>
      <c r="M125">
        <f>M114*pricing!M38*2000</f>
        <v>833824.19410710316</v>
      </c>
      <c r="N125">
        <f>N114*pricing!N38*2000</f>
        <v>1036947.7032535567</v>
      </c>
      <c r="O125">
        <f>O114*pricing!O38*2000</f>
        <v>992105.25889373827</v>
      </c>
    </row>
    <row r="126" spans="2:15">
      <c r="C126" s="99" t="s">
        <v>132</v>
      </c>
      <c r="D126">
        <f>D115*pricing!D39*2000</f>
        <v>1575571.1496411124</v>
      </c>
      <c r="E126">
        <f>E115*pricing!E39*2000</f>
        <v>1125961.761331798</v>
      </c>
      <c r="F126">
        <f>F115*pricing!F39*2000</f>
        <v>1023617.6009948853</v>
      </c>
      <c r="G126">
        <f>G115*pricing!G39*2000</f>
        <v>1470754.0642385145</v>
      </c>
      <c r="H126">
        <f>H115*pricing!H39*2000</f>
        <v>2027873.3644212077</v>
      </c>
      <c r="I126">
        <f>I115*pricing!I39*2000</f>
        <v>1398453.4541465966</v>
      </c>
      <c r="J126">
        <f>J115*pricing!J39*2000</f>
        <v>1718937.0978152486</v>
      </c>
      <c r="K126">
        <f>K115*pricing!K39*2000</f>
        <v>1606077.7841574897</v>
      </c>
      <c r="L126">
        <f>L115*pricing!L39*2000</f>
        <v>1404579.571663619</v>
      </c>
      <c r="M126">
        <f>M115*pricing!M39*2000</f>
        <v>1704717.5913453589</v>
      </c>
      <c r="N126">
        <f>N115*pricing!N39*2000</f>
        <v>1460981.7015943271</v>
      </c>
      <c r="O126">
        <f>O115*pricing!O39*2000</f>
        <v>1662724.7215037262</v>
      </c>
    </row>
    <row r="127" spans="2:15">
      <c r="C127" s="99" t="s">
        <v>279</v>
      </c>
      <c r="D127">
        <f>SUM(D$120:D$126)</f>
        <v>13086861.26312796</v>
      </c>
      <c r="E127">
        <f t="shared" ref="E127:O127" si="1">SUM(E$120:E$126)</f>
        <v>11805131.273881733</v>
      </c>
      <c r="F127">
        <f t="shared" si="1"/>
        <v>13979196.992791235</v>
      </c>
      <c r="G127">
        <f t="shared" si="1"/>
        <v>12732157.502382345</v>
      </c>
      <c r="H127">
        <f t="shared" si="1"/>
        <v>14023749.167696383</v>
      </c>
      <c r="I127">
        <f t="shared" si="1"/>
        <v>15068454.161403891</v>
      </c>
      <c r="J127">
        <f t="shared" si="1"/>
        <v>14093374.91638601</v>
      </c>
      <c r="K127">
        <f t="shared" si="1"/>
        <v>13746770.273493404</v>
      </c>
      <c r="L127">
        <f t="shared" si="1"/>
        <v>14276255.837762881</v>
      </c>
      <c r="M127">
        <f t="shared" si="1"/>
        <v>12883138.246853516</v>
      </c>
      <c r="N127">
        <f t="shared" si="1"/>
        <v>14282298.55135987</v>
      </c>
      <c r="O127">
        <f t="shared" si="1"/>
        <v>15840755.451653857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140175.92529750051</v>
      </c>
      <c r="E131" s="104">
        <f>SUM(M$6:M$19)+SUM(O$6:O$19)+SUM(Q$6:Q$19)+SUM(S$6:S$19)</f>
        <v>158603.2207017068</v>
      </c>
      <c r="F131" s="104">
        <f>SUM(U$6:U$19)+SUM(W$6:W$19)+SUM(Y$6:Y$19)+SUM(AA$6:AA$19)</f>
        <v>174073.33143658712</v>
      </c>
      <c r="G131" s="104">
        <f>SUM(AC$6:AC$19)+SUM(AE$6:AE$19)+SUM(AG$6:AG$19)+SUM(AI$6:AI$19)</f>
        <v>159920.60668672583</v>
      </c>
      <c r="H131" s="104">
        <f>SUM(AK$6:AK$19)+SUM(AM$6:AM$19)+SUM(AO$6:AO$19)+SUM(AQ$6:AQ$19)</f>
        <v>165353.76901502421</v>
      </c>
      <c r="I131" s="104">
        <f>SUM(AS$6:AS$19)+SUM(AU$6:AU$19)+SUM(AW$6:AW$19)+SUM(AY$6:AY$19)</f>
        <v>165396.24335018097</v>
      </c>
      <c r="J131" s="104">
        <f>SUM(BA$6:BA$19)+SUM(BC$6:BC$19)+SUM(BE$6:BE$19)+SUM(BG$6:BG$19)</f>
        <v>156692.1151659585</v>
      </c>
      <c r="K131" s="104">
        <f>SUM(BI$6:BI$19)+SUM(BK$6:BK$19)+SUM(BM$6:BM$19)+SUM(BO$6:BO$19)</f>
        <v>150771.0825207633</v>
      </c>
      <c r="L131" s="104">
        <f>SUM(BQ$6:BQ$19)+SUM(BS$6:BS$19)+SUM(BU$6:BU$19)+SUM(BW$6:BW$19)</f>
        <v>206195.80285876314</v>
      </c>
      <c r="M131" s="104">
        <f>SUM(BY$6:BY$19)+SUM(CA$6:CA$19)+SUM(CC$6:CC$19)+SUM(CE$6:CE$19)</f>
        <v>160268.05857984905</v>
      </c>
      <c r="N131" s="104">
        <f>SUM(CG$6:CG$19)+SUM(CI$6:CI$19)+SUM(CK$6:CK$19)+SUM(CM$6:CM$19)</f>
        <v>163773.5129932932</v>
      </c>
      <c r="O131" s="104">
        <f>SUM(CO$6:CO$19)+SUM(CQ$6:CQ$19)+SUM(CS$6:CS$19)+SUM(CU$6:CU$19)</f>
        <v>233984.45105450245</v>
      </c>
    </row>
    <row r="132" spans="2:15">
      <c r="C132" s="103" t="s">
        <v>127</v>
      </c>
      <c r="D132" s="104">
        <f>SUM(E$20:E$36)+SUM(G$20:G$36)+SUM(I$20:I$36)+SUM(K$20:K$36)</f>
        <v>178196.69855320649</v>
      </c>
      <c r="E132" s="104">
        <f>SUM(M$20:M$36)+SUM(O$20:O$36)+SUM(Q$20:Q$36)+SUM(S$20:S$36)</f>
        <v>173915.70928447752</v>
      </c>
      <c r="F132" s="104">
        <f>SUM(U$20:U$36)+SUM(W$20:W$36)+SUM(Y$20:Y$36)+SUM(AA$20:AA$36)</f>
        <v>207965.70882897649</v>
      </c>
      <c r="G132" s="104">
        <f>SUM(AC$20:AC$36)+SUM(AE$20:AE$36)+SUM(AG$20:AG$36)+SUM(AI$20:AI$36)</f>
        <v>170788.36466045649</v>
      </c>
      <c r="H132" s="104">
        <f>SUM(AK$20:AK$36)+SUM(AM$20:AM$36)+SUM(AO$20:AO$36)+SUM(AQ$20:AQ$36)</f>
        <v>202208.233523615</v>
      </c>
      <c r="I132" s="104">
        <f>SUM(AS$20:AS$36)+SUM(AU$20:AU$36)+SUM(AW$20:AW$36)+SUM(AY$20:AY$36)</f>
        <v>200354.3450467019</v>
      </c>
      <c r="J132" s="104">
        <f>SUM(BA$20:BA$36)+SUM(BC$20:BC$36)+SUM(BE$20:BE$36)+SUM(BG$20:BG$36)</f>
        <v>169543.35080805619</v>
      </c>
      <c r="K132" s="104">
        <f>SUM(BI$20:BI$36)+SUM(BK$20:BK$36)+SUM(BM$20:BM$36)+SUM(BO$20:BO$36)</f>
        <v>185972.49570613424</v>
      </c>
      <c r="L132" s="104">
        <f>SUM(BQ$20:BQ$36)+SUM(BS$20:BS$36)+SUM(BU$20:BU$36)+SUM(BW$20:BW$36)</f>
        <v>205299.23873367789</v>
      </c>
      <c r="M132" s="104">
        <f>SUM(BY$20:BY$36)+SUM(CA$20:CA$36)+SUM(CC$20:CC$36)+SUM(CE$20:CE$36)</f>
        <v>157320.49736989543</v>
      </c>
      <c r="N132" s="104">
        <f>SUM(CG$20:CG$36)+SUM(CI$20:CI$36)+SUM(CK$20:CK$36)+SUM(CM$20:CM$36)</f>
        <v>186983.73149961312</v>
      </c>
      <c r="O132" s="104">
        <f>SUM(CO$20:CO$36)+SUM(CQ$20:CQ$36)+SUM(CS$20:CS$36)+SUM(CU$20:CU$36)</f>
        <v>291754.1621620435</v>
      </c>
    </row>
    <row r="133" spans="2:15">
      <c r="C133" s="103" t="s">
        <v>128</v>
      </c>
      <c r="D133" s="104">
        <f>SUM(E$37:E$48)+SUM(G$37:G$48)+SUM(I$37:I$48)+SUM(K$37:K$48)</f>
        <v>583510.09554306581</v>
      </c>
      <c r="E133" s="104">
        <f>SUM(M$37:M$48)+SUM(O$37:O$48)+SUM(Q$37:Q$48)+SUM(S$37:S$48)</f>
        <v>464697.93889227894</v>
      </c>
      <c r="F133" s="104">
        <f>SUM(U$37:U$48)+SUM(W$37:W$48)+SUM(Y$37:Y$48)+SUM(AA$37:AA$48)</f>
        <v>687461.80498301215</v>
      </c>
      <c r="G133" s="104">
        <f>SUM(AC$37:AC$48)+SUM(AE$37:AE$48)+SUM(AG$37:AG$48)+SUM(AI$37:AI$48)</f>
        <v>511049.95908028807</v>
      </c>
      <c r="H133" s="104">
        <f>SUM(AK$37:AK$48)+SUM(AM$37:AM$48)+SUM(AO$37:AO$48)+SUM(AQ$37:AQ$48)</f>
        <v>506178.43071659061</v>
      </c>
      <c r="I133" s="104">
        <f>SUM(AS$37:AS$48)+SUM(AU$37:AU$48)+SUM(AW$37:AW$48)+SUM(AY$37:AY$48)</f>
        <v>746632.53402054147</v>
      </c>
      <c r="J133" s="104">
        <f>SUM(BA$37:BA$48)+SUM(BC$37:BC$48)+SUM(BE$37:BE$48)+SUM(BG$37:BG$48)</f>
        <v>648187.27436594618</v>
      </c>
      <c r="K133" s="104">
        <f>SUM(BI$37:BI$48)+SUM(BK$37:BK$48)+SUM(BM$37:BM$48)+SUM(BO$37:BO$48)</f>
        <v>587615.97912255931</v>
      </c>
      <c r="L133" s="104">
        <f>SUM(BQ$37:BQ$48)+SUM(BS$37:BS$48)+SUM(BU$37:BU$48)+SUM(BW$37:BW$48)</f>
        <v>665020.39886833541</v>
      </c>
      <c r="M133" s="104">
        <f>SUM(BY$37:BY$48)+SUM(CA$37:CA$48)+SUM(CC$37:CC$48)+SUM(CE$37:CE$48)</f>
        <v>450161.25429100764</v>
      </c>
      <c r="N133" s="104">
        <f>SUM(CG$37:CG$48)+SUM(CI$37:CI$48)+SUM(CK$37:CK$48)+SUM(CM$37:CM$48)</f>
        <v>606078.98040298792</v>
      </c>
      <c r="O133" s="104">
        <f>SUM(CO$37:CO$48)+SUM(CQ$37:CQ$48)+SUM(CS$37:CS$48)+SUM(CU$37:CU$48)</f>
        <v>607052.18467641342</v>
      </c>
    </row>
    <row r="134" spans="2:15">
      <c r="C134" s="103" t="s">
        <v>129</v>
      </c>
      <c r="D134" s="104">
        <f>SUM(E$49:E$70)+SUM(G$49:G$70)+SUM(I$49:I$70)+SUM(K$49:K$70)</f>
        <v>434508.05557161948</v>
      </c>
      <c r="E134" s="104">
        <f>SUM(M$49:M$70)+SUM(O$49:O$70)+SUM(Q$49:Q$70)+SUM(S$49:S$70)</f>
        <v>495576.32766948716</v>
      </c>
      <c r="F134" s="104">
        <f>SUM(U$49:U$70)+SUM(W$49:W$70)+SUM(Y$49:Y$70)+SUM(AA$49:AA$70)</f>
        <v>588849.15490571223</v>
      </c>
      <c r="G134" s="104">
        <f>SUM(AC$49:AC$70)+SUM(AE$49:AE$70)+SUM(AG$49:AG$70)+SUM(AI$49:AI$70)</f>
        <v>454932.98753387586</v>
      </c>
      <c r="H134" s="104">
        <f>SUM(AK$49:AK$70)+SUM(AM$49:AM$70)+SUM(AO$49:AO$70)+SUM(AQ$49:AQ$70)</f>
        <v>489364.07893802028</v>
      </c>
      <c r="I134" s="104">
        <f>SUM(AS$49:AS$70)+SUM(AU$49:AU$70)+SUM(AW$49:AW$70)+SUM(AY$49:AY$70)</f>
        <v>523737.9322703986</v>
      </c>
      <c r="J134" s="104">
        <f>SUM(BA$49:BA$70)+SUM(BC$49:BC$70)+SUM(BE$49:BE$70)+SUM(BG$49:BG$70)</f>
        <v>489605.44398950459</v>
      </c>
      <c r="K134" s="104">
        <f>SUM(BI$49:BI$70)+SUM(BK$49:BK$70)+SUM(BM$49:BM$70)+SUM(BO$49:BO$70)</f>
        <v>520134.26415194903</v>
      </c>
      <c r="L134" s="104">
        <f>SUM(BQ$49:BQ$70)+SUM(BS$49:BS$70)+SUM(BU$49:BU$70)+SUM(BW$49:BW$70)</f>
        <v>501159.0792770033</v>
      </c>
      <c r="M134" s="104">
        <f>SUM(BY$49:BY$70)+SUM(CA$49:CA$70)+SUM(CC$49:CC$70)+SUM(CE$49:CE$70)</f>
        <v>471555.33385100268</v>
      </c>
      <c r="N134" s="104">
        <f>SUM(CG$49:CG$70)+SUM(CI$49:CI$70)+SUM(CK$49:CK$70)+SUM(CM$49:CM$70)</f>
        <v>538442.12791375187</v>
      </c>
      <c r="O134" s="104">
        <f>SUM(CO$49:CO$70)+SUM(CQ$49:CQ$70)+SUM(CS$49:CS$70)+SUM(CU$49:CU$70)</f>
        <v>493724.72931427148</v>
      </c>
    </row>
    <row r="135" spans="2:15">
      <c r="C135" s="103" t="s">
        <v>130</v>
      </c>
      <c r="D135" s="104">
        <f>SUM(E$71:E$86)+SUM(G$71:G$86)+SUM(I$71:I$86)+SUM(K$71:K$86)</f>
        <v>229527.63410697156</v>
      </c>
      <c r="E135" s="104">
        <f>SUM(M$71:M$86)+SUM(O$71:O$86)+SUM(Q$71:Q$86)+SUM(S$71:S$86)</f>
        <v>139575.25690511795</v>
      </c>
      <c r="F135" s="104">
        <f>SUM(U$71:U$86)+SUM(W$71:W$86)+SUM(Y$71:Y$86)+SUM(AA$71:AA$86)</f>
        <v>168576.40510738493</v>
      </c>
      <c r="G135" s="104">
        <f>SUM(AC$71:AC$86)+SUM(AE$71:AE$86)+SUM(AG$71:AG$86)+SUM(AI$71:AI$86)</f>
        <v>214154.58710300975</v>
      </c>
      <c r="H135" s="104">
        <f>SUM(AK$71:AK$86)+SUM(AM$71:AM$86)+SUM(AO$71:AO$86)+SUM(AQ$71:AQ$86)</f>
        <v>196652.60734390112</v>
      </c>
      <c r="I135" s="104">
        <f>SUM(AS$71:AS$86)+SUM(AU$71:AU$86)+SUM(AW$71:AW$86)+SUM(AY$71:AY$86)</f>
        <v>249337.2</v>
      </c>
      <c r="J135" s="104">
        <f>SUM(BA$71:BA$86)+SUM(BC$71:BC$86)+SUM(BE$71:BE$86)+SUM(BG$71:BG$86)</f>
        <v>222015.08705941896</v>
      </c>
      <c r="K135" s="104">
        <f>SUM(BI$71:BI$86)+SUM(BK$71:BK$86)+SUM(BM$71:BM$86)+SUM(BO$71:BO$86)</f>
        <v>210734.12073870681</v>
      </c>
      <c r="L135" s="104">
        <f>SUM(BQ$71:BQ$86)+SUM(BS$71:BS$86)+SUM(BU$71:BU$86)+SUM(BW$71:BW$86)</f>
        <v>183927.18082721456</v>
      </c>
      <c r="M135" s="104">
        <f>SUM(BY$71:BY$86)+SUM(CA$71:CA$86)+SUM(CC$71:CC$86)+SUM(CE$71:CE$86)</f>
        <v>231805.31865205476</v>
      </c>
      <c r="N135" s="104">
        <f>SUM(CG$71:CG$86)+SUM(CI$71:CI$86)+SUM(CK$71:CK$86)+SUM(CM$71:CM$86)</f>
        <v>216926.06067132781</v>
      </c>
      <c r="O135" s="104">
        <f>SUM(CO$71:CO$86)+SUM(CQ$71:CQ$86)+SUM(CS$71:CS$86)+SUM(CU$71:CU$86)</f>
        <v>187040.19271374834</v>
      </c>
    </row>
    <row r="136" spans="2:15">
      <c r="C136" s="103" t="s">
        <v>131</v>
      </c>
      <c r="D136" s="104">
        <f>SUM(E$87:E$94)+SUM(G$87:G$94)+SUM(I$87:I$94)+SUM(K$87:K$94)</f>
        <v>132444.21153953677</v>
      </c>
      <c r="E136" s="104">
        <f>SUM(M$87:M$94)+SUM(O$87:O$94)+SUM(Q$87:Q$94)+SUM(S$87:S$94)</f>
        <v>119441.72753836324</v>
      </c>
      <c r="F136" s="104">
        <f>SUM(U$87:U$94)+SUM(W$87:W$94)+SUM(Y$87:Y$94)+SUM(AA$87:AA$94)</f>
        <v>92955.926877291931</v>
      </c>
      <c r="G136" s="104">
        <f>SUM(AC$87:AC$94)+SUM(AE$87:AE$94)+SUM(AG$87:AG$94)+SUM(AI$87:AI$94)</f>
        <v>125661.20494050901</v>
      </c>
      <c r="H136" s="104">
        <f>SUM(AK$87:AK$94)+SUM(AM$87:AM$94)+SUM(AO$87:AO$94)+SUM(AQ$87:AQ$94)</f>
        <v>173164.78993338038</v>
      </c>
      <c r="I136" s="104">
        <f>SUM(AS$87:AS$94)+SUM(AU$87:AU$94)+SUM(AW$87:AW$94)+SUM(AY$87:AY$94)</f>
        <v>161279.82835172175</v>
      </c>
      <c r="J136" s="104">
        <f>SUM(BA$87:BA$94)+SUM(BC$87:BC$94)+SUM(BE$87:BE$94)+SUM(BG$87:BG$94)</f>
        <v>176863.2346000851</v>
      </c>
      <c r="K136" s="104">
        <f>SUM(BI$87:BI$94)+SUM(BK$87:BK$94)+SUM(BM$87:BM$94)+SUM(BO$87:BO$94)</f>
        <v>145355.4494246011</v>
      </c>
      <c r="L136" s="104">
        <f>SUM(BQ$87:BQ$94)+SUM(BS$87:BS$94)+SUM(BU$87:BU$94)+SUM(BW$87:BW$94)</f>
        <v>117474.90843958556</v>
      </c>
      <c r="M136" s="104">
        <f>SUM(BY$87:BY$94)+SUM(CA$87:CA$94)+SUM(CC$87:CC$94)+SUM(CE$87:CE$94)</f>
        <v>149097.28228357859</v>
      </c>
      <c r="N136" s="104">
        <f>SUM(CG$87:CG$94)+SUM(CI$87:CI$94)+SUM(CK$87:CK$94)+SUM(CM$87:CM$94)</f>
        <v>186448.67239582186</v>
      </c>
      <c r="O136" s="104">
        <f>SUM(CO$87:CO$94)+SUM(CQ$87:CQ$94)+SUM(CS$87:CS$94)+SUM(CU$87:CU$94)</f>
        <v>178453.76734918551</v>
      </c>
    </row>
    <row r="137" spans="2:15">
      <c r="C137" s="103" t="s">
        <v>132</v>
      </c>
      <c r="D137" s="104">
        <f>SUM(E$95:E$105)+SUM(G$95:G$105)+SUM(I$95:I$105)+SUM(K$95:K$105)</f>
        <v>241687.5128493816</v>
      </c>
      <c r="E137" s="104">
        <f>SUM(M$95:M$105)+SUM(O$95:O$105)+SUM(Q$95:Q$105)+SUM(S$95:S$105)</f>
        <v>171798.36669577626</v>
      </c>
      <c r="F137" s="104">
        <f>SUM(U$95:U$105)+SUM(W$95:W$105)+SUM(Y$95:Y$105)+SUM(AA$95:AA$105)</f>
        <v>152230.72469559161</v>
      </c>
      <c r="G137" s="104">
        <f>SUM(AC$95:AC$105)+SUM(AE$95:AE$105)+SUM(AG$95:AG$105)+SUM(AI$95:AI$105)</f>
        <v>219128.3220197125</v>
      </c>
      <c r="H137" s="104">
        <f>SUM(AK$95:AK$105)+SUM(AM$95:AM$105)+SUM(AO$95:AO$105)+SUM(AQ$95:AQ$105)</f>
        <v>303554.8043454279</v>
      </c>
      <c r="I137" s="104">
        <f>SUM(AS$95:AS$105)+SUM(AU$95:AU$105)+SUM(AW$95:AW$105)+SUM(AY$95:AY$105)</f>
        <v>208590.87422117649</v>
      </c>
      <c r="J137" s="104">
        <f>SUM(BA$95:BA$105)+SUM(BC$95:BC$105)+SUM(BE$95:BE$105)+SUM(BG$95:BG$105)</f>
        <v>258528.47133651358</v>
      </c>
      <c r="K137" s="104">
        <f>SUM(BI$95:BI$105)+SUM(BK$95:BK$105)+SUM(BM$95:BM$105)+SUM(BO$95:BO$105)</f>
        <v>237363.45026336628</v>
      </c>
      <c r="L137" s="104">
        <f>SUM(BQ$95:BQ$105)+SUM(BS$95:BS$105)+SUM(BU$95:BU$105)+SUM(BW$95:BW$105)</f>
        <v>210751.22896604342</v>
      </c>
      <c r="M137" s="104">
        <f>SUM(BY$95:BY$105)+SUM(CA$95:CA$105)+SUM(CC$95:CC$105)+SUM(CE$95:CE$105)</f>
        <v>250558.23701970698</v>
      </c>
      <c r="N137" s="104">
        <f>SUM(CG$95:CG$105)+SUM(CI$95:CI$105)+SUM(CK$95:CK$105)+SUM(CM$95:CM$105)</f>
        <v>215276.16118250202</v>
      </c>
      <c r="O137" s="104">
        <f>SUM(CO$95:CO$105)+SUM(CQ$95:CQ$105)+SUM(CS$95:CS$105)+SUM(CU$95:CU$105)</f>
        <v>247112.66044876902</v>
      </c>
    </row>
    <row r="138" spans="2:15">
      <c r="C138" s="103" t="s">
        <v>279</v>
      </c>
      <c r="D138">
        <f t="shared" ref="D138:O138" si="2">SUM(D$131:D$137)</f>
        <v>1940050.1334612821</v>
      </c>
      <c r="E138">
        <f t="shared" si="2"/>
        <v>1723608.547687208</v>
      </c>
      <c r="F138">
        <f t="shared" si="2"/>
        <v>2072113.0568345566</v>
      </c>
      <c r="G138">
        <f t="shared" si="2"/>
        <v>1855636.0320245775</v>
      </c>
      <c r="H138">
        <f t="shared" si="2"/>
        <v>2036476.7138159596</v>
      </c>
      <c r="I138">
        <f t="shared" si="2"/>
        <v>2255328.9572607209</v>
      </c>
      <c r="J138">
        <f t="shared" si="2"/>
        <v>2121434.9773254832</v>
      </c>
      <c r="K138">
        <f t="shared" si="2"/>
        <v>2037946.8419280802</v>
      </c>
      <c r="L138">
        <f t="shared" si="2"/>
        <v>2089827.837970623</v>
      </c>
      <c r="M138">
        <f t="shared" si="2"/>
        <v>1870765.982047095</v>
      </c>
      <c r="N138">
        <f t="shared" si="2"/>
        <v>2113929.2470592977</v>
      </c>
      <c r="O138">
        <f t="shared" si="2"/>
        <v>2239122.1477189334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3" max="3" width="14.5" bestFit="1" customWidth="1"/>
    <col min="4" max="4" width="16.83203125" bestFit="1" customWidth="1"/>
    <col min="5" max="5" width="22.83203125" bestFit="1" customWidth="1"/>
  </cols>
  <sheetData>
    <row r="1" spans="1:5">
      <c r="A1" s="99" t="s">
        <v>168</v>
      </c>
      <c r="B1" s="99" t="s">
        <v>169</v>
      </c>
      <c r="C1" s="99" t="s">
        <v>170</v>
      </c>
      <c r="D1" s="99" t="s">
        <v>171</v>
      </c>
      <c r="E1" s="99" t="s">
        <v>172</v>
      </c>
    </row>
    <row r="2" spans="1:5">
      <c r="A2" s="99" t="s">
        <v>126</v>
      </c>
      <c r="B2" s="99" t="s">
        <v>173</v>
      </c>
      <c r="C2" t="s">
        <v>59</v>
      </c>
      <c r="D2">
        <v>482</v>
      </c>
      <c r="E2">
        <v>578.4</v>
      </c>
    </row>
    <row r="3" spans="1:5">
      <c r="B3" s="99" t="s">
        <v>174</v>
      </c>
      <c r="C3" t="s">
        <v>59</v>
      </c>
      <c r="D3">
        <v>657</v>
      </c>
      <c r="E3">
        <v>788.4</v>
      </c>
    </row>
    <row r="4" spans="1:5">
      <c r="B4" s="99" t="s">
        <v>175</v>
      </c>
      <c r="C4" t="s">
        <v>59</v>
      </c>
      <c r="D4">
        <v>258</v>
      </c>
      <c r="E4">
        <v>309.59999999999997</v>
      </c>
    </row>
    <row r="5" spans="1:5">
      <c r="B5" s="99" t="s">
        <v>176</v>
      </c>
      <c r="C5" t="s">
        <v>59</v>
      </c>
      <c r="D5">
        <v>585</v>
      </c>
      <c r="E5">
        <v>702</v>
      </c>
    </row>
    <row r="6" spans="1:5">
      <c r="B6" s="99" t="s">
        <v>177</v>
      </c>
      <c r="C6" t="s">
        <v>59</v>
      </c>
      <c r="D6">
        <v>454</v>
      </c>
      <c r="E6">
        <v>544.79999999999995</v>
      </c>
    </row>
    <row r="7" spans="1:5">
      <c r="B7" s="99" t="s">
        <v>178</v>
      </c>
      <c r="C7" t="s">
        <v>59</v>
      </c>
      <c r="D7">
        <v>444</v>
      </c>
      <c r="E7">
        <v>532.79999999999995</v>
      </c>
    </row>
    <row r="8" spans="1:5">
      <c r="B8" s="99" t="s">
        <v>179</v>
      </c>
      <c r="C8" t="s">
        <v>59</v>
      </c>
      <c r="D8">
        <v>469</v>
      </c>
      <c r="E8">
        <v>562.79999999999995</v>
      </c>
    </row>
    <row r="9" spans="1:5">
      <c r="B9" s="99" t="s">
        <v>180</v>
      </c>
      <c r="C9" t="s">
        <v>59</v>
      </c>
      <c r="D9">
        <v>71</v>
      </c>
      <c r="E9">
        <v>85.2</v>
      </c>
    </row>
    <row r="10" spans="1:5">
      <c r="B10" s="99" t="s">
        <v>181</v>
      </c>
      <c r="C10" t="s">
        <v>59</v>
      </c>
      <c r="D10">
        <v>407</v>
      </c>
      <c r="E10">
        <v>488.4</v>
      </c>
    </row>
    <row r="11" spans="1:5">
      <c r="B11" s="99" t="s">
        <v>182</v>
      </c>
      <c r="C11" t="s">
        <v>59</v>
      </c>
      <c r="D11">
        <v>636</v>
      </c>
      <c r="E11">
        <v>763.19999999999993</v>
      </c>
    </row>
    <row r="12" spans="1:5">
      <c r="B12" s="99" t="s">
        <v>183</v>
      </c>
      <c r="C12" t="s">
        <v>59</v>
      </c>
      <c r="D12">
        <v>284</v>
      </c>
      <c r="E12">
        <v>340.8</v>
      </c>
    </row>
    <row r="13" spans="1:5">
      <c r="B13" s="99" t="s">
        <v>184</v>
      </c>
      <c r="C13" t="s">
        <v>59</v>
      </c>
      <c r="D13">
        <v>352</v>
      </c>
      <c r="E13">
        <v>422.4</v>
      </c>
    </row>
    <row r="14" spans="1:5">
      <c r="B14" s="99" t="s">
        <v>185</v>
      </c>
      <c r="C14" t="s">
        <v>59</v>
      </c>
      <c r="D14">
        <v>544</v>
      </c>
      <c r="E14">
        <v>652.79999999999995</v>
      </c>
    </row>
    <row r="15" spans="1:5">
      <c r="B15" s="99" t="s">
        <v>186</v>
      </c>
      <c r="C15" t="s">
        <v>59</v>
      </c>
      <c r="D15">
        <v>275</v>
      </c>
      <c r="E15">
        <v>330</v>
      </c>
    </row>
    <row r="16" spans="1:5">
      <c r="A16" s="99" t="s">
        <v>127</v>
      </c>
      <c r="B16" s="99" t="s">
        <v>187</v>
      </c>
      <c r="C16" t="s">
        <v>59</v>
      </c>
      <c r="D16">
        <v>239</v>
      </c>
      <c r="E16">
        <v>286.8</v>
      </c>
    </row>
    <row r="17" spans="2:5">
      <c r="B17" s="99" t="s">
        <v>188</v>
      </c>
      <c r="C17" t="s">
        <v>59</v>
      </c>
      <c r="D17">
        <v>52</v>
      </c>
      <c r="E17">
        <v>62.4</v>
      </c>
    </row>
    <row r="18" spans="2:5">
      <c r="B18" s="99" t="s">
        <v>189</v>
      </c>
      <c r="C18" t="s">
        <v>59</v>
      </c>
      <c r="D18">
        <v>156</v>
      </c>
      <c r="E18">
        <v>187.2</v>
      </c>
    </row>
    <row r="19" spans="2:5">
      <c r="B19" s="99" t="s">
        <v>190</v>
      </c>
      <c r="C19" t="s">
        <v>59</v>
      </c>
      <c r="D19">
        <v>245</v>
      </c>
      <c r="E19">
        <v>294</v>
      </c>
    </row>
    <row r="20" spans="2:5">
      <c r="B20" s="99" t="s">
        <v>191</v>
      </c>
      <c r="C20" t="s">
        <v>59</v>
      </c>
      <c r="D20">
        <v>306</v>
      </c>
      <c r="E20">
        <v>367.2</v>
      </c>
    </row>
    <row r="21" spans="2:5">
      <c r="B21" s="99" t="s">
        <v>192</v>
      </c>
      <c r="C21" t="s">
        <v>59</v>
      </c>
      <c r="D21">
        <v>442</v>
      </c>
      <c r="E21">
        <v>530.4</v>
      </c>
    </row>
    <row r="22" spans="2:5">
      <c r="B22" s="99" t="s">
        <v>193</v>
      </c>
      <c r="C22" t="s">
        <v>59</v>
      </c>
      <c r="D22">
        <v>405</v>
      </c>
      <c r="E22">
        <v>486</v>
      </c>
    </row>
    <row r="23" spans="2:5">
      <c r="B23" s="99" t="s">
        <v>194</v>
      </c>
      <c r="C23" t="s">
        <v>59</v>
      </c>
      <c r="D23">
        <v>356</v>
      </c>
      <c r="E23">
        <v>427.2</v>
      </c>
    </row>
    <row r="24" spans="2:5">
      <c r="B24" s="99" t="s">
        <v>195</v>
      </c>
      <c r="C24" t="s">
        <v>59</v>
      </c>
      <c r="D24">
        <v>615</v>
      </c>
      <c r="E24">
        <v>738</v>
      </c>
    </row>
    <row r="25" spans="2:5">
      <c r="B25" s="99" t="s">
        <v>196</v>
      </c>
      <c r="C25" t="s">
        <v>59</v>
      </c>
      <c r="D25">
        <v>282</v>
      </c>
      <c r="E25">
        <v>338.4</v>
      </c>
    </row>
    <row r="26" spans="2:5">
      <c r="B26" s="99" t="s">
        <v>197</v>
      </c>
      <c r="C26" t="s">
        <v>59</v>
      </c>
      <c r="D26">
        <v>116</v>
      </c>
      <c r="E26">
        <v>139.19999999999999</v>
      </c>
    </row>
    <row r="27" spans="2:5">
      <c r="B27" s="99" t="s">
        <v>198</v>
      </c>
      <c r="C27" t="s">
        <v>59</v>
      </c>
      <c r="D27">
        <v>284</v>
      </c>
      <c r="E27">
        <v>340.8</v>
      </c>
    </row>
    <row r="28" spans="2:5">
      <c r="B28" s="99" t="s">
        <v>199</v>
      </c>
      <c r="C28" t="s">
        <v>59</v>
      </c>
      <c r="D28">
        <v>700</v>
      </c>
      <c r="E28">
        <v>840</v>
      </c>
    </row>
    <row r="29" spans="2:5">
      <c r="B29" s="99" t="s">
        <v>200</v>
      </c>
      <c r="C29" t="s">
        <v>59</v>
      </c>
      <c r="D29">
        <v>395</v>
      </c>
      <c r="E29">
        <v>474</v>
      </c>
    </row>
    <row r="30" spans="2:5">
      <c r="B30" s="99" t="s">
        <v>201</v>
      </c>
      <c r="C30" t="s">
        <v>59</v>
      </c>
      <c r="D30">
        <v>457</v>
      </c>
      <c r="E30">
        <v>548.4</v>
      </c>
    </row>
    <row r="31" spans="2:5">
      <c r="B31" s="99" t="s">
        <v>202</v>
      </c>
      <c r="C31" t="s">
        <v>59</v>
      </c>
      <c r="D31">
        <v>419</v>
      </c>
      <c r="E31">
        <v>502.7999999999999</v>
      </c>
    </row>
    <row r="32" spans="2:5">
      <c r="B32" s="99" t="s">
        <v>203</v>
      </c>
      <c r="C32" t="s">
        <v>59</v>
      </c>
      <c r="D32">
        <v>634</v>
      </c>
      <c r="E32">
        <v>760.8</v>
      </c>
    </row>
    <row r="33" spans="1:5">
      <c r="A33" s="99" t="s">
        <v>128</v>
      </c>
      <c r="B33" s="99" t="s">
        <v>204</v>
      </c>
      <c r="C33" t="s">
        <v>59</v>
      </c>
      <c r="D33">
        <v>717</v>
      </c>
      <c r="E33">
        <v>860.4</v>
      </c>
    </row>
    <row r="34" spans="1:5">
      <c r="B34" s="99" t="s">
        <v>205</v>
      </c>
      <c r="C34" t="s">
        <v>59</v>
      </c>
      <c r="D34">
        <v>1035</v>
      </c>
      <c r="E34">
        <v>1242</v>
      </c>
    </row>
    <row r="35" spans="1:5">
      <c r="B35" s="99" t="s">
        <v>206</v>
      </c>
      <c r="C35" t="s">
        <v>59</v>
      </c>
      <c r="D35">
        <v>1186</v>
      </c>
      <c r="E35">
        <v>1423.2</v>
      </c>
    </row>
    <row r="36" spans="1:5">
      <c r="B36" s="99" t="s">
        <v>207</v>
      </c>
      <c r="C36" t="s">
        <v>59</v>
      </c>
      <c r="D36">
        <v>604</v>
      </c>
      <c r="E36">
        <v>724.8</v>
      </c>
    </row>
    <row r="37" spans="1:5">
      <c r="B37" s="99" t="s">
        <v>208</v>
      </c>
      <c r="C37" t="s">
        <v>59</v>
      </c>
      <c r="D37">
        <v>550</v>
      </c>
      <c r="E37">
        <v>660</v>
      </c>
    </row>
    <row r="38" spans="1:5">
      <c r="B38" s="99" t="s">
        <v>209</v>
      </c>
      <c r="C38" t="s">
        <v>59</v>
      </c>
      <c r="D38">
        <v>705</v>
      </c>
      <c r="E38">
        <v>846</v>
      </c>
    </row>
    <row r="39" spans="1:5">
      <c r="B39" s="99" t="s">
        <v>210</v>
      </c>
      <c r="C39" t="s">
        <v>59</v>
      </c>
      <c r="D39">
        <v>852</v>
      </c>
      <c r="E39">
        <v>1022.4</v>
      </c>
    </row>
    <row r="40" spans="1:5">
      <c r="B40" s="99" t="s">
        <v>211</v>
      </c>
      <c r="C40" t="s">
        <v>59</v>
      </c>
      <c r="D40">
        <v>852</v>
      </c>
      <c r="E40">
        <v>1022.4</v>
      </c>
    </row>
    <row r="41" spans="1:5">
      <c r="B41" s="99" t="s">
        <v>212</v>
      </c>
      <c r="C41" t="s">
        <v>59</v>
      </c>
      <c r="D41">
        <v>1041</v>
      </c>
      <c r="E41">
        <v>1249.2</v>
      </c>
    </row>
    <row r="42" spans="1:5">
      <c r="B42" s="99" t="s">
        <v>213</v>
      </c>
      <c r="C42" t="s">
        <v>59</v>
      </c>
      <c r="D42">
        <v>1010</v>
      </c>
      <c r="E42">
        <v>1212</v>
      </c>
    </row>
    <row r="43" spans="1:5">
      <c r="B43" s="99" t="s">
        <v>214</v>
      </c>
      <c r="C43" t="s">
        <v>59</v>
      </c>
      <c r="D43">
        <v>1273</v>
      </c>
      <c r="E43">
        <v>1527.6</v>
      </c>
    </row>
    <row r="44" spans="1:5">
      <c r="B44" s="99" t="s">
        <v>215</v>
      </c>
      <c r="C44" t="s">
        <v>59</v>
      </c>
      <c r="D44">
        <v>723</v>
      </c>
      <c r="E44">
        <v>867.6</v>
      </c>
    </row>
    <row r="45" spans="1:5">
      <c r="A45" s="99" t="s">
        <v>129</v>
      </c>
      <c r="B45" s="99" t="s">
        <v>216</v>
      </c>
      <c r="C45" t="s">
        <v>22</v>
      </c>
      <c r="D45">
        <v>821</v>
      </c>
      <c r="E45">
        <v>985.19999999999993</v>
      </c>
    </row>
    <row r="46" spans="1:5">
      <c r="B46" s="99" t="s">
        <v>217</v>
      </c>
      <c r="C46" t="s">
        <v>59</v>
      </c>
      <c r="D46">
        <v>235</v>
      </c>
      <c r="E46">
        <v>282</v>
      </c>
    </row>
    <row r="47" spans="1:5">
      <c r="B47" s="99" t="s">
        <v>218</v>
      </c>
      <c r="C47" t="s">
        <v>59</v>
      </c>
      <c r="D47">
        <v>712</v>
      </c>
      <c r="E47">
        <v>854.4</v>
      </c>
    </row>
    <row r="48" spans="1:5">
      <c r="B48" s="99" t="s">
        <v>219</v>
      </c>
      <c r="C48" t="s">
        <v>59</v>
      </c>
      <c r="D48">
        <v>450</v>
      </c>
      <c r="E48">
        <v>540</v>
      </c>
    </row>
    <row r="49" spans="2:5">
      <c r="B49" s="99" t="s">
        <v>220</v>
      </c>
      <c r="C49" t="s">
        <v>59</v>
      </c>
      <c r="D49">
        <v>339</v>
      </c>
      <c r="E49">
        <v>406.8</v>
      </c>
    </row>
    <row r="50" spans="2:5">
      <c r="B50" s="99" t="s">
        <v>221</v>
      </c>
      <c r="C50" t="s">
        <v>59</v>
      </c>
      <c r="D50">
        <v>279</v>
      </c>
      <c r="E50">
        <v>334.8</v>
      </c>
    </row>
    <row r="51" spans="2:5">
      <c r="B51" s="99" t="s">
        <v>222</v>
      </c>
      <c r="C51" t="s">
        <v>59</v>
      </c>
      <c r="D51">
        <v>553</v>
      </c>
      <c r="E51">
        <v>663.6</v>
      </c>
    </row>
    <row r="52" spans="2:5">
      <c r="B52" s="99" t="s">
        <v>223</v>
      </c>
      <c r="C52" t="s">
        <v>46</v>
      </c>
      <c r="D52">
        <v>818</v>
      </c>
      <c r="E52">
        <v>981.59999999999991</v>
      </c>
    </row>
    <row r="53" spans="2:5">
      <c r="B53" s="99" t="s">
        <v>224</v>
      </c>
      <c r="C53" t="s">
        <v>59</v>
      </c>
      <c r="D53">
        <v>1176</v>
      </c>
      <c r="E53">
        <v>1411.2</v>
      </c>
    </row>
    <row r="54" spans="2:5">
      <c r="B54" s="99" t="s">
        <v>225</v>
      </c>
      <c r="C54" t="s">
        <v>22</v>
      </c>
      <c r="D54">
        <v>981</v>
      </c>
      <c r="E54">
        <v>1177.2</v>
      </c>
    </row>
    <row r="55" spans="2:5">
      <c r="B55" s="99" t="s">
        <v>226</v>
      </c>
      <c r="C55" t="s">
        <v>59</v>
      </c>
      <c r="D55">
        <v>253</v>
      </c>
      <c r="E55">
        <v>303.59999999999997</v>
      </c>
    </row>
    <row r="56" spans="2:5">
      <c r="B56" s="99" t="s">
        <v>227</v>
      </c>
      <c r="C56" t="s">
        <v>59</v>
      </c>
      <c r="D56">
        <v>543</v>
      </c>
      <c r="E56">
        <v>651.6</v>
      </c>
    </row>
    <row r="57" spans="2:5">
      <c r="B57" s="99" t="s">
        <v>228</v>
      </c>
      <c r="C57" t="s">
        <v>59</v>
      </c>
      <c r="D57">
        <v>793</v>
      </c>
      <c r="E57">
        <v>951.59999999999991</v>
      </c>
    </row>
    <row r="58" spans="2:5">
      <c r="B58" s="99" t="s">
        <v>229</v>
      </c>
      <c r="C58" t="s">
        <v>46</v>
      </c>
      <c r="D58">
        <v>1391</v>
      </c>
      <c r="E58">
        <v>1669.2</v>
      </c>
    </row>
    <row r="59" spans="2:5">
      <c r="B59" s="99" t="s">
        <v>230</v>
      </c>
      <c r="C59" t="s">
        <v>59</v>
      </c>
      <c r="D59">
        <v>663</v>
      </c>
      <c r="E59">
        <v>795.6</v>
      </c>
    </row>
    <row r="60" spans="2:5">
      <c r="B60" s="99" t="s">
        <v>231</v>
      </c>
      <c r="C60" t="s">
        <v>59</v>
      </c>
      <c r="D60">
        <v>841</v>
      </c>
      <c r="E60">
        <v>1009.1999999999998</v>
      </c>
    </row>
    <row r="61" spans="2:5">
      <c r="B61" s="99" t="s">
        <v>232</v>
      </c>
      <c r="C61" t="s">
        <v>59</v>
      </c>
      <c r="D61">
        <v>855</v>
      </c>
      <c r="E61">
        <v>1026</v>
      </c>
    </row>
    <row r="62" spans="2:5">
      <c r="B62" s="99" t="s">
        <v>233</v>
      </c>
      <c r="C62" t="s">
        <v>59</v>
      </c>
      <c r="D62">
        <v>992</v>
      </c>
      <c r="E62">
        <v>1190.3999999999999</v>
      </c>
    </row>
    <row r="63" spans="2:5">
      <c r="B63" s="99" t="s">
        <v>234</v>
      </c>
      <c r="C63" t="s">
        <v>59</v>
      </c>
      <c r="D63">
        <v>936</v>
      </c>
      <c r="E63">
        <v>1123.2</v>
      </c>
    </row>
    <row r="64" spans="2:5">
      <c r="B64" s="99" t="s">
        <v>235</v>
      </c>
      <c r="C64" t="s">
        <v>59</v>
      </c>
      <c r="D64">
        <v>861</v>
      </c>
      <c r="E64">
        <v>1033.2</v>
      </c>
    </row>
    <row r="65" spans="1:5">
      <c r="B65" s="99" t="s">
        <v>236</v>
      </c>
      <c r="C65" t="s">
        <v>59</v>
      </c>
      <c r="D65">
        <v>632</v>
      </c>
      <c r="E65">
        <v>758.4</v>
      </c>
    </row>
    <row r="66" spans="1:5">
      <c r="B66" s="99" t="s">
        <v>237</v>
      </c>
      <c r="C66" t="s">
        <v>59</v>
      </c>
      <c r="D66">
        <v>446</v>
      </c>
      <c r="E66">
        <v>535.19999999999993</v>
      </c>
    </row>
    <row r="67" spans="1:5">
      <c r="A67" s="99" t="s">
        <v>130</v>
      </c>
      <c r="B67" s="99" t="s">
        <v>238</v>
      </c>
      <c r="C67" t="s">
        <v>22</v>
      </c>
      <c r="D67">
        <v>470</v>
      </c>
      <c r="E67">
        <v>564</v>
      </c>
    </row>
    <row r="68" spans="1:5">
      <c r="B68" s="99" t="s">
        <v>239</v>
      </c>
      <c r="C68" t="s">
        <v>22</v>
      </c>
      <c r="D68">
        <v>62</v>
      </c>
      <c r="E68">
        <v>74.399999999999991</v>
      </c>
    </row>
    <row r="69" spans="1:5">
      <c r="B69" s="99" t="s">
        <v>240</v>
      </c>
      <c r="C69" t="s">
        <v>22</v>
      </c>
      <c r="D69">
        <v>466</v>
      </c>
      <c r="E69">
        <v>559.19999999999993</v>
      </c>
    </row>
    <row r="70" spans="1:5">
      <c r="B70" s="99" t="s">
        <v>241</v>
      </c>
      <c r="C70" t="s">
        <v>22</v>
      </c>
      <c r="D70">
        <v>336</v>
      </c>
      <c r="E70">
        <v>403.2</v>
      </c>
    </row>
    <row r="71" spans="1:5">
      <c r="B71" s="99" t="s">
        <v>242</v>
      </c>
      <c r="C71" t="s">
        <v>22</v>
      </c>
      <c r="D71">
        <v>536</v>
      </c>
      <c r="E71">
        <v>643.19999999999993</v>
      </c>
    </row>
    <row r="72" spans="1:5">
      <c r="B72" s="99" t="s">
        <v>243</v>
      </c>
      <c r="C72" t="s">
        <v>22</v>
      </c>
      <c r="D72">
        <v>649</v>
      </c>
      <c r="E72">
        <v>778.8</v>
      </c>
    </row>
    <row r="73" spans="1:5">
      <c r="B73" s="99" t="s">
        <v>244</v>
      </c>
      <c r="C73" t="s">
        <v>22</v>
      </c>
      <c r="D73">
        <v>232</v>
      </c>
      <c r="E73">
        <v>278.39999999999998</v>
      </c>
    </row>
    <row r="74" spans="1:5">
      <c r="B74" s="99" t="s">
        <v>245</v>
      </c>
      <c r="C74" t="s">
        <v>22</v>
      </c>
      <c r="D74">
        <v>460</v>
      </c>
      <c r="E74">
        <v>552</v>
      </c>
    </row>
    <row r="75" spans="1:5">
      <c r="B75" s="99" t="s">
        <v>246</v>
      </c>
      <c r="C75" t="s">
        <v>22</v>
      </c>
      <c r="D75">
        <v>631</v>
      </c>
      <c r="E75">
        <v>757.19999999999993</v>
      </c>
    </row>
    <row r="76" spans="1:5">
      <c r="B76" s="99" t="s">
        <v>247</v>
      </c>
      <c r="C76" t="s">
        <v>22</v>
      </c>
      <c r="D76">
        <v>671</v>
      </c>
      <c r="E76">
        <v>805.19999999999993</v>
      </c>
    </row>
    <row r="77" spans="1:5">
      <c r="B77" s="99" t="s">
        <v>248</v>
      </c>
      <c r="C77" t="s">
        <v>22</v>
      </c>
      <c r="D77">
        <v>628</v>
      </c>
      <c r="E77">
        <v>753.6</v>
      </c>
    </row>
    <row r="78" spans="1:5">
      <c r="B78" s="99" t="s">
        <v>249</v>
      </c>
      <c r="C78" t="s">
        <v>22</v>
      </c>
      <c r="D78">
        <v>424</v>
      </c>
      <c r="E78">
        <v>508.7999999999999</v>
      </c>
    </row>
    <row r="79" spans="1:5">
      <c r="B79" s="99" t="s">
        <v>250</v>
      </c>
      <c r="C79" t="s">
        <v>22</v>
      </c>
      <c r="D79">
        <v>717</v>
      </c>
      <c r="E79">
        <v>860.4</v>
      </c>
    </row>
    <row r="80" spans="1:5">
      <c r="B80" s="99" t="s">
        <v>251</v>
      </c>
      <c r="C80" t="s">
        <v>22</v>
      </c>
      <c r="D80">
        <v>651</v>
      </c>
      <c r="E80">
        <v>781.19999999999993</v>
      </c>
    </row>
    <row r="81" spans="1:5">
      <c r="B81" s="99" t="s">
        <v>252</v>
      </c>
      <c r="C81" t="s">
        <v>22</v>
      </c>
      <c r="D81">
        <v>125</v>
      </c>
      <c r="E81">
        <v>150</v>
      </c>
    </row>
    <row r="82" spans="1:5">
      <c r="B82" s="99" t="s">
        <v>253</v>
      </c>
      <c r="C82" t="s">
        <v>22</v>
      </c>
      <c r="D82">
        <v>450</v>
      </c>
      <c r="E82">
        <v>540</v>
      </c>
    </row>
    <row r="83" spans="1:5">
      <c r="A83" s="99" t="s">
        <v>131</v>
      </c>
      <c r="B83" s="99" t="s">
        <v>254</v>
      </c>
      <c r="C83" t="s">
        <v>46</v>
      </c>
      <c r="D83">
        <v>895</v>
      </c>
      <c r="E83">
        <v>1074</v>
      </c>
    </row>
    <row r="84" spans="1:5">
      <c r="B84" s="99" t="s">
        <v>255</v>
      </c>
      <c r="C84" t="s">
        <v>46</v>
      </c>
      <c r="D84">
        <v>827</v>
      </c>
      <c r="E84">
        <v>992.4</v>
      </c>
    </row>
    <row r="85" spans="1:5">
      <c r="B85" s="99" t="s">
        <v>256</v>
      </c>
      <c r="C85" t="s">
        <v>46</v>
      </c>
      <c r="D85">
        <v>885</v>
      </c>
      <c r="E85">
        <v>1062</v>
      </c>
    </row>
    <row r="86" spans="1:5">
      <c r="B86" s="99" t="s">
        <v>257</v>
      </c>
      <c r="C86" t="s">
        <v>46</v>
      </c>
      <c r="D86">
        <v>924</v>
      </c>
      <c r="E86">
        <v>1108.8</v>
      </c>
    </row>
    <row r="87" spans="1:5">
      <c r="B87" s="99" t="s">
        <v>258</v>
      </c>
      <c r="C87" t="s">
        <v>46</v>
      </c>
      <c r="D87">
        <v>947</v>
      </c>
      <c r="E87">
        <v>1136.3999999999999</v>
      </c>
    </row>
    <row r="88" spans="1:5">
      <c r="B88" s="99" t="s">
        <v>259</v>
      </c>
      <c r="C88" t="s">
        <v>46</v>
      </c>
      <c r="D88">
        <v>654</v>
      </c>
      <c r="E88">
        <v>784.8</v>
      </c>
    </row>
    <row r="89" spans="1:5">
      <c r="B89" s="99" t="s">
        <v>260</v>
      </c>
      <c r="C89" t="s">
        <v>46</v>
      </c>
      <c r="D89">
        <v>578</v>
      </c>
      <c r="E89">
        <v>693.6</v>
      </c>
    </row>
    <row r="90" spans="1:5">
      <c r="B90" s="99" t="s">
        <v>261</v>
      </c>
      <c r="C90" t="s">
        <v>46</v>
      </c>
      <c r="D90">
        <v>994</v>
      </c>
      <c r="E90">
        <v>1192.8</v>
      </c>
    </row>
    <row r="91" spans="1:5">
      <c r="A91" s="99" t="s">
        <v>132</v>
      </c>
      <c r="B91" s="99" t="s">
        <v>262</v>
      </c>
      <c r="C91" t="s">
        <v>46</v>
      </c>
      <c r="D91">
        <v>274</v>
      </c>
      <c r="E91">
        <v>328.8</v>
      </c>
    </row>
    <row r="92" spans="1:5">
      <c r="B92" s="99" t="s">
        <v>263</v>
      </c>
      <c r="C92" t="s">
        <v>46</v>
      </c>
      <c r="D92">
        <v>579</v>
      </c>
      <c r="E92">
        <v>694.8</v>
      </c>
    </row>
    <row r="93" spans="1:5">
      <c r="B93" s="99" t="s">
        <v>264</v>
      </c>
      <c r="C93" t="s">
        <v>46</v>
      </c>
      <c r="D93">
        <v>327</v>
      </c>
      <c r="E93">
        <v>392.4</v>
      </c>
    </row>
    <row r="94" spans="1:5">
      <c r="B94" s="99" t="s">
        <v>265</v>
      </c>
      <c r="C94" t="s">
        <v>46</v>
      </c>
      <c r="D94">
        <v>438</v>
      </c>
      <c r="E94">
        <v>525.6</v>
      </c>
    </row>
    <row r="95" spans="1:5">
      <c r="B95" s="99" t="s">
        <v>266</v>
      </c>
      <c r="C95" t="s">
        <v>46</v>
      </c>
      <c r="D95">
        <v>3507</v>
      </c>
      <c r="E95">
        <v>4208.3999999999996</v>
      </c>
    </row>
    <row r="96" spans="1:5">
      <c r="B96" s="99" t="s">
        <v>267</v>
      </c>
      <c r="C96" t="s">
        <v>46</v>
      </c>
      <c r="D96">
        <v>270</v>
      </c>
      <c r="E96">
        <v>324</v>
      </c>
    </row>
    <row r="97" spans="2:5">
      <c r="B97" s="99" t="s">
        <v>268</v>
      </c>
      <c r="C97" t="s">
        <v>46</v>
      </c>
      <c r="D97">
        <v>603</v>
      </c>
      <c r="E97">
        <v>723.6</v>
      </c>
    </row>
    <row r="98" spans="2:5">
      <c r="B98" s="99" t="s">
        <v>269</v>
      </c>
      <c r="C98" t="s">
        <v>46</v>
      </c>
      <c r="D98">
        <v>443</v>
      </c>
      <c r="E98">
        <v>531.6</v>
      </c>
    </row>
    <row r="99" spans="2:5">
      <c r="B99" s="99" t="s">
        <v>270</v>
      </c>
      <c r="C99" t="s">
        <v>46</v>
      </c>
      <c r="D99">
        <v>491</v>
      </c>
      <c r="E99">
        <v>589.19999999999993</v>
      </c>
    </row>
    <row r="100" spans="2:5">
      <c r="B100" s="99" t="s">
        <v>271</v>
      </c>
      <c r="C100" t="s">
        <v>46</v>
      </c>
      <c r="D100">
        <v>527</v>
      </c>
      <c r="E100">
        <v>632.4</v>
      </c>
    </row>
    <row r="101" spans="2:5">
      <c r="B101" s="99" t="s">
        <v>272</v>
      </c>
      <c r="C101" t="s">
        <v>46</v>
      </c>
      <c r="D101">
        <v>464</v>
      </c>
      <c r="E101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2015-01-12T18:00:41Z</dcterms:modified>
</cp:coreProperties>
</file>